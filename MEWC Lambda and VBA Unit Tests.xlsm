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E7E623C1-1C5E-426C-BDA9-838992869635}" xr6:coauthVersionLast="47" xr6:coauthVersionMax="47" xr10:uidLastSave="{00000000-0000-0000-0000-000000000000}"/>
  <bookViews>
    <workbookView xWindow="-110" yWindow="-110" windowWidth="38620" windowHeight="21820" firstSheet="23" activeTab="35"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ftd_maze_cost" sheetId="100" r:id="rId36"/>
    <sheet name="is_unique" sheetId="17" r:id="rId21"/>
    <sheet name="knight_moves" sheetId="18" r:id="rId22"/>
    <sheet name="label_lookup" sheetId="19" r:id="rId23"/>
    <sheet name="load_array" sheetId="20" r:id="rId24"/>
    <sheet name="make_change" sheetId="97" r:id="rId25"/>
    <sheet name="neighbors_count" sheetId="21" r:id="rId26"/>
    <sheet name="neighbors_list" sheetId="22" r:id="rId27"/>
    <sheet name="num_ad" sheetId="23" r:id="rId28"/>
    <sheet name="offset_letter" sheetId="24" r:id="rId29"/>
    <sheet name="only_letters" sheetId="25" r:id="rId30"/>
    <sheet name="only_numbers" sheetId="26" r:id="rId31"/>
    <sheet name="rc_to_ad" sheetId="90" r:id="rId32"/>
    <sheet name="rev" sheetId="28" r:id="rId33"/>
    <sheet name="rotate_arrow" sheetId="29" r:id="rId34"/>
    <sheet name="route_cost" sheetId="30" r:id="rId35"/>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textbetween" sheetId="42" r:id="rId50"/>
    <sheet name="transform_array" sheetId="43" r:id="rId51"/>
    <sheet name="update_arr" sheetId="44" r:id="rId52"/>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split" sheetId="53" r:id="rId61"/>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route_edges" comment="Directed shortest paths. move_rule(from,to,dir) returns a nonnegative edge cost or NA()/text for an illegal move. Optional arrow string limits directions. Returns least cost to every cell; start is 0.">_xlfn.LAMBDA(_xlpm.board,_xlpm.start_ref,_xlpm.move_rule,_xlop.dirs,_xlop.max_steps,
  _xlfn.LET(
    _xlpm.row_count, ROWS(_xlpm.board),
    _xlpm.col_count, COLUMNS(_xlpm.board),
    _xlpm.infinity, 1E+99,
    _xlpm.all_dirs, {"↑";"↓";"←";"→";"↖";"↗";"↙";"↘"},
    _xlpm.dir_text, IF(_xlfn.ISOMITTED(_xlpm.dirs), "↑↓←→↖↗↙↘", _xlpm.dirs),
    _xlpm.dir_list, _xlfn._xlws.FILTER(_xlpm.all_dirs, ISNUMBER(SEARCH(_xlpm.all_dirs, _xlpm.dir_text))),
    _xlpm.row_delta, _xlfn.XLOOKUP(_xlpm.dir_list, _xlpm.all_dirs, {-1;1;0;0;-1;-1;1;1}),
    _xlpm.col_delta, _xlfn.XLOOKUP(_xlpm.dir_list, _xlpm.all_dirs,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z_route_edges_worker(
          z_route_edges_worker,
          _xlpm.initial_costs,
          _xlfn.HSTACK(_xlpm.start_row, _xlpm.start_col, 0),
          _xlpm.board,
          _xlpm.move_rule,
          _xlpm.dir_list,
          _xlpm.row_delta,
          _xlpm.col_delta,
          _xlpm.cell_keys,
          _xlpm.infinity,
          _xlpm.step_count
        ),
        IF(_xlpm.result = "MORE STEPS", _xlpm.result, IF(_xlpm.result &gt;= _xlpm.infinity / 2, "", _xlpm.result))
      )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edges_candidates" comment="Private helper for route_edges; do not call directly. Returns all valid cost improvements reachable from the current frontier.">_xlfn.LAMBDA(_xlpm.costs,_xlpm.frontier,_xlpm.board,_xlpm.move_rule,_xlpm.dir_list,_xlpm.row_delta,_xlpm.col_delta,_xlpm.infinity,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_xlfn.IFNA(_xlpm.move_rule(_xlpm.from_cell,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route_edges_worker" comment="Private recursive worker for route_edges; do not call directly. Relaxes only outgoing edges from cells whose costs improved in the prior pass.">_xlfn.LAMBDA(_xlpm.self,_xlpm.costs,_xlpm.frontier,_xlpm.board,_xlpm.move_rule,_xlpm.dir_list,_xlpm.row_delta,_xlpm.col_delta,_xlpm.cell_keys,_xlpm.infinity,_xlpm.steps_left,
  _xlfn.LET(
    _xlpm.improvements, z_route_edges_candidates(
      _xlpm.costs,
      _xlpm.frontier,
      _xlpm.board,
      _xlpm.move_rule,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_xlpm.move_rule,
          _xlpm.dir_list,
          _xlpm.row_delta,
          _xlpm.col_delta,
          _xlpm.cell_keys,
          _xlpm.infinity,
          _xlpm.steps_left - 1
        )
      )
    )
  )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<sst xmlns="http://schemas.openxmlformats.org/spreadsheetml/2006/main" count="5822" uniqueCount="3667">
  <si>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</si>
  <si>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</si>
  <si>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</si>
  <si>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</si>
  <si>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</si>
  <si>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</si>
  <si>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</si>
  <si>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</si>
  <si>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</si>
  <si>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</si>
  <si>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</si>
  <si>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</si>
  <si>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</si>
  <si>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</si>
  <si>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</si>
  <si>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</si>
  <si>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</si>
  <si>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</si>
  <si>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</si>
  <si>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</si>
  <si>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</si>
  <si>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</si>
  <si>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</si>
  <si>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</si>
  <si>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</si>
  <si>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</si>
  <si>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</si>
  <si>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</si>
  <si>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</si>
  <si>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</si>
  <si>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</si>
  <si>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</si>
  <si>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</si>
  <si>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</si>
  <si>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</si>
  <si>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</si>
  <si>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</si>
  <si>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</si>
  <si>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</si>
  <si>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</si>
  <si>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</si>
  <si>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</si>
  <si>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</si>
  <si>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</si>
  <si>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</si>
  <si>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</si>
  <si>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</si>
  <si>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</si>
  <si>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</si>
  <si>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</si>
  <si>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</si>
  <si>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</si>
  <si>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</si>
  <si>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</si>
  <si>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</si>
  <si>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</si>
  <si>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</si>
  <si>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</si>
  <si>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</si>
  <si>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</si>
  <si>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</si>
  <si>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</si>
  <si>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</si>
  <si>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</si>
  <si>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</si>
  <si>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</si>
  <si>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</si>
  <si>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</si>
  <si>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</si>
  <si>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</si>
  <si>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</si>
  <si>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</si>
  <si>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</si>
  <si>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</si>
  <si>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</si>
  <si>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</si>
  <si>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</si>
  <si>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</si>
  <si>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</si>
  <si>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</si>
  <si>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</si>
  <si>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</si>
  <si>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</si>
  <si>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</si>
  <si>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</si>
  <si>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</si>
  <si>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</si>
  <si>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</si>
  <si>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</si>
  <si>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</si>
  <si>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</si>
  <si>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</si>
  <si>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</si>
  <si>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</si>
  <si>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</si>
  <si>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</si>
  <si>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</si>
  <si>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</si>
  <si>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</si>
  <si>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</si>
  <si>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</si>
  <si>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</si>
  <si>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</si>
  <si>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</si>
  <si>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</si>
  <si>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</si>
  <si>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</si>
  <si>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</si>
  <si>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</si>
  <si>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</si>
  <si>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</si>
  <si>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</si>
  <si>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</si>
  <si>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</si>
  <si>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</si>
  <si>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</si>
  <si>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</si>
  <si>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</si>
  <si>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</si>
  <si>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</si>
  <si>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</si>
  <si>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</si>
  <si>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</si>
  <si>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</si>
  <si>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</si>
  <si>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</si>
  <si>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</si>
  <si>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</si>
  <si>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</si>
  <si>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</si>
  <si>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</si>
  <si>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</si>
  <si>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</si>
  <si>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</si>
  <si>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</si>
  <si>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</si>
  <si>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</si>
  <si>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</si>
  <si>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</si>
  <si>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</si>
  <si>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</si>
  <si>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</si>
  <si>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</si>
  <si>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</si>
  <si>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</si>
  <si>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</si>
  <si>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</si>
  <si>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</si>
  <si>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</si>
  <si>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</si>
  <si>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</si>
  <si>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</si>
  <si>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</si>
  <si>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</si>
  <si>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</si>
  <si>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</si>
  <si>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</si>
  <si>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</si>
  <si>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</si>
  <si>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</si>
  <si>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</si>
  <si>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</si>
  <si>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</si>
  <si>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</si>
  <si>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</si>
  <si>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</si>
  <si>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</si>
  <si>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</si>
  <si>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</si>
  <si>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</si>
  <si>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</si>
  <si>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</si>
  <si>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</si>
  <si>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</si>
  <si>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</si>
  <si>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</si>
  <si>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</si>
  <si>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</si>
  <si>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</si>
  <si>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</si>
  <si>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</si>
  <si>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</si>
  <si>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</si>
  <si>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</si>
  <si>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</si>
  <si>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</si>
  <si>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</si>
  <si>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</si>
  <si>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</si>
  <si>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</si>
  <si>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</si>
  <si>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</si>
  <si>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</si>
  <si>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</si>
  <si>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</si>
  <si>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</si>
  <si>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</si>
  <si>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</si>
  <si>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</si>
  <si>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</si>
  <si>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</si>
  <si>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</si>
  <si>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</si>
  <si>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</si>
  <si>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</si>
  <si>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</si>
  <si>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</si>
  <si>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</si>
  <si>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</si>
  <si>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</si>
  <si>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</si>
  <si>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</si>
  <si>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</si>
  <si>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</si>
  <si>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</si>
  <si>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</si>
  <si>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</si>
  <si>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</si>
  <si>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</si>
  <si>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</si>
  <si>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</si>
  <si>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</si>
  <si>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</si>
  <si>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</si>
  <si>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</si>
  <si>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</si>
  <si>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</si>
  <si>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</si>
  <si>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</si>
  <si>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</si>
  <si>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</si>
  <si>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</si>
  <si>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</si>
  <si>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</si>
  <si>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</si>
  <si>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</si>
  <si>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</si>
  <si>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</si>
  <si>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</si>
  <si>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</si>
  <si>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</si>
  <si>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</si>
  <si>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</si>
  <si>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</si>
  <si>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</si>
  <si>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</si>
  <si>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</si>
  <si>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</si>
  <si>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</si>
  <si>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</si>
  <si>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</si>
  <si>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</si>
  <si>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</si>
  <si>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</si>
  <si>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</si>
  <si>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</si>
  <si>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</si>
  <si>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</si>
  <si>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</si>
  <si>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</si>
  <si>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</si>
  <si>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</si>
  <si>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</si>
  <si>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</si>
  <si>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</si>
  <si>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</si>
  <si>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</si>
  <si>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</si>
  <si>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</si>
  <si>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</si>
  <si>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</si>
  <si>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</si>
  <si>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</si>
  <si>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</si>
  <si>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</si>
  <si>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</si>
  <si>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</si>
  <si>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</si>
  <si>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</si>
  <si>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</si>
  <si>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</si>
  <si>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</si>
  <si>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</si>
  <si>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</si>
  <si>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</si>
  <si>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</si>
  <si>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</si>
  <si>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</si>
  <si>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</si>
  <si>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</si>
  <si>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</si>
  <si>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</si>
  <si>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</si>
  <si>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</si>
  <si>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</si>
  <si>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</si>
  <si>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</si>
  <si>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</si>
  <si>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</si>
  <si>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</si>
  <si>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</si>
  <si>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</si>
  <si>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</si>
  <si>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</si>
  <si>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</si>
  <si>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</si>
  <si>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</si>
  <si>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</si>
  <si>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</si>
  <si>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</si>
  <si>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</si>
  <si>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</si>
  <si>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</si>
  <si>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</si>
  <si>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</si>
  <si>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</si>
  <si>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</si>
  <si>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</si>
  <si>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</si>
  <si>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</si>
  <si>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</si>
  <si>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</si>
  <si>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</si>
  <si>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</si>
  <si>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</si>
  <si>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</si>
  <si>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</si>
  <si>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</si>
  <si>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</si>
  <si>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</si>
  <si>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</si>
  <si>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</si>
  <si>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</si>
  <si>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</si>
  <si>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</si>
  <si>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</si>
  <si>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</si>
  <si>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</si>
  <si>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</si>
  <si>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</si>
  <si>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</si>
  <si>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</si>
  <si>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</si>
  <si>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</si>
  <si>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</si>
  <si>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</si>
  <si>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</si>
  <si>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</si>
  <si>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</si>
  <si>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</si>
  <si>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</si>
  <si>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</si>
  <si>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</si>
  <si>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</si>
  <si>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</si>
  <si>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</si>
  <si>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</si>
  <si>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</si>
  <si>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</si>
  <si>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</si>
  <si>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</si>
  <si>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</si>
  <si>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</si>
  <si>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</si>
  <si>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</si>
  <si>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</si>
  <si>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</si>
  <si>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</si>
  <si>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</si>
  <si>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</si>
  <si>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</si>
  <si>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</si>
  <si>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</si>
  <si>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</si>
  <si>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</si>
  <si>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</si>
  <si>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</si>
  <si>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</si>
  <si>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</si>
  <si>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</si>
  <si>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</si>
  <si>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</si>
  <si>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</si>
  <si>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</si>
  <si>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</si>
  <si>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</si>
  <si>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</si>
  <si>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</si>
  <si>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</si>
  <si>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</si>
  <si>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</si>
  <si>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</si>
  <si>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</si>
  <si>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</si>
  <si>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</si>
  <si>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</si>
  <si>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</si>
  <si>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</si>
  <si>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</si>
  <si>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</si>
  <si>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</si>
  <si>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</si>
  <si>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</si>
  <si>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</si>
  <si>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</si>
  <si>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</si>
  <si>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</si>
  <si>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</si>
  <si>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</si>
  <si>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</si>
  <si>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</si>
  <si>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</si>
  <si>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</si>
  <si>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</si>
  <si>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</si>
  <si>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</si>
  <si>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</si>
  <si>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</si>
  <si>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</si>
  <si>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</si>
  <si>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</si>
  <si>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</si>
  <si>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</si>
  <si>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</si>
  <si>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</si>
  <si>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</si>
  <si>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</si>
  <si>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</si>
  <si>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</si>
  <si>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</si>
  <si>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</si>
  <si>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</si>
  <si>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</si>
  <si>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</si>
  <si>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</si>
  <si>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</si>
  <si>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</si>
  <si>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</si>
  <si>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</si>
  <si>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</si>
  <si>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</si>
  <si>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</si>
  <si>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</si>
  <si>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</si>
  <si>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</si>
  <si>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</si>
  <si>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</si>
  <si>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</si>
  <si>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</si>
  <si>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</si>
  <si>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</si>
  <si>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</si>
  <si>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</si>
  <si>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</si>
  <si>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</si>
  <si>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</si>
  <si>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</si>
  <si>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</si>
  <si>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</si>
  <si>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</si>
  <si>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</si>
  <si>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</si>
  <si>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</si>
  <si>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</si>
  <si>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</si>
  <si>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</si>
  <si>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</si>
  <si>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</si>
  <si>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</si>
  <si>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</si>
  <si>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</si>
  <si>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</si>
  <si>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</si>
  <si>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</si>
  <si>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</si>
  <si>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</si>
  <si>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</si>
  <si>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</si>
  <si>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</si>
  <si>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</si>
  <si>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</si>
  <si>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</si>
  <si>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</si>
  <si>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</si>
  <si>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</si>
  <si>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</si>
  <si>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</si>
  <si>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</si>
  <si>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</si>
  <si>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</si>
  <si>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</si>
  <si>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</si>
  <si>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</si>
  <si>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</si>
  <si>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</si>
  <si>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</si>
  <si>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</si>
  <si>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</si>
  <si>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</si>
  <si>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</si>
  <si>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</si>
  <si>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</si>
  <si>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</si>
  <si>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</si>
  <si>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</si>
  <si>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</si>
  <si>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</si>
  <si>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</si>
  <si>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</si>
  <si>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</si>
  <si>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</si>
  <si>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</si>
  <si>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</si>
  <si>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</si>
  <si>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</si>
  <si>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</si>
  <si>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</si>
  <si>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</si>
  <si>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</si>
  <si>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</si>
  <si>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</si>
  <si>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</si>
  <si>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</si>
  <si>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</si>
  <si>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</si>
  <si>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</si>
  <si>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</si>
  <si>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</si>
  <si>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</si>
  <si>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</si>
  <si>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</si>
  <si>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</si>
  <si>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</si>
  <si>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</si>
  <si>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</si>
  <si>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</si>
  <si>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</si>
  <si>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</si>
  <si>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</si>
  <si>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</si>
  <si>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</si>
  <si>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</si>
  <si>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</si>
  <si>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</si>
  <si>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</si>
  <si>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</si>
  <si>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</si>
  <si>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</si>
  <si>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</si>
  <si>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</si>
  <si>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</si>
  <si>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</si>
  <si>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</si>
  <si>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</si>
  <si>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</si>
  <si>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</si>
  <si>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</si>
  <si>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</si>
  <si>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</si>
  <si>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</si>
  <si>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</si>
  <si>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</si>
  <si>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</si>
  <si>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</si>
  <si>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</si>
  <si>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</si>
  <si>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</si>
  <si>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</si>
  <si>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</si>
  <si>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</si>
  <si>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</si>
  <si>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</si>
  <si>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</si>
  <si>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</si>
  <si>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</si>
  <si>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</si>
  <si>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</si>
  <si>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</si>
  <si>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</si>
  <si>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</si>
  <si>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</si>
  <si>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</si>
  <si>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</si>
  <si>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</si>
  <si>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</si>
  <si>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</si>
  <si>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</si>
  <si>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</si>
  <si>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</si>
  <si>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</si>
  <si>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</si>
  <si>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</si>
  <si>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</si>
  <si>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</si>
  <si>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</si>
  <si>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</si>
  <si>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</si>
  <si>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</si>
  <si>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</si>
  <si>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</si>
  <si>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</si>
  <si>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</si>
  <si>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</si>
  <si>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</si>
  <si>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</si>
  <si>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</si>
  <si>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</si>
  <si>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</si>
  <si>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</si>
  <si>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</si>
  <si>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</si>
  <si>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</si>
  <si>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</si>
  <si>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</si>
  <si>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</si>
  <si>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</si>
  <si>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</si>
  <si>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</si>
  <si>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</si>
  <si>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</si>
  <si>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</si>
  <si>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</si>
  <si>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</si>
  <si>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</si>
  <si>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</si>
  <si>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</si>
  <si>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</si>
  <si>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</si>
  <si>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</si>
  <si>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</si>
  <si>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</si>
  <si>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</si>
  <si>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</si>
  <si>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</si>
  <si>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</si>
  <si>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</si>
  <si>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</si>
  <si>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</si>
  <si>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</si>
  <si>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</si>
  <si>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</si>
  <si>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</si>
  <si>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</si>
  <si>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</si>
  <si>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</si>
  <si>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</si>
  <si>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</si>
  <si>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</si>
  <si>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</si>
  <si>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</si>
  <si>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</si>
  <si>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</si>
  <si>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</si>
  <si>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</si>
  <si>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</si>
  <si>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</si>
  <si>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</si>
  <si>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</si>
  <si>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</si>
  <si>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</si>
  <si>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</si>
  <si>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</si>
  <si>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</si>
  <si>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</si>
  <si>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</si>
  <si>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</si>
  <si>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</si>
  <si>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</si>
  <si>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</si>
  <si>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</si>
  <si>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</si>
  <si>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</si>
  <si>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</si>
  <si>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</si>
  <si>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</si>
  <si>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</si>
  <si>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</si>
  <si>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</si>
  <si>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</si>
  <si>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</si>
  <si>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</si>
  <si>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</si>
  <si>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</si>
  <si>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</si>
  <si>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</si>
  <si>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</si>
  <si>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</si>
  <si>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</si>
  <si>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</si>
  <si>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</si>
  <si>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</si>
  <si>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</si>
  <si>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</si>
  <si>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</si>
  <si>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</si>
  <si>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</si>
  <si>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</si>
  <si>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</si>
  <si>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</si>
  <si>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</si>
  <si>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</si>
  <si>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</si>
  <si>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</si>
  <si>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</si>
  <si>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</si>
  <si>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</si>
  <si>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</si>
  <si>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</si>
  <si>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</si>
  <si>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</si>
  <si>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</si>
  <si>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</si>
  <si>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</si>
  <si>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</si>
  <si>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</si>
  <si>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</si>
  <si>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</si>
  <si>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</si>
  <si>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</si>
  <si>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</si>
  <si>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</si>
  <si>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</si>
  <si>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</si>
  <si>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</si>
  <si>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</si>
  <si>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</si>
  <si>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</si>
  <si>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</si>
  <si>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</si>
  <si>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</si>
  <si>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</si>
  <si>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</si>
  <si>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</si>
  <si>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</si>
  <si>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</si>
  <si>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</si>
  <si>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</si>
  <si>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</si>
  <si>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</si>
  <si>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</si>
  <si>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</si>
  <si>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</si>
  <si>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</si>
  <si>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</si>
  <si>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</si>
  <si>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</si>
  <si>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</si>
  <si>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</si>
  <si>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</si>
  <si>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</si>
  <si>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</si>
  <si>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</si>
  <si>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</si>
  <si>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</si>
  <si>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</si>
  <si>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</si>
  <si>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</si>
  <si>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</si>
  <si>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</si>
  <si>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</si>
  <si>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</si>
  <si>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</si>
  <si>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</si>
  <si>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</si>
  <si>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</si>
  <si>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</si>
  <si>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</si>
  <si>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</si>
  <si>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</si>
  <si>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</si>
  <si>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</si>
  <si>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</si>
  <si>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</si>
  <si>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</si>
  <si>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</si>
  <si>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</si>
  <si>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</si>
  <si>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</si>
  <si>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</si>
  <si>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</si>
  <si>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</si>
  <si>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</si>
  <si>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</si>
  <si>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</si>
  <si>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</si>
  <si>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</si>
  <si>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</si>
  <si>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</si>
  <si>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</si>
  <si>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</si>
  <si>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</si>
  <si>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</si>
  <si>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</si>
  <si>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</si>
  <si>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</si>
  <si>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</si>
  <si>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</si>
  <si>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</si>
  <si>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</si>
  <si>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</si>
  <si>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</si>
  <si>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</si>
  <si>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</si>
  <si>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</si>
  <si>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</si>
  <si>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</si>
  <si>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</si>
  <si>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</si>
  <si>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</si>
  <si>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</si>
  <si>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</si>
  <si>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</si>
  <si>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</si>
  <si>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</si>
  <si>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</si>
  <si>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</si>
  <si>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</si>
  <si>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</si>
  <si>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</si>
  <si>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</si>
  <si>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</si>
  <si>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</si>
  <si>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</si>
  <si>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</si>
  <si>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</si>
  <si>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</si>
  <si>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</si>
  <si>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</si>
  <si>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</si>
  <si>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</si>
  <si>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</si>
  <si>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</si>
  <si>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</si>
  <si>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</si>
  <si>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</si>
  <si>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</si>
  <si>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</si>
  <si>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</si>
  <si>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</si>
  <si>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</si>
  <si>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</si>
  <si>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</si>
  <si>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</si>
  <si>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</si>
  <si>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</si>
  <si>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</si>
  <si>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</si>
  <si>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</si>
  <si>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</si>
  <si>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</si>
  <si>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</si>
  <si>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</si>
  <si>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</si>
  <si>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</si>
  <si>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</si>
  <si>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</si>
  <si>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</si>
  <si>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</si>
  <si>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</si>
  <si>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</si>
  <si>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</si>
  <si>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</si>
  <si>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</si>
  <si>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</si>
  <si>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</si>
  <si>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</si>
  <si>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</si>
  <si>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</si>
  <si>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</si>
  <si>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</si>
  <si>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</si>
  <si>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</si>
  <si>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</si>
  <si>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</si>
  <si>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</si>
  <si>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</si>
  <si>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</si>
  <si>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</si>
  <si>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</si>
  <si>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</si>
  <si>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</si>
  <si>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</si>
  <si>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</si>
  <si>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</si>
  <si>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</si>
  <si>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</si>
  <si>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</si>
  <si>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</si>
  <si>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</si>
  <si>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</si>
  <si>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</si>
  <si>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</si>
  <si>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</si>
  <si>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</si>
  <si>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</si>
  <si>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</si>
  <si>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</si>
  <si>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</si>
  <si>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</si>
  <si>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</si>
  <si>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</si>
  <si>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</si>
  <si>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</si>
  <si>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</si>
  <si>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</si>
  <si>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</si>
  <si>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</si>
  <si>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</si>
  <si>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</si>
  <si>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</si>
  <si>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</si>
  <si>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</si>
  <si>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</si>
  <si>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</si>
  <si>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</si>
  <si>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</si>
  <si>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</si>
  <si>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</si>
  <si>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</si>
  <si>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</si>
  <si>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</si>
  <si>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</si>
  <si>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</si>
  <si>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</si>
  <si>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</si>
  <si>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</si>
  <si>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</si>
  <si>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</si>
  <si>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</si>
  <si>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</si>
  <si>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</si>
  <si>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</si>
  <si>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</si>
  <si>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</si>
  <si>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</si>
  <si>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</si>
  <si>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</si>
  <si>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</si>
  <si>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</si>
  <si>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</si>
  <si>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</si>
  <si>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</si>
  <si>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</si>
  <si>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</si>
  <si>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</si>
  <si>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</si>
  <si>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</si>
  <si>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</si>
  <si>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</si>
  <si>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</si>
  <si>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</si>
  <si>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</si>
  <si>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</si>
  <si>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</si>
  <si>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</si>
  <si>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</si>
  <si>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</si>
  <si>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</si>
  <si>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</si>
  <si>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</si>
  <si>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</si>
  <si>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</si>
  <si>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</si>
  <si>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</si>
  <si>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</si>
  <si>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</si>
  <si>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</si>
  <si>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</si>
  <si>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</si>
  <si>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</si>
  <si>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</si>
  <si>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</si>
  <si>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</si>
  <si>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</si>
  <si>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</si>
  <si>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</si>
  <si>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</si>
  <si>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</si>
  <si>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</si>
  <si>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</si>
  <si>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</si>
  <si>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</si>
  <si>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</si>
  <si>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</si>
  <si>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</si>
  <si>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</si>
  <si>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</si>
  <si>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</si>
  <si>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</si>
  <si>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</si>
  <si>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</si>
  <si>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</si>
  <si>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</si>
  <si>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</si>
  <si>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</si>
  <si>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</si>
  <si>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</si>
  <si>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</si>
  <si>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</si>
  <si>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</si>
  <si>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</si>
  <si>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</si>
  <si>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</si>
  <si>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</si>
  <si>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</si>
  <si>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</si>
  <si>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</si>
  <si>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</si>
  <si>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</si>
  <si>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</si>
  <si>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</si>
  <si>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</si>
  <si>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</si>
  <si>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</si>
  <si>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</si>
  <si>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</si>
  <si>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</si>
  <si>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</si>
  <si>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</si>
  <si>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</si>
  <si>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</si>
  <si>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</si>
  <si>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</si>
  <si>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</si>
  <si>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</si>
  <si>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</si>
  <si>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</si>
  <si>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</si>
  <si>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</si>
  <si>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</si>
  <si>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</si>
  <si>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</si>
  <si>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</si>
  <si>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</si>
  <si>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</si>
  <si>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</si>
  <si>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</si>
  <si>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</si>
  <si>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</si>
  <si>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</si>
  <si>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</si>
  <si>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</si>
  <si>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</si>
  <si>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</si>
  <si>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</si>
  <si>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</si>
  <si>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</si>
  <si>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</si>
  <si>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</si>
  <si>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</si>
  <si>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</si>
  <si>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</si>
  <si>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</si>
  <si>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</si>
  <si>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</si>
  <si>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</si>
  <si>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</si>
  <si>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</si>
  <si>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</si>
  <si>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</si>
  <si>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</si>
  <si>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</si>
  <si>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</si>
  <si>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</si>
  <si>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</si>
  <si>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</si>
  <si>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</si>
  <si>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</si>
  <si>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</si>
  <si>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</si>
  <si>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</si>
  <si>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</si>
  <si>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</si>
  <si>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</si>
  <si>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</si>
  <si>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</si>
  <si>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</si>
  <si>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</si>
  <si>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</si>
  <si>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</si>
  <si>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</si>
  <si>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</si>
  <si>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</si>
  <si>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</si>
  <si>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</si>
  <si>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</si>
  <si>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</si>
  <si>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</si>
  <si>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</si>
  <si>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</si>
  <si>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</si>
  <si>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</si>
  <si>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</si>
  <si>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</si>
  <si>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</si>
  <si>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</si>
  <si>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</si>
  <si>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</si>
  <si>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</si>
  <si>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</si>
  <si>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</si>
  <si>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</si>
  <si>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</si>
  <si>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</si>
  <si>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</si>
  <si>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</si>
  <si>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</si>
  <si>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</si>
  <si>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</si>
  <si>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</si>
  <si>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</si>
  <si>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</si>
  <si>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</si>
  <si>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</si>
  <si>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</si>
  <si>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</si>
  <si>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</si>
  <si>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</si>
  <si>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</si>
  <si>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</si>
  <si>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</si>
  <si>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</si>
  <si>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</si>
  <si>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</si>
  <si>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</si>
  <si>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</si>
  <si>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</si>
  <si>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</si>
  <si>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</si>
  <si>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</si>
  <si>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</si>
  <si>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</si>
  <si>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</si>
  <si>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</si>
  <si>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</si>
  <si>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</si>
  <si>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</si>
  <si>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</si>
  <si>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</si>
  <si>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</si>
  <si>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</si>
  <si>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</si>
  <si>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</si>
  <si>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</si>
  <si>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</si>
  <si>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</si>
  <si>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</si>
  <si>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</si>
  <si>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</si>
  <si>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</si>
  <si>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</si>
  <si>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</si>
  <si>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</si>
  <si>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</si>
  <si>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</si>
  <si>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</si>
  <si>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</si>
  <si>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</si>
  <si>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</si>
  <si>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</si>
  <si>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</si>
  <si>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</si>
  <si>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</si>
  <si>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</si>
  <si>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</si>
  <si>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</si>
  <si>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</si>
  <si>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</si>
  <si>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</si>
  <si>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</si>
  <si>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</si>
  <si>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</si>
  <si>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</si>
  <si>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</si>
  <si>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</si>
  <si>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</si>
  <si>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</si>
  <si>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</si>
  <si>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</si>
  <si>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</si>
  <si>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</si>
  <si>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</si>
  <si>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</si>
  <si>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</si>
  <si>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</si>
  <si>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</si>
  <si>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</si>
  <si>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</si>
  <si>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</si>
  <si>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</si>
  <si>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</si>
  <si>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</si>
  <si>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</si>
  <si>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</si>
  <si>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</si>
  <si>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</si>
  <si>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</si>
  <si>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</si>
  <si>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</si>
  <si>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</si>
  <si>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</si>
  <si>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</si>
  <si>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</si>
  <si>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</si>
  <si>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</si>
  <si>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</si>
  <si>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</si>
  <si>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</si>
  <si>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</si>
  <si>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</si>
  <si>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</si>
  <si>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</si>
  <si>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</si>
  <si>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</si>
  <si>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</si>
  <si>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</si>
  <si>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</si>
  <si>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</si>
  <si>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</si>
  <si>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</si>
  <si>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</si>
  <si>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</si>
  <si>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</si>
  <si>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</si>
  <si>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</si>
  <si>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</si>
  <si>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</si>
  <si>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</si>
  <si>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</si>
  <si>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</si>
  <si>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</si>
  <si>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</si>
  <si>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</si>
  <si>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</si>
  <si>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</si>
  <si>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</si>
  <si>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</si>
  <si>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</si>
  <si>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</si>
  <si>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</si>
  <si>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</si>
  <si>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</si>
  <si>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</si>
  <si>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</si>
  <si>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</si>
  <si>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</si>
  <si>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</si>
  <si>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</si>
  <si>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</si>
  <si>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</si>
  <si>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</si>
  <si>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</si>
  <si>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</si>
  <si>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</si>
  <si>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</si>
  <si>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</si>
  <si>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</si>
  <si>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</si>
  <si>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</si>
  <si>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</si>
  <si>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</si>
  <si>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</si>
  <si>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</si>
  <si>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</si>
  <si>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</si>
  <si>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</si>
  <si>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</si>
  <si>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</si>
  <si>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</si>
  <si>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</si>
  <si>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</si>
  <si>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</si>
  <si>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</si>
  <si>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</si>
  <si>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</si>
  <si>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</si>
  <si>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</si>
  <si>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</si>
  <si>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</si>
  <si>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</si>
  <si>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</si>
  <si>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</si>
  <si>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</si>
  <si>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</si>
  <si>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</si>
  <si>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</si>
  <si>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</si>
  <si>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</si>
  <si>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</si>
  <si>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</si>
  <si>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</si>
  <si>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</si>
  <si>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</si>
  <si>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</si>
  <si>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</si>
  <si>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</si>
  <si>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</si>
  <si>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</si>
  <si>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</si>
  <si>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</si>
  <si>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</si>
  <si>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</si>
  <si>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</si>
  <si>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</si>
  <si>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</si>
  <si>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</si>
  <si>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</si>
  <si>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</si>
  <si>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</si>
  <si>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</si>
  <si>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</si>
  <si>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</si>
  <si>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</si>
  <si>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</si>
  <si>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</si>
  <si>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</si>
  <si>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</si>
  <si>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</si>
  <si>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</si>
  <si>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</si>
  <si>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</si>
  <si>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</si>
  <si>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</si>
  <si>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</si>
  <si>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</si>
  <si>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</si>
  <si>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</si>
  <si>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</si>
  <si>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</si>
  <si>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</si>
  <si>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</si>
  <si>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</si>
  <si>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</si>
  <si>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</si>
  <si>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</si>
  <si>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</si>
  <si>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</si>
  <si>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</si>
  <si>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</si>
  <si>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</si>
  <si>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</si>
  <si>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</si>
  <si>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</si>
  <si>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</si>
  <si>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</si>
  <si>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</si>
  <si>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</si>
  <si>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</si>
  <si>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</si>
  <si>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</si>
  <si>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</si>
  <si>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</si>
  <si>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</si>
  <si>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</si>
  <si>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</si>
  <si>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</si>
  <si>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</si>
  <si>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</si>
  <si>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</si>
  <si>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</si>
  <si>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</si>
  <si>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</si>
  <si>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</si>
  <si>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</si>
  <si>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</si>
  <si>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</si>
  <si>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</si>
  <si>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</si>
  <si>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</si>
  <si>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</si>
  <si>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</si>
  <si>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</si>
  <si>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</si>
  <si>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</si>
  <si>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</si>
  <si>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</si>
  <si>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</si>
  <si>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</si>
  <si>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</si>
  <si>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</si>
  <si>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</si>
  <si>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</si>
  <si>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</si>
  <si>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</si>
  <si>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</si>
  <si>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</si>
  <si>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</si>
  <si>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</si>
  <si>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</si>
  <si>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</si>
  <si>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</si>
  <si>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</si>
  <si>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</si>
  <si>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</si>
  <si>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</si>
  <si>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</si>
  <si>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</si>
  <si>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</si>
  <si>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</si>
  <si>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</si>
  <si>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</si>
  <si>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</si>
  <si>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</si>
  <si>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</si>
  <si>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</si>
  <si>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</si>
  <si>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</si>
  <si>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</si>
  <si>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</si>
  <si>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</si>
  <si>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</si>
  <si>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</si>
  <si>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</si>
  <si>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</si>
  <si>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</si>
  <si>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</si>
  <si>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</si>
  <si>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</si>
  <si>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</si>
  <si>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</si>
  <si>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</si>
  <si>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</si>
  <si>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</si>
  <si>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</si>
  <si>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</si>
  <si>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</si>
  <si>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</si>
  <si>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</si>
  <si>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</si>
  <si>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</si>
  <si>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</si>
  <si>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</si>
  <si>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</si>
  <si>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</si>
  <si>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</si>
  <si>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</si>
  <si>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</si>
  <si>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</si>
  <si>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</si>
  <si>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</si>
  <si>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</si>
  <si>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</si>
  <si>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</si>
  <si>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</si>
  <si>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</si>
  <si>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</si>
  <si>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</si>
  <si>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</si>
  <si>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</si>
  <si>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</si>
  <si>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</si>
  <si>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</si>
  <si>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</si>
  <si>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</si>
  <si>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</si>
  <si>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</si>
  <si>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</si>
  <si>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</si>
  <si>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</si>
  <si>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</si>
  <si>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</si>
  <si>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</si>
  <si>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</si>
  <si>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</si>
  <si>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</si>
  <si>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</si>
  <si>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</si>
  <si>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</si>
  <si>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</si>
  <si>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</si>
  <si>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</si>
  <si>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</si>
  <si>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</si>
  <si>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</si>
  <si>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</si>
  <si>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</si>
  <si>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</si>
  <si>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</si>
  <si>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</si>
  <si>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</si>
  <si>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</si>
  <si>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</si>
  <si>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</si>
  <si>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</si>
  <si>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</si>
  <si>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</si>
  <si>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</si>
  <si>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</si>
  <si>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</si>
  <si>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</si>
  <si>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</si>
  <si>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</si>
  <si>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</si>
  <si>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</si>
  <si>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</si>
  <si>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</si>
  <si>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</si>
  <si>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</si>
  <si>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</si>
  <si>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</si>
  <si>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</si>
  <si>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</si>
  <si>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</si>
  <si>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</si>
  <si>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</si>
  <si>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</si>
  <si>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</si>
  <si>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</si>
  <si>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</si>
  <si>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</si>
  <si>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</si>
  <si>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</si>
  <si>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</si>
  <si>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</si>
  <si>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</si>
  <si>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</si>
  <si>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</si>
  <si>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</si>
  <si>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</si>
  <si>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</si>
  <si>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</si>
  <si>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</si>
  <si>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</si>
  <si>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</si>
  <si>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</si>
  <si>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</si>
  <si>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</si>
  <si>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</si>
  <si>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</si>
  <si>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</si>
  <si>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</si>
  <si>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</si>
  <si>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</si>
  <si>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</si>
  <si>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</si>
  <si>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</si>
  <si>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</si>
  <si>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</si>
  <si>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</si>
  <si>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</si>
  <si>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</si>
  <si>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</si>
  <si>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</si>
  <si>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</si>
  <si>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</si>
  <si>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</si>
  <si>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</si>
  <si>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</si>
  <si>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</si>
  <si>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</si>
  <si>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</si>
  <si>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</si>
  <si>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</si>
  <si>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</si>
  <si>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</si>
  <si>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</si>
  <si>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</si>
  <si>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</si>
  <si>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</si>
  <si>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</si>
  <si>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</si>
  <si>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</si>
  <si>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</si>
  <si>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</si>
  <si>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</si>
  <si>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</si>
  <si>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</si>
  <si>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</si>
  <si>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</si>
  <si>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</si>
  <si>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</si>
  <si>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</si>
  <si>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</si>
  <si>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</si>
  <si>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</si>
  <si>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</si>
  <si>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</si>
  <si>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</si>
  <si>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</si>
  <si>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</si>
  <si>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</si>
  <si>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</si>
  <si>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</si>
  <si>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</si>
  <si>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</si>
  <si>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</si>
  <si>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</si>
  <si>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</si>
  <si>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</si>
  <si>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</si>
  <si>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</si>
  <si>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</si>
  <si>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</si>
  <si>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</si>
  <si>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</si>
  <si>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</si>
  <si>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</si>
  <si>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</si>
  <si>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</si>
  <si>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</si>
  <si>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</si>
  <si>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</si>
  <si>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</si>
  <si>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</si>
  <si>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</si>
  <si>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</si>
  <si>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</si>
  <si>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</si>
  <si>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</si>
  <si>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</si>
  <si>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</si>
  <si>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</si>
  <si>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</si>
  <si>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</si>
  <si>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</si>
  <si>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</si>
  <si>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</si>
  <si>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</si>
  <si>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</si>
  <si>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</si>
  <si>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</si>
  <si>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</si>
  <si>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</si>
  <si>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</si>
  <si>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</si>
  <si>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</si>
  <si>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</si>
  <si>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</si>
  <si>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</si>
  <si>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</si>
  <si>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</si>
  <si>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</si>
  <si>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</si>
  <si>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</si>
  <si>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</si>
  <si>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</si>
  <si>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</si>
  <si>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</si>
  <si>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</si>
  <si>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</si>
  <si>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</si>
  <si>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</si>
  <si>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</si>
  <si>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</si>
  <si>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</si>
  <si>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</si>
  <si>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</si>
  <si>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</si>
  <si>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</si>
  <si>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</si>
  <si>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</si>
  <si>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</si>
  <si>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</si>
  <si>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</si>
  <si>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</si>
  <si>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</si>
  <si>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</si>
  <si>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</si>
  <si>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</si>
  <si>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</si>
  <si>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</si>
  <si>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</si>
  <si>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</si>
  <si>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</si>
  <si>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</si>
  <si>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</si>
  <si>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</si>
  <si>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</si>
  <si>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</si>
  <si>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</si>
  <si>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</si>
  <si>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</si>
  <si>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</si>
  <si>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</si>
  <si>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</si>
  <si>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</si>
  <si>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</si>
  <si>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</si>
  <si>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</si>
  <si>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</si>
  <si>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</si>
  <si>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</si>
  <si>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</si>
  <si>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</si>
  <si>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</si>
  <si>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</si>
  <si>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</si>
  <si>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</si>
  <si>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</si>
  <si>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</si>
  <si>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</si>
  <si>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</si>
  <si>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</si>
  <si>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</si>
  <si>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</si>
  <si>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</si>
  <si>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</si>
  <si>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</si>
  <si>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</si>
  <si>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</si>
  <si>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</si>
  <si>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</si>
  <si>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</si>
  <si>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</si>
  <si>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</si>
  <si>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</si>
  <si>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</si>
  <si>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</si>
  <si>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</si>
  <si>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</si>
  <si>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</si>
  <si>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</si>
  <si>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</si>
  <si>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</si>
  <si>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</si>
  <si>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</si>
  <si>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</si>
  <si>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</si>
  <si>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</si>
  <si>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</si>
  <si>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</si>
  <si>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</si>
  <si>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</si>
  <si>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</si>
  <si>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</si>
  <si>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</si>
  <si>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</si>
  <si>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</si>
  <si>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</si>
  <si>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</si>
  <si>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</si>
  <si>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</si>
  <si>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</si>
  <si>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</si>
  <si>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</si>
  <si>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</si>
  <si>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</si>
  <si>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</si>
  <si>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</si>
  <si>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</si>
  <si>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</si>
  <si>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</si>
  <si>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</si>
  <si>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</si>
  <si>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</si>
  <si>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</si>
  <si>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</si>
  <si>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</si>
  <si>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</si>
  <si>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</si>
  <si>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</si>
  <si>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</si>
  <si>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</si>
  <si>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</si>
  <si>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</si>
  <si>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</si>
  <si>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</si>
  <si>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</si>
  <si>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</si>
  <si>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</si>
  <si>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</si>
  <si>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</si>
  <si>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</si>
  <si>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</si>
  <si>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</si>
  <si>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</si>
  <si>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</si>
  <si>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</si>
  <si>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</si>
  <si>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</si>
  <si>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</si>
  <si>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</si>
  <si>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</si>
  <si>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</si>
  <si>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</si>
  <si>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</si>
  <si>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</si>
  <si>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</si>
  <si>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</si>
  <si>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</si>
  <si>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</si>
  <si>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</si>
  <si>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</si>
  <si>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</si>
  <si>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</si>
  <si>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</si>
  <si>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</si>
  <si>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</si>
  <si>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</si>
  <si>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</si>
  <si>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</si>
  <si>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</si>
  <si>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</si>
  <si>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</si>
  <si>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</si>
  <si>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</si>
  <si>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</si>
  <si>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</si>
  <si>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</si>
  <si>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</si>
  <si>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</si>
  <si>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</si>
  <si>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</si>
  <si>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</si>
  <si>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</si>
  <si>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</si>
  <si>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</si>
  <si>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</si>
  <si>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</si>
  <si>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</si>
  <si>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</si>
  <si>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</si>
  <si>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</si>
  <si>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</si>
  <si>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</si>
  <si>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</si>
  <si>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</si>
  <si>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</si>
  <si>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</si>
  <si>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</si>
  <si>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</si>
  <si>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</si>
  <si>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</si>
  <si>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</si>
  <si>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</si>
  <si>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</si>
  <si>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</si>
  <si>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</si>
  <si>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</si>
  <si>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</si>
  <si>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</si>
  <si>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</si>
  <si>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</si>
  <si>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</si>
  <si>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</si>
  <si>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</si>
  <si>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</si>
  <si>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</si>
  <si>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</si>
  <si>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</si>
  <si>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</si>
  <si>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</si>
  <si>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</si>
  <si>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</si>
  <si>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</si>
  <si>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</si>
  <si>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</si>
  <si>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</si>
  <si>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</si>
  <si>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</si>
  <si>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</si>
  <si>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</si>
  <si>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</si>
  <si>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</si>
  <si>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</si>
  <si>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</si>
  <si>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</si>
  <si>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</si>
  <si>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</si>
  <si>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</si>
  <si>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</si>
  <si>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</si>
  <si>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</si>
  <si>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</si>
  <si>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</si>
  <si>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</si>
  <si>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</si>
  <si>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</si>
  <si>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</si>
  <si>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</si>
  <si>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</si>
  <si>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</si>
  <si>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</si>
  <si>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</si>
  <si>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</si>
  <si>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</si>
  <si>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</si>
  <si>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</si>
  <si>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</si>
  <si>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</si>
  <si>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</si>
  <si>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</si>
  <si>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</si>
  <si>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</si>
  <si>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</si>
  <si>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</si>
  <si>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</si>
  <si>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</si>
  <si>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</si>
  <si>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</si>
  <si>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</si>
  <si>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</si>
  <si>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</si>
  <si>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</si>
  <si>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</si>
  <si>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</si>
  <si>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</si>
  <si>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</si>
  <si>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</si>
  <si>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</si>
  <si>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</si>
  <si>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</si>
  <si>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</si>
  <si>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</si>
  <si>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</si>
  <si>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</si>
  <si>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</si>
  <si>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</si>
  <si>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</si>
  <si>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</si>
  <si>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</si>
  <si>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</si>
  <si>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</si>
  <si>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</si>
  <si>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</si>
  <si>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</si>
  <si>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</si>
  <si>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</si>
  <si>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</si>
  <si>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</si>
  <si>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</si>
  <si>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</si>
  <si>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</si>
  <si>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</si>
  <si>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</si>
  <si>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</si>
  <si>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</si>
  <si>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</si>
  <si>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</si>
  <si>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</si>
  <si>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</si>
  <si>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</si>
  <si>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</si>
  <si>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</si>
  <si>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</si>
  <si>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</si>
  <si>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</si>
  <si>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</si>
  <si>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</si>
  <si>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</si>
  <si>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</si>
  <si>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</si>
  <si>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</si>
  <si>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</si>
  <si>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</si>
  <si>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</si>
  <si>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</si>
  <si>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</si>
  <si>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</si>
  <si>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</si>
  <si>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</si>
  <si>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</si>
  <si>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</si>
  <si>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</si>
  <si>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</si>
  <si>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</si>
  <si>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</si>
  <si>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</si>
  <si>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</si>
  <si>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</si>
  <si>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</si>
  <si>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</si>
  <si>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</si>
  <si>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</si>
  <si>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</si>
  <si>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</si>
  <si>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</si>
  <si>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</si>
  <si>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</si>
  <si>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</si>
  <si>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</si>
  <si>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</si>
  <si>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</si>
  <si>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</si>
  <si>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</si>
  <si>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</si>
  <si>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</si>
  <si>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</si>
  <si>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</si>
  <si>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</si>
  <si>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</si>
  <si>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</si>
  <si>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</si>
  <si>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</si>
  <si>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</si>
  <si>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</si>
  <si>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</si>
  <si>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</si>
  <si>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</si>
  <si>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</si>
  <si>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</si>
  <si>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</si>
  <si>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</si>
  <si>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</si>
  <si>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</si>
  <si>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</si>
  <si>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</si>
  <si>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</si>
  <si>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</si>
  <si>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</si>
  <si>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</si>
  <si>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</si>
  <si>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</si>
  <si>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</si>
  <si>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</si>
  <si>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</si>
  <si>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</si>
  <si>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</si>
  <si>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</si>
  <si>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</si>
  <si>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</si>
  <si>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</si>
  <si>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</si>
  <si>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</si>
  <si>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</si>
  <si>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</si>
  <si>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</si>
  <si>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</si>
  <si>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</si>
  <si>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</si>
  <si>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</si>
  <si>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</si>
  <si>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</si>
  <si>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</si>
  <si>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</si>
  <si>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</si>
  <si>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</si>
  <si>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</si>
  <si>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</si>
  <si>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</si>
  <si>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</si>
  <si>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</si>
  <si>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</si>
  <si>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</si>
  <si>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</si>
  <si>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</si>
  <si>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</si>
  <si>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</si>
  <si>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</si>
  <si>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</si>
  <si>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</si>
  <si>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</si>
  <si>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</si>
  <si>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</si>
  <si>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</si>
  <si>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</si>
  <si>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</si>
  <si>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</si>
  <si>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</si>
  <si>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</si>
  <si>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</si>
  <si>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</si>
  <si>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</si>
  <si>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</si>
  <si>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</si>
  <si>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</si>
  <si>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</si>
  <si>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</si>
  <si>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</si>
  <si>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</si>
  <si>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</si>
  <si>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</si>
  <si>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</si>
  <si>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</si>
  <si>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</si>
  <si>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</si>
  <si>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</si>
  <si>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</si>
  <si>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</si>
  <si>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</si>
  <si>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</si>
  <si>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</si>
  <si>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</si>
  <si>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</si>
  <si>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</si>
  <si>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</si>
  <si>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</si>
  <si>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</si>
  <si>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</si>
  <si>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</si>
  <si>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</si>
  <si>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</si>
  <si>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</si>
  <si>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</si>
  <si>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</si>
  <si>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</si>
  <si>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</si>
  <si>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</si>
  <si>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</si>
  <si>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</si>
  <si>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</si>
  <si>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</si>
  <si>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</si>
  <si>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</si>
  <si>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</si>
  <si>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</si>
  <si>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</si>
  <si>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</si>
  <si>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</si>
  <si>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</si>
  <si>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</si>
  <si>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</si>
  <si>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</si>
  <si>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</si>
  <si>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</si>
  <si>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</si>
  <si>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</si>
  <si>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</si>
  <si>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</si>
  <si>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</si>
  <si>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</si>
  <si>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</si>
  <si>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</si>
  <si>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</si>
  <si>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</si>
  <si>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</si>
  <si>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</si>
  <si>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</si>
  <si>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</si>
  <si>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</si>
  <si>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</si>
  <si>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</si>
  <si>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</si>
  <si>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</si>
  <si>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</si>
  <si>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</si>
  <si>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</si>
  <si>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</si>
  <si>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</si>
  <si>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</si>
  <si>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</si>
  <si>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</si>
  <si>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</si>
  <si>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</si>
  <si>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</si>
  <si>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</si>
  <si>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</si>
  <si>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</si>
  <si>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</si>
  <si>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</si>
  <si>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</si>
  <si>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</si>
  <si>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</si>
  <si>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</si>
  <si>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</si>
  <si>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</si>
  <si>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</si>
  <si>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</si>
  <si>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</si>
  <si>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</si>
  <si>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</si>
  <si>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</si>
  <si>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</si>
  <si>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</si>
  <si>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</si>
  <si>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</si>
  <si>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</si>
  <si>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</si>
  <si>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</si>
  <si>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</si>
  <si>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</si>
  <si>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</si>
  <si>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</si>
  <si>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</si>
  <si>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</si>
  <si>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</si>
  <si>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</si>
  <si>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</si>
  <si>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</si>
  <si>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</si>
  <si>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</si>
  <si>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</si>
  <si>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</si>
  <si>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</si>
  <si>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</si>
  <si>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</si>
  <si>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</si>
  <si>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</si>
  <si>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</si>
  <si>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</si>
  <si>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</si>
  <si>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</si>
  <si>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</si>
  <si>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</si>
  <si>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</si>
  <si>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</si>
  <si>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</si>
  <si>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</si>
  <si>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</si>
  <si>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</si>
  <si>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</si>
  <si>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</si>
  <si>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</si>
  <si>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</si>
  <si>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</si>
  <si>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</si>
  <si>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</si>
  <si>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</si>
  <si>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</si>
  <si>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</si>
  <si>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</si>
  <si>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</si>
  <si>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</si>
  <si>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</si>
  <si>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</si>
  <si>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</si>
  <si>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</si>
  <si>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</si>
  <si>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</si>
  <si>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</si>
  <si>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</si>
  <si>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</si>
  <si>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</si>
  <si>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</si>
  <si>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</si>
  <si>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</si>
  <si>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</si>
  <si>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</si>
  <si>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</si>
  <si>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</si>
  <si>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</si>
  <si>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</si>
  <si>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</si>
  <si>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</si>
  <si>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</si>
  <si>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</si>
  <si>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</si>
  <si>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</si>
  <si>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</si>
  <si>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</si>
  <si>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</si>
  <si>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</si>
  <si>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</si>
  <si>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</si>
  <si>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</si>
  <si>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</si>
  <si>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</si>
  <si>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</si>
  <si>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</si>
  <si>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</si>
  <si>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</si>
  <si>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</si>
  <si>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</si>
  <si>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</si>
  <si>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</si>
  <si>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</si>
  <si>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</si>
  <si>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</si>
  <si>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</si>
  <si>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</si>
  <si>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</si>
  <si>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</si>
  <si>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</si>
  <si>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</si>
  <si>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</si>
  <si>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</si>
  <si>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</si>
  <si>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</si>
  <si>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</si>
  <si>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</si>
  <si>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</si>
  <si>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</si>
  <si>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</si>
  <si>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</si>
  <si>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</si>
  <si>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</si>
  <si>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</si>
  <si>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</si>
  <si>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</si>
  <si>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</si>
  <si>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</si>
  <si>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</si>
  <si>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</si>
  <si>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</si>
  <si>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</si>
  <si>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</si>
  <si>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</si>
  <si>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</si>
  <si>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</si>
  <si>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</si>
  <si>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</si>
  <si>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</si>
  <si>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</si>
  <si>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</si>
  <si>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</si>
  <si>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</si>
  <si>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</si>
  <si>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</si>
  <si>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</si>
  <si>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</si>
  <si>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</si>
  <si>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</si>
  <si>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</si>
  <si>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</si>
  <si>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</si>
  <si>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</si>
  <si>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</si>
  <si>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</si>
  <si>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</si>
  <si>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</si>
  <si>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</si>
  <si>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</si>
  <si>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</si>
  <si>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</si>
  <si>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</si>
  <si>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</si>
  <si>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</si>
  <si>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</si>
  <si>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</si>
  <si>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</si>
  <si>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</si>
  <si>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</si>
  <si>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</si>
  <si>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</si>
  <si>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</si>
  <si>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</si>
  <si>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</si>
  <si>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</si>
  <si>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</si>
  <si>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</si>
  <si>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</si>
  <si>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</si>
  <si>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</si>
  <si>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</si>
  <si>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</si>
  <si>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</si>
  <si>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</si>
  <si>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</si>
  <si>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</si>
  <si>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</si>
  <si>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</si>
  <si>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</si>
  <si>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</si>
  <si>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</si>
  <si>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</si>
  <si>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</si>
  <si>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</si>
  <si>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</si>
  <si>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</si>
  <si>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</si>
  <si>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</si>
  <si>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</si>
  <si>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</si>
  <si>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</si>
  <si>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</si>
  <si>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</si>
  <si>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</si>
  <si>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</si>
  <si>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</si>
  <si>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</si>
  <si>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</si>
  <si>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</si>
  <si>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</si>
  <si>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</si>
  <si>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</si>
  <si>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</si>
  <si>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</si>
  <si>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</si>
  <si>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</si>
  <si>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</si>
  <si>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</si>
  <si>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</si>
  <si>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</si>
  <si>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</si>
  <si>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</si>
  <si>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</si>
  <si>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</si>
  <si>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</si>
  <si>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</si>
  <si>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</si>
  <si>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</si>
  <si>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</si>
  <si>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</si>
  <si>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</si>
  <si>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</si>
  <si>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</si>
  <si>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</si>
  <si>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</si>
  <si>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</si>
  <si>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</si>
  <si>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</si>
  <si>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</si>
  <si>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</si>
  <si>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</si>
  <si>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</si>
  <si>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</si>
  <si>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</si>
  <si>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</si>
  <si>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</si>
  <si>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</si>
  <si>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</si>
  <si>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</si>
  <si>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</si>
  <si>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</si>
  <si>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</si>
  <si>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</si>
  <si>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</si>
  <si>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</si>
  <si>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</si>
  <si>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</si>
  <si>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</si>
  <si>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</si>
  <si>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</si>
  <si>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</si>
  <si>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</si>
  <si>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</si>
  <si>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</si>
  <si>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</si>
  <si>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</si>
  <si>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</si>
  <si>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</si>
  <si>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</si>
  <si>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</si>
  <si>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</si>
  <si>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</si>
  <si>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</si>
  <si>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</si>
  <si>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</si>
  <si>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</si>
  <si>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</si>
  <si>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</si>
  <si>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</si>
  <si>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</si>
  <si>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</si>
  <si>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</si>
  <si>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</si>
  <si>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</si>
  <si>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</si>
  <si>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</si>
  <si>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</si>
  <si>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</si>
  <si>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</si>
  <si>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</si>
  <si>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</si>
  <si>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</si>
  <si>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</si>
  <si>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</si>
  <si>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</si>
  <si>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</si>
  <si>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</si>
  <si>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</si>
  <si>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</si>
  <si>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</si>
  <si>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</si>
  <si>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</si>
  <si>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</si>
  <si>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</si>
  <si>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</si>
  <si>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</si>
  <si>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</si>
  <si>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</si>
  <si>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</si>
  <si>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</si>
  <si>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</si>
  <si>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</si>
  <si>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</si>
  <si>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</si>
  <si>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</si>
  <si>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</si>
  <si>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</si>
  <si>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</si>
  <si>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</si>
  <si>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</si>
  <si>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</si>
  <si>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</si>
  <si>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</si>
  <si>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</si>
  <si>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</si>
  <si>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</si>
  <si>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</si>
  <si>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</si>
  <si>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</si>
  <si>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</si>
  <si>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</si>
  <si>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</si>
  <si>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</si>
  <si>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</si>
  <si>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</si>
  <si>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</si>
  <si>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</si>
  <si>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</si>
  <si>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</si>
  <si>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</si>
  <si>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</si>
  <si>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</si>
  <si>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</si>
  <si>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</si>
  <si>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</si>
  <si>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</si>
  <si>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</si>
  <si>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</si>
  <si>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</si>
  <si>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</si>
  <si>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</si>
  <si>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</si>
  <si>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</si>
  <si>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</si>
  <si>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</si>
  <si>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</si>
  <si>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</si>
  <si>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</si>
  <si>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</si>
  <si>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</si>
  <si>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</si>
  <si>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</si>
  <si>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</si>
  <si>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</si>
  <si>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</si>
  <si>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</si>
  <si>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</si>
  <si>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</si>
  <si>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</si>
  <si>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</si>
  <si>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</si>
  <si>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</si>
  <si>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</si>
  <si>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</si>
  <si>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</si>
  <si>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</si>
  <si>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</si>
  <si>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</si>
  <si>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</si>
  <si>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</si>
  <si>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</si>
  <si>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</si>
  <si>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</si>
  <si>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</si>
  <si>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</si>
  <si>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</si>
  <si>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</si>
  <si>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</si>
  <si>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</si>
  <si>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</si>
  <si>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</si>
  <si>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</si>
  <si>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</si>
  <si>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</si>
  <si>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</si>
  <si>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</si>
  <si>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</si>
  <si>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</si>
  <si>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</si>
  <si>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</si>
  <si>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</si>
  <si>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</si>
  <si>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</si>
  <si>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</si>
  <si>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</si>
  <si>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</si>
  <si>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</si>
  <si>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</si>
  <si>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</si>
  <si>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</si>
  <si>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</si>
  <si>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</si>
  <si>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</si>
  <si>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</si>
  <si>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</si>
  <si>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</si>
  <si>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</si>
  <si>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</si>
  <si>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</si>
  <si>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</si>
  <si>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</si>
  <si>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</si>
  <si>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</si>
  <si>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</si>
  <si>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</si>
  <si>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</si>
  <si>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</si>
  <si>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</si>
  <si>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</si>
  <si>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</si>
  <si>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</si>
  <si>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</si>
  <si>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</si>
  <si>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</si>
  <si>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</si>
  <si>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</si>
  <si>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</si>
  <si>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</si>
  <si>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</si>
  <si>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</si>
  <si>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</si>
  <si>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</si>
  <si>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</si>
  <si>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</si>
  <si>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</si>
  <si>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</si>
  <si>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</si>
  <si>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</si>
  <si>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</si>
  <si>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</si>
  <si>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</si>
  <si>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</si>
  <si>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</si>
  <si>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</si>
  <si>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</si>
  <si>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</si>
  <si>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</si>
  <si>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</si>
  <si>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</si>
  <si>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</si>
  <si>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</si>
  <si>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</si>
  <si>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</si>
  <si>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</si>
  <si>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</si>
  <si>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</si>
  <si>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</si>
  <si>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</si>
  <si>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</si>
  <si>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</si>
  <si>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</si>
  <si>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</si>
  <si>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</si>
  <si>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</si>
  <si>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</si>
  <si>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</si>
  <si>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</si>
  <si>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</si>
  <si>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</si>
  <si>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</si>
  <si>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</si>
  <si>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</si>
  <si>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</si>
  <si>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</si>
  <si>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</si>
  <si>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</si>
  <si>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</si>
  <si>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</si>
  <si>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</si>
  <si>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</si>
  <si>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</si>
  <si>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</si>
  <si>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</si>
  <si>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</si>
  <si>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</si>
  <si>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</si>
  <si>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</si>
  <si>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</si>
  <si>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</si>
  <si>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</si>
  <si>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</si>
  <si>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</si>
  <si>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</si>
  <si>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</si>
  <si>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</si>
  <si>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</si>
  <si>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</si>
  <si>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</si>
  <si>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</si>
  <si>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</si>
  <si>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</si>
  <si>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</si>
  <si>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</si>
  <si>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</si>
  <si>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</si>
  <si>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</si>
  <si>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</si>
  <si>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</si>
  <si>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</si>
  <si>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</si>
  <si>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</si>
  <si>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</si>
  <si>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</si>
  <si>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</si>
  <si>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</si>
  <si>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</si>
  <si>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</si>
  <si>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</si>
  <si>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</si>
  <si>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</si>
  <si>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</si>
  <si>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</si>
  <si>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</si>
  <si>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</si>
  <si>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</si>
  <si>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</si>
  <si>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</si>
  <si>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</si>
  <si>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</si>
  <si>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</si>
  <si>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</si>
  <si>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</si>
  <si>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</si>
  <si>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</si>
  <si>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</si>
  <si>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</si>
  <si>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</si>
  <si>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</si>
  <si>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</si>
  <si>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</si>
  <si>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</si>
  <si>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</si>
  <si>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</si>
  <si>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</si>
  <si>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</si>
  <si>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</si>
  <si>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</si>
  <si>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</si>
  <si>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</si>
  <si>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</si>
  <si>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</si>
  <si>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</si>
  <si>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</si>
  <si>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</si>
  <si>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</si>
  <si>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</si>
  <si>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</si>
  <si>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</si>
  <si>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</si>
  <si>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</si>
  <si>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</si>
  <si>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</si>
  <si>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</si>
  <si>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</si>
  <si>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</si>
  <si>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</si>
  <si>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</si>
  <si>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</si>
  <si>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</si>
  <si>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</si>
  <si>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</si>
  <si>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</si>
  <si>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</si>
  <si>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</si>
  <si>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</si>
  <si>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</si>
  <si>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</si>
  <si>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</si>
  <si>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</si>
  <si>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</si>
  <si>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</si>
  <si>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</si>
  <si>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</si>
  <si>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</si>
  <si>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</si>
  <si>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</si>
  <si>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</si>
  <si>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</si>
  <si>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</si>
  <si>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</si>
  <si>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</si>
  <si>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</si>
  <si>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</si>
  <si>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</si>
  <si>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</si>
  <si>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</si>
  <si>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</si>
  <si>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</si>
  <si>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</si>
  <si>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</si>
  <si>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</si>
  <si>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</si>
  <si>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</si>
  <si>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</si>
  <si>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</si>
  <si>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</si>
  <si>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</si>
  <si>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</si>
  <si>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</si>
  <si>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</si>
  <si>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</si>
  <si>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</si>
  <si>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</si>
  <si>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</si>
  <si>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</si>
  <si>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</si>
  <si>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</si>
  <si>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</si>
  <si>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</si>
  <si>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</si>
  <si>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</si>
  <si>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</si>
  <si>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</si>
  <si>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</si>
  <si>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</si>
  <si>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</si>
  <si>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</si>
  <si>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</si>
  <si>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</si>
  <si>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</si>
  <si>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</si>
  <si>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</si>
  <si>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</si>
  <si>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</si>
  <si>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</si>
  <si>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</si>
  <si>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</si>
  <si>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</si>
  <si>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</si>
  <si>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</si>
  <si>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</si>
  <si>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</si>
  <si>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</si>
  <si>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</si>
  <si>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</si>
  <si>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</si>
  <si>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</si>
  <si>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</si>
  <si>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</si>
  <si>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</si>
  <si>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</si>
  <si>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</si>
  <si>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</si>
  <si>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</si>
  <si>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</si>
  <si>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</si>
  <si>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</si>
  <si>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</si>
  <si>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</si>
  <si>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</si>
  <si>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</si>
  <si>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</si>
  <si>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</si>
  <si>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</si>
  <si>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</si>
  <si>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</si>
  <si>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</si>
  <si>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</si>
  <si>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</si>
  <si>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</si>
  <si>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</si>
  <si>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</si>
  <si>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</si>
  <si>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</si>
  <si>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</si>
  <si>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</si>
  <si>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</si>
  <si>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</si>
  <si>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</si>
  <si>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</si>
  <si>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</si>
  <si>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</si>
  <si>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</si>
  <si>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</si>
  <si>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</si>
  <si>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</si>
  <si>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</si>
  <si>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</si>
  <si>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</si>
  <si>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</si>
  <si>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</si>
  <si>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</si>
  <si>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</si>
  <si>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</si>
  <si>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</si>
  <si>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</si>
  <si>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</si>
  <si>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</si>
  <si>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</si>
  <si>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</si>
  <si>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</si>
  <si>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</si>
  <si>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</si>
  <si>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</si>
  <si>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</si>
  <si>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</si>
  <si>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</si>
  <si>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</si>
  <si>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</si>
  <si>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</si>
  <si>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</si>
  <si>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</si>
  <si>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</si>
  <si>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</si>
  <si>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</si>
  <si>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</si>
  <si>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</si>
  <si>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</si>
  <si>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</si>
  <si>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</si>
  <si>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</si>
  <si>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</si>
  <si>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</si>
  <si>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</si>
  <si>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</si>
  <si>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</si>
  <si>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</si>
  <si>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</si>
  <si>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</si>
  <si>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</si>
  <si>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</si>
  <si>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</si>
  <si>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</si>
  <si>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</si>
  <si>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</si>
  <si>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</si>
  <si>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</si>
  <si>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</si>
  <si>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</si>
  <si>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</si>
  <si>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</si>
  <si>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</si>
  <si>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</si>
  <si>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</si>
  <si>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</si>
  <si>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</si>
  <si>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</si>
  <si>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</si>
  <si>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</si>
  <si>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</si>
  <si>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</si>
  <si>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</si>
  <si>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</si>
  <si>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</si>
  <si>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</si>
  <si>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</si>
  <si>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</si>
  <si>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</si>
  <si>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</si>
  <si>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</si>
  <si>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</si>
  <si>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</si>
  <si>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</si>
  <si>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</si>
  <si>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</si>
  <si>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</si>
  <si>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</si>
  <si>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</si>
  <si>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</si>
  <si>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</si>
  <si>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</si>
  <si>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</si>
  <si>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</si>
  <si>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</si>
  <si>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</si>
  <si>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</si>
  <si>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</si>
  <si>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</si>
  <si>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</si>
  <si>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</si>
  <si>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</si>
  <si>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</si>
  <si>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</si>
  <si>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</si>
  <si>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</si>
  <si>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</si>
  <si>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</si>
  <si>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</si>
  <si>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</si>
  <si>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</si>
  <si>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</si>
  <si>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</si>
  <si>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</si>
  <si>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</si>
  <si>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</si>
  <si>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</si>
  <si>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</si>
  <si>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</si>
  <si>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</si>
  <si>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</si>
  <si>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</si>
  <si>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</si>
  <si>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</si>
  <si>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</si>
  <si>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</si>
  <si>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</si>
  <si>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</si>
  <si>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</si>
  <si>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</si>
  <si>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</si>
  <si>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</si>
  <si>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</si>
  <si>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</si>
  <si>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</si>
  <si>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</si>
  <si>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</si>
  <si>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</si>
  <si>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</si>
  <si>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</si>
  <si>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</si>
  <si>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</si>
  <si>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</si>
  <si>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</si>
  <si>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</si>
  <si>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</si>
  <si>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</si>
  <si>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</si>
  <si>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</si>
  <si>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</si>
  <si>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</si>
  <si>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</si>
  <si>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</si>
  <si>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</si>
  <si>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</si>
  <si>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</si>
  <si>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</si>
  <si>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</si>
  <si>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</si>
  <si>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</si>
  <si>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</si>
  <si>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</si>
  <si>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</si>
  <si>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</si>
  <si>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</si>
  <si>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</si>
  <si>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</si>
  <si>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</si>
  <si>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</si>
  <si>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</si>
  <si>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</si>
  <si>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</si>
  <si>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</si>
  <si>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</si>
  <si>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</si>
  <si>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</si>
  <si>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</si>
  <si>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</si>
  <si>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</si>
  <si>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</si>
  <si>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</si>
  <si>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</si>
  <si>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</si>
  <si>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</si>
  <si>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</si>
  <si>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</si>
  <si>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</si>
  <si>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</si>
  <si>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</si>
  <si>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</si>
  <si>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</si>
  <si>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</si>
  <si>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</si>
  <si>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</si>
  <si>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</si>
  <si>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</si>
  <si>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</si>
  <si>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</si>
  <si>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</si>
  <si>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</si>
  <si>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</si>
  <si>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</si>
  <si>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</si>
  <si>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</si>
  <si>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</si>
  <si>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</si>
  <si>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</si>
  <si>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</si>
  <si>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</si>
  <si>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</si>
  <si>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</si>
  <si>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</si>
  <si>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</si>
  <si>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</si>
  <si>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</si>
  <si>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</si>
  <si>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</si>
  <si>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</si>
  <si>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</si>
  <si>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</si>
  <si>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</si>
  <si>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</si>
  <si>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</si>
  <si>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</si>
  <si>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</si>
  <si>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</si>
  <si>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</si>
  <si>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</si>
  <si>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</si>
  <si>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</si>
  <si>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</si>
  <si>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</si>
  <si>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</si>
  <si>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</si>
  <si>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</si>
  <si>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</si>
  <si>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</si>
  <si>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</si>
  <si>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</si>
  <si>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</si>
  <si>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</si>
  <si>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</si>
  <si>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</si>
  <si>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</si>
  <si>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</si>
  <si>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</si>
  <si>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</si>
  <si>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</si>
  <si>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</si>
  <si>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</si>
  <si>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</si>
  <si>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</si>
  <si>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</si>
  <si>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</si>
  <si>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</si>
  <si>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</si>
  <si>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</si>
  <si>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</si>
  <si>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</si>
  <si>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</si>
  <si>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</si>
  <si>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</si>
  <si>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</si>
  <si>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</si>
  <si>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</si>
  <si>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</si>
  <si>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</si>
  <si>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</si>
  <si>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</si>
  <si>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</si>
  <si>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</si>
  <si>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</si>
  <si>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</si>
  <si>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</si>
  <si>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</si>
  <si>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</si>
  <si>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</si>
  <si>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</si>
  <si>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</si>
  <si>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</si>
  <si>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</si>
  <si>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</si>
  <si>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</si>
  <si>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</si>
  <si>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</si>
  <si>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</si>
  <si>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</si>
  <si>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</si>
  <si>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</si>
  <si>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</si>
  <si>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</si>
  <si>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</si>
  <si>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</si>
  <si>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</si>
  <si>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</si>
  <si>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</si>
  <si>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</si>
  <si>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</si>
  <si>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</si>
  <si>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</si>
  <si>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</si>
  <si>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</si>
  <si>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</si>
  <si>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</si>
  <si>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</si>
  <si>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</si>
  <si>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</si>
  <si>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</si>
  <si>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</si>
  <si>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</si>
  <si>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</si>
  <si>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</si>
  <si>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</si>
  <si>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</si>
  <si>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</si>
  <si>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</si>
  <si>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</si>
  <si>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</si>
  <si>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</si>
  <si>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</si>
  <si>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</si>
  <si>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</si>
  <si>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</si>
  <si>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</si>
  <si>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</si>
  <si>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</si>
  <si>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</si>
  <si>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</si>
  <si>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</si>
  <si>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</si>
  <si>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</si>
  <si>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</si>
  <si>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</si>
  <si>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</si>
  <si>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</si>
  <si>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</si>
  <si>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</si>
  <si>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</si>
  <si>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</si>
  <si>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</si>
  <si>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</si>
  <si>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</si>
  <si>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</si>
  <si>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</si>
  <si>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</si>
  <si>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</si>
  <si>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</si>
  <si>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</si>
  <si>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</si>
  <si>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</si>
  <si>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</si>
  <si>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</si>
  <si>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</si>
  <si>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</si>
  <si>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</si>
  <si>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</si>
  <si>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</si>
  <si>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</si>
  <si>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</si>
  <si>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</si>
  <si>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</si>
  <si>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</si>
  <si>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</si>
  <si>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</si>
  <si>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</si>
  <si>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</si>
  <si>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</si>
  <si>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</si>
  <si>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</si>
  <si>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</si>
  <si>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</si>
  <si>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</si>
  <si>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</si>
  <si>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</si>
  <si>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</si>
  <si>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</si>
  <si>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</si>
  <si>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</si>
  <si>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</si>
  <si>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</si>
  <si>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</si>
  <si>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</si>
  <si>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</si>
  <si>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</si>
  <si>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</si>
  <si>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</si>
  <si>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</si>
  <si>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</si>
  <si>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</si>
  <si>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</si>
  <si>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</si>
  <si>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</si>
  <si>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</si>
  <si>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</si>
  <si>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</si>
  <si>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</si>
  <si>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</si>
  <si>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</si>
  <si>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</si>
  <si>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</si>
  <si>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</si>
  <si>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</si>
  <si>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</si>
  <si>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</si>
  <si>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</si>
  <si>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</si>
  <si>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</si>
  <si>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</si>
  <si>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</si>
  <si>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</si>
  <si>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</si>
  <si>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</si>
  <si>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</si>
  <si>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</si>
  <si>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</si>
  <si>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</si>
  <si>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</si>
  <si>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</si>
  <si>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</si>
  <si>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</si>
  <si>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</si>
  <si>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</si>
  <si>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</si>
  <si>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</si>
  <si>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</si>
  <si>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</si>
  <si>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</si>
  <si>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</si>
  <si>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</si>
  <si>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</si>
  <si>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</si>
  <si>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</si>
  <si>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</si>
  <si>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</si>
  <si>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</si>
  <si>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</si>
  <si>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</si>
  <si>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</si>
  <si>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</si>
  <si>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</si>
  <si>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</si>
  <si>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</si>
  <si>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</si>
  <si>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</si>
  <si>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</si>
  <si>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</si>
  <si>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</si>
  <si>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</si>
  <si>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</si>
  <si>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</si>
  <si>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</si>
  <si>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</si>
  <si>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</si>
  <si>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</si>
  <si>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</si>
  <si>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</si>
  <si>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</si>
  <si>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</si>
  <si>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</si>
  <si>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</si>
  <si>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</si>
  <si>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</si>
  <si>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</si>
  <si>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</si>
  <si>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</si>
  <si>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</si>
  <si>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</si>
  <si>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</si>
  <si>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</si>
  <si>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</si>
  <si>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</si>
  <si>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</si>
  <si>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</si>
  <si>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</si>
  <si>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</si>
  <si>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</si>
  <si>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</si>
  <si>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</si>
  <si>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</si>
  <si>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</si>
  <si>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</si>
  <si>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</si>
  <si>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</si>
  <si>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</si>
  <si>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</si>
  <si>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</si>
  <si>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</si>
  <si>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</si>
  <si>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</si>
  <si>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</si>
  <si>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</si>
  <si>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</si>
  <si>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</si>
  <si>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</si>
  <si>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</si>
  <si>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</si>
  <si>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</si>
  <si>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</si>
  <si>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</si>
  <si>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</si>
  <si>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</si>
  <si>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</si>
  <si>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</si>
  <si>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</si>
  <si>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</si>
  <si>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</si>
  <si>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</si>
  <si>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</si>
  <si>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</si>
  <si>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</si>
  <si>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</si>
  <si>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</si>
  <si>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</si>
  <si>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</si>
  <si>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</si>
  <si>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</si>
  <si>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</si>
  <si>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</si>
  <si>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</si>
  <si>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</si>
  <si>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</si>
  <si>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</si>
  <si>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</si>
  <si>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</si>
  <si>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</si>
  <si>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</si>
  <si>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</si>
  <si>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</si>
  <si>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</si>
  <si>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</si>
  <si>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</si>
  <si>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</si>
  <si>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</si>
  <si>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</si>
  <si>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</si>
  <si>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</si>
  <si>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</si>
  <si>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</si>
  <si>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</si>
  <si>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</si>
  <si>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</si>
  <si>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</si>
  <si>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</si>
  <si>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</si>
  <si>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</si>
  <si>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</si>
  <si>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</si>
  <si>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</si>
  <si>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</si>
  <si>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</si>
  <si>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</si>
  <si>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</si>
  <si>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</si>
  <si>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</si>
  <si>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</si>
  <si>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</si>
  <si>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</si>
  <si>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</si>
  <si>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</si>
  <si>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</si>
  <si>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</si>
  <si>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</si>
  <si>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</si>
  <si>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</si>
  <si>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</si>
  <si>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</si>
  <si>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</si>
  <si>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</si>
  <si>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</si>
  <si>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</si>
  <si>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</si>
  <si>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</si>
  <si>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</si>
  <si>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</si>
  <si>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</si>
  <si>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</si>
  <si>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</si>
  <si>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</si>
  <si>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</si>
  <si>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</si>
  <si>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</si>
  <si>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</si>
  <si>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</si>
  <si>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</si>
  <si>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</si>
  <si>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</si>
  <si>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</si>
  <si>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</si>
  <si>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</si>
  <si>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</si>
  <si>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</si>
  <si>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</si>
  <si>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</si>
  <si>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</si>
  <si>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</si>
  <si>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</si>
  <si>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</si>
  <si>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</si>
  <si>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</si>
  <si>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</si>
  <si>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</si>
  <si>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</si>
  <si>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</si>
  <si>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</si>
  <si>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</si>
  <si>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</si>
  <si>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</si>
  <si>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</si>
  <si>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</si>
  <si>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</si>
  <si>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</si>
  <si>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</si>
  <si>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</si>
  <si>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</si>
  <si>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</si>
  <si>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</si>
  <si>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</si>
  <si>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</si>
  <si>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</si>
  <si>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</si>
  <si>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</si>
  <si>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</si>
  <si>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</si>
  <si>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</si>
  <si>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</si>
  <si>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</si>
  <si>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</si>
  <si>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</si>
  <si>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</si>
  <si>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</si>
  <si>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</si>
  <si>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</si>
  <si>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</si>
  <si>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</si>
  <si>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</si>
  <si>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</si>
  <si>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</si>
  <si>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</si>
  <si>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</si>
  <si>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</si>
  <si>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</si>
  <si>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</si>
  <si>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</si>
  <si>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</si>
  <si>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</si>
  <si>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</si>
  <si>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</si>
  <si>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</si>
  <si>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</si>
  <si>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</si>
  <si>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</si>
  <si>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</si>
  <si>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</si>
  <si>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</si>
  <si>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</si>
  <si>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</si>
  <si>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</si>
  <si>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</si>
  <si>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</si>
  <si>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</si>
  <si>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</si>
  <si>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</si>
  <si>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</si>
  <si>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</si>
  <si>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</si>
  <si>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</si>
  <si>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</si>
  <si>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</si>
  <si>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</si>
  <si>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</si>
  <si>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</si>
  <si>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</si>
  <si>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</si>
  <si>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</si>
  <si>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</si>
  <si>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</si>
  <si>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</si>
  <si>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</si>
  <si>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</si>
  <si>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</si>
  <si>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</si>
  <si>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</si>
  <si>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</si>
  <si>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</si>
  <si>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</si>
  <si>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</si>
  <si>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</si>
  <si>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</si>
  <si>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</si>
  <si>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</si>
  <si>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</si>
  <si>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</si>
  <si>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</si>
  <si>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</si>
  <si>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</si>
  <si>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</si>
  <si>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</si>
  <si>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</si>
  <si>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</si>
  <si>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</si>
  <si>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</si>
  <si>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</si>
  <si>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</si>
  <si>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</si>
  <si>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</si>
  <si>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</si>
  <si>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</si>
  <si>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</si>
  <si>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</si>
  <si>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</si>
  <si>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</si>
  <si>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</si>
  <si>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</si>
  <si>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</si>
  <si>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</si>
  <si>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</si>
  <si>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</si>
  <si>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</si>
  <si>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</si>
  <si>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</si>
  <si>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</si>
  <si>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</si>
  <si>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</si>
  <si>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</si>
  <si>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</si>
  <si>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</si>
  <si>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</si>
  <si>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</si>
  <si>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</si>
  <si>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</si>
  <si>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</si>
  <si>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</si>
  <si>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</si>
  <si>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</si>
  <si>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</si>
  <si>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</si>
  <si>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</si>
  <si>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</si>
  <si>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</si>
  <si>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</si>
  <si>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</si>
  <si>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</si>
  <si>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</si>
  <si>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</si>
  <si>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</si>
  <si>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</si>
  <si>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</si>
  <si>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</si>
  <si>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</si>
  <si>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</si>
  <si>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</si>
  <si>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</si>
  <si>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</si>
  <si>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</si>
  <si>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</si>
  <si>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</si>
  <si>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</si>
  <si>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</si>
  <si>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</si>
  <si>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</si>
  <si>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</si>
  <si>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</si>
  <si>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</si>
  <si>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</si>
  <si>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</si>
  <si>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</si>
  <si>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</si>
  <si>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</si>
  <si>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</si>
  <si>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</si>
  <si>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</si>
  <si>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</si>
  <si>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</si>
  <si>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</si>
  <si>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</si>
  <si>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</si>
  <si>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</si>
  <si>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</si>
  <si>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</si>
  <si>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</si>
  <si>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</si>
  <si>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</si>
  <si>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</si>
  <si>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</si>
  <si>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</si>
  <si>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</si>
  <si>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</si>
  <si>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</si>
  <si>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</si>
  <si>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</si>
  <si>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</si>
  <si>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</si>
  <si>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</si>
  <si>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</si>
  <si>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</si>
  <si>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</si>
  <si>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</si>
  <si>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</si>
  <si>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</si>
  <si>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</si>
  <si>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</si>
  <si>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</si>
  <si>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</si>
  <si>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</si>
  <si>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</si>
  <si>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</si>
  <si>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</si>
  <si>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</si>
  <si>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</si>
  <si>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</si>
  <si>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</si>
  <si>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</si>
  <si>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route_edges(board,start_ref,move_rule,[dirs],[max_steps]) - directed shortest paths; move_rule(from,to,dir) cost or NA()/text illegal</t>
  </si>
  <si>
    <t>Inputs (board)</t>
  </si>
  <si>
    <t>3-4-5 directional distances from center (cost by dir)</t>
  </si>
  <si>
    <t>maze BFS 4-dir; wall (#) unreachable = blank</t>
  </si>
  <si>
    <t>start outside board -&gt; X</t>
  </si>
  <si>
    <t>ROWS() sees full size (regression)</t>
  </si>
  <si>
    <t>max_steps too small -&gt; MORE STEPS</t>
  </si>
  <si>
    <t>MORE STEPS</t>
  </si>
  <si>
    <t>route_edges(board, start_ref, move_rule, [dirs], [max_steps])</t>
  </si>
  <si>
    <t>Directed shortest paths. move_rule(from,to,dir) returns a nonnegative edge cost or NA()/text for an illegal move. Optional arrow string limits directions. Returns least cost to every cell; start is 0.</t>
  </si>
  <si>
    <t>=LAMBDA(board, start_ref, move_rule, [dirs], [max_steps],
  LET(
    row_count, ROWS(board),
    col_count, COLUMNS(board),
    infinity, 1E99,
    all_dirs, {"↑"; "↓"; "←"; "→"; "↖"; "↗"; "↙"; "↘"},
    dir_text, IF(ISOMITTED(dirs), "↑↓←→↖↗↙↘", dirs),
    dir_list, FILTER(all_dirs, ISNUMBER(SEARCH(all_dirs, dir_text))),
    row_delta, XLOOKUP(dir_list, all_dirs, {-1; 1; 0; 0; -1; -1; 1; 1}),
    col_delta, XLOOKUP(dir_list, all_dirs,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z_route_edges_worker(
          z_route_edges_worker,
          initial_costs,
          HSTACK(start_row, start_col, 0),
          board,
          move_rule,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</si>
  <si>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move_rule.
  start_ref   - starting cell as A1 text, a numeric address (1e6*row+col), or a {row, col} coordinate pair relative to board.
  move_rule   - LAMBDA(from_cell, to_cell, dir). Return a nonnegative move cost for a legal move; return NA(), text, or a negative value for an illegal move. Other Excel errors remain visible.
  [dirs]      - string of allowed arrow characters. Defaults to all eight directions: ↑↓←→↖↗↙↘.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uses a label-correcting frontier through two private helpers. Each pass examines only outgoing moves from cells whose costs improved in the previous pass, and it stops as soon as no cell improves. It requires no circular references or iterative-calculation setting. The complete route state must be the current cell; rules involving previous direction, collected keys, or other path history require an expanded state.
Example:
  =route_edges(A1:C3,"B2",LAMBDA(from_cell,to_cell,dir,XLOOKUP(dir,{"↑","↓","←","→","↖","↗","↙","↘"},{3,3,4,4,5,5,5,5},NA())),,8)
  returns the 3-4-5 directional distance map from B2.</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</si>
  <si>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</si>
  <si>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</si>
  <si>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</si>
  <si>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z_route_edges_candidates(costs, frontier, board, move_rule, dir_list, row_delta, col_delta, infinity)</t>
  </si>
  <si>
    <t>Private helper for route_edges; do not call directly. Returns all valid cost improvements reachable from the current frontier.</t>
  </si>
  <si>
    <t>=LAMBDA(costs, frontier, board, move_rule,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IFNA(move_rule(from_cell,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</si>
  <si>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route_edges.
For every cell in the current frontier, it constructs the allowed neighboring moves, calls move_rule(from_cell,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move_rule.
  move_rule   - LAMBDA(from_cell, to_cell, dir) returning a legal nonnegative edge cost or NA()/text/negative for an illegal edge.
  dir_list    - allowed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</si>
  <si>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z_route_edges_worker(self, costs, frontier, board, move_rule, dir_list, row_delta, col_delta, cell_keys, infinity, steps_left)</t>
  </si>
  <si>
    <t>Private recursive worker for route_edges; do not call directly. Relaxes only outgoing edges from cells whose costs improved in the prior pass.</t>
  </si>
  <si>
    <t>=LAMBDA(self, costs, frontier, board, move_rule, dir_list, row_delta, col_delta, cell_keys, infinity, steps_left,
  LET(
    improvements, z_route_edges_candidates(
      costs,
      frontier,
      board,
      move_rule,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move_rule,
          dir_list,
          row_delta,
          col_delta,
          cell_keys,
          infinity,
          steps_left - 1
        )
      )
    )
  )
)</t>
  </si>
  <si>
    <t>Private recursive frontier worker for route_edges.
It asks z_route_edges_candidates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move_rule.
  move_rule   - LAMBDA(from_cell, to_cell, dir) returning a legal nonnegative edge cost or NA()/text/negative for an illegal edge.
  dir_list    - allowed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</si>
</sst>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applyFont="1" applyAlignment="1">
      <alignment horizontal="left"/>
    </xf>
    <xf numFmtId="0" fontId="3" fillId="0" borderId="0" xfId="0" quotePrefix="1" applyFont="1" applyAlignment="1">
      <alignment horizontal="left" vertical="top" wrapText="1"/>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4" t="s">
        <v>3335</v>
      </c>
      <c r="C1" s="85"/>
      <c r="D1" s="85"/>
      <c r="E1" s="85"/>
      <c r="F1" s="85"/>
      <c r="G1" s="86"/>
    </row>
    <row r="2" spans="1:1022" ht="19.25" customHeight="1" thickBot="1" x14ac:dyDescent="0.5">
      <c r="A2" s="27" t="s">
        <v>20</v>
      </c>
      <c r="B2" s="84" t="s">
        <v>3336</v>
      </c>
      <c r="C2" s="85"/>
      <c r="D2" s="85"/>
      <c r="E2" s="85"/>
      <c r="F2" s="85"/>
      <c r="G2" s="86"/>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4" t="s">
        <v>3337</v>
      </c>
      <c r="C3" s="85"/>
      <c r="D3" s="85"/>
      <c r="E3" s="85"/>
      <c r="F3" s="85"/>
      <c r="G3" s="86"/>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5" t="s">
        <v>124</v>
      </c>
      <c r="B5" s="91"/>
      <c r="C5" s="91"/>
      <c r="D5" s="91"/>
      <c r="E5" s="92"/>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6" t="s">
        <v>150</v>
      </c>
      <c r="V8" s="92"/>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90" t="s">
        <v>0</v>
      </c>
      <c r="B33" s="91"/>
      <c r="C33" s="91"/>
      <c r="D33" s="91"/>
      <c r="E33" s="92"/>
      <c r="F33" s="90" t="s">
        <v>2</v>
      </c>
      <c r="G33" s="91"/>
      <c r="H33" s="91"/>
      <c r="I33" s="91"/>
      <c r="J33" s="91"/>
      <c r="K33" s="91"/>
      <c r="L33" s="91"/>
      <c r="M33" s="91"/>
      <c r="N33" s="91"/>
      <c r="O33" s="91"/>
      <c r="P33" s="91"/>
      <c r="Q33" s="91"/>
      <c r="R33" s="91"/>
      <c r="S33" s="91"/>
      <c r="T33" s="91"/>
      <c r="U33" s="92"/>
    </row>
    <row r="34" spans="1:21" ht="19.25" customHeight="1" x14ac:dyDescent="0.45">
      <c r="A34" s="87" t="s">
        <v>2635</v>
      </c>
      <c r="B34" s="88"/>
      <c r="C34" s="88"/>
      <c r="D34" s="88"/>
      <c r="E34" s="88"/>
      <c r="F34" s="26" t="s">
        <v>2636</v>
      </c>
      <c r="G34" s="26"/>
    </row>
    <row r="35" spans="1:21" ht="19.25" customHeight="1" x14ac:dyDescent="0.45">
      <c r="A35" s="97" t="s">
        <v>2637</v>
      </c>
      <c r="B35" s="88"/>
      <c r="C35" s="88"/>
      <c r="D35" s="88"/>
      <c r="E35" s="88"/>
      <c r="F35" s="26" t="s">
        <v>2638</v>
      </c>
      <c r="G35" s="26"/>
    </row>
    <row r="36" spans="1:21" ht="19.25" customHeight="1" x14ac:dyDescent="0.45">
      <c r="A36" s="87" t="s">
        <v>2639</v>
      </c>
      <c r="B36" s="88"/>
      <c r="C36" s="88"/>
      <c r="D36" s="88"/>
      <c r="E36" s="88"/>
      <c r="F36" s="2" t="s">
        <v>2640</v>
      </c>
    </row>
    <row r="37" spans="1:21" ht="19.25" customHeight="1" x14ac:dyDescent="0.45">
      <c r="A37" s="87" t="s">
        <v>2641</v>
      </c>
      <c r="B37" s="88"/>
      <c r="C37" s="88"/>
      <c r="D37" s="88"/>
      <c r="E37" s="88"/>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4"/>
      <c r="D68" s="94"/>
      <c r="E68" s="94"/>
    </row>
    <row r="69" spans="1:21" ht="19.25" customHeight="1" thickBot="1" x14ac:dyDescent="0.55000000000000004">
      <c r="A69" s="15" t="s">
        <v>2738</v>
      </c>
    </row>
    <row r="70" spans="1:21" ht="19.25" customHeight="1" thickBot="1" x14ac:dyDescent="0.55000000000000004">
      <c r="A70" s="90" t="s">
        <v>0</v>
      </c>
      <c r="B70" s="91"/>
      <c r="C70" s="91"/>
      <c r="D70" s="91"/>
      <c r="E70" s="92"/>
      <c r="F70" s="90" t="s">
        <v>2</v>
      </c>
      <c r="G70" s="91"/>
      <c r="H70" s="91"/>
      <c r="I70" s="91"/>
      <c r="J70" s="91"/>
      <c r="K70" s="91"/>
      <c r="L70" s="91"/>
      <c r="M70" s="91"/>
      <c r="N70" s="91"/>
      <c r="O70" s="91"/>
      <c r="P70" s="91"/>
      <c r="Q70" s="91"/>
      <c r="R70" s="91"/>
      <c r="S70" s="91"/>
      <c r="T70" s="91"/>
      <c r="U70" s="92"/>
    </row>
    <row r="71" spans="1:21" ht="19.25" customHeight="1" x14ac:dyDescent="0.45">
      <c r="A71" s="89" t="s">
        <v>2739</v>
      </c>
      <c r="B71" s="88"/>
      <c r="C71" s="88"/>
      <c r="D71" s="88"/>
      <c r="E71" s="88"/>
      <c r="F71" s="26" t="s">
        <v>2740</v>
      </c>
      <c r="G71" s="26"/>
    </row>
    <row r="72" spans="1:21" ht="19.25" customHeight="1" x14ac:dyDescent="0.45">
      <c r="A72" s="89" t="s">
        <v>2741</v>
      </c>
      <c r="B72" s="88"/>
      <c r="C72" s="88"/>
      <c r="D72" s="88"/>
      <c r="E72" s="88"/>
      <c r="F72" s="26" t="s">
        <v>2742</v>
      </c>
    </row>
    <row r="73" spans="1:21" ht="22.5" customHeight="1" x14ac:dyDescent="0.45">
      <c r="A73" s="89" t="s">
        <v>2743</v>
      </c>
      <c r="B73" s="88"/>
      <c r="C73" s="88"/>
      <c r="D73" s="88"/>
      <c r="E73" s="88"/>
      <c r="F73" s="26" t="s">
        <v>2744</v>
      </c>
    </row>
    <row r="74" spans="1:21" ht="19.25" customHeight="1" x14ac:dyDescent="0.45">
      <c r="A74" s="89" t="s">
        <v>2745</v>
      </c>
      <c r="B74" s="88"/>
      <c r="C74" s="88"/>
      <c r="D74" s="88"/>
      <c r="E74" s="88"/>
      <c r="F74" s="88"/>
      <c r="G74" s="88"/>
      <c r="H74" s="88"/>
      <c r="I74" s="88"/>
      <c r="J74" s="88"/>
      <c r="K74" s="88"/>
      <c r="L74" s="88"/>
      <c r="M74" s="93" t="s">
        <v>2746</v>
      </c>
      <c r="N74" s="88"/>
      <c r="O74" s="88"/>
      <c r="P74" s="88"/>
      <c r="Q74" s="88"/>
      <c r="R74" s="88"/>
      <c r="S74" s="88"/>
      <c r="T74" s="88"/>
      <c r="U74" s="88"/>
    </row>
  </sheetData>
  <mergeCells count="19">
    <mergeCell ref="A35:E35"/>
    <mergeCell ref="F33:U33"/>
    <mergeCell ref="A71:E71"/>
    <mergeCell ref="B2:G2"/>
    <mergeCell ref="A34:E34"/>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2784</v>
      </c>
      <c r="B18" s="72" t="s">
        <v>3549</v>
      </c>
      <c r="C18" s="73" t="s">
        <v>2785</v>
      </c>
      <c r="D18" s="74" t="s">
        <v>3550</v>
      </c>
    </row>
    <row r="19" spans="1:4" s="75" customFormat="1" ht="19.25" customHeight="1" x14ac:dyDescent="0.5">
      <c r="A19" s="71" t="s">
        <v>2786</v>
      </c>
      <c r="B19" s="72" t="s">
        <v>2787</v>
      </c>
      <c r="C19" s="73" t="s">
        <v>2788</v>
      </c>
      <c r="D19" s="74" t="s">
        <v>2789</v>
      </c>
    </row>
    <row r="20" spans="1:4" s="75" customFormat="1" ht="19.25" customHeight="1" x14ac:dyDescent="0.5">
      <c r="A20" s="71" t="s">
        <v>2790</v>
      </c>
      <c r="B20" s="72" t="s">
        <v>2791</v>
      </c>
      <c r="C20" s="73" t="s">
        <v>3296</v>
      </c>
      <c r="D20" s="74" t="s">
        <v>3297</v>
      </c>
    </row>
    <row r="21" spans="1:4" s="75" customFormat="1" ht="19.25" customHeight="1" x14ac:dyDescent="0.5">
      <c r="A21" s="71" t="s">
        <v>2792</v>
      </c>
      <c r="B21" s="72" t="s">
        <v>2793</v>
      </c>
      <c r="C21" s="73" t="s">
        <v>2794</v>
      </c>
      <c r="D21" s="74" t="s">
        <v>2795</v>
      </c>
    </row>
    <row r="22" spans="1:4" s="75" customFormat="1" ht="19.25" customHeight="1" x14ac:dyDescent="0.5">
      <c r="A22" s="71" t="s">
        <v>3577</v>
      </c>
      <c r="B22" s="72" t="s">
        <v>3622</v>
      </c>
      <c r="C22" s="73" t="s">
        <v>3623</v>
      </c>
      <c r="D22" s="74" t="s">
        <v>3624</v>
      </c>
    </row>
    <row r="23" spans="1:4" s="75" customFormat="1" ht="19.25" customHeight="1" x14ac:dyDescent="0.5">
      <c r="A23" s="71" t="s">
        <v>2796</v>
      </c>
      <c r="B23" s="72" t="s">
        <v>2797</v>
      </c>
      <c r="C23" s="73" t="s">
        <v>2798</v>
      </c>
      <c r="D23" s="74" t="s">
        <v>2799</v>
      </c>
    </row>
    <row r="24" spans="1:4" s="75" customFormat="1" ht="19.25" customHeight="1" x14ac:dyDescent="0.5">
      <c r="A24" s="71" t="s">
        <v>2800</v>
      </c>
      <c r="B24" s="72" t="s">
        <v>2801</v>
      </c>
      <c r="C24" s="73" t="s">
        <v>2802</v>
      </c>
      <c r="D24" s="74" t="s">
        <v>2803</v>
      </c>
    </row>
    <row r="25" spans="1:4" s="75" customFormat="1" ht="19.25" customHeight="1" x14ac:dyDescent="0.5">
      <c r="A25" s="71" t="s">
        <v>3551</v>
      </c>
      <c r="B25" s="72" t="s">
        <v>3625</v>
      </c>
      <c r="C25" s="73" t="s">
        <v>3626</v>
      </c>
      <c r="D25" s="74" t="s">
        <v>3627</v>
      </c>
    </row>
    <row r="26" spans="1:4" s="75" customFormat="1" ht="19.25" customHeight="1" x14ac:dyDescent="0.5">
      <c r="A26" s="71" t="s">
        <v>2804</v>
      </c>
      <c r="B26" s="72" t="s">
        <v>2805</v>
      </c>
      <c r="C26" s="73" t="s">
        <v>2806</v>
      </c>
      <c r="D26" s="74" t="s">
        <v>2807</v>
      </c>
    </row>
    <row r="27" spans="1:4" s="75" customFormat="1" ht="19.25" customHeight="1" x14ac:dyDescent="0.5">
      <c r="A27" s="71" t="s">
        <v>2808</v>
      </c>
      <c r="B27" s="72" t="s">
        <v>2809</v>
      </c>
      <c r="C27" s="73" t="s">
        <v>2810</v>
      </c>
      <c r="D27" s="74" t="s">
        <v>2811</v>
      </c>
    </row>
    <row r="28" spans="1:4" s="75" customFormat="1" ht="19.25" customHeight="1" x14ac:dyDescent="0.5">
      <c r="A28" s="71" t="s">
        <v>2812</v>
      </c>
      <c r="B28" s="72" t="s">
        <v>2813</v>
      </c>
      <c r="C28" s="73" t="s">
        <v>2814</v>
      </c>
      <c r="D28" s="74" t="s">
        <v>2815</v>
      </c>
    </row>
    <row r="29" spans="1:4" s="75" customFormat="1" ht="19.25" customHeight="1" x14ac:dyDescent="0.5">
      <c r="A29" s="71" t="s">
        <v>3552</v>
      </c>
      <c r="B29" s="72" t="s">
        <v>3553</v>
      </c>
      <c r="C29" s="73" t="s">
        <v>3473</v>
      </c>
      <c r="D29" s="74" t="s">
        <v>3554</v>
      </c>
    </row>
    <row r="30" spans="1:4" s="75" customFormat="1" ht="19.25" customHeight="1" x14ac:dyDescent="0.5">
      <c r="A30" s="71" t="s">
        <v>2816</v>
      </c>
      <c r="B30" s="72" t="s">
        <v>2817</v>
      </c>
      <c r="C30" s="73" t="s">
        <v>2818</v>
      </c>
      <c r="D30" s="74" t="s">
        <v>2819</v>
      </c>
    </row>
    <row r="31" spans="1:4" s="75" customFormat="1" ht="19.25" customHeight="1" x14ac:dyDescent="0.5">
      <c r="A31" s="71" t="s">
        <v>3628</v>
      </c>
      <c r="B31" s="72" t="s">
        <v>3629</v>
      </c>
      <c r="C31" s="73" t="s">
        <v>3630</v>
      </c>
      <c r="D31" s="74" t="s">
        <v>3631</v>
      </c>
    </row>
    <row r="32" spans="1:4" s="75" customFormat="1" ht="19.25" customHeight="1" x14ac:dyDescent="0.5">
      <c r="A32" s="71" t="s">
        <v>2820</v>
      </c>
      <c r="B32" s="72" t="s">
        <v>2821</v>
      </c>
      <c r="C32" s="73" t="s">
        <v>3298</v>
      </c>
      <c r="D32" s="74" t="s">
        <v>3299</v>
      </c>
    </row>
    <row r="33" spans="1:4" s="75" customFormat="1" ht="19.25" customHeight="1" x14ac:dyDescent="0.5">
      <c r="A33" s="71" t="s">
        <v>3652</v>
      </c>
      <c r="B33" s="72" t="s">
        <v>3653</v>
      </c>
      <c r="C33" s="73" t="s">
        <v>3654</v>
      </c>
      <c r="D33" s="74" t="s">
        <v>3655</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3656</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3657</v>
      </c>
      <c r="D57" s="74" t="s">
        <v>3658</v>
      </c>
    </row>
    <row r="58" spans="1:4" ht="19.25" customHeight="1" x14ac:dyDescent="0.5">
      <c r="A58" s="71" t="s">
        <v>2888</v>
      </c>
      <c r="B58" s="72" t="s">
        <v>2889</v>
      </c>
      <c r="C58" s="73" t="s">
        <v>2890</v>
      </c>
      <c r="D58" s="74" t="s">
        <v>2891</v>
      </c>
    </row>
    <row r="59" spans="1:4" ht="19.25" customHeight="1" x14ac:dyDescent="0.5">
      <c r="A59" s="71" t="s">
        <v>2892</v>
      </c>
      <c r="B59" s="72" t="s">
        <v>2893</v>
      </c>
      <c r="C59" s="73" t="s">
        <v>3306</v>
      </c>
      <c r="D59" s="74" t="s">
        <v>3307</v>
      </c>
    </row>
    <row r="60" spans="1:4" ht="19.25" customHeight="1" x14ac:dyDescent="0.5">
      <c r="A60" s="71" t="s">
        <v>3560</v>
      </c>
      <c r="B60" s="72" t="s">
        <v>3561</v>
      </c>
      <c r="C60" s="73" t="s">
        <v>3562</v>
      </c>
      <c r="D60" s="74" t="s">
        <v>3563</v>
      </c>
    </row>
    <row r="61" spans="1:4" ht="19.25" customHeight="1" x14ac:dyDescent="0.5">
      <c r="A61" s="71" t="s">
        <v>3478</v>
      </c>
      <c r="B61" s="72" t="s">
        <v>3564</v>
      </c>
      <c r="C61" s="73" t="s">
        <v>3565</v>
      </c>
      <c r="D61" s="74" t="s">
        <v>3566</v>
      </c>
    </row>
    <row r="62" spans="1:4" ht="19.25" customHeight="1" x14ac:dyDescent="0.5">
      <c r="A62" s="71" t="s">
        <v>3636</v>
      </c>
      <c r="B62" s="72" t="s">
        <v>3637</v>
      </c>
      <c r="C62" s="73" t="s">
        <v>3638</v>
      </c>
      <c r="D62" s="74" t="s">
        <v>3639</v>
      </c>
    </row>
    <row r="63" spans="1:4" ht="19.25" customHeight="1" x14ac:dyDescent="0.5">
      <c r="A63" s="71" t="s">
        <v>3640</v>
      </c>
      <c r="B63" s="72" t="s">
        <v>3641</v>
      </c>
      <c r="C63" s="73" t="s">
        <v>3642</v>
      </c>
      <c r="D63" s="74" t="s">
        <v>3643</v>
      </c>
    </row>
    <row r="64" spans="1:4" ht="19.25" customHeight="1" x14ac:dyDescent="0.5">
      <c r="A64" s="71" t="s">
        <v>3479</v>
      </c>
      <c r="B64" s="72" t="s">
        <v>3567</v>
      </c>
      <c r="C64" s="73" t="s">
        <v>3480</v>
      </c>
      <c r="D64" s="74" t="s">
        <v>3568</v>
      </c>
    </row>
    <row r="65" spans="1:4" ht="19.25" customHeight="1" x14ac:dyDescent="0.5">
      <c r="A65" s="71" t="s">
        <v>3569</v>
      </c>
      <c r="B65" s="72" t="s">
        <v>3570</v>
      </c>
      <c r="C65" s="73" t="s">
        <v>3571</v>
      </c>
      <c r="D65" s="74" t="s">
        <v>3572</v>
      </c>
    </row>
    <row r="66" spans="1:4" ht="19.25" customHeight="1" x14ac:dyDescent="0.5">
      <c r="A66" s="71" t="s">
        <v>3659</v>
      </c>
      <c r="B66" s="72" t="s">
        <v>3660</v>
      </c>
      <c r="C66" s="73" t="s">
        <v>3661</v>
      </c>
      <c r="D66" s="74" t="s">
        <v>3662</v>
      </c>
    </row>
    <row r="67" spans="1:4" ht="19.25" customHeight="1" x14ac:dyDescent="0.5">
      <c r="A67" s="71" t="s">
        <v>3663</v>
      </c>
      <c r="B67" s="72" t="s">
        <v>3664</v>
      </c>
      <c r="C67" s="73" t="s">
        <v>3665</v>
      </c>
      <c r="D67" s="74" t="s">
        <v>3666</v>
      </c>
    </row>
    <row r="68" spans="1:4" ht="19.25" customHeight="1" x14ac:dyDescent="0.5">
      <c r="A68" s="71" t="s">
        <v>2894</v>
      </c>
      <c r="B68" s="72" t="s">
        <v>2895</v>
      </c>
      <c r="C68" s="73" t="s">
        <v>2896</v>
      </c>
      <c r="D68" s="74" t="s">
        <v>2897</v>
      </c>
    </row>
    <row r="69" spans="1:4" ht="19.25" customHeight="1" x14ac:dyDescent="0.5">
      <c r="A69" s="71" t="s">
        <v>2898</v>
      </c>
      <c r="B69" s="72" t="s">
        <v>2899</v>
      </c>
      <c r="C69" s="73" t="s">
        <v>2900</v>
      </c>
      <c r="D69" s="74" t="s">
        <v>2901</v>
      </c>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26"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8</v>
      </c>
      <c r="C8" s="54">
        <f ca="1">COUNTIF(arrow_move!$A:$BZ,"FAIL")</f>
        <v>0</v>
      </c>
      <c r="D8" s="46">
        <f ca="1">B8+C8</f>
        <v>8</v>
      </c>
      <c r="E8" s="46" t="str">
        <f ca="1">IF(C8&gt;0,"FAIL ("&amp;C8&amp;")",IF(D8=0,"-","all pass"))</f>
        <v>all pass</v>
      </c>
    </row>
    <row r="9" spans="1:5" x14ac:dyDescent="0.5">
      <c r="A9" s="77" t="str">
        <f>HYPERLINK("#'arrow_trip'!A1","arrow_trip")</f>
        <v>arrow_trip</v>
      </c>
      <c r="B9" s="52">
        <f ca="1">COUNTIF(arrow_trip!$A:$BZ,"PASS")</f>
        <v>7</v>
      </c>
      <c r="C9" s="54">
        <f ca="1">COUNTIF(arrow_trip!$A:$BZ,"FAIL")</f>
        <v>0</v>
      </c>
      <c r="D9" s="46">
        <f ca="1">B9+C9</f>
        <v>7</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t="str">
        <f>HYPERLINK("#'freq_table'!A1","freq_table")</f>
        <v>freq_table</v>
      </c>
      <c r="B20" s="52">
        <f ca="1">COUNTIF(freq_table!$A:$BZ,"PASS")</f>
        <v>5</v>
      </c>
      <c r="C20" s="54">
        <f ca="1">COUNTIF(freq_table!$A:$BZ,"FAIL")</f>
        <v>0</v>
      </c>
      <c r="D20" s="46">
        <f ca="1">B20+C20</f>
        <v>5</v>
      </c>
      <c r="E20" s="46" t="str">
        <f ca="1">IF(C20&gt;0,"FAIL ("&amp;C20&amp;")",IF(D20=0,"-","all pass"))</f>
        <v>all pass</v>
      </c>
    </row>
    <row r="21" spans="1:5" x14ac:dyDescent="0.5">
      <c r="A21" s="77">
        <f>HYPERLINK("#'ftd_maze_cost'!A1","ftd_maze_cost")</f>
      </c>
      <c r="B21" s="52">
        <f>COUNTIF(ftd_maze_cost!$A:$BZ,"PASS")</f>
      </c>
      <c r="C21" s="54">
        <f>COUNTIF(ftd_maze_cost!$A:$BZ,"FAIL")</f>
      </c>
      <c r="D21" s="46">
        <f ca="1">B21+C21</f>
        <v>4</v>
      </c>
      <c r="E21" s="46" t="str">
        <f ca="1">IF(C21&gt;0,"FAIL ("&amp;C21&amp;")",IF(D21=0,"-","all pass"))</f>
        <v>all pass</v>
      </c>
    </row>
    <row r="22" spans="1:5" x14ac:dyDescent="0.5">
      <c r="A22" s="77">
        <f>HYPERLINK("#'is_unique'!A1","is_unique")</f>
      </c>
      <c r="B22" s="52">
        <f>COUNTIF(is_unique!$A:$BZ,"PASS")</f>
      </c>
      <c r="C22" s="54">
        <f>COUNTIF(is_unique!$A:$BZ,"FAIL")</f>
      </c>
      <c r="D22" s="46">
        <f ca="1">B22+C22</f>
        <v>7</v>
      </c>
      <c r="E22" s="46" t="str">
        <f ca="1">IF(C22&gt;0,"FAIL ("&amp;C22&amp;")",IF(D22=0,"-","all pass"))</f>
        <v>all pass</v>
      </c>
    </row>
    <row r="23" spans="1:5" x14ac:dyDescent="0.5">
      <c r="A23" s="77">
        <f>HYPERLINK("#'knight_moves'!A1","knight_moves")</f>
      </c>
      <c r="B23" s="52">
        <f>COUNTIF(knight_moves!$A:$BZ,"PASS")</f>
      </c>
      <c r="C23" s="54">
        <f>COUNTIF(knight_moves!$A:$BZ,"FAIL")</f>
      </c>
      <c r="D23" s="46">
        <f ca="1">B23+C23</f>
        <v>4</v>
      </c>
      <c r="E23" s="46" t="str">
        <f ca="1">IF(C23&gt;0,"FAIL ("&amp;C23&amp;")",IF(D23=0,"-","all pass"))</f>
        <v>all pass</v>
      </c>
    </row>
    <row r="24" spans="1:5" x14ac:dyDescent="0.5">
      <c r="A24" s="77">
        <f>HYPERLINK("#'label_lookup'!A1","label_lookup")</f>
      </c>
      <c r="B24" s="52">
        <f>COUNTIF(label_lookup!$A:$BZ,"PASS")</f>
      </c>
      <c r="C24" s="54">
        <f>COUNTIF(label_lookup!$A:$BZ,"FAIL")</f>
      </c>
      <c r="D24" s="46">
        <f ca="1">B24+C24</f>
        <v>3</v>
      </c>
      <c r="E24" s="46" t="str">
        <f ca="1">IF(C24&gt;0,"FAIL ("&amp;C24&amp;")",IF(D24=0,"-","all pass"))</f>
        <v>all pass</v>
      </c>
    </row>
    <row r="25" spans="1:5" x14ac:dyDescent="0.5">
      <c r="A25" s="77">
        <f>HYPERLINK("#'load_array'!A1","load_array")</f>
      </c>
      <c r="B25" s="52">
        <f>COUNTIF(load_array!$A:$BZ,"PASS")</f>
      </c>
      <c r="C25" s="54">
        <f>COUNTIF(load_array!$A:$BZ,"FAIL")</f>
      </c>
      <c r="D25" s="46">
        <f ca="1">B25+C25</f>
        <v>6</v>
      </c>
      <c r="E25" s="46" t="str">
        <f ca="1">IF(C25&gt;0,"FAIL ("&amp;C25&amp;")",IF(D25=0,"-","all pass"))</f>
        <v>all pass</v>
      </c>
    </row>
    <row r="26" spans="1:5" x14ac:dyDescent="0.5">
      <c r="A26" s="77">
        <f>HYPERLINK("#'make_change'!A1","make_change")</f>
      </c>
      <c r="B26" s="52">
        <f>COUNTIF(make_change!$A:$BZ,"PASS")</f>
      </c>
      <c r="C26" s="54">
        <f>COUNTIF(make_change!$A:$BZ,"FAIL")</f>
      </c>
      <c r="D26" s="46">
        <f ca="1">B26+C26</f>
        <v>3</v>
      </c>
      <c r="E26" s="46" t="str">
        <f ca="1">IF(C26&gt;0,"FAIL ("&amp;C26&amp;")",IF(D26=0,"-","all pass"))</f>
        <v>all pass</v>
      </c>
    </row>
    <row r="27" spans="1:5" x14ac:dyDescent="0.5">
      <c r="A27" s="77">
        <f>HYPERLINK("#'neighbors_count'!A1","neighbors_count")</f>
      </c>
      <c r="B27" s="52">
        <f>COUNTIF(neighbors_count!$A:$BZ,"PASS")</f>
      </c>
      <c r="C27" s="54">
        <f>COUNTIF(neighbors_count!$A:$BZ,"FAIL")</f>
      </c>
      <c r="D27" s="46">
        <f ca="1">B27+C27</f>
        <v>5</v>
      </c>
      <c r="E27" s="46" t="str">
        <f ca="1">IF(C27&gt;0,"FAIL ("&amp;C27&amp;")",IF(D27=0,"-","all pass"))</f>
        <v>all pass</v>
      </c>
    </row>
    <row r="28" spans="1:5" x14ac:dyDescent="0.5">
      <c r="A28" s="77">
        <f>HYPERLINK("#'neighbors_list'!A1","neighbors_list")</f>
      </c>
      <c r="B28" s="52">
        <f>COUNTIF(neighbors_list!$A:$BZ,"PASS")</f>
      </c>
      <c r="C28" s="54">
        <f>COUNTIF(neighbors_list!$A:$BZ,"FAIL")</f>
      </c>
      <c r="D28" s="46">
        <f ca="1">B28+C28</f>
        <v>10</v>
      </c>
      <c r="E28" s="46" t="str">
        <f ca="1">IF(C28&gt;0,"FAIL ("&amp;C28&amp;")",IF(D28=0,"-","all pass"))</f>
        <v>all pass</v>
      </c>
    </row>
    <row r="29" spans="1:5" x14ac:dyDescent="0.5">
      <c r="A29" s="77">
        <f>HYPERLINK("#'num_ad'!A1","num_ad")</f>
      </c>
      <c r="B29" s="52">
        <f>COUNTIF(num_ad!$A:$BZ,"PASS")</f>
      </c>
      <c r="C29" s="54">
        <f>COUNTIF(num_ad!$A:$BZ,"FAIL")</f>
      </c>
      <c r="D29" s="46">
        <f ca="1">B29+C29</f>
        <v>6</v>
      </c>
      <c r="E29" s="46" t="str">
        <f ca="1">IF(C29&gt;0,"FAIL ("&amp;C29&amp;")",IF(D29=0,"-","all pass"))</f>
        <v>all pass</v>
      </c>
    </row>
    <row r="30" spans="1:5" x14ac:dyDescent="0.5">
      <c r="A30" s="77">
        <f>HYPERLINK("#'offset_letter'!A1","offset_letter")</f>
      </c>
      <c r="B30" s="52">
        <f>COUNTIF(offset_letter!$A:$BZ,"PASS")</f>
      </c>
      <c r="C30" s="54">
        <f>COUNTIF(offset_letter!$A:$BZ,"FAIL")</f>
      </c>
      <c r="D30" s="46">
        <f ca="1">B30+C30</f>
        <v>5</v>
      </c>
      <c r="E30" s="46" t="str">
        <f ca="1">IF(C30&gt;0,"FAIL ("&amp;C30&amp;")",IF(D30=0,"-","all pass"))</f>
        <v>all pass</v>
      </c>
    </row>
    <row r="31" spans="1:5" x14ac:dyDescent="0.5">
      <c r="A31" s="77">
        <f>HYPERLINK("#'only_letters'!A1","only_letters")</f>
      </c>
      <c r="B31" s="52">
        <f>COUNTIF(only_letters!$A:$BZ,"PASS")</f>
      </c>
      <c r="C31" s="54">
        <f>COUNTIF(only_letters!$A:$BZ,"FAIL")</f>
      </c>
      <c r="D31" s="46">
        <f ca="1">B31+C31</f>
        <v>5</v>
      </c>
      <c r="E31" s="46" t="str">
        <f ca="1">IF(C31&gt;0,"FAIL ("&amp;C31&amp;")",IF(D31=0,"-","all pass"))</f>
        <v>all pass</v>
      </c>
    </row>
    <row r="32" spans="1:5" x14ac:dyDescent="0.5">
      <c r="A32" s="77">
        <f>HYPERLINK("#'only_numbers'!A1","only_numbers")</f>
      </c>
      <c r="B32" s="52">
        <f>COUNTIF(only_numbers!$A:$BZ,"PASS")</f>
      </c>
      <c r="C32" s="54">
        <f>COUNTIF(only_numbers!$A:$BZ,"FAIL")</f>
      </c>
      <c r="D32" s="46">
        <f ca="1">B32+C32</f>
        <v>7</v>
      </c>
      <c r="E32" s="46" t="str">
        <f ca="1">IF(C32&gt;0,"FAIL ("&amp;C32&amp;")",IF(D32=0,"-","all pass"))</f>
        <v>all pass</v>
      </c>
    </row>
    <row r="33" spans="1:5" x14ac:dyDescent="0.5">
      <c r="A33" s="77">
        <f>HYPERLINK("#'rc_to_ad'!A1","rc_to_ad")</f>
      </c>
      <c r="B33" s="52">
        <f>COUNTIF(rc_to_ad!$A:$BZ,"PASS")</f>
      </c>
      <c r="C33" s="54">
        <f>COUNTIF(rc_to_ad!$A:$BZ,"FAIL")</f>
      </c>
      <c r="D33" s="46">
        <f ca="1">B33+C33</f>
        <v>3</v>
      </c>
      <c r="E33" s="46" t="str">
        <f ca="1">IF(C33&gt;0,"FAIL ("&amp;C33&amp;")",IF(D33=0,"-","all pass"))</f>
        <v>all pass</v>
      </c>
    </row>
    <row r="34" spans="1:5" x14ac:dyDescent="0.5">
      <c r="A34" s="77">
        <f>HYPERLINK("#'rev'!A1","rev")</f>
      </c>
      <c r="B34" s="52">
        <f>COUNTIF(rev!$A:$BZ,"PASS")</f>
      </c>
      <c r="C34" s="54">
        <f>COUNTIF(rev!$A:$BZ,"FAIL")</f>
      </c>
      <c r="D34" s="46">
        <f ca="1">B34+C34</f>
        <v>10</v>
      </c>
      <c r="E34" s="46" t="str">
        <f ca="1">IF(C34&gt;0,"FAIL ("&amp;C34&amp;")",IF(D34=0,"-","all pass"))</f>
        <v>all pass</v>
      </c>
    </row>
    <row r="35" spans="1:5" x14ac:dyDescent="0.5">
      <c r="A35" s="77">
        <f>HYPERLINK("#'rotate_arrow'!A1","rotate_arrow")</f>
      </c>
      <c r="B35" s="52">
        <f>COUNTIF(rotate_arrow!$A:$BZ,"PASS")</f>
      </c>
      <c r="C35" s="54">
        <f>COUNTIF(rotate_arrow!$A:$BZ,"FAIL")</f>
      </c>
      <c r="D35" s="46">
        <f ca="1">B35+C35</f>
        <v>5</v>
      </c>
      <c r="E35" s="46" t="str">
        <f ca="1">IF(C35&gt;0,"FAIL ("&amp;C35&amp;")",IF(D35=0,"-","all pass"))</f>
        <v>all pass</v>
      </c>
    </row>
    <row r="36" spans="1:5" x14ac:dyDescent="0.5">
      <c r="A36" s="77">
        <f>HYPERLINK("#'route_cost'!A1","route_cost")</f>
      </c>
      <c r="B36" s="52">
        <f>COUNTIF(route_cost!$A:$BZ,"PASS")</f>
      </c>
      <c r="C36" s="54">
        <f>COUNTIF(route_cost!$A:$BZ,"FAIL")</f>
      </c>
      <c r="D36" s="46">
        <f ca="1">B36+C36</f>
        <v>5</v>
      </c>
      <c r="E36" s="46" t="str">
        <f ca="1">IF(C36&gt;0,"FAIL ("&amp;C36&amp;")",IF(D36=0,"-","all pass"))</f>
        <v>all pass</v>
      </c>
    </row>
    <row r="37" spans="1:5" x14ac:dyDescent="0.5">
      <c r="A37" s="77" t="str">
        <f>HYPERLINK("#'save_array'!A1","save_array")</f>
        <v>save_array</v>
      </c>
      <c r="B37" s="52">
        <f ca="1">COUNTIF(save_array!$A:$BZ,"PASS")</f>
        <v>3</v>
      </c>
      <c r="C37" s="54">
        <f ca="1">COUNTIF(save_array!$A:$BZ,"FAIL")</f>
        <v>0</v>
      </c>
      <c r="D37" s="46">
        <f ca="1">B37+C37</f>
        <v>3</v>
      </c>
      <c r="E37" s="46" t="str">
        <f ca="1">IF(C37&gt;0,"FAIL ("&amp;C37&amp;")",IF(D37=0,"-","all pass"))</f>
        <v>all pass</v>
      </c>
    </row>
    <row r="38" spans="1:5" x14ac:dyDescent="0.5">
      <c r="A38" s="77" t="str">
        <f>HYPERLINK("#'scan2'!A1","scan2")</f>
        <v>scan2</v>
      </c>
      <c r="B38" s="52">
        <f ca="1">COUNTIF(scan2!$A:$BZ,"PASS")</f>
        <v>3</v>
      </c>
      <c r="C38" s="54">
        <f ca="1">COUNTIF(scan2!$A:$BZ,"FAIL")</f>
        <v>0</v>
      </c>
      <c r="D38" s="46">
        <f ca="1">B38+C38</f>
        <v>3</v>
      </c>
      <c r="E38" s="46" t="str">
        <f ca="1">IF(C38&gt;0,"FAIL ("&amp;C38&amp;")",IF(D38=0,"-","all pass"))</f>
        <v>all pass</v>
      </c>
    </row>
    <row r="39" spans="1:5" x14ac:dyDescent="0.5">
      <c r="A39" s="77" t="str">
        <f>HYPERLINK("#'scan3'!A1","scan3")</f>
        <v>scan3</v>
      </c>
      <c r="B39" s="52">
        <f ca="1">COUNTIF(scan3!$A:$BZ,"PASS")</f>
        <v>2</v>
      </c>
      <c r="C39" s="54">
        <f ca="1">COUNTIF(scan3!$A:$BZ,"FAIL")</f>
        <v>0</v>
      </c>
      <c r="D39" s="46">
        <f ca="1">B39+C39</f>
        <v>2</v>
      </c>
      <c r="E39" s="46" t="str">
        <f ca="1">IF(C39&gt;0,"FAIL ("&amp;C39&amp;")",IF(D39=0,"-","all pass"))</f>
        <v>all pass</v>
      </c>
    </row>
    <row r="40" spans="1:5" x14ac:dyDescent="0.5">
      <c r="A40" s="77" t="str">
        <f>HYPERLINK("#'selections'!A1","selections")</f>
        <v>selections</v>
      </c>
      <c r="B40" s="52">
        <f ca="1">COUNTIF(selections!$A:$BZ,"PASS")</f>
        <v>5</v>
      </c>
      <c r="C40" s="54">
        <f ca="1">COUNTIF(selections!$A:$BZ,"FAIL")</f>
        <v>0</v>
      </c>
      <c r="D40" s="46">
        <f ca="1">B40+C40</f>
        <v>5</v>
      </c>
      <c r="E40" s="46" t="str">
        <f ca="1">IF(C40&gt;0,"FAIL ("&amp;C40&amp;")",IF(D40=0,"-","all pass"))</f>
        <v>all pass</v>
      </c>
    </row>
    <row r="41" spans="1:5" x14ac:dyDescent="0.5">
      <c r="A41" s="77" t="str">
        <f>HYPERLINK("#'set'!A1","set")</f>
        <v>set</v>
      </c>
      <c r="B41" s="52">
        <f ca="1">COUNTIF(set!$A:$BZ,"PASS")</f>
        <v>4</v>
      </c>
      <c r="C41" s="54">
        <f ca="1">COUNTIF(set!$A:$BZ,"FAIL")</f>
        <v>0</v>
      </c>
      <c r="D41" s="46">
        <f ca="1">B41+C41</f>
        <v>4</v>
      </c>
      <c r="E41" s="46" t="str">
        <f ca="1">IF(C41&gt;0,"FAIL ("&amp;C41&amp;")",IF(D41=0,"-","all pass"))</f>
        <v>all pass</v>
      </c>
    </row>
    <row r="42" spans="1:5" x14ac:dyDescent="0.5">
      <c r="A42" s="77" t="str">
        <f>HYPERLINK("#'set_d'!A1","set_d")</f>
        <v>set_d</v>
      </c>
      <c r="B42" s="52">
        <f ca="1">COUNTIF(set_d!$A:$BZ,"PASS")</f>
        <v>2</v>
      </c>
      <c r="C42" s="54">
        <f ca="1">COUNTIF(set_d!$A:$BZ,"FAIL")</f>
        <v>0</v>
      </c>
      <c r="D42" s="46">
        <f ca="1">B42+C42</f>
        <v>2</v>
      </c>
      <c r="E42" s="46" t="str">
        <f ca="1">IF(C42&gt;0,"FAIL ("&amp;C42&amp;")",IF(D42=0,"-","all pass"))</f>
        <v>all pass</v>
      </c>
    </row>
    <row r="43" spans="1:5" x14ac:dyDescent="0.5">
      <c r="A43" s="77" t="str">
        <f>HYPERLINK("#'set_i'!A1","set_i")</f>
        <v>set_i</v>
      </c>
      <c r="B43" s="52">
        <f ca="1">COUNTIF(set_i!$A:$BZ,"PASS")</f>
        <v>3</v>
      </c>
      <c r="C43" s="54">
        <f ca="1">COUNTIF(set_i!$A:$BZ,"FAIL")</f>
        <v>0</v>
      </c>
      <c r="D43" s="46">
        <f ca="1">B43+C43</f>
        <v>3</v>
      </c>
      <c r="E43" s="46" t="str">
        <f ca="1">IF(C43&gt;0,"FAIL ("&amp;C43&amp;")",IF(D43=0,"-","all pass"))</f>
        <v>all pass</v>
      </c>
    </row>
    <row r="44" spans="1:5" x14ac:dyDescent="0.5">
      <c r="A44" s="77" t="str">
        <f>HYPERLINK("#'set_u'!A1","set_u")</f>
        <v>set_u</v>
      </c>
      <c r="B44" s="52">
        <f ca="1">COUNTIF(set_u!$A:$BZ,"PASS")</f>
        <v>3</v>
      </c>
      <c r="C44" s="54">
        <f ca="1">COUNTIF(set_u!$A:$BZ,"FAIL")</f>
        <v>0</v>
      </c>
      <c r="D44" s="46">
        <f ca="1">B44+C44</f>
        <v>3</v>
      </c>
      <c r="E44" s="46" t="str">
        <f ca="1">IF(C44&gt;0,"FAIL ("&amp;C44&amp;")",IF(D44=0,"-","all pass"))</f>
        <v>all pass</v>
      </c>
    </row>
    <row r="45" spans="1:5" x14ac:dyDescent="0.5">
      <c r="A45" s="77" t="str">
        <f>HYPERLINK("#'shift_arr'!A1","shift_arr")</f>
        <v>shift_arr</v>
      </c>
      <c r="B45" s="52">
        <f ca="1">COUNTIF(shift_arr!$A:$BZ,"PASS")</f>
        <v>7</v>
      </c>
      <c r="C45" s="54">
        <f ca="1">COUNTIF(shift_arr!$A:$BZ,"FAIL")</f>
        <v>0</v>
      </c>
      <c r="D45" s="46">
        <f ca="1">B45+C45</f>
        <v>7</v>
      </c>
      <c r="E45" s="46" t="str">
        <f ca="1">IF(C45&gt;0,"FAIL ("&amp;C45&amp;")",IF(D45=0,"-","all pass"))</f>
        <v>all pass</v>
      </c>
    </row>
    <row r="46" spans="1:5" x14ac:dyDescent="0.5">
      <c r="A46" s="77" t="str">
        <f>HYPERLINK("#'smallest'!A1","smallest")</f>
        <v>smallest</v>
      </c>
      <c r="B46" s="52">
        <f ca="1">COUNTIF(smallest!$A:$BZ,"PASS")</f>
        <v>3</v>
      </c>
      <c r="C46" s="54">
        <f ca="1">COUNTIF(smallest!$A:$BZ,"FAIL")</f>
        <v>0</v>
      </c>
      <c r="D46" s="46">
        <f ca="1">B46+C46</f>
        <v>3</v>
      </c>
      <c r="E46" s="46" t="str">
        <f ca="1">IF(C46&gt;0,"FAIL ("&amp;C46&amp;")",IF(D46=0,"-","all pass"))</f>
        <v>all pass</v>
      </c>
    </row>
    <row r="47" spans="1:5" x14ac:dyDescent="0.5">
      <c r="A47" s="77" t="str">
        <f>HYPERLINK("#'str_ad'!A1","str_ad")</f>
        <v>str_ad</v>
      </c>
      <c r="B47" s="52">
        <f ca="1">COUNTIF(str_ad!$A:$BZ,"PASS")</f>
        <v>7</v>
      </c>
      <c r="C47" s="54">
        <f ca="1">COUNTIF(str_ad!$A:$BZ,"FAIL")</f>
        <v>0</v>
      </c>
      <c r="D47" s="46">
        <f ca="1">B47+C47</f>
        <v>7</v>
      </c>
      <c r="E47" s="46" t="str">
        <f ca="1">IF(C47&gt;0,"FAIL ("&amp;C47&amp;")",IF(D47=0,"-","all pass"))</f>
        <v>all pass</v>
      </c>
    </row>
    <row r="48" spans="1:5" x14ac:dyDescent="0.5">
      <c r="A48" s="77" t="str">
        <f>HYPERLINK("#'str_rev'!A1","str_rev")</f>
        <v>str_rev</v>
      </c>
      <c r="B48" s="52">
        <f ca="1">COUNTIF(str_rev!$A:$BZ,"PASS")</f>
        <v>4</v>
      </c>
      <c r="C48" s="54">
        <f ca="1">COUNTIF(str_rev!$A:$BZ,"FAIL")</f>
        <v>0</v>
      </c>
      <c r="D48" s="46">
        <f ca="1">B48+C48</f>
        <v>4</v>
      </c>
      <c r="E48" s="46" t="str">
        <f ca="1">IF(C48&gt;0,"FAIL ("&amp;C48&amp;")",IF(D48=0,"-","all pass"))</f>
        <v>all pass</v>
      </c>
    </row>
    <row r="49" spans="1:5" x14ac:dyDescent="0.5">
      <c r="A49" s="77" t="str">
        <f>HYPERLINK("#'str_to_arr'!A1","str_to_arr")</f>
        <v>str_to_arr</v>
      </c>
      <c r="B49" s="52">
        <f ca="1">COUNTIF(str_to_arr!$A:$BZ,"PASS")</f>
        <v>3</v>
      </c>
      <c r="C49" s="54">
        <f ca="1">COUNTIF(str_to_arr!$A:$BZ,"FAIL")</f>
        <v>0</v>
      </c>
      <c r="D49" s="46">
        <f ca="1">B49+C49</f>
        <v>3</v>
      </c>
      <c r="E49" s="46" t="str">
        <f ca="1">IF(C49&gt;0,"FAIL ("&amp;C49&amp;")",IF(D49=0,"-","all pass"))</f>
        <v>all pass</v>
      </c>
    </row>
    <row r="50" spans="1:5" x14ac:dyDescent="0.5">
      <c r="A50" s="77" t="str">
        <f>HYPERLINK("#'textbetween'!A1","textbetween")</f>
        <v>textbetween</v>
      </c>
      <c r="B50" s="52">
        <f ca="1">COUNTIF(textbetween!$A:$BZ,"PASS")</f>
        <v>5</v>
      </c>
      <c r="C50" s="54">
        <f ca="1">COUNTIF(textbetween!$A:$BZ,"FAIL")</f>
        <v>0</v>
      </c>
      <c r="D50" s="46">
        <f ca="1">B50+C50</f>
        <v>5</v>
      </c>
      <c r="E50" s="46" t="str">
        <f ca="1">IF(C50&gt;0,"FAIL ("&amp;C50&amp;")",IF(D50=0,"-","all pass"))</f>
        <v>all pass</v>
      </c>
    </row>
    <row r="51" spans="1:5" x14ac:dyDescent="0.5">
      <c r="A51" s="77" t="str">
        <f>HYPERLINK("#'transform_array'!A1","transform_array")</f>
        <v>transform_array</v>
      </c>
      <c r="B51" s="52">
        <f ca="1">COUNTIF(transform_array!$A:$BZ,"PASS")</f>
        <v>7</v>
      </c>
      <c r="C51" s="54">
        <f ca="1">COUNTIF(transform_array!$A:$BZ,"FAIL")</f>
        <v>0</v>
      </c>
      <c r="D51" s="46">
        <f ca="1">B51+C51</f>
        <v>7</v>
      </c>
      <c r="E51" s="46" t="str">
        <f ca="1">IF(C51&gt;0,"FAIL ("&amp;C51&amp;")",IF(D51=0,"-","all pass"))</f>
        <v>all pass</v>
      </c>
    </row>
    <row r="52" spans="1:5" x14ac:dyDescent="0.5">
      <c r="A52" s="77" t="str">
        <f>HYPERLINK("#'update_arr'!A1","update_arr")</f>
        <v>update_arr</v>
      </c>
      <c r="B52" s="52">
        <f ca="1">COUNTIF(update_arr!$A:$BZ,"PASS")</f>
        <v>2</v>
      </c>
      <c r="C52" s="54">
        <f ca="1">COUNTIF(update_arr!$A:$BZ,"FAIL")</f>
        <v>0</v>
      </c>
      <c r="D52" s="46">
        <f ca="1">B52+C52</f>
        <v>2</v>
      </c>
      <c r="E52" s="46" t="str">
        <f ca="1">IF(C52&gt;0,"FAIL ("&amp;C52&amp;")",IF(D52=0,"-","all pass"))</f>
        <v>all pass</v>
      </c>
    </row>
    <row r="53" spans="1:5" x14ac:dyDescent="0.5">
      <c r="A53" s="77" t="str">
        <f>HYPERLINK("#'xbyrow'!A1","xbyrow")</f>
        <v>xbyrow</v>
      </c>
      <c r="B53" s="52">
        <f ca="1">COUNTIF(xbyrow!$A:$BZ,"PASS")</f>
        <v>3</v>
      </c>
      <c r="C53" s="54">
        <f ca="1">COUNTIF(xbyrow!$A:$BZ,"FAIL")</f>
        <v>0</v>
      </c>
      <c r="D53" s="46">
        <f ca="1">B53+C53</f>
        <v>3</v>
      </c>
      <c r="E53" s="46" t="str">
        <f ca="1">IF(C53&gt;0,"FAIL ("&amp;C53&amp;")",IF(D53=0,"-","all pass"))</f>
        <v>all pass</v>
      </c>
    </row>
    <row r="54" spans="1:5" x14ac:dyDescent="0.5">
      <c r="A54" s="77" t="str">
        <f>HYPERLINK("#'xcountif'!A1","xcountif")</f>
        <v>xcountif</v>
      </c>
      <c r="B54" s="52">
        <f ca="1">COUNTIF(xcountif!$A:$BZ,"PASS")</f>
        <v>5</v>
      </c>
      <c r="C54" s="54">
        <f ca="1">COUNTIF(xcountif!$A:$BZ,"FAIL")</f>
        <v>0</v>
      </c>
      <c r="D54" s="46">
        <f ca="1">B54+C54</f>
        <v>5</v>
      </c>
      <c r="E54" s="46" t="str">
        <f ca="1">IF(C54&gt;0,"FAIL ("&amp;C54&amp;")",IF(D54=0,"-","all pass"))</f>
        <v>all pass</v>
      </c>
    </row>
    <row r="55" spans="1:5" x14ac:dyDescent="0.5">
      <c r="A55" s="77" t="str">
        <f>HYPERLINK("#'xdec2bin'!A1","xdec2bin")</f>
        <v>xdec2bin</v>
      </c>
      <c r="B55" s="52">
        <f ca="1">COUNTIF(xdec2bin!$A:$BZ,"PASS")</f>
        <v>6</v>
      </c>
      <c r="C55" s="54">
        <f ca="1">COUNTIF(xdec2bin!$A:$BZ,"FAIL")</f>
        <v>0</v>
      </c>
      <c r="D55" s="46">
        <f ca="1">B55+C55</f>
        <v>6</v>
      </c>
      <c r="E55" s="46" t="str">
        <f ca="1">IF(C55&gt;0,"FAIL ("&amp;C55&amp;")",IF(D55=0,"-","all pass"))</f>
        <v>all pass</v>
      </c>
    </row>
    <row r="56" spans="1:5" x14ac:dyDescent="0.5">
      <c r="A56" s="77" t="str">
        <f>HYPERLINK("#'xfilter'!A1","xfilter")</f>
        <v>xfilter</v>
      </c>
      <c r="B56" s="52">
        <f ca="1">COUNTIF(xfilter!$A:$BZ,"PASS")</f>
        <v>6</v>
      </c>
      <c r="C56" s="54">
        <f ca="1">COUNTIF(xfilter!$A:$BZ,"FAIL")</f>
        <v>0</v>
      </c>
      <c r="D56" s="46">
        <f ca="1">B56+C56</f>
        <v>6</v>
      </c>
      <c r="E56" s="46" t="str">
        <f ca="1">IF(C56&gt;0,"FAIL ("&amp;C56&amp;")",IF(D56=0,"-","all pass"))</f>
        <v>all pass</v>
      </c>
    </row>
    <row r="57" spans="1:5" x14ac:dyDescent="0.5">
      <c r="A57" s="77" t="str">
        <f>HYPERLINK("#'xmod'!A1","xmod")</f>
        <v>xmod</v>
      </c>
      <c r="B57" s="52">
        <f ca="1">COUNTIF(xmod!$A:$BZ,"PASS")</f>
        <v>6</v>
      </c>
      <c r="C57" s="54">
        <f ca="1">COUNTIF(xmod!$A:$BZ,"FAIL")</f>
        <v>0</v>
      </c>
      <c r="D57" s="46">
        <f ca="1">B57+C57</f>
        <v>6</v>
      </c>
      <c r="E57" s="46" t="str">
        <f ca="1">IF(C57&gt;0,"FAIL ("&amp;C57&amp;")",IF(D57=0,"-","all pass"))</f>
        <v>all pass</v>
      </c>
    </row>
    <row r="58" spans="1:5" x14ac:dyDescent="0.5">
      <c r="A58" s="77" t="str">
        <f>HYPERLINK("#'xn'!A1","xn")</f>
        <v>xn</v>
      </c>
      <c r="B58" s="48">
        <f ca="1">COUNTIF(xn!$A:$BZ,"PASS")</f>
        <v>5</v>
      </c>
      <c r="C58" s="50">
        <f ca="1">COUNTIF(xn!$A:$BZ,"FAIL")</f>
        <v>0</v>
      </c>
      <c r="D58" s="45">
        <f ca="1">B58+C58</f>
        <v>5</v>
      </c>
      <c r="E58" s="45" t="str">
        <f ca="1">IF(C58&gt;0,"FAIL ("&amp;C58&amp;")",IF(D58=0,"-","all pass"))</f>
        <v>all pass</v>
      </c>
    </row>
    <row r="59" spans="1:5" x14ac:dyDescent="0.5">
      <c r="A59" s="77" t="str">
        <f>HYPERLINK("#'xrank'!A1","xrank")</f>
        <v>xrank</v>
      </c>
      <c r="B59" s="48">
        <f ca="1">COUNTIF(xrank!$A:$BZ,"PASS")</f>
        <v>6</v>
      </c>
      <c r="C59" s="50">
        <f ca="1">COUNTIF(xrank!$A:$BZ,"FAIL")</f>
        <v>0</v>
      </c>
      <c r="D59" s="45">
        <f ca="1">B59+C59</f>
        <v>6</v>
      </c>
      <c r="E59" s="45" t="str">
        <f ca="1">IF(C59&gt;0,"FAIL ("&amp;C59&amp;")",IF(D59=0,"-","all pass"))</f>
        <v>all pass</v>
      </c>
    </row>
    <row r="60" spans="1:5" x14ac:dyDescent="0.5">
      <c r="A60" s="77" t="str">
        <f>HYPERLINK("#'xsequence'!A1","xsequence")</f>
        <v>xsequence</v>
      </c>
      <c r="B60" s="48">
        <f ca="1">COUNTIF(xsequence!$A:$BZ,"PASS")</f>
        <v>7</v>
      </c>
      <c r="C60" s="50">
        <f ca="1">COUNTIF(xsequence!$A:$BZ,"FAIL")</f>
        <v>0</v>
      </c>
      <c r="D60" s="45">
        <f ca="1">B60+C60</f>
        <v>7</v>
      </c>
      <c r="E60" s="45" t="str">
        <f ca="1">IF(C60&gt;0,"FAIL ("&amp;C60&amp;")",IF(D60=0,"-","all pass"))</f>
        <v>all pass</v>
      </c>
    </row>
    <row r="61" spans="1:5" x14ac:dyDescent="0.5">
      <c r="A61" s="77" t="str">
        <f>HYPERLINK("#'xtextsplit'!A1","xtextsplit")</f>
        <v>xtextsplit</v>
      </c>
      <c r="B61" s="48">
        <f ca="1">COUNTIF(xtextsplit!$A:$BZ,"PASS")</f>
        <v>5</v>
      </c>
      <c r="C61" s="50">
        <f ca="1">COUNTIF(xtextsplit!$A:$BZ,"FAIL")</f>
        <v>0</v>
      </c>
      <c r="D61" s="45">
        <f ca="1">B61+C61</f>
        <v>5</v>
      </c>
      <c r="E61" s="45" t="str">
        <f ca="1">IF(C61&gt;0,"FAIL ("&amp;C61&amp;")",IF(D61=0,"-","all pass"))</f>
        <v>all pass</v>
      </c>
    </row>
    <row r="62" spans="1:5" x14ac:dyDescent="0.5">
      <c r="A62" s="77" t="str">
        <f>HYPERLINK("#'xtocol'!A1","xtocol")</f>
        <v>xtocol</v>
      </c>
      <c r="B62" s="48">
        <f ca="1">COUNTIF(xtocol!$A:$BZ,"PASS")</f>
        <v>5</v>
      </c>
      <c r="C62" s="50">
        <f ca="1">COUNTIF(xtocol!$A:$BZ,"FAIL")</f>
        <v>0</v>
      </c>
      <c r="D62" s="45">
        <f ca="1">B62+C62</f>
        <v>5</v>
      </c>
      <c r="E62" s="45" t="str">
        <f ca="1">IF(C62&gt;0,"FAIL ("&amp;C62&amp;")",IF(D62=0,"-","all pass"))</f>
        <v>all pass</v>
      </c>
    </row>
    <row r="63" spans="1:5" x14ac:dyDescent="0.5">
      <c r="A63" t="s">
        <v>2909</v>
      </c>
      <c r="B63" s="48">
        <f ca="1">SUM(B5:B62)</f>
        <v>295</v>
      </c>
      <c r="C63" s="50">
        <f ca="1">SUM(C5:C62)</f>
        <v>0</v>
      </c>
      <c r="D63" s="45">
        <f ca="1">SUM(D5:D62)</f>
        <v>295</v>
      </c>
      <c r="E63" s="45" t="str">
        <f ca="1">IF(C63&gt;0,C63&amp;" FAILING","ALL PASS")</f>
        <v>ALL PASS</v>
      </c>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abSelected="1" topLeftCell="A2" zoomScale="85" zoomScaleNormal="85" workbookViewId="0">
      <selection activeCell="N9" sqref="N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route_edges(board, start_ref, move_rule, [dirs],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move_rule.
  start_ref   - starting cell as A1 text, a numeric address (1e6*row+col), or a {row, col} coordinate pair relative to board.
  move_rule   - LAMBDA(from_cell, to_cell, dir). Return a nonnegative move cost for a legal move; return NA(), text, or a negative value for an illegal move. Other Excel errors remain visible.
  [dirs]      - string of allowed arrow characters. Defaults to all eight directions: ↑↓←→↖↗↙↘.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uses a label-correcting frontier through two private helpers. Each pass examines only outgoing moves from cells whose costs improved in the previous pass, and it stops as soon as no cell improves. It requires no circular references or iterative-calculation setting. The complete route state must be the current cell; rules involving previous direction, collected keys, or other path history require an expanded state.
Example:
  =route_edges(A1:C3,"B2",LAMBDA(from_cell,to_cell,dir,XLOOKUP(dir,{"↑","↓","←","→","↖","↗","↙","↘"},{3,3,4,4,5,5,5,5},NA())),,8)
  returns the 3-4-5 directional distance map from B2.</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move_rule, [dirs], [max_steps],
  LET(
    row_count, ROWS(board),
    col_count, COLUMNS(board),
    infinity, 1E99,
    all_dirs, {"↑"; "↓"; "←"; "→"; "↖"; "↗"; "↙"; "↘"},
    dir_text, IF(ISOMITTED(dirs), "↑↓←→↖↗↙↘", dirs),
    dir_list, FILTER(all_dirs, ISNUMBER(SEARCH(all_dirs, dir_text))),
    row_delta, XLOOKUP(dir_list, all_dirs, {-1; 1; 0; 0; -1; -1; 1; 1}),
    col_delta, XLOOKUP(dir_list, all_dirs,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z_route_edges_worker(
          z_route_edges_worker,
          initial_costs,
          HSTACK(start_row, start_col, 0),
          board,
          move_rule,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inlineStr">
        <is>
          <t xml:space="preserve">ftd_maze_cost(board,start_ref,ftd_lambda,[max_steps]) - directed maze costs; ftd_lambda(from,to,dir) cost or NA()/text illegal</t>
        </is>
      </c>
      <c r="N4" s="45"/>
      <c r="V4" s="45" t="str">
        <f>COUNTIF(V6:V40,"PASS")&amp;" / 5 PASS"</f>
        <v>5 / 5 PASS</v>
      </c>
    </row>
    <row r="5" spans="1:22" x14ac:dyDescent="0.5">
      <c r="A5" s="45" t="s">
        <v>7</v>
      </c>
      <c r="B5" s="45" t="s">
        <v>8</v>
      </c>
      <c r="D5" s="45" t="s">
        <v>3645</v>
      </c>
      <c r="J5" s="48"/>
      <c r="L5" s="49"/>
      <c r="N5" s="48" t="s">
        <v>10</v>
      </c>
      <c r="O5" s="48"/>
      <c r="P5" s="48"/>
      <c r="R5" s="49" t="s">
        <v>11</v>
      </c>
      <c r="S5" s="49"/>
      <c r="T5" s="49"/>
      <c r="V5" s="50" t="s">
        <v>12</v>
      </c>
    </row>
    <row r="6" spans="1:22" ht="32" x14ac:dyDescent="0.5">
      <c r="A6" s="46">
        <v>1</v>
      </c>
      <c r="B6" s="47" t="s">
        <v>3646</v>
      </c>
      <c r="D6" s="51">
        <v>1</v>
      </c>
      <c r="E6" s="51">
        <v>2</v>
      </c>
      <c r="F6" s="51">
        <v>3</v>
      </c>
      <c r="J6" s="52"/>
      <c r="L6" s="53"/>
      <c r="N6" s="52">
        <v>5</v>
      </c>
      <c r="O6" s="52">
        <v>3</v>
      </c>
      <c r="P6" s="52">
        <v>5</v>
      </c>
      <c r="R6" s="53" cm="1">
        <f t="array" ref="R6:T8">ftd_maze_cost(D6:F8,{2,2},_xlfn.LAMBDA(_xlpm.f,_xlpm.t,_xlpm.d,_xlfn.XLOOKUP(_xlpm.d,{"↑","↓","←","→","↖","↗","↙","↘"},{3,3,4,4,5,5,5,5},NA())),8)</f>
        <v>0</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inlineStr">
        <is>
          <t xml:space="preserve">maze 8-dir; wall (#) unreachable = blank</t>
        </is>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3</v>
      </c>
    </row>
    <row r="12" spans="1:22" x14ac:dyDescent="0.5">
      <c r="A12" s="55"/>
      <c r="B12" s="55"/>
      <c r="D12" s="51" t="s">
        <v>2662</v>
      </c>
      <c r="E12" s="51" t="s">
        <v>2662</v>
      </c>
      <c r="F12" s="51" t="s">
        <v>2662</v>
      </c>
      <c r="J12" s="52"/>
      <c r="L12" s="53"/>
      <c r="N12" s="52">
        <v>2</v>
      </c>
      <c r="O12" s="52">
        <v>2</v>
      </c>
      <c r="P12" s="52">
        <v>3</v>
      </c>
      <c r="R12">
        <v>2</v>
      </c>
      <c r="S12">
        <v>3</v>
      </c>
      <c r="T12">
        <v>4</v>
      </c>
    </row>
    <row r="14" spans="1:22" x14ac:dyDescent="0.5">
      <c r="A14" s="46">
        <v>3</v>
      </c>
      <c r="B14" s="47" t="s">
        <v>3648</v>
      </c>
      <c r="D14" s="51">
        <v>1</v>
      </c>
      <c r="E14" s="51">
        <v>2</v>
      </c>
      <c r="F14" s="51">
        <v>3</v>
      </c>
      <c r="J14" s="52"/>
      <c r="L14" s="53"/>
      <c r="N14" s="52" t="s">
        <v>2631</v>
      </c>
      <c r="R14" s="53" cm="1">
        <f t="array" ref="R14">ftd_maze_cost(D14:F16,{9,9},_xlfn.LAMBDA(_xlpm.f,_xlpm.t,_xlpm.d,_xlfn.XLOOKUP(_xlpm.d,{"↑","↓","←","→","↖","↗","↙","↘"},{3,3,4,4,5,5,5,5},NA())),8)</f>
        <v>0</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3649</v>
      </c>
      <c r="D18" s="51">
        <v>1</v>
      </c>
      <c r="E18" s="51">
        <v>2</v>
      </c>
      <c r="F18" s="51">
        <v>3</v>
      </c>
      <c r="J18" s="52"/>
      <c r="L18" s="53"/>
      <c r="N18" s="52">
        <v>3</v>
      </c>
      <c r="R18" s="53">
        <f>ROWS(ftd_maze_cost(D18:F20,{1,1},_xlfn.LAMBDA(_xlpm.f,_xlpm.t,_xlpm.d,1),8))</f>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3650</v>
      </c>
      <c r="D22" s="51" t="s">
        <v>2662</v>
      </c>
      <c r="E22" s="51" t="s">
        <v>2662</v>
      </c>
      <c r="F22" s="51" t="s">
        <v>2662</v>
      </c>
      <c r="N22" s="52" t="s">
        <v>3651</v>
      </c>
      <c r="R22" s="53" cm="1">
        <f t="array" ref="R22">ftd_maze_cost(D22:F24,{1,1},_xlfn.LAMBDA(_xlpm.f,_xlpm.t,_xlpm.d,IF(_xlpm.t="#",NA(),1)),1)</f>
        <v>0</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3649</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3649</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s">
        <v>3259</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3260</v>
      </c>
      <c r="D6" s="51" t="s">
        <v>3261</v>
      </c>
      <c r="J6" s="52" t="s">
        <v>2937</v>
      </c>
      <c r="N6" s="53" t="str" cm="1">
        <f t="array" ref="N6:N8">xtextsplit(D6)</f>
        <v>a</v>
      </c>
      <c r="R6" s="54" t="str" cm="1">
        <f t="array" ref="R6">IF(AND(J6:J8=N6:N8),"PASS","FAIL")</f>
        <v>PASS</v>
      </c>
    </row>
    <row r="7" spans="1:19" x14ac:dyDescent="0.5">
      <c r="A7" s="55"/>
      <c r="B7" s="55"/>
      <c r="J7" s="52" t="s">
        <v>2938</v>
      </c>
      <c r="N7" s="53" t="str">
        <v>b</v>
      </c>
    </row>
    <row r="8" spans="1:19" x14ac:dyDescent="0.5">
      <c r="A8" s="55"/>
      <c r="B8" s="55"/>
      <c r="J8" s="52" t="s">
        <v>2946</v>
      </c>
      <c r="N8" s="53" t="str">
        <v>c</v>
      </c>
    </row>
    <row r="10" spans="1:19" x14ac:dyDescent="0.5">
      <c r="A10" s="46">
        <v>2</v>
      </c>
      <c r="B10" s="47" t="s">
        <v>3262</v>
      </c>
      <c r="D10" s="51" t="s">
        <v>3263</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3264</v>
      </c>
      <c r="D14" s="51" t="s">
        <v>3265</v>
      </c>
      <c r="F14" s="51" t="s">
        <v>3266</v>
      </c>
      <c r="J14" s="52" t="s">
        <v>2937</v>
      </c>
      <c r="N14" s="53" t="str" cm="1">
        <f t="array" ref="N14:N16">xtextsplit(D14,F14)</f>
        <v>a</v>
      </c>
      <c r="R14" s="54" t="str" cm="1">
        <f t="array" ref="R14">IF(AND(J14:J16=N14:N16),"PASS","FAIL")</f>
        <v>PASS</v>
      </c>
    </row>
    <row r="15" spans="1:19" x14ac:dyDescent="0.5">
      <c r="A15" s="55"/>
      <c r="B15" s="55"/>
      <c r="J15" s="52" t="s">
        <v>2938</v>
      </c>
      <c r="N15" s="53" t="str">
        <v>b</v>
      </c>
    </row>
    <row r="16" spans="1:19" x14ac:dyDescent="0.5">
      <c r="A16" s="55"/>
      <c r="B16" s="55"/>
      <c r="J16" s="52" t="s">
        <v>2946</v>
      </c>
      <c r="N16" s="53" t="str">
        <v>c</v>
      </c>
    </row>
    <row r="18" spans="1:18" x14ac:dyDescent="0.5">
      <c r="A18" s="46">
        <v>4</v>
      </c>
      <c r="B18" s="47" t="s">
        <v>3267</v>
      </c>
      <c r="D18" s="51" t="s">
        <v>3261</v>
      </c>
      <c r="F18" s="51"/>
      <c r="H18" s="51">
        <v>1</v>
      </c>
      <c r="J18" s="52" t="s">
        <v>2937</v>
      </c>
      <c r="K18" s="52" t="s">
        <v>2938</v>
      </c>
      <c r="L18" s="52" t="s">
        <v>2946</v>
      </c>
      <c r="N18" s="53" t="str" cm="1">
        <f t="array" ref="N18:P18">xtextsplit(D18,,H18)</f>
        <v>a</v>
      </c>
      <c r="O18" s="53" t="str">
        <v>b</v>
      </c>
      <c r="P18" s="53" t="str">
        <v>c</v>
      </c>
      <c r="R18" s="54" t="str" cm="1">
        <f t="array" ref="R18">IF(AND(J18:L18=N18:P18),"PASS","FAIL")</f>
        <v>PASS</v>
      </c>
    </row>
    <row r="20" spans="1:18" x14ac:dyDescent="0.5">
      <c r="A20" s="46">
        <v>5</v>
      </c>
      <c r="B20" s="47" t="s">
        <v>3268</v>
      </c>
      <c r="D20" s="51" t="s">
        <v>3072</v>
      </c>
      <c r="J20" s="52" t="s">
        <v>3072</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route_edges</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2026-08-07T20:52:34Z</dcterms:modified>
</cp:coreProperties>
</file>