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EDEFE6F-8EC7-4E1E-A543-725DF979D3EB}" xr6:coauthVersionLast="47" xr6:coauthVersionMax="47" xr10:uidLastSave="{00000000-0000-0000-0000-000000000000}"/>
  <bookViews>
    <workbookView xWindow="-110" yWindow="-110" windowWidth="38620" windowHeight="21820" firstSheet="6" activeTab="20" xr2:uid="{00000000-000D-0000-FFFF-FFFF00000000}"/>
  </bookViews>
  <sheets>
    <sheet name="Prep" sheetId="1" r:id="rId1"/>
    <sheet name="Lamb" sheetId="2" r:id="rId2"/>
    <sheet name="test_summary" sheetId="3" r:id="rId3"/>
    <sheet name="addr_lookup" sheetId="4" r:id="rId4"/>
    <sheet name="arrow" sheetId="5" r:id="rId5"/>
    <sheet name="arrow_move" sheetId="6" r:id="rId6"/>
    <sheet name="arrow_trip" sheetId="7" r:id="rId7"/>
    <sheet name="biggest" sheetId="8" r:id="rId8"/>
    <sheet name="clamp" sheetId="9" r:id="rId9"/>
    <sheet name="count_substring" sheetId="10" r:id="rId10"/>
    <sheet name="ctotal" sheetId="11" r:id="rId11"/>
    <sheet name="cycles" sheetId="12" r:id="rId12"/>
    <sheet name="die_pips" sheetId="13" r:id="rId13"/>
    <sheet name="dist" sheetId="14" r:id="rId14"/>
    <sheet name="exists" sheetId="15" r:id="rId15"/>
    <sheet name="freq_table" sheetId="16" r:id="rId16"/>
    <sheet name="is_unique" sheetId="17" r:id="rId17"/>
    <sheet name="knight_moves" sheetId="18" r:id="rId18"/>
    <sheet name="label_lookup" sheetId="19" r:id="rId19"/>
    <sheet name="load_array" sheetId="20" r:id="rId20"/>
    <sheet name="neighbors_count" sheetId="21" r:id="rId21"/>
    <sheet name="neighbors_list" sheetId="22" r:id="rId22"/>
    <sheet name="num_ad" sheetId="23" r:id="rId23"/>
    <sheet name="offset_letter" sheetId="24" r:id="rId24"/>
    <sheet name="only_letters" sheetId="25" r:id="rId25"/>
    <sheet name="only_numbers" sheetId="26" r:id="rId26"/>
    <sheet name="range2ad" sheetId="27" r:id="rId27"/>
    <sheet name="rev" sheetId="28" r:id="rId28"/>
    <sheet name="rotate_arrow" sheetId="29" r:id="rId29"/>
    <sheet name="route_cost" sheetId="30" r:id="rId30"/>
    <sheet name="save_array" sheetId="31" r:id="rId31"/>
    <sheet name="selections" sheetId="32" r:id="rId32"/>
    <sheet name="set" sheetId="33" r:id="rId33"/>
    <sheet name="set_d" sheetId="34" r:id="rId34"/>
    <sheet name="set_i" sheetId="35" r:id="rId35"/>
    <sheet name="set_u" sheetId="36" r:id="rId36"/>
    <sheet name="shift_arr" sheetId="37" r:id="rId37"/>
    <sheet name="smallest" sheetId="38" r:id="rId38"/>
    <sheet name="str2arr" sheetId="39" r:id="rId39"/>
    <sheet name="str_ad" sheetId="40" r:id="rId40"/>
    <sheet name="str_rev" sheetId="41" r:id="rId41"/>
    <sheet name="textbetween" sheetId="42" r:id="rId42"/>
    <sheet name="transform_array" sheetId="43" r:id="rId43"/>
    <sheet name="update_arr" sheetId="44" r:id="rId44"/>
    <sheet name="xbyrow" sheetId="45" r:id="rId45"/>
    <sheet name="xcountif" sheetId="46" r:id="rId46"/>
    <sheet name="xdec2bin" sheetId="47" r:id="rId47"/>
    <sheet name="xfilter" sheetId="48" r:id="rId48"/>
    <sheet name="xmod" sheetId="49" r:id="rId49"/>
    <sheet name="xn" sheetId="50" r:id="rId50"/>
    <sheet name="xrank" sheetId="51" r:id="rId51"/>
    <sheet name="xsequence" sheetId="52" r:id="rId52"/>
    <sheet name="xtextsplit" sheetId="53" r:id="rId53"/>
    <sheet name="xtocol" sheetId="54" r:id="rId54"/>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ase_sensitive" hidden="1" xlm="1">#NAME?</definedName>
    <definedName name="_xlop.clean" hidden="1" xlm="1">#NAME?</definedName>
    <definedName name="_xlop.clean_input" hidden="1" xlm="1">#NAME?</definedName>
    <definedName name="_xlop.col_delimiter"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flat"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dr"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n" hidden="1" xlm="1">#NAME?</definedName>
    <definedName name="_xlpm.ans" hidden="1" xlm="1">#NAME?</definedName>
    <definedName name="_xlpm.apply_one" hidden="1" xlm="1">#NAME?</definedName>
    <definedName name="_xlpm.arr" hidden="1" xlm="1">#NAME?</definedName>
    <definedName name="_xlpm.arr_" hidden="1" xlm="1">#NAME?</definedName>
    <definedName name="_xlpm.arr_col_rev"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tween_text" hidden="1" xlm="1">#NAME?</definedName>
    <definedName name="_xlpm.BFS_STEP" hidden="1" xlm="1">#NAME?</definedName>
    <definedName name="_xlpm.bits" hidden="1" xlm="1">#NAME?</definedName>
    <definedName name="_xlpm.bnd" hidden="1" xlm="1">#NAME?</definedName>
    <definedName name="_xlpm.Board" hidden="1" xlm="1">#NAME?</definedName>
    <definedName name="_xlpm.board_rng" hidden="1" xlm="1">#NAME?</definedName>
    <definedName name="_xlpm.board_tx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0" hidden="1" xlm="1">#NAME?</definedName>
    <definedName name="_xlpm.can_split"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down_n" hidden="1" xlm="1">#NAME?</definedName>
    <definedName name="_xlpm.COUNTONE"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s"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type"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h_arr" hidden="1" xlm="1">#NAME?</definedName>
    <definedName name="_xlpm.has_b" hidden="1" xlm="1">#NAME?</definedName>
    <definedName name="_xlpm.has_bounds"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lef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erred_delim"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ols" hidden="1" xlm="1">#NAME?</definedName>
    <definedName name="_xlpm.n_rows" hidden="1" xlm="1">#NAME?</definedName>
    <definedName name="_xlpm.na" hidden="1" xlm="1">#NAME?</definedName>
    <definedName name="_xlpm.nc"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r" hidden="1" xlm="1">#NAME?</definedName>
    <definedName name="_xlpm.nSeq" hidden="1" xlm="1">#NAME?</definedName>
    <definedName name="_xlpm.num" hidden="1" xlm="1">#NAME?</definedName>
    <definedName name="_xlpm.num_cols"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d" hidden="1" xlm="1">#NAME?</definedName>
    <definedName name="_xlpm.pad_" hidden="1" xlm="1">#NAME?</definedName>
    <definedName name="_xlpm.parse_point" hidden="1" xlm="1">#NAME?</definedName>
    <definedName name="_xlpm.parts" hidden="1" xlm="1">#NAME?</definedName>
    <definedName name="_xlpm.pat" hidden="1" xlm="1">#NAME?</definedName>
    <definedName name="_xlpm.places" hidden="1" xlm="1">#NAME?</definedName>
    <definedName name="_xlpm.pMap" hidden="1" xlm="1">#NAME?</definedName>
    <definedName name="_xlpm.pnr_" hidden="1" xlm="1">#NAME?</definedName>
    <definedName name="_xlpm.point" hidden="1" xlm="1">#NAME?</definedName>
    <definedName name="_xlpm.pos"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idx"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ol"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i"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f" hidden="1" xlm="1">#NAME?</definedName>
    <definedName name="_xlpm.s_norm" hidden="1" xlm="1">#NAME?</definedName>
    <definedName name="_xlpm.s_text" hidden="1" xlm="1">#NAME?</definedName>
    <definedName name="_xlpm.sa" hidden="1" xlm="1">#NAME?</definedName>
    <definedName name="_xlpm.sbc" hidden="1" xlm="1">#NAME?</definedName>
    <definedName name="_xlpm.sc"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1" hidden="1" xlm="1">#NAME?</definedName>
    <definedName name="_xlpm.start_ad"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str"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w" hidden="1" xlm="1">#NAME?</definedName>
    <definedName name="_xlpm.wd" hidden="1" xlm="1">#NAME?</definedName>
    <definedName name="_xlpm.weights" hidden="1" xlm="1">#NAME?</definedName>
    <definedName name="_xlpm.whole_rep"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addr_lookup" comment="Non-volatile INDIRECT: value(s) at addr_ad within rng. addr_ad may be a numeric address, an A1 string, a range string (e.g. B2:D4), or an array of these. Out-of-bounds or no overlap returns &quot;&quot;.">_xlfn.LAMBDA(_xlpm.arr,_xlpm.address,
  _xlfn.LET(
    _xlpm.start_row, ROW(INDEX(_xlpm.arr, 1, 1)),
    _xlpm.start_col, COLUMN(INDEX(_xlpm.arr, 1, 1)),
    _xlpm.n_rows, ROWS(_xlpm.arr),
    _xlpm.n_cols, COLUMNS(_xlpm.arr),
    _xlpm.get_cell, _xlfn.LAMBDA(_xlpm.one,
      IFERROR(
        _xlfn.LET(
          _xlpm.num, num_ad(_xlpm.one),
          _xlpm.abs_row, INT(_xlpm.num / 1000000),
          _xlpm.abs_col, MOD(_xlpm.num, 1000000),
          _xlpm.rel_row, _xlpm.abs_row - _xlpm.start_row + 1,
          _xlpm.rel_col, _xlpm.abs_col - _xlpm.start_col + 1,
          IF(OR(_xlpm.rel_row &lt; 1, _xlpm.rel_row &gt; _xlpm.n_rows, _xlpm.rel_col &lt; 1, _xlpm.rel_col &gt; _xlpm.n_cols), "", INDEX(_xlpm.arr, _xlpm.rel_row, _xlpm.rel_col))
        ), "")),
    _xlpm.get_rect, _xlfn.LAMBDA(_xlpm.range_txt,
      IFERROR(
        _xlfn.LET(
          _xlpm.parts, _xlfn.TEXTSPLIT(UPPER(SUBSTITUTE(_xlpm.range_txt, "$", "")), ":"),
          _xlpm.first_num, num_ad(INDEX(_xlpm.parts, 1)),
          _xlpm.last_num, num_ad(INDEX(_xlpm.parts, 2)),
          _xlpm.f_r, INT(_xlpm.first_num / 1000000), _xlpm.f_c, MOD(_xlpm.first_num, 1000000),
          _xlpm.l_r, INT(_xlpm.last_num / 1000000), _xlpm.l_c, MOD(_xlpm.last_num, 1000000),
          _xlpm.i_top, MAX(_xlpm.start_row, MIN(_xlpm.f_r, _xlpm.l_r)),
          _xlpm.i_bot, MIN(_xlpm.start_row + _xlpm.n_rows - 1, MAX(_xlpm.f_r, _xlpm.l_r)),
          _xlpm.i_left, MAX(_xlpm.start_col, MIN(_xlpm.f_c, _xlpm.l_c)),
          _xlpm.i_right, MIN(_xlpm.start_col + _xlpm.n_cols - 1, MAX(_xlpm.f_c, _xlpm.l_c)),
          IF(OR(_xlpm.i_top &gt; _xlpm.i_bot, _xlpm.i_left &gt; _xlpm.i_right), "",
            _xlfn.TAKE(_xlfn.DROP(_xlpm.arr, _xlpm.i_top - _xlpm.start_row, _xlpm.i_left - _xlpm.start_col), _xlpm.i_bot - _xlpm.i_top + 1, _xlpm.i_right - _xlpm.i_left + 1))
        ), "")),
    IF(AND(ROWS(_xlpm.address) = 1, COLUMNS(_xlpm.address) = 1),
      IF(AND(ISTEXT(_xlpm.address), ISNUMBER(SEARCH(":", _xlpm.address))), _xlpm.get_rect(_xlpm.address), _xlpm.get_cell(_xlpm.address)),
      _xlfn.MAP(_xlpm.address, _xlpm.get_cell))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bounded by board_rng (default whole sheet). Returns a NUMERIC address. Out of bounds, push_mode: 1 stop at edge (default), 0 stay, -1 'oob'.">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_xlpm.d_row, _xlfn.SWITCH(_xlpm.arrow, "←", 0, "↖", -1, "↗", -1, "→", 0, "↙", 1, "↓", 1, "↘", 1, "↑", -1),
    _xlpm.d_col, _xlfn.SWITCH(_xlpm.arrow,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cross rng until the edge (or the optional stopper value). Returns a 2-column array of NUMERIC addresses and their values, including the start cell.">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addr_lookup(_xlpm.rng, _xlpm.a),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2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c_to_nc" comment="Converts a letter column (A through XFD) to its number (1 to 16384). Accepts a string or array.">_xlfn.LAMBDA(_xlpm.val, _xlfn.LET(
   _xlpm.convert_one, _xlfn.LAMBDA(_xlpm.txt, _xlfn.LET(
      _xlpm.up, UPPER(_xlpm.txt),
      _xlpm.n, LEN(_xlpm.up),
      _xlpm.seq, _xlfn.SEQUENCE(_xlpm.n),
      SUM((CODE(MID(_xlpm.up, _xlpm.seq, 1)) - 64) * 26 ^ (_xlpm.n - _xlpm.seq))
   )),
   IF(ROWS(_xlpm.val) * COLUMNS(_xlpm.val) = 1, _xlpm.convert_one(_xlpm.val), _xlfn.MAP(_xlpm.val, _xlpm.convert_one))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nc_to_lc" comment="Converts a column number (1 to 16384) to its letters (A to XFD). Accepts a number or array.">_xlfn.LAMBDA(_xlpm.nc,
   IF(
      _xlpm.nc &lt; 27,
      CHAR(64 + _xlpm.nc),
      IF(
         _xlpm.nc &lt; 703,
         _xlfn.LET(
            _xlpm.m, _xlpm.nc - 1,
            _xlpm.first, QUOTIENT(_xlpm.m, 26),
            _xlpm.second, MOD(_xlpm.m, 26),
            CHAR(64 + _xlpm.first) &amp; CHAR(65 + _xlpm.second)
         ),
         _xlfn.LET(
            _xlpm.m, _xlpm.nc - 1,
            _xlpm.first, QUOTIENT(_xlpm.m, 26 * 26),
            _xlpm.remainder, MOD(_xlpm.m, 26 * 26),
            _xlpm.second, QUOTIENT(_xlpm.remainder, 26),
            _xlpm.third, MOD(_xlpm.remainder, 26),
            CHAR(64 + _xlpm.first) &amp; CHAR(64 + _xlpm.second) &amp; CHAR(65 + _xlpm.third)
         )
      )
   )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s each valid A1 string address in arr to a numeric address (1e6*row+col). Anything that is not a string address - values already numeric, ranges, or junk - passes through unchanged. Element-wise; same shape as arr.">_xlfn.LAMBDA(_xlpm.arr,
  _xlfn.LET(
    _xlpm.to_num, _xlfn.LAMBDA(_xlpm.one,
      IFERROR(
        IF(NOT(ISTEXT(_xlpm.one)), _xlpm.one,
          _xlfn.LET(
            _xlpm.s, UPPER(SUBSTITUTE(IFERROR(_xlfn.TEXTAFTER(_xlpm.one, "!"), _xlpm.one), "$", "")),
            IF(NOT(_xlfn.REGEXTEST(_xlpm.s, "^[A-Z]{1,3}[0-9]+$")), _xlpm.one,
              _xlfn.LET(
                _xlpm.letters, _xlfn.REGEXEXTRACT(_xlpm.s, "[A-Z]+"),
                _xlpm.row_num, VALUE(_xlfn.REGEXEXTRACT(_xlpm.s, "[0-9]+")),
                _xlpm.nlet, LEN(_xlpm.letters),
                _xlpm.seq, _xlfn.SEQUENCE(_xlpm.nlet),
                _xlpm.col, SUM((CODE(MID(_xlpm.letters, _xlpm.seq, 1)) - 64) * 26 ^ (_xlpm.nlet - _xlpm.seq)),
                IF(OR(_xlpm.col &gt; 16384, _xlpm.row_num &gt; 1048576), _xlpm.one, 1000000 * _xlpm.row_num + _xlpm.col)))
          )),
        _xlpm.one)),
    IF(ROWS(_xlpm.arr) * COLUMNS(_xlpm.arr) = 1, _xlpm.to_num(_xlpm.arr), _xlfn.MAP(_xlpm.arr, _xlpm.to_num))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ange2ad" comment="Expands a range string like &quot;B4:AA43&quot; into an array of its cell addresses, in the same shape. str=0 (default) returns numeric addresses (1e6*row+col); str=1 returns A1 strings.">_xlfn.LAMBDA(_xlpm.range,_xlop.str, _xlfn.LET(
   _xlpm.as_str, IF(_xlfn.ISOMITTED(_xlpm.str), 0, _xlpm.str),
   _xlpm.stripped, UPPER(SUBSTITUTE(_xlpm.range, "$", "")),
   _xlpm.parts, _xlfn.TEXTSPLIT(_xlpm.stripped, ":"),
   _xlpm.first_ad, num_ad(INDEX(_xlpm.parts, 1)),
   _xlpm.last_ad, num_ad(IF(COLUMNS(_xlpm.parts) &gt; 1, INDEX(_xlpm.parts, 2), INDEX(_xlpm.parts, 1))),
   _xlpm.first_row, INT(_xlpm.first_ad / 1000000),
   _xlpm.first_col, MOD(_xlpm.first_ad, 1000000),
   _xlpm.last_row, INT(_xlpm.last_ad / 1000000),
   _xlpm.last_col, MOD(_xlpm.last_ad, 1000000),
   _xlpm.top, MIN(_xlpm.first_row, _xlpm.last_row),
   _xlpm.lft, MIN(_xlpm.first_col, _xlpm.last_col),
   _xlpm.n_rows, ABS(_xlpm.last_row - _xlpm.first_row) + 1,
   _xlpm.n_cols, ABS(_xlpm.last_col - _xlpm.first_col) + 1,
   _xlpm.nums, _xlfn.MAKEARRAY(_xlpm.n_rows, _xlpm.n_cols, _xlfn.LAMBDA(_xlpm.i,_xlpm.j, 1000000 * (_xlpm.top + _xlpm.i - 1) + (_xlpm.lft + _xlpm.j - 1))),
   IF(_xlpm.as_str, str_ad(_xlpm.nums), _xlpm.nums)
))</definedName>
    <definedName name="rc_to_ref" comment="Converts row and column numbers to an A1 reference (same as ADDRESS with abs_num 4).">_xlfn.LAMBDA(_xlpm.row,_xlpm.col, ADDRESS(_xlpm.row, _xlpm.col, 4))</definedName>
    <definedName name="ref_to_rc" comment="Converts an A1 reference to row and column numbers, as a vertical array by default (horizontal if as_row = 1).">_xlfn.LAMBDA(_xlpm.a1_text,_xlop.as_row, _xlfn.LET(
   _xlpm.upper_ref, UPPER(_xlpm.a1_text),
   _xlpm.column_letters, _xlfn.REGEXEXTRACT(_xlpm.upper_ref, "[A-Z]+"),
   _xlpm.row_number, VALUE(_xlfn.REGEXEXTRACT(_xlpm.upper_ref, "\d+")),
   _xlpm.n, LEN(_xlpm.column_letters),
   _xlpm.k, _xlfn.SEQUENCE(, _xlpm.n),
   _xlpm.chars, IFERROR(CODE(MID(_xlpm.column_letters, _xlpm.k, 1)) - 64, 0),
   _xlpm.weights, 26 ^ (_xlpm.n - _xlpm.k),
   _xlpm.column_number, _xlfn.BYROW(_xlpm.chars * _xlpm.weights, _xlfn.LAMBDA(_xlpm.r, SUM(_xlpm.r))),
   _xlpm.as_row_val, IF(_xlfn.ISOMITTED(_xlpm.as_row), 0, _xlpm.as_row),
   IF(
      _xlpm.as_row_val = 1,
      _xlfn.HSTACK(_xlpm.row_number, _xlpm.column_number),
      _xlfn.VSTACK(_xlpm.row_number, _xlpm.column_number)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clockwise = 1 (default) rotates clockwise; clockwise = 0 rotates counter-clockwise.">_xlfn.LAMBDA(_xlpm.arrow,_xlpm.steps,_xlop.dir, _xlfn.LET(
   _xlpm.arrows, "↑↗→↘↓↙←↖",
   _xlpm.arrow_list, MID(_xlpm.arrows, _xlfn.SEQUENCE(8), 1),
   _xlpm.i, _xlfn.XMATCH(_xlpm.arrow, _xlpm.arrow_list),
   _xlpm.s, IF(_xlfn.ISOMITTED(_xlpm.dir), _xlpm.steps, IF(_xlpm.dir = "ccw", -_xlpm.steps, _xlpm.steps)),
   _xlpm.n, MOD(_xlpm.i - 1 + _xlpm.s, 8) + 1,
   _xlfn.IFNA(MID(_xlpm.arrows, _xlpm.n, 1), "")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arrow. With no fill, items wrap around; if fill is a value, it fills the vacated cells instead.">_xlfn.LAMBDA(_xlpm.arr,_xlpm.dir,_xlop.steps,_xlop.fill, _xlfn.LET(
   _xlpm.s, IF(_xlfn.ISOMITTED(_xlpm.steps), 1, _xlpm.steps),
   _xlpm.wrap_mode, IF(_xlfn.ISOMITTED(_xlpm.fill), TRUE, _xlpm.fill = "wrap"),
   _xlpm.num_rows, ROWS(_xlpm.arr),
   _xlpm.num_cols, COLUMNS(_xlpm.arr),
   _xlpm.dir_list, {"U","D","L","R","UL","UR","DL","DR","↑","↓","←","→","↖","↗","↙","↘","⇑","⇓","⇐","⇒","⇖","⇗","⇙","⇘"},
   _xlpm.delta_r, CHOOSE(
      _xlfn.XMATCH(_xlpm.dir, _xlpm.dir_list),
      -1,
      1,
      0,
      0,
      -1,
      -1,
      1,
      1,
      -1,
      1,
      0,
      0,
      -1,
      -1,
      1,
      1,
      -1,
      1,
      0,
      0,
      -1,
      -1,
      1,
      1
   ),
   _xlpm.delta_c, CHOOSE(
      _xlfn.XMATCH(_xlpm.dir,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s each valid numeric address (1e6*row+col) in arr to an A1 string. Non-addresses - strings, non-integers, out-of-range numbers - pass through. WARNING: any number in address range becomes an address; only use on known addresses.">_xlfn.LAMBDA(_xlpm.arr,
  _xlfn.LET(
    _xlpm.to_str, _xlfn.LAMBDA(_xlpm.one,
      IFERROR(
        IF(NOT(ISNUMBER(_xlpm.one)), _xlpm.one,
          _xlfn.LET(
            _xlpm.row_num, INT(_xlpm.one / 1000000),
            _xlpm.col, MOD(_xlpm.one, 1000000),
            _xlpm.ok, AND(_xlpm.one = INT(_xlpm.one), _xlpm.row_num &gt;= 1, _xlpm.row_num &lt;= 1048576, _xlpm.col &gt;= 1, _xlpm.col &lt;= 16384),
            IF(_xlpm.ok, ADDRESS(_xlpm.row_num, _xlpm.col, 4), _xlpm.one))),
        _xlpm.one)),
    IF(ROWS(_xlpm.arr) * COLUMNS(_xlpm.arr) = 1, _xlpm.to_str(_xlpm.arr), _xlfn.MAP(_xlpm.arr, _xlpm.to_str))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2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route_worker" comment="Private recursive worker for route_cost - do not call directly. Runs one Dijkstra relaxation pass over the frontier and recurses until no cell's cost improves. Extra args carry route_cost's grid, size and move deltas." hidden="1">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 hidden="1">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5" l="1" a="1"/>
  <c r="B2" i="5" s="1"/>
  <c r="B2" i="54" a="1"/>
  <c r="B2" i="54" s="1"/>
  <c r="I1" i="54" a="1"/>
  <c r="I1" i="54" s="1"/>
  <c r="B1" i="54" a="1"/>
  <c r="B1" i="54" s="1"/>
  <c r="B2" i="53" a="1"/>
  <c r="B2" i="53" s="1"/>
  <c r="I1" i="53" a="1"/>
  <c r="I1" i="53" s="1"/>
  <c r="B1" i="53" a="1"/>
  <c r="B1" i="53" s="1"/>
  <c r="B2" i="52" a="1"/>
  <c r="B2" i="52" s="1"/>
  <c r="I1" i="52" a="1"/>
  <c r="I1" i="52" s="1"/>
  <c r="B1" i="52" a="1"/>
  <c r="B1" i="52" s="1"/>
  <c r="B2" i="51" a="1"/>
  <c r="B2" i="51" s="1"/>
  <c r="I1" i="51" a="1"/>
  <c r="I1" i="51" s="1"/>
  <c r="B1" i="51" a="1"/>
  <c r="B1" i="51" s="1"/>
  <c r="B2" i="50" a="1"/>
  <c r="B2" i="50" s="1"/>
  <c r="I1" i="50" a="1"/>
  <c r="I1" i="50" s="1"/>
  <c r="B1" i="50" a="1"/>
  <c r="B1" i="50" s="1"/>
  <c r="B2" i="49" a="1"/>
  <c r="B2" i="49" s="1"/>
  <c r="I1" i="49" a="1"/>
  <c r="I1" i="49" s="1"/>
  <c r="B1" i="49" a="1"/>
  <c r="B1" i="49" s="1"/>
  <c r="B2" i="48" a="1"/>
  <c r="B2" i="48" s="1"/>
  <c r="I1" i="48" a="1"/>
  <c r="I1" i="48" s="1"/>
  <c r="B1" i="48" a="1"/>
  <c r="B1" i="48" s="1"/>
  <c r="B2" i="47" a="1"/>
  <c r="B2" i="47" s="1"/>
  <c r="I1" i="47" a="1"/>
  <c r="I1" i="47" s="1"/>
  <c r="B1" i="47" a="1"/>
  <c r="B1" i="47" s="1"/>
  <c r="B2" i="46" a="1"/>
  <c r="B2" i="46" s="1"/>
  <c r="I1" i="46" a="1"/>
  <c r="I1" i="46" s="1"/>
  <c r="B1" i="46" a="1"/>
  <c r="B1" i="46" s="1"/>
  <c r="B2" i="45" a="1"/>
  <c r="B2" i="45" s="1"/>
  <c r="I1" i="45" a="1"/>
  <c r="I1" i="45" s="1"/>
  <c r="B1" i="45" a="1"/>
  <c r="B1" i="45" s="1"/>
  <c r="B2" i="44" a="1"/>
  <c r="B2" i="44" s="1"/>
  <c r="I1" i="44" a="1"/>
  <c r="I1" i="44" s="1"/>
  <c r="B1" i="44" a="1"/>
  <c r="B1" i="44" s="1"/>
  <c r="B2" i="43" a="1"/>
  <c r="B2" i="43" s="1"/>
  <c r="I1" i="43" a="1"/>
  <c r="I1" i="43" s="1"/>
  <c r="B1" i="43" a="1"/>
  <c r="B1" i="43" s="1"/>
  <c r="B2" i="42" a="1"/>
  <c r="B2" i="42" s="1"/>
  <c r="I1" i="42" a="1"/>
  <c r="I1" i="42" s="1"/>
  <c r="B1" i="42" a="1"/>
  <c r="B1" i="42" s="1"/>
  <c r="B2" i="41" a="1"/>
  <c r="B2" i="41" s="1"/>
  <c r="I1" i="41" a="1"/>
  <c r="I1" i="41" s="1"/>
  <c r="B1" i="41" a="1"/>
  <c r="B1" i="41" s="1"/>
  <c r="B2" i="40" a="1"/>
  <c r="B2" i="40" s="1"/>
  <c r="I1" i="40" a="1"/>
  <c r="I1" i="40" s="1"/>
  <c r="B1" i="40" a="1"/>
  <c r="B1" i="40" s="1"/>
  <c r="B2" i="39" a="1"/>
  <c r="B2" i="39" s="1"/>
  <c r="I1" i="39" a="1"/>
  <c r="I1" i="39" s="1"/>
  <c r="B1" i="39" a="1"/>
  <c r="B1" i="39" s="1"/>
  <c r="B2" i="38" a="1"/>
  <c r="B2" i="38" s="1"/>
  <c r="I1" i="38" a="1"/>
  <c r="I1" i="38" s="1"/>
  <c r="B1" i="38" a="1"/>
  <c r="B1" i="38" s="1"/>
  <c r="B2" i="37" a="1"/>
  <c r="B2" i="37" s="1"/>
  <c r="I1" i="37" a="1"/>
  <c r="I1" i="37" s="1"/>
  <c r="B1" i="37" a="1"/>
  <c r="B1" i="37" s="1"/>
  <c r="B2" i="36" a="1"/>
  <c r="B2" i="36" s="1"/>
  <c r="I1" i="36" a="1"/>
  <c r="I1" i="36" s="1"/>
  <c r="B1" i="36" a="1"/>
  <c r="B1" i="36" s="1"/>
  <c r="B2" i="35" a="1"/>
  <c r="B2" i="35" s="1"/>
  <c r="I1" i="35" a="1"/>
  <c r="I1" i="35" s="1"/>
  <c r="B1" i="35" a="1"/>
  <c r="B1" i="35" s="1"/>
  <c r="B2" i="34" a="1"/>
  <c r="B2" i="34" s="1"/>
  <c r="I1" i="34" a="1"/>
  <c r="I1" i="34" s="1"/>
  <c r="B1" i="34" a="1"/>
  <c r="B1" i="34" s="1"/>
  <c r="B2" i="33" a="1"/>
  <c r="B2" i="33" s="1"/>
  <c r="I1" i="33" a="1"/>
  <c r="I1" i="33" s="1"/>
  <c r="B1" i="33" a="1"/>
  <c r="B1" i="33" s="1"/>
  <c r="B2" i="32" a="1"/>
  <c r="B2" i="32" s="1"/>
  <c r="I1" i="32" a="1"/>
  <c r="I1" i="32" s="1"/>
  <c r="B1" i="32" a="1"/>
  <c r="B1" i="32" s="1"/>
  <c r="B2" i="31" a="1"/>
  <c r="B2" i="31" s="1"/>
  <c r="I1" i="31" a="1"/>
  <c r="I1" i="31" s="1"/>
  <c r="B1" i="31" a="1"/>
  <c r="B1" i="31" s="1"/>
  <c r="B2" i="30" a="1"/>
  <c r="B2" i="30" s="1"/>
  <c r="I1" i="30" a="1"/>
  <c r="I1" i="30" s="1"/>
  <c r="B1" i="30" a="1"/>
  <c r="B1" i="30" s="1"/>
  <c r="B2" i="29" a="1"/>
  <c r="B2" i="29" s="1"/>
  <c r="I1" i="29" a="1"/>
  <c r="I1" i="29" s="1"/>
  <c r="B1" i="29" a="1"/>
  <c r="B1" i="29" s="1"/>
  <c r="B2" i="28" a="1"/>
  <c r="B2" i="28" s="1"/>
  <c r="I1" i="28" a="1"/>
  <c r="I1" i="28" s="1"/>
  <c r="B1" i="28" a="1"/>
  <c r="B1" i="28" s="1"/>
  <c r="B2" i="27" a="1"/>
  <c r="B2" i="27" s="1"/>
  <c r="I1" i="27" a="1"/>
  <c r="I1" i="27" s="1"/>
  <c r="B1" i="27" a="1"/>
  <c r="B1" i="27" s="1"/>
  <c r="B2" i="26" a="1"/>
  <c r="B2" i="26" s="1"/>
  <c r="I1" i="26" a="1"/>
  <c r="I1" i="26" s="1"/>
  <c r="B1" i="26" a="1"/>
  <c r="B1" i="26" s="1"/>
  <c r="B2" i="25" a="1"/>
  <c r="B2" i="25" s="1"/>
  <c r="I1" i="25" a="1"/>
  <c r="I1" i="25" s="1"/>
  <c r="B1" i="25" a="1"/>
  <c r="B1" i="25" s="1"/>
  <c r="B2" i="24" a="1"/>
  <c r="B2" i="24" s="1"/>
  <c r="I1" i="24" a="1"/>
  <c r="I1" i="24" s="1"/>
  <c r="B1" i="24" a="1"/>
  <c r="B1" i="24" s="1"/>
  <c r="B2" i="23" a="1"/>
  <c r="B2" i="23" s="1"/>
  <c r="I1" i="23" a="1"/>
  <c r="I1" i="23" s="1"/>
  <c r="B1" i="23" a="1"/>
  <c r="B1" i="23" s="1"/>
  <c r="B2" i="22" a="1"/>
  <c r="B2" i="22" s="1"/>
  <c r="I1" i="22" a="1"/>
  <c r="I1" i="22" s="1"/>
  <c r="B1" i="22" a="1"/>
  <c r="B1" i="22" s="1"/>
  <c r="B2" i="21" a="1"/>
  <c r="B2" i="21" s="1"/>
  <c r="I1" i="21" a="1"/>
  <c r="I1" i="21" s="1"/>
  <c r="B1" i="21" a="1"/>
  <c r="B1" i="21" s="1"/>
  <c r="B2" i="20" a="1"/>
  <c r="B2" i="20" s="1"/>
  <c r="I1" i="20" a="1"/>
  <c r="I1" i="20" s="1"/>
  <c r="B1" i="20" a="1"/>
  <c r="B1" i="20" s="1"/>
  <c r="B2" i="19" a="1"/>
  <c r="B2" i="19" s="1"/>
  <c r="I1" i="19" a="1"/>
  <c r="I1" i="19" s="1"/>
  <c r="B1" i="19" a="1"/>
  <c r="B1" i="19" s="1"/>
  <c r="B2" i="18" a="1"/>
  <c r="B2" i="18" s="1"/>
  <c r="I1" i="18" a="1"/>
  <c r="I1" i="18" s="1"/>
  <c r="B1" i="18" a="1"/>
  <c r="B1" i="18" s="1"/>
  <c r="B2" i="17" a="1"/>
  <c r="B2" i="17" s="1"/>
  <c r="I1" i="17" a="1"/>
  <c r="I1" i="17" s="1"/>
  <c r="B1" i="17" a="1"/>
  <c r="B1" i="17" s="1"/>
  <c r="B2" i="16" a="1"/>
  <c r="B2" i="16" s="1"/>
  <c r="I1" i="16" a="1"/>
  <c r="I1" i="16" s="1"/>
  <c r="B1" i="16" a="1"/>
  <c r="B1" i="16" s="1"/>
  <c r="B2" i="15" a="1"/>
  <c r="B2" i="15" s="1"/>
  <c r="I1" i="15" a="1"/>
  <c r="I1" i="15" s="1"/>
  <c r="B1" i="15" a="1"/>
  <c r="B1" i="15" s="1"/>
  <c r="B2" i="14" a="1"/>
  <c r="B2" i="14" s="1"/>
  <c r="I1" i="14" a="1"/>
  <c r="I1" i="14" s="1"/>
  <c r="B1" i="14" a="1"/>
  <c r="B1" i="14" s="1"/>
  <c r="B2" i="13" a="1"/>
  <c r="B2" i="13" s="1"/>
  <c r="I1" i="13" a="1"/>
  <c r="I1" i="13" s="1"/>
  <c r="B1" i="13" a="1"/>
  <c r="B1" i="13" s="1"/>
  <c r="B2" i="12" a="1"/>
  <c r="B2" i="12" s="1"/>
  <c r="I1" i="12" a="1"/>
  <c r="I1" i="12" s="1"/>
  <c r="B1" i="12" a="1"/>
  <c r="B1" i="12" s="1"/>
  <c r="B2" i="11" a="1"/>
  <c r="B2" i="11" s="1"/>
  <c r="I1" i="11" a="1"/>
  <c r="I1" i="11" s="1"/>
  <c r="B1" i="11" a="1"/>
  <c r="B1" i="11" s="1"/>
  <c r="B2" i="10" a="1"/>
  <c r="B2" i="10" s="1"/>
  <c r="I1" i="10" a="1"/>
  <c r="I1" i="10" s="1"/>
  <c r="B1" i="10" a="1"/>
  <c r="B1" i="10" s="1"/>
  <c r="B2" i="9" a="1"/>
  <c r="B2" i="9" s="1"/>
  <c r="I1" i="9" a="1"/>
  <c r="I1" i="9" s="1"/>
  <c r="B1" i="9" a="1"/>
  <c r="B1" i="9" s="1"/>
  <c r="B2" i="8" a="1"/>
  <c r="B2" i="8" s="1"/>
  <c r="I1" i="8" a="1"/>
  <c r="I1" i="8" s="1"/>
  <c r="B1" i="8" a="1"/>
  <c r="B1" i="8" s="1"/>
  <c r="B2" i="7" a="1"/>
  <c r="B2" i="7" s="1"/>
  <c r="I1" i="7" a="1"/>
  <c r="I1" i="7" s="1"/>
  <c r="B1" i="7" a="1"/>
  <c r="B1" i="7" s="1"/>
  <c r="B2" i="6" a="1"/>
  <c r="B2" i="6" s="1"/>
  <c r="I1" i="6" a="1"/>
  <c r="I1" i="6" s="1"/>
  <c r="B1" i="6" a="1"/>
  <c r="B1" i="6" s="1"/>
  <c r="I1" i="5" a="1"/>
  <c r="I1" i="5" s="1"/>
  <c r="B1" i="5" a="1"/>
  <c r="B1" i="5" s="1"/>
  <c r="B2" i="4" a="1"/>
  <c r="B2" i="4" s="1"/>
  <c r="I1" i="4" a="1"/>
  <c r="I1" i="4" s="1"/>
  <c r="B1" i="4" a="1"/>
  <c r="B1" i="4" s="1"/>
  <c r="J19" i="54" a="1"/>
  <c r="J19" i="54" s="1"/>
  <c r="L19" i="54" s="1" a="1"/>
  <c r="L19" i="54" s="1"/>
  <c r="J16" i="54" a="1"/>
  <c r="J16" i="54" s="1"/>
  <c r="L16" i="54" s="1" a="1"/>
  <c r="L16" i="54" s="1"/>
  <c r="J11" i="54" a="1"/>
  <c r="J11" i="54" s="1"/>
  <c r="L11" i="54" s="1" a="1"/>
  <c r="L11" i="54" s="1"/>
  <c r="J6" i="54" a="1"/>
  <c r="J6" i="54" s="1"/>
  <c r="L6" i="54" s="1" a="1"/>
  <c r="L6" i="54" s="1"/>
  <c r="N20" i="53" a="1"/>
  <c r="N20" i="53" s="1"/>
  <c r="R20" i="53" s="1"/>
  <c r="N18" i="53" a="1"/>
  <c r="N18" i="53" s="1"/>
  <c r="R18" i="53" s="1" a="1"/>
  <c r="R18" i="53" s="1"/>
  <c r="N14" i="53" a="1"/>
  <c r="N14" i="53" s="1"/>
  <c r="R14" i="53" s="1" a="1"/>
  <c r="R14" i="53" s="1"/>
  <c r="N10" i="53" a="1"/>
  <c r="N10" i="53" s="1"/>
  <c r="R10" i="53" s="1" a="1"/>
  <c r="R10" i="53" s="1"/>
  <c r="N6" i="53" a="1"/>
  <c r="N6" i="53" s="1"/>
  <c r="R6" i="53" s="1" a="1"/>
  <c r="R6" i="53" s="1"/>
  <c r="P30" i="52" a="1"/>
  <c r="P30" i="52" s="1"/>
  <c r="R30" i="52" s="1" a="1"/>
  <c r="R30" i="52" s="1"/>
  <c r="P23" i="52" a="1"/>
  <c r="P23" i="52" s="1"/>
  <c r="R23" i="52" s="1" a="1"/>
  <c r="R23" i="52" s="1"/>
  <c r="P16" i="52" a="1"/>
  <c r="P16" i="52" s="1"/>
  <c r="R16" i="52" s="1" a="1"/>
  <c r="R16" i="52" s="1"/>
  <c r="P12" i="52" a="1"/>
  <c r="P12" i="52" s="1"/>
  <c r="R12" i="52" s="1" a="1"/>
  <c r="R12" i="52" s="1"/>
  <c r="P6" i="52" a="1"/>
  <c r="P6" i="52" s="1"/>
  <c r="R6" i="52" s="1" a="1"/>
  <c r="R6" i="52" s="1"/>
  <c r="L20" i="51" a="1"/>
  <c r="L20" i="51" s="1"/>
  <c r="N20" i="51" s="1"/>
  <c r="L18" i="51" a="1"/>
  <c r="L18" i="51" s="1"/>
  <c r="N18" i="51" s="1"/>
  <c r="L14" i="51" a="1"/>
  <c r="L14" i="51" s="1"/>
  <c r="N14" i="51" s="1"/>
  <c r="L10" i="51" a="1"/>
  <c r="L10" i="51" s="1"/>
  <c r="N10" i="51" s="1"/>
  <c r="L6" i="51" a="1"/>
  <c r="L6" i="51" s="1"/>
  <c r="N6" i="51" s="1"/>
  <c r="H14" i="50" a="1"/>
  <c r="H14" i="50" s="1"/>
  <c r="J14" i="50" s="1" a="1"/>
  <c r="J14" i="50" s="1"/>
  <c r="H12" i="50" a="1"/>
  <c r="H12" i="50" s="1"/>
  <c r="J12" i="50" s="1"/>
  <c r="H10" i="50" a="1"/>
  <c r="H10" i="50" s="1"/>
  <c r="J10" i="50" s="1"/>
  <c r="H8" i="50" a="1"/>
  <c r="H8" i="50" s="1"/>
  <c r="J8" i="50" s="1"/>
  <c r="H6" i="50" a="1"/>
  <c r="H6" i="50" s="1"/>
  <c r="J6" i="50" s="1"/>
  <c r="J16" i="49" a="1"/>
  <c r="J16" i="49" s="1"/>
  <c r="L16" i="49" s="1"/>
  <c r="J14" i="49" a="1"/>
  <c r="J14" i="49" s="1"/>
  <c r="L14" i="49" s="1"/>
  <c r="J12" i="49" a="1"/>
  <c r="J12" i="49" s="1"/>
  <c r="L12" i="49" s="1"/>
  <c r="J10" i="49" a="1"/>
  <c r="J10" i="49" s="1"/>
  <c r="L10" i="49" s="1"/>
  <c r="J8" i="49" a="1"/>
  <c r="J8" i="49" s="1"/>
  <c r="L8" i="49" s="1"/>
  <c r="J6" i="49" a="1"/>
  <c r="J6" i="49" s="1"/>
  <c r="L6" i="49" s="1"/>
  <c r="R31" i="48" a="1"/>
  <c r="R31" i="48" s="1"/>
  <c r="V31" i="48" s="1"/>
  <c r="R26" i="48" a="1"/>
  <c r="R26" i="48" s="1"/>
  <c r="V26" i="48" s="1" a="1"/>
  <c r="V26" i="48" s="1"/>
  <c r="R21" i="48" a="1"/>
  <c r="R21" i="48" s="1"/>
  <c r="V21" i="48" s="1" a="1"/>
  <c r="V21" i="48" s="1"/>
  <c r="R16" i="48" a="1"/>
  <c r="R16" i="48" s="1"/>
  <c r="V16" i="48" s="1" a="1"/>
  <c r="V16" i="48" s="1"/>
  <c r="R11" i="48" a="1"/>
  <c r="R11" i="48" s="1"/>
  <c r="V11" i="48" s="1" a="1"/>
  <c r="V11" i="48" s="1"/>
  <c r="R6" i="48" a="1"/>
  <c r="R6" i="48" s="1"/>
  <c r="V6" i="48" s="1" a="1"/>
  <c r="V6" i="48" s="1"/>
  <c r="J16" i="47" a="1"/>
  <c r="J16" i="47" s="1"/>
  <c r="L16" i="47" s="1"/>
  <c r="J14" i="47" a="1"/>
  <c r="J14" i="47" s="1"/>
  <c r="L14" i="47" s="1"/>
  <c r="J12" i="47" a="1"/>
  <c r="J12" i="47" s="1"/>
  <c r="L12" i="47" s="1"/>
  <c r="J10" i="47" a="1"/>
  <c r="J10" i="47" s="1"/>
  <c r="L10" i="47" s="1"/>
  <c r="J8" i="47" a="1"/>
  <c r="J8" i="47" s="1"/>
  <c r="L8" i="47" s="1"/>
  <c r="J6" i="47" a="1"/>
  <c r="J6" i="47" s="1"/>
  <c r="L6" i="47" s="1"/>
  <c r="D27" i="46"/>
  <c r="J25" i="46" s="1" a="1"/>
  <c r="J25" i="46" s="1"/>
  <c r="L25" i="46" s="1"/>
  <c r="J20" i="46" a="1"/>
  <c r="J20" i="46" s="1"/>
  <c r="L20" i="46" s="1"/>
  <c r="J15" i="46" a="1"/>
  <c r="J15" i="46" s="1"/>
  <c r="L15" i="46" s="1" a="1"/>
  <c r="L15" i="46" s="1"/>
  <c r="J11" i="46" a="1"/>
  <c r="J11" i="46" s="1"/>
  <c r="L11" i="46" s="1"/>
  <c r="J6" i="46" a="1"/>
  <c r="J6" i="46" s="1"/>
  <c r="L6" i="46" s="1"/>
  <c r="P18" i="45" a="1"/>
  <c r="P18" i="45" s="1"/>
  <c r="Y18" i="45" s="1" a="1"/>
  <c r="Y18" i="45" s="1"/>
  <c r="P14" i="45" a="1"/>
  <c r="P14" i="45" s="1"/>
  <c r="Y14" i="45" s="1" a="1"/>
  <c r="Y14" i="45" s="1"/>
  <c r="P10" i="45" a="1"/>
  <c r="P10" i="45" s="1"/>
  <c r="Y10" i="45" s="1" a="1"/>
  <c r="Y10" i="45" s="1"/>
  <c r="P6" i="45" a="1"/>
  <c r="P6" i="45" s="1"/>
  <c r="Y6" i="45" s="1" a="1"/>
  <c r="Y6" i="45" s="1"/>
  <c r="R9" i="44" a="1"/>
  <c r="R9" i="44" s="1"/>
  <c r="V9" i="44" s="1" a="1"/>
  <c r="V9" i="44" s="1"/>
  <c r="R6" i="44" a="1"/>
  <c r="R6" i="44" s="1"/>
  <c r="V6" i="44" s="1" a="1"/>
  <c r="V6" i="44" s="1"/>
  <c r="M21" i="43" a="1"/>
  <c r="M21" i="43" s="1"/>
  <c r="P21" i="43" s="1" a="1"/>
  <c r="P21" i="43" s="1"/>
  <c r="M18" i="43" a="1"/>
  <c r="M18" i="43" s="1"/>
  <c r="P18" i="43" s="1" a="1"/>
  <c r="P18" i="43" s="1"/>
  <c r="M15" i="43" a="1"/>
  <c r="M15" i="43" s="1"/>
  <c r="P15" i="43" s="1" a="1"/>
  <c r="P15" i="43" s="1"/>
  <c r="M12" i="43" a="1"/>
  <c r="M12" i="43" s="1"/>
  <c r="P12" i="43" s="1" a="1"/>
  <c r="P12" i="43" s="1"/>
  <c r="M9" i="43" a="1"/>
  <c r="M9" i="43" s="1"/>
  <c r="P9" i="43" s="1" a="1"/>
  <c r="P9" i="43" s="1"/>
  <c r="M6" i="43" a="1"/>
  <c r="M6" i="43" s="1"/>
  <c r="P6" i="43" s="1" a="1"/>
  <c r="P6" i="43" s="1"/>
  <c r="L14" i="42" a="1"/>
  <c r="L14" i="42" s="1"/>
  <c r="N14" i="42" s="1" a="1"/>
  <c r="N14" i="42" s="1"/>
  <c r="L12" i="42" a="1"/>
  <c r="L12" i="42" s="1"/>
  <c r="N12" i="42" s="1"/>
  <c r="L10" i="42" a="1"/>
  <c r="L10" i="42" s="1"/>
  <c r="N10" i="42" s="1"/>
  <c r="L8" i="42" a="1"/>
  <c r="L8" i="42" s="1"/>
  <c r="N8" i="42" s="1"/>
  <c r="L6" i="42" a="1"/>
  <c r="L6" i="42" s="1"/>
  <c r="N6" i="42" s="1"/>
  <c r="H12" i="41" a="1"/>
  <c r="H12" i="41" s="1"/>
  <c r="J12" i="41" s="1" a="1"/>
  <c r="J12" i="41" s="1"/>
  <c r="H10" i="41" a="1"/>
  <c r="H10" i="41" s="1"/>
  <c r="J10" i="41" s="1"/>
  <c r="H8" i="41" a="1"/>
  <c r="H8" i="41" s="1"/>
  <c r="J8" i="41" s="1"/>
  <c r="H6" i="41" a="1"/>
  <c r="H6" i="41" s="1"/>
  <c r="J6" i="41" s="1"/>
  <c r="H12" i="40" a="1"/>
  <c r="H12" i="40" s="1"/>
  <c r="J12" i="40" s="1" a="1"/>
  <c r="J12" i="40" s="1"/>
  <c r="H10" i="40" a="1"/>
  <c r="H10" i="40" s="1"/>
  <c r="J10" i="40" s="1"/>
  <c r="H8" i="40" a="1"/>
  <c r="H8" i="40" s="1"/>
  <c r="J8" i="40" s="1"/>
  <c r="H6" i="40" a="1"/>
  <c r="H6" i="40" s="1"/>
  <c r="J6" i="40" s="1"/>
  <c r="L14" i="39" a="1"/>
  <c r="L14" i="39" s="1"/>
  <c r="P14" i="39" s="1" a="1"/>
  <c r="P14" i="39" s="1"/>
  <c r="L10" i="39" a="1"/>
  <c r="L10" i="39" s="1"/>
  <c r="P10" i="39" s="1" a="1"/>
  <c r="P10" i="39" s="1"/>
  <c r="L6" i="39" a="1"/>
  <c r="L6" i="39" s="1"/>
  <c r="P6" i="39" s="1" a="1"/>
  <c r="P6" i="39" s="1"/>
  <c r="J10" i="38" a="1"/>
  <c r="J10" i="38" s="1"/>
  <c r="L10" i="38" s="1"/>
  <c r="J6" i="38" a="1"/>
  <c r="J6" i="38" s="1"/>
  <c r="L6" i="38" s="1"/>
  <c r="O18" i="37" a="1"/>
  <c r="O18" i="37" s="1"/>
  <c r="R18" i="37" s="1" a="1"/>
  <c r="R18" i="37" s="1"/>
  <c r="O14" i="37" a="1"/>
  <c r="O14" i="37" s="1"/>
  <c r="R14" i="37" s="1" a="1"/>
  <c r="R14" i="37" s="1"/>
  <c r="O10" i="37" a="1"/>
  <c r="O10" i="37" s="1"/>
  <c r="R10" i="37" s="1" a="1"/>
  <c r="R10" i="37" s="1"/>
  <c r="O6" i="37" a="1"/>
  <c r="O6" i="37" s="1"/>
  <c r="R6" i="37" s="1" a="1"/>
  <c r="R6" i="37" s="1"/>
  <c r="N15" i="36" a="1"/>
  <c r="N15" i="36" s="1"/>
  <c r="R15" i="36" s="1" a="1"/>
  <c r="R15" i="36" s="1"/>
  <c r="N10" i="36" a="1"/>
  <c r="N10" i="36" s="1"/>
  <c r="R10" i="36" s="1" a="1"/>
  <c r="R10" i="36" s="1"/>
  <c r="N6" i="36" a="1"/>
  <c r="N6" i="36" s="1"/>
  <c r="R6" i="36" s="1" a="1"/>
  <c r="R6" i="36" s="1"/>
  <c r="J14" i="35" a="1"/>
  <c r="J14" i="35" s="1"/>
  <c r="L14" i="35" s="1"/>
  <c r="J10" i="35" a="1"/>
  <c r="J10" i="35" s="1"/>
  <c r="L10" i="35" s="1" a="1"/>
  <c r="L10" i="35" s="1"/>
  <c r="J6" i="35" a="1"/>
  <c r="J6" i="35" s="1"/>
  <c r="L6" i="35" s="1" a="1"/>
  <c r="L6" i="35" s="1"/>
  <c r="J10" i="34" a="1"/>
  <c r="J10" i="34" s="1"/>
  <c r="L10" i="34" s="1" a="1"/>
  <c r="L10" i="34" s="1"/>
  <c r="J6" i="34" a="1"/>
  <c r="J6" i="34" s="1"/>
  <c r="L6" i="34" s="1" a="1"/>
  <c r="L6" i="34" s="1"/>
  <c r="L21" i="33" a="1"/>
  <c r="L21" i="33" s="1"/>
  <c r="P21" i="33" s="1" a="1"/>
  <c r="P21" i="33" s="1"/>
  <c r="L16" i="33" a="1"/>
  <c r="L16" i="33" s="1"/>
  <c r="P16" i="33" s="1" a="1"/>
  <c r="P16" i="33" s="1"/>
  <c r="L11" i="33" a="1"/>
  <c r="L11" i="33" s="1"/>
  <c r="P11" i="33" s="1" a="1"/>
  <c r="P11" i="33" s="1"/>
  <c r="L6" i="33" a="1"/>
  <c r="L6" i="33" s="1"/>
  <c r="P6" i="33" s="1" a="1"/>
  <c r="P6" i="33" s="1"/>
  <c r="O24" i="32" a="1"/>
  <c r="O24" i="32" s="1"/>
  <c r="R24" i="32" s="1" a="1"/>
  <c r="R24" i="32" s="1"/>
  <c r="O17" i="32" a="1"/>
  <c r="O17" i="32" s="1"/>
  <c r="R17" i="32" s="1" a="1"/>
  <c r="R17" i="32" s="1"/>
  <c r="O10" i="32" a="1"/>
  <c r="O10" i="32" s="1"/>
  <c r="R10" i="32" s="1" a="1"/>
  <c r="R10" i="32" s="1"/>
  <c r="O6" i="32" a="1"/>
  <c r="O6" i="32" s="1"/>
  <c r="R6" i="32" s="1" a="1"/>
  <c r="R6" i="32" s="1"/>
  <c r="M11" i="31" a="1"/>
  <c r="M11" i="31" s="1"/>
  <c r="O11" i="31" s="1"/>
  <c r="M9" i="31" a="1"/>
  <c r="M9" i="31" s="1"/>
  <c r="O9" i="31" s="1"/>
  <c r="M6" i="31" a="1"/>
  <c r="M6" i="31" s="1"/>
  <c r="O6" i="31" s="1"/>
  <c r="L20" i="30" a="1"/>
  <c r="L20" i="30" s="1"/>
  <c r="O20" i="30" s="1" a="1"/>
  <c r="O20" i="30" s="1"/>
  <c r="L17" i="30" a="1"/>
  <c r="L17" i="30" s="1"/>
  <c r="O17" i="30" s="1" a="1"/>
  <c r="O17" i="30" s="1"/>
  <c r="L14" i="30" a="1"/>
  <c r="L14" i="30" s="1"/>
  <c r="O14" i="30" s="1" a="1"/>
  <c r="O14" i="30" s="1"/>
  <c r="L11" i="30" a="1"/>
  <c r="L11" i="30" s="1"/>
  <c r="O11" i="30" s="1" a="1"/>
  <c r="O11" i="30" s="1"/>
  <c r="L14" i="29" a="1"/>
  <c r="L14" i="29"/>
  <c r="N14" i="29" s="1"/>
  <c r="L12" i="29" a="1"/>
  <c r="L12" i="29" s="1"/>
  <c r="N12" i="29" s="1"/>
  <c r="L10" i="29" a="1"/>
  <c r="L10" i="29" s="1"/>
  <c r="N10" i="29" s="1"/>
  <c r="L8" i="29" a="1"/>
  <c r="L8" i="29" s="1"/>
  <c r="N8" i="29" s="1"/>
  <c r="L6" i="29" a="1"/>
  <c r="L6" i="29" s="1"/>
  <c r="N6" i="29" s="1"/>
  <c r="H14" i="28" a="1"/>
  <c r="H14" i="28" s="1"/>
  <c r="J14" i="28" s="1" a="1"/>
  <c r="J14" i="28" s="1"/>
  <c r="H10" i="28" a="1"/>
  <c r="H10" i="28" s="1"/>
  <c r="J10" i="28" s="1" a="1"/>
  <c r="J10" i="28" s="1"/>
  <c r="H6" i="28" a="1"/>
  <c r="H6" i="28" s="1"/>
  <c r="J6" i="28" s="1" a="1"/>
  <c r="J6" i="28" s="1"/>
  <c r="L18" i="27" a="1"/>
  <c r="L18" i="27" s="1"/>
  <c r="P18" i="27" s="1"/>
  <c r="L16" i="27" a="1"/>
  <c r="L16" i="27" s="1"/>
  <c r="P16" i="27" s="1" a="1"/>
  <c r="P16" i="27" s="1"/>
  <c r="L12" i="27" a="1"/>
  <c r="L12" i="27" s="1"/>
  <c r="P12" i="27" s="1" a="1"/>
  <c r="P12" i="27" s="1"/>
  <c r="L9" i="27" a="1"/>
  <c r="L9" i="27" s="1"/>
  <c r="P9" i="27" s="1" a="1"/>
  <c r="P9" i="27" s="1"/>
  <c r="L6" i="27" a="1"/>
  <c r="L6" i="27" s="1"/>
  <c r="P6" i="27" s="1" a="1"/>
  <c r="P6" i="27" s="1"/>
  <c r="H16" i="26" a="1"/>
  <c r="H16" i="26" s="1"/>
  <c r="J16" i="26" s="1" a="1"/>
  <c r="J16" i="26" s="1"/>
  <c r="H12" i="26" a="1"/>
  <c r="H12" i="26" s="1"/>
  <c r="J12" i="26" s="1" a="1"/>
  <c r="J12" i="26" s="1"/>
  <c r="H10" i="26" a="1"/>
  <c r="H10" i="26" s="1"/>
  <c r="J10" i="26" s="1" a="1"/>
  <c r="J10" i="26" s="1"/>
  <c r="H8" i="26" a="1"/>
  <c r="H8" i="26" s="1"/>
  <c r="J8" i="26" s="1"/>
  <c r="H6" i="26" a="1"/>
  <c r="H6" i="26" s="1"/>
  <c r="J6" i="26" s="1"/>
  <c r="H14" i="25" a="1"/>
  <c r="H14" i="25" s="1"/>
  <c r="J14" i="25" s="1" a="1"/>
  <c r="J14" i="25" s="1"/>
  <c r="H12" i="25" a="1"/>
  <c r="H12" i="25" s="1"/>
  <c r="J12" i="25" s="1"/>
  <c r="H10" i="25" a="1"/>
  <c r="H10" i="25" s="1"/>
  <c r="J10" i="25" s="1"/>
  <c r="H8" i="25" a="1"/>
  <c r="H8" i="25" s="1"/>
  <c r="J8" i="25" s="1"/>
  <c r="H6" i="25" a="1"/>
  <c r="H6" i="25" s="1"/>
  <c r="J6" i="25" s="1"/>
  <c r="J16" i="24" a="1"/>
  <c r="J16" i="24" s="1"/>
  <c r="L16" i="24" s="1" a="1"/>
  <c r="L16" i="24" s="1"/>
  <c r="J14" i="24" a="1"/>
  <c r="J14" i="24" s="1"/>
  <c r="L14" i="24" s="1"/>
  <c r="J12" i="24" a="1"/>
  <c r="J12" i="24" s="1"/>
  <c r="L12" i="24" s="1"/>
  <c r="J10" i="24" a="1"/>
  <c r="J10" i="24" s="1"/>
  <c r="L10" i="24" s="1"/>
  <c r="J8" i="24" a="1"/>
  <c r="J8" i="24" s="1"/>
  <c r="L8" i="24" s="1"/>
  <c r="J6" i="24" a="1"/>
  <c r="J6" i="24" s="1"/>
  <c r="L6" i="24" s="1"/>
  <c r="H16" i="23" a="1"/>
  <c r="H16" i="23" s="1"/>
  <c r="J16" i="23" s="1" a="1"/>
  <c r="J16" i="23" s="1"/>
  <c r="H14" i="23" a="1"/>
  <c r="H14" i="23" s="1"/>
  <c r="J14" i="23" s="1"/>
  <c r="H12" i="23" a="1"/>
  <c r="H12" i="23" s="1"/>
  <c r="J12" i="23" s="1"/>
  <c r="H10" i="23" a="1"/>
  <c r="H10" i="23" s="1"/>
  <c r="J10" i="23" s="1"/>
  <c r="H8" i="23" a="1"/>
  <c r="H8" i="23" s="1"/>
  <c r="J8" i="23" s="1"/>
  <c r="H6" i="23" a="1"/>
  <c r="H6" i="23" s="1"/>
  <c r="J6" i="23" s="1"/>
  <c r="J34" i="22" a="1"/>
  <c r="J34" i="22" s="1"/>
  <c r="L34" i="22" s="1" a="1"/>
  <c r="L34" i="22" s="1"/>
  <c r="J29" i="22" a="1"/>
  <c r="J29" i="22" s="1"/>
  <c r="L29" i="22" s="1" a="1"/>
  <c r="L29" i="22" s="1"/>
  <c r="J20" i="22" a="1"/>
  <c r="J20" i="22" s="1"/>
  <c r="L20" i="22" s="1" a="1"/>
  <c r="L20" i="22" s="1"/>
  <c r="J11" i="22" a="1"/>
  <c r="J11" i="22" s="1"/>
  <c r="L11" i="22" s="1" a="1"/>
  <c r="L11" i="22" s="1"/>
  <c r="J6" i="22" a="1"/>
  <c r="J6" i="22" s="1"/>
  <c r="L6" i="22" s="1" a="1"/>
  <c r="L6" i="22" s="1"/>
  <c r="M15" i="21" a="1"/>
  <c r="M15" i="21" s="1"/>
  <c r="Q15" i="21" s="1" a="1"/>
  <c r="Q15" i="21" s="1"/>
  <c r="M11" i="21" a="1"/>
  <c r="M11" i="21" s="1"/>
  <c r="Q11" i="21" s="1" a="1"/>
  <c r="Q11" i="21" s="1"/>
  <c r="M7" i="21" a="1"/>
  <c r="M7" i="21" s="1"/>
  <c r="Q7" i="21" s="1" a="1"/>
  <c r="Q7" i="21" s="1"/>
  <c r="M12" i="20" a="1"/>
  <c r="M12" i="20" s="1"/>
  <c r="P12" i="20" s="1" a="1"/>
  <c r="P12" i="20" s="1"/>
  <c r="M9" i="20" a="1"/>
  <c r="M9" i="20" s="1"/>
  <c r="P9" i="20" s="1" a="1"/>
  <c r="P9" i="20" s="1"/>
  <c r="M6" i="20" a="1"/>
  <c r="M6" i="20" s="1"/>
  <c r="P6" i="20" s="1" a="1"/>
  <c r="P6" i="20" s="1"/>
  <c r="L15" i="19" a="1"/>
  <c r="L15" i="19" s="1"/>
  <c r="N15" i="19" s="1"/>
  <c r="L13" i="19" a="1"/>
  <c r="L13" i="19" s="1"/>
  <c r="N13" i="19" s="1"/>
  <c r="L11" i="19" a="1"/>
  <c r="L11" i="19" s="1"/>
  <c r="N11" i="19" s="1"/>
  <c r="J18" i="18" a="1"/>
  <c r="J18" i="18" s="1"/>
  <c r="L18" i="18" s="1"/>
  <c r="J16" i="18" a="1"/>
  <c r="J16" i="18" s="1"/>
  <c r="L16" i="18" s="1"/>
  <c r="J14" i="18" a="1"/>
  <c r="J14" i="18" s="1"/>
  <c r="L14" i="18" s="1"/>
  <c r="J12" i="18" a="1"/>
  <c r="J12" i="18" s="1"/>
  <c r="L12" i="18" s="1"/>
  <c r="J10" i="18" a="1"/>
  <c r="J10" i="18" s="1"/>
  <c r="L10" i="18" s="1"/>
  <c r="J8" i="18" a="1"/>
  <c r="J8" i="18" s="1"/>
  <c r="L8" i="18" s="1"/>
  <c r="J6" i="18" a="1"/>
  <c r="J6" i="18" s="1"/>
  <c r="L6" i="18" s="1"/>
  <c r="H17" i="17" a="1"/>
  <c r="H17" i="17" s="1"/>
  <c r="J17" i="17" s="1"/>
  <c r="H14" i="17" a="1"/>
  <c r="H14" i="17" s="1"/>
  <c r="J14" i="17" s="1"/>
  <c r="H10" i="17" a="1"/>
  <c r="H10" i="17" s="1"/>
  <c r="J10" i="17" s="1"/>
  <c r="H6" i="17" a="1"/>
  <c r="H6" i="17" s="1"/>
  <c r="J6" i="17" s="1"/>
  <c r="D31" i="16"/>
  <c r="K29" i="16" s="1" a="1"/>
  <c r="K29" i="16" s="1"/>
  <c r="N29" i="16" s="1"/>
  <c r="K22" i="16" a="1"/>
  <c r="K22" i="16" s="1"/>
  <c r="N22" i="16" s="1" a="1"/>
  <c r="N22" i="16" s="1"/>
  <c r="K17" i="16" a="1"/>
  <c r="K17" i="16" s="1"/>
  <c r="N17" i="16" s="1" a="1"/>
  <c r="N17" i="16" s="1"/>
  <c r="K10" i="16" a="1"/>
  <c r="K10" i="16" s="1"/>
  <c r="N10" i="16" s="1" a="1"/>
  <c r="N10" i="16" s="1"/>
  <c r="K6" i="16" a="1"/>
  <c r="K6" i="16" s="1"/>
  <c r="N6" i="16" s="1" a="1"/>
  <c r="N6" i="16" s="1"/>
  <c r="J18" i="15" a="1"/>
  <c r="J18" i="15" s="1"/>
  <c r="L18" i="15" s="1" a="1"/>
  <c r="L18" i="15" s="1"/>
  <c r="J14" i="15" a="1"/>
  <c r="J14" i="15" s="1"/>
  <c r="L14" i="15" s="1" a="1"/>
  <c r="L14" i="15" s="1"/>
  <c r="J10" i="15" a="1"/>
  <c r="J10" i="15" s="1"/>
  <c r="L10" i="15" s="1"/>
  <c r="J6" i="15" a="1"/>
  <c r="J6" i="15" s="1"/>
  <c r="L6" i="15" s="1"/>
  <c r="N28" i="14" a="1"/>
  <c r="N28" i="14" s="1"/>
  <c r="P28" i="14" s="1" a="1"/>
  <c r="P28" i="14" s="1"/>
  <c r="N21" i="14" a="1"/>
  <c r="N21" i="14" s="1"/>
  <c r="P21" i="14" s="1" a="1"/>
  <c r="P21" i="14" s="1"/>
  <c r="N14" i="14" a="1"/>
  <c r="N14" i="14" s="1"/>
  <c r="P14" i="14" s="1" a="1"/>
  <c r="P14" i="14" s="1"/>
  <c r="N12" i="14" a="1"/>
  <c r="N12" i="14" s="1"/>
  <c r="P12" i="14" s="1"/>
  <c r="N10" i="14" a="1"/>
  <c r="N10" i="14" s="1"/>
  <c r="P10" i="14" s="1"/>
  <c r="N8" i="14" a="1"/>
  <c r="N8" i="14" s="1"/>
  <c r="P8" i="14" s="1"/>
  <c r="N6" i="14" a="1"/>
  <c r="N6" i="14" s="1"/>
  <c r="P6" i="14" s="1"/>
  <c r="H13" i="13" a="1"/>
  <c r="H13" i="13" s="1"/>
  <c r="J13" i="13" s="1" a="1"/>
  <c r="J13" i="13" s="1"/>
  <c r="H10" i="13" a="1"/>
  <c r="H10" i="13" s="1"/>
  <c r="J10" i="13" s="1" a="1"/>
  <c r="J10" i="13" s="1"/>
  <c r="H8" i="13" a="1"/>
  <c r="H8" i="13"/>
  <c r="J8" i="13" s="1"/>
  <c r="H6" i="13" a="1"/>
  <c r="H6" i="13" s="1"/>
  <c r="J6" i="13" s="1"/>
  <c r="K13" i="12" a="1"/>
  <c r="K13" i="12" s="1"/>
  <c r="N13" i="12" s="1" a="1"/>
  <c r="N13" i="12" s="1"/>
  <c r="K6" i="12" a="1"/>
  <c r="K6" i="12" s="1"/>
  <c r="N6" i="12" s="1" a="1"/>
  <c r="N6" i="12" s="1"/>
  <c r="N18" i="11" a="1"/>
  <c r="N18" i="11" s="1"/>
  <c r="S18" i="11" s="1" a="1"/>
  <c r="S18" i="11" s="1"/>
  <c r="N14" i="11" a="1"/>
  <c r="N14" i="11" s="1"/>
  <c r="S14" i="11" s="1" a="1"/>
  <c r="S14" i="11" s="1"/>
  <c r="N10" i="11" a="1"/>
  <c r="N10" i="11" s="1"/>
  <c r="S10" i="11" s="1" a="1"/>
  <c r="S10" i="11" s="1"/>
  <c r="N6" i="11" a="1"/>
  <c r="N6" i="11" s="1"/>
  <c r="S6" i="11" s="1" a="1"/>
  <c r="S6" i="11" s="1"/>
  <c r="L17" i="10" a="1"/>
  <c r="L17" i="10" s="1"/>
  <c r="N17" i="10" s="1" a="1"/>
  <c r="N17" i="10" s="1"/>
  <c r="L14" i="10" a="1"/>
  <c r="L14" i="10" s="1"/>
  <c r="N14" i="10" s="1" a="1"/>
  <c r="N14" i="10" s="1"/>
  <c r="L12" i="10" a="1"/>
  <c r="L12" i="10" s="1"/>
  <c r="N12" i="10" s="1"/>
  <c r="L10" i="10" a="1"/>
  <c r="L10" i="10" s="1"/>
  <c r="N10" i="10" s="1"/>
  <c r="L8" i="10" a="1"/>
  <c r="L8" i="10" s="1"/>
  <c r="N8" i="10" s="1"/>
  <c r="L6" i="10" a="1"/>
  <c r="L6" i="10" s="1"/>
  <c r="N6" i="10" s="1"/>
  <c r="D19" i="9"/>
  <c r="L19" i="9" s="1" a="1"/>
  <c r="L19" i="9" s="1"/>
  <c r="N19" i="9" s="1"/>
  <c r="L14" i="9" a="1"/>
  <c r="L14" i="9" s="1"/>
  <c r="N14" i="9" s="1" a="1"/>
  <c r="N14" i="9" s="1"/>
  <c r="L12" i="9" a="1"/>
  <c r="L12" i="9" s="1"/>
  <c r="N12" i="9" s="1"/>
  <c r="L10" i="9" a="1"/>
  <c r="L10" i="9" s="1"/>
  <c r="N10" i="9" s="1"/>
  <c r="L6" i="9" a="1"/>
  <c r="L6" i="9" s="1"/>
  <c r="N6" i="9" s="1" a="1"/>
  <c r="N6" i="9" s="1"/>
  <c r="J10" i="8" a="1"/>
  <c r="J10" i="8" s="1"/>
  <c r="L10" i="8" s="1"/>
  <c r="J6" i="8" a="1"/>
  <c r="J6" i="8" s="1"/>
  <c r="L6" i="8" s="1"/>
  <c r="M19" i="7" a="1"/>
  <c r="M19" i="7" s="1"/>
  <c r="P19" i="7" s="1" a="1"/>
  <c r="P19" i="7" s="1"/>
  <c r="M15" i="7" a="1"/>
  <c r="M15" i="7" s="1"/>
  <c r="P15" i="7" s="1" a="1"/>
  <c r="P15" i="7" s="1"/>
  <c r="M9" i="7" a="1"/>
  <c r="M9" i="7" s="1"/>
  <c r="P9" i="7" s="1" a="1"/>
  <c r="P9" i="7" s="1"/>
  <c r="N14" i="6" a="1"/>
  <c r="N14" i="6" s="1"/>
  <c r="P14" i="6" s="1"/>
  <c r="N12" i="6" a="1"/>
  <c r="N12" i="6" s="1"/>
  <c r="P12" i="6" s="1"/>
  <c r="N10" i="6" a="1"/>
  <c r="N10" i="6" s="1"/>
  <c r="P10" i="6" s="1"/>
  <c r="N8" i="6" a="1"/>
  <c r="N8" i="6" s="1"/>
  <c r="P8" i="6" s="1"/>
  <c r="N6" i="6" a="1"/>
  <c r="N6" i="6" s="1"/>
  <c r="P6" i="6" s="1"/>
  <c r="H16" i="5" a="1"/>
  <c r="H16" i="5" s="1"/>
  <c r="J16" i="5" s="1"/>
  <c r="H14" i="5" a="1"/>
  <c r="H14" i="5" s="1"/>
  <c r="J14" i="5" s="1"/>
  <c r="H12" i="5" a="1"/>
  <c r="H12" i="5" s="1"/>
  <c r="J12" i="5" s="1"/>
  <c r="H10" i="5" a="1"/>
  <c r="H10" i="5" s="1"/>
  <c r="J10" i="5" s="1"/>
  <c r="H8" i="5" a="1"/>
  <c r="H8" i="5" s="1"/>
  <c r="J8" i="5" s="1"/>
  <c r="H6" i="5" a="1"/>
  <c r="H6" i="5" s="1"/>
  <c r="J6" i="5" s="1"/>
  <c r="P21" i="4" a="1"/>
  <c r="P21" i="4" s="1"/>
  <c r="S21" i="4" s="1"/>
  <c r="P18" i="4" a="1"/>
  <c r="P18" i="4" s="1"/>
  <c r="S18" i="4" s="1" a="1"/>
  <c r="S18" i="4" s="1"/>
  <c r="P15" i="4" a="1"/>
  <c r="P15" i="4" s="1"/>
  <c r="S15" i="4" s="1" a="1"/>
  <c r="S15" i="4" s="1"/>
  <c r="P13" i="4" a="1"/>
  <c r="P13" i="4" s="1"/>
  <c r="S13" i="4" s="1"/>
  <c r="P11" i="4" a="1"/>
  <c r="P11" i="4" s="1"/>
  <c r="S11" i="4" s="1"/>
  <c r="M68" i="1" a="1"/>
  <c r="N68" i="1" s="1"/>
  <c r="J68" i="1"/>
  <c r="I68" i="1"/>
  <c r="H68" i="1" a="1"/>
  <c r="H68" i="1"/>
  <c r="H67" i="1" a="1"/>
  <c r="J67" i="1" s="1"/>
  <c r="F66" i="1"/>
  <c r="M66" i="1" s="1" a="1"/>
  <c r="M66" i="1" s="1"/>
  <c r="M65" i="1" a="1"/>
  <c r="M65" i="1" s="1"/>
  <c r="H65" i="1" a="1"/>
  <c r="H65" i="1" s="1"/>
  <c r="M64" i="1" a="1"/>
  <c r="M64" i="1" s="1"/>
  <c r="H64" i="1" a="1"/>
  <c r="H64" i="1" s="1"/>
  <c r="M63" i="1" a="1"/>
  <c r="M63" i="1" s="1"/>
  <c r="H63" i="1" a="1"/>
  <c r="I63" i="1" s="1"/>
  <c r="M62" i="1" a="1"/>
  <c r="M62" i="1" s="1"/>
  <c r="H62" i="1" a="1"/>
  <c r="H62" i="1" s="1"/>
  <c r="M61" i="1" a="1"/>
  <c r="M61" i="1" s="1"/>
  <c r="H61" i="1" a="1"/>
  <c r="H61" i="1" s="1"/>
  <c r="M60" i="1" a="1"/>
  <c r="M60" i="1" s="1"/>
  <c r="H60" i="1" a="1"/>
  <c r="H60" i="1" s="1"/>
  <c r="M59" i="1" a="1"/>
  <c r="O59" i="1" s="1"/>
  <c r="H59" i="1" a="1"/>
  <c r="J59" i="1" s="1"/>
  <c r="M58" i="1" a="1"/>
  <c r="M58" i="1" s="1"/>
  <c r="H58" i="1" a="1"/>
  <c r="I58" i="1" s="1"/>
  <c r="M57" i="1" a="1"/>
  <c r="M57" i="1" s="1"/>
  <c r="H57" i="1" a="1"/>
  <c r="J57" i="1" s="1"/>
  <c r="M56" i="1" a="1"/>
  <c r="M56" i="1" s="1"/>
  <c r="H56" i="1" a="1"/>
  <c r="H56" i="1" s="1"/>
  <c r="M55" i="1" a="1"/>
  <c r="M55" i="1" s="1"/>
  <c r="H55" i="1" a="1"/>
  <c r="H55" i="1" s="1"/>
  <c r="M54" i="1" a="1"/>
  <c r="N54" i="1" s="1"/>
  <c r="K54" i="1"/>
  <c r="J54" i="1"/>
  <c r="H54" i="1" a="1"/>
  <c r="I54" i="1" s="1"/>
  <c r="H54" i="1"/>
  <c r="M53" i="1" a="1"/>
  <c r="R53" i="1" s="1"/>
  <c r="H53" i="1" a="1"/>
  <c r="I53" i="1" s="1"/>
  <c r="M52" i="1" a="1"/>
  <c r="N52" i="1" s="1"/>
  <c r="H52" i="1" a="1"/>
  <c r="H52" i="1" s="1"/>
  <c r="M51" i="1" a="1"/>
  <c r="N51" i="1" s="1"/>
  <c r="H51" i="1" a="1"/>
  <c r="I51" i="1" s="1"/>
  <c r="H51" i="1"/>
  <c r="M50" i="1" a="1"/>
  <c r="O50" i="1" s="1"/>
  <c r="H50" i="1" a="1"/>
  <c r="H50" i="1" s="1"/>
  <c r="M49" i="1" a="1"/>
  <c r="O49" i="1" s="1"/>
  <c r="H49" i="1" a="1"/>
  <c r="H49" i="1" s="1"/>
  <c r="M48" i="1" a="1"/>
  <c r="M48" i="1" s="1"/>
  <c r="H48" i="1" a="1"/>
  <c r="H48" i="1" s="1"/>
  <c r="M47" i="1" a="1"/>
  <c r="M47" i="1" s="1"/>
  <c r="H47" i="1" a="1"/>
  <c r="H47" i="1" s="1"/>
  <c r="M46" i="1" a="1"/>
  <c r="N46" i="1" s="1"/>
  <c r="H46" i="1" a="1"/>
  <c r="H46" i="1" s="1"/>
  <c r="Q45" i="1"/>
  <c r="O45" i="1"/>
  <c r="N45" i="1"/>
  <c r="M45" i="1" a="1"/>
  <c r="P45" i="1" s="1"/>
  <c r="M45" i="1"/>
  <c r="H45" i="1" a="1"/>
  <c r="I45" i="1" s="1"/>
  <c r="M44" i="1" a="1"/>
  <c r="M44" i="1" s="1"/>
  <c r="H44" i="1" a="1"/>
  <c r="H44" i="1" s="1"/>
  <c r="M43" i="1" a="1"/>
  <c r="N43" i="1" s="1"/>
  <c r="H43" i="1" a="1"/>
  <c r="H43" i="1" s="1"/>
  <c r="M42" i="1" a="1"/>
  <c r="N42" i="1" s="1"/>
  <c r="H42" i="1" a="1"/>
  <c r="K42" i="1" s="1"/>
  <c r="W8" i="1" a="1"/>
  <c r="Z8" i="1" s="1"/>
  <c r="H42" i="1" l="1"/>
  <c r="N4" i="10"/>
  <c r="M51" i="1"/>
  <c r="N57" i="1"/>
  <c r="M50" i="1"/>
  <c r="T53" i="1"/>
  <c r="S53" i="1"/>
  <c r="I42" i="1"/>
  <c r="J42" i="1"/>
  <c r="M42" i="1"/>
  <c r="M49" i="1"/>
  <c r="O42" i="1"/>
  <c r="P50" i="1"/>
  <c r="K51" i="1"/>
  <c r="H58" i="1"/>
  <c r="L4" i="34"/>
  <c r="B35" i="3" s="1"/>
  <c r="N49" i="1"/>
  <c r="L4" i="15"/>
  <c r="C16" i="3" s="1"/>
  <c r="H45" i="1"/>
  <c r="J51" i="1"/>
  <c r="M52" i="1"/>
  <c r="H66" i="1" a="1"/>
  <c r="H66" i="1" s="1"/>
  <c r="M46" i="1"/>
  <c r="J4" i="40"/>
  <c r="B41" i="3" s="1"/>
  <c r="R4" i="32"/>
  <c r="C33" i="3" s="1"/>
  <c r="V4" i="44"/>
  <c r="C45" i="3" s="1"/>
  <c r="R4" i="36"/>
  <c r="J4" i="25"/>
  <c r="N4" i="12"/>
  <c r="P4" i="6"/>
  <c r="N4" i="16"/>
  <c r="P4" i="39"/>
  <c r="P4" i="20"/>
  <c r="Q4" i="21"/>
  <c r="S4" i="11"/>
  <c r="B37" i="3"/>
  <c r="C37" i="3"/>
  <c r="V4" i="48"/>
  <c r="L4" i="22"/>
  <c r="J4" i="41"/>
  <c r="Y4" i="45"/>
  <c r="L4" i="18"/>
  <c r="N4" i="9"/>
  <c r="B13" i="3"/>
  <c r="C13" i="3"/>
  <c r="J4" i="23"/>
  <c r="J4" i="26"/>
  <c r="P4" i="33"/>
  <c r="J4" i="28"/>
  <c r="B7" i="3"/>
  <c r="C7" i="3"/>
  <c r="L4" i="49"/>
  <c r="C26" i="3"/>
  <c r="B26" i="3"/>
  <c r="N4" i="42"/>
  <c r="L4" i="46"/>
  <c r="R4" i="53"/>
  <c r="C11" i="3"/>
  <c r="B11" i="3"/>
  <c r="C17" i="3"/>
  <c r="B17" i="3"/>
  <c r="C21" i="3"/>
  <c r="B21" i="3"/>
  <c r="L4" i="47"/>
  <c r="O4" i="31"/>
  <c r="L4" i="35"/>
  <c r="P4" i="27"/>
  <c r="C35" i="3"/>
  <c r="P4" i="14"/>
  <c r="J4" i="17"/>
  <c r="J4" i="50"/>
  <c r="C40" i="3"/>
  <c r="B40" i="3"/>
  <c r="L4" i="24"/>
  <c r="S4" i="4"/>
  <c r="AD8" i="1"/>
  <c r="BB8" i="1"/>
  <c r="K45" i="1"/>
  <c r="M59" i="1"/>
  <c r="W8" i="1"/>
  <c r="AT8" i="1"/>
  <c r="AF8" i="1"/>
  <c r="H53" i="1"/>
  <c r="N59" i="1"/>
  <c r="AC8" i="1"/>
  <c r="AE8" i="1"/>
  <c r="H63" i="1"/>
  <c r="Y8" i="1"/>
  <c r="J45" i="1"/>
  <c r="M68" i="1"/>
  <c r="I59" i="1"/>
  <c r="AI8" i="1"/>
  <c r="I50" i="1"/>
  <c r="M53" i="1"/>
  <c r="Q59" i="1"/>
  <c r="AA8" i="1"/>
  <c r="P59" i="1"/>
  <c r="AK8" i="1"/>
  <c r="K50" i="1"/>
  <c r="N53" i="1"/>
  <c r="H57" i="1"/>
  <c r="BA8" i="1"/>
  <c r="K59" i="1"/>
  <c r="O68" i="1"/>
  <c r="AJ8" i="1"/>
  <c r="J50" i="1"/>
  <c r="AL8" i="1"/>
  <c r="AW8" i="1"/>
  <c r="O53" i="1"/>
  <c r="AH8" i="1"/>
  <c r="P53" i="1"/>
  <c r="I57" i="1"/>
  <c r="N50" i="1"/>
  <c r="Q53" i="1"/>
  <c r="AU8" i="1"/>
  <c r="I44" i="1"/>
  <c r="X8" i="1"/>
  <c r="AV8" i="1"/>
  <c r="M54" i="1"/>
  <c r="H59" i="1"/>
  <c r="O54" i="1"/>
  <c r="AG8" i="1"/>
  <c r="AM8" i="1"/>
  <c r="AN8" i="1"/>
  <c r="AO8" i="1"/>
  <c r="AB8" i="1"/>
  <c r="AZ8" i="1"/>
  <c r="I49" i="1"/>
  <c r="AP8" i="1"/>
  <c r="M43" i="1"/>
  <c r="H67" i="1"/>
  <c r="AR8" i="1"/>
  <c r="I67" i="1"/>
  <c r="AX8" i="1"/>
  <c r="AY8" i="1"/>
  <c r="AQ8" i="1"/>
  <c r="AS8" i="1"/>
  <c r="B33" i="3" l="1"/>
  <c r="D33" i="3" s="1"/>
  <c r="E33" i="3" s="1"/>
  <c r="C41" i="3"/>
  <c r="B45" i="3"/>
  <c r="B16" i="3"/>
  <c r="D16" i="3" s="1"/>
  <c r="E16" i="3" s="1"/>
  <c r="D40" i="3"/>
  <c r="D21" i="3"/>
  <c r="E21" i="3" s="1"/>
  <c r="D17" i="3"/>
  <c r="D11" i="3"/>
  <c r="E11" i="3" s="1"/>
  <c r="D45" i="3"/>
  <c r="D7" i="3"/>
  <c r="E7" i="3" s="1"/>
  <c r="D13" i="3"/>
  <c r="E40" i="3"/>
  <c r="C47" i="3"/>
  <c r="B47" i="3"/>
  <c r="C54" i="3"/>
  <c r="B54" i="3"/>
  <c r="C42" i="3"/>
  <c r="B42" i="3"/>
  <c r="C23" i="3"/>
  <c r="B23" i="3"/>
  <c r="B25" i="3"/>
  <c r="C25" i="3"/>
  <c r="B51" i="3"/>
  <c r="C51" i="3"/>
  <c r="D26" i="3"/>
  <c r="E26" i="3" s="1"/>
  <c r="B49" i="3"/>
  <c r="C49" i="3"/>
  <c r="C19" i="3"/>
  <c r="B19" i="3"/>
  <c r="C50" i="3"/>
  <c r="B50" i="3"/>
  <c r="D37" i="3"/>
  <c r="E37" i="3" s="1"/>
  <c r="D35" i="3"/>
  <c r="E35" i="3" s="1"/>
  <c r="C48" i="3"/>
  <c r="B48" i="3"/>
  <c r="C5" i="3"/>
  <c r="B5" i="3"/>
  <c r="C46" i="3"/>
  <c r="B46" i="3"/>
  <c r="B43" i="3"/>
  <c r="C43" i="3"/>
  <c r="C29" i="3"/>
  <c r="B29" i="3"/>
  <c r="C12" i="3"/>
  <c r="B12" i="3"/>
  <c r="C34" i="3"/>
  <c r="B34" i="3"/>
  <c r="E45" i="3"/>
  <c r="D41" i="3"/>
  <c r="E41" i="3" s="1"/>
  <c r="C28" i="3"/>
  <c r="B28" i="3"/>
  <c r="C27" i="3"/>
  <c r="B27" i="3"/>
  <c r="C15" i="3"/>
  <c r="B15" i="3"/>
  <c r="C24" i="3"/>
  <c r="B24" i="3"/>
  <c r="E17" i="3"/>
  <c r="C18" i="3"/>
  <c r="B18" i="3"/>
  <c r="C36" i="3"/>
  <c r="B36" i="3"/>
  <c r="C32" i="3"/>
  <c r="B32" i="3"/>
  <c r="E13" i="3"/>
  <c r="C22" i="3"/>
  <c r="B22" i="3"/>
  <c r="D54" i="3" l="1"/>
  <c r="E54" i="3" s="1"/>
  <c r="D50" i="3"/>
  <c r="E50" i="3" s="1"/>
  <c r="D47" i="3"/>
  <c r="E47" i="3" s="1"/>
  <c r="D42" i="3"/>
  <c r="E42" i="3" s="1"/>
  <c r="D36" i="3"/>
  <c r="E36" i="3" s="1"/>
  <c r="D32" i="3"/>
  <c r="E32" i="3" s="1"/>
  <c r="D28" i="3"/>
  <c r="E28" i="3" s="1"/>
  <c r="D27" i="3"/>
  <c r="E27" i="3" s="1"/>
  <c r="D24" i="3"/>
  <c r="E24" i="3" s="1"/>
  <c r="D12" i="3"/>
  <c r="E12" i="3" s="1"/>
  <c r="D15" i="3"/>
  <c r="E15" i="3" s="1"/>
  <c r="D46" i="3"/>
  <c r="E46" i="3" s="1"/>
  <c r="D23" i="3"/>
  <c r="E23" i="3" s="1"/>
  <c r="D43" i="3"/>
  <c r="E43" i="3" s="1"/>
  <c r="D25" i="3"/>
  <c r="E25" i="3" s="1"/>
  <c r="D51" i="3"/>
  <c r="E51" i="3" s="1"/>
  <c r="D34" i="3"/>
  <c r="E34" i="3" s="1"/>
  <c r="D19" i="3"/>
  <c r="E19" i="3" s="1"/>
  <c r="D48" i="3"/>
  <c r="E48" i="3" s="1"/>
  <c r="D5" i="3"/>
  <c r="D29" i="3"/>
  <c r="E29" i="3" s="1"/>
  <c r="D22" i="3"/>
  <c r="E22" i="3" s="1"/>
  <c r="D18" i="3"/>
  <c r="E18" i="3" s="1"/>
  <c r="D49" i="3"/>
  <c r="E49" i="3" s="1"/>
  <c r="E5" i="3" l="1"/>
  <c r="C10" i="3"/>
  <c r="B10" i="3"/>
  <c r="D10" i="3" l="1"/>
  <c r="E10" i="3" l="1"/>
  <c r="H18" i="5"/>
  <c r="J18" i="5" s="1"/>
  <c r="J4" i="5" s="1"/>
  <c r="F18" i="5"/>
  <c r="C6" i="3" l="1"/>
  <c r="B6" i="3"/>
  <c r="D6" i="3" l="1"/>
  <c r="E6" i="3" l="1"/>
  <c r="J24" i="54"/>
  <c r="L24" i="54" s="1"/>
  <c r="L4" i="54" s="1"/>
  <c r="P36" i="52"/>
  <c r="R36" i="52" s="1"/>
  <c r="R4" i="52" s="1"/>
  <c r="L25" i="51"/>
  <c r="N25" i="51" s="1"/>
  <c r="N4" i="51" s="1"/>
  <c r="J25" i="51"/>
  <c r="M25" i="43"/>
  <c r="P25" i="43" s="1"/>
  <c r="P4" i="43" s="1"/>
  <c r="J15" i="38"/>
  <c r="L15" i="38" s="1"/>
  <c r="L4" i="38" s="1"/>
  <c r="H15" i="38"/>
  <c r="O21" i="37"/>
  <c r="R21" i="37" s="1"/>
  <c r="R4" i="37" s="1"/>
  <c r="L21" i="37"/>
  <c r="L23" i="30"/>
  <c r="O23" i="30" s="1"/>
  <c r="O4" i="30" s="1"/>
  <c r="L16" i="29"/>
  <c r="N16" i="29" s="1"/>
  <c r="N4" i="29" s="1"/>
  <c r="J16" i="29"/>
  <c r="L17" i="19"/>
  <c r="N17" i="19" s="1"/>
  <c r="N4" i="19" s="1"/>
  <c r="J17" i="19"/>
  <c r="H16" i="13"/>
  <c r="J16" i="13" s="1"/>
  <c r="J4" i="13" s="1"/>
  <c r="F16" i="13"/>
  <c r="J15" i="8"/>
  <c r="L15" i="8" s="1"/>
  <c r="L4" i="8" s="1"/>
  <c r="H15" i="8"/>
  <c r="M27" i="7"/>
  <c r="P27" i="7" s="1"/>
  <c r="J27" i="7"/>
  <c r="M25" i="7"/>
  <c r="P25" i="7" s="1"/>
  <c r="P4" i="7" l="1"/>
  <c r="B9" i="3"/>
  <c r="C9" i="3"/>
  <c r="B31" i="3"/>
  <c r="C31" i="3"/>
  <c r="C30" i="3"/>
  <c r="B30" i="3"/>
  <c r="C38" i="3"/>
  <c r="B38" i="3"/>
  <c r="C39" i="3"/>
  <c r="B39" i="3"/>
  <c r="C8" i="3"/>
  <c r="B8" i="3"/>
  <c r="C52" i="3"/>
  <c r="B52" i="3"/>
  <c r="B14" i="3"/>
  <c r="C14" i="3"/>
  <c r="C44" i="3"/>
  <c r="B44" i="3"/>
  <c r="B55" i="3"/>
  <c r="C55" i="3"/>
  <c r="C20" i="3"/>
  <c r="B20" i="3"/>
  <c r="C53" i="3"/>
  <c r="B53" i="3"/>
  <c r="D52" i="3" l="1"/>
  <c r="E52" i="3" s="1"/>
  <c r="D55" i="3"/>
  <c r="E55" i="3" s="1"/>
  <c r="D53" i="3"/>
  <c r="E53" i="3" s="1"/>
  <c r="D38" i="3"/>
  <c r="E38" i="3" s="1"/>
  <c r="D9" i="3"/>
  <c r="D20" i="3"/>
  <c r="E20" i="3" s="1"/>
  <c r="D8" i="3"/>
  <c r="B56" i="3"/>
  <c r="D44" i="3"/>
  <c r="E44" i="3" s="1"/>
  <c r="E8" i="3"/>
  <c r="C56" i="3"/>
  <c r="E56" i="3" s="1"/>
  <c r="D30" i="3"/>
  <c r="E30" i="3" s="1"/>
  <c r="D39" i="3"/>
  <c r="E39" i="3" s="1"/>
  <c r="D31" i="3"/>
  <c r="E31" i="3" s="1"/>
  <c r="D14" i="3"/>
  <c r="E14" i="3" s="1"/>
  <c r="E9" i="3"/>
  <c r="D56" i="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<sst xmlns="http://schemas.openxmlformats.org/spreadsheetml/2006/main" count="4696" uniqueCount="3419">
  <si>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</si>
  <si>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</si>
  <si>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</si>
  <si>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</si>
  <si>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</si>
  <si>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</si>
  <si>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</si>
  <si>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</si>
  <si>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</si>
  <si>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</si>
  <si>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</si>
  <si>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</si>
  <si>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</si>
  <si>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</si>
  <si>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</si>
  <si>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</si>
  <si>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</si>
  <si>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</si>
  <si>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</si>
  <si>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</si>
  <si>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C:\Users\easht\OneDrive\Documents\Excel Fun\MEWC\Cases\Project Ohio</t>
  </si>
  <si>
    <t>Case Filename:</t>
  </si>
  <si>
    <t>project_ohio with answers.xlsx</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</si>
  <si>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</si>
  <si>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</si>
  <si>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</si>
  <si>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</si>
  <si>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</si>
  <si>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</si>
  <si>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</si>
  <si>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</si>
  <si>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</si>
  <si>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</si>
  <si>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</si>
  <si>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</si>
  <si>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</si>
  <si>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</si>
  <si>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</si>
  <si>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</si>
  <si>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</si>
  <si>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</si>
  <si>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</si>
  <si>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</si>
  <si>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</si>
  <si>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</si>
  <si>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</si>
  <si>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</si>
  <si>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</si>
  <si>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</si>
  <si>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</si>
  <si>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</si>
  <si>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</si>
  <si>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</si>
  <si>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</si>
  <si>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</si>
  <si>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</si>
  <si>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</si>
  <si>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</si>
  <si>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</si>
  <si>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</si>
  <si>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</si>
  <si>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</si>
  <si>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</si>
  <si>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</si>
  <si>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</si>
  <si>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</si>
  <si>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</si>
  <si>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</si>
  <si>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</si>
  <si>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</si>
  <si>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</si>
  <si>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</si>
  <si>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</si>
  <si>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</si>
  <si>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</si>
  <si>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</si>
  <si>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</si>
  <si>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</si>
  <si>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</si>
  <si>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</si>
  <si>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</si>
  <si>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</si>
  <si>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</si>
  <si>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</si>
  <si>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</si>
  <si>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</si>
  <si>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</si>
  <si>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</si>
  <si>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</si>
  <si>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</si>
  <si>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</si>
  <si>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</si>
  <si>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</si>
  <si>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</si>
  <si>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</si>
  <si>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</si>
  <si>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</si>
  <si>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</si>
  <si>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</si>
  <si>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</si>
  <si>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</si>
  <si>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</si>
  <si>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</si>
  <si>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</si>
  <si>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</si>
  <si>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</si>
  <si>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</si>
  <si>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</si>
  <si>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</si>
  <si>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</si>
  <si>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</si>
  <si>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</si>
  <si>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</si>
  <si>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</si>
  <si>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</si>
  <si>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</si>
  <si>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</si>
  <si>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</si>
  <si>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</si>
  <si>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</si>
  <si>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</si>
  <si>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</si>
  <si>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</si>
  <si>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</si>
  <si>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speedrun 2026_07_04.xlsm</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</si>
  <si>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</si>
  <si>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</si>
  <si>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</si>
  <si>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</si>
  <si>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</si>
  <si>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</si>
  <si>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</si>
  <si>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</si>
  <si>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</si>
  <si>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</si>
  <si>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</si>
  <si>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</si>
  <si>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</si>
  <si>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</si>
  <si>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</si>
  <si>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</si>
  <si>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</si>
  <si>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</si>
  <si>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</si>
  <si>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</si>
  <si>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</si>
  <si>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</si>
  <si>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</si>
  <si>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</si>
  <si>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</si>
  <si>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</si>
  <si>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</si>
  <si>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</si>
  <si>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</si>
  <si>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</si>
  <si>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</si>
  <si>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</si>
  <si>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</si>
  <si>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</si>
  <si>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</si>
  <si>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</si>
  <si>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</si>
  <si>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</si>
  <si>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</si>
  <si>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</si>
  <si>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</si>
  <si>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</si>
  <si>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</si>
  <si>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</si>
  <si>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</si>
  <si>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</si>
  <si>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</si>
  <si>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</si>
  <si>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</si>
  <si>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</si>
  <si>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</si>
  <si>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</si>
  <si>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</si>
  <si>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</si>
  <si>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</si>
  <si>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</si>
  <si>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</si>
  <si>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</si>
  <si>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</si>
  <si>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</si>
  <si>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</si>
  <si>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</si>
  <si>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</si>
  <si>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</si>
  <si>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</si>
  <si>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</si>
  <si>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</si>
  <si>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</si>
  <si>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</si>
  <si>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</si>
  <si>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</si>
  <si>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</si>
  <si>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</si>
  <si>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</si>
  <si>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</si>
  <si>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</si>
  <si>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</si>
  <si>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</si>
  <si>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</si>
  <si>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</si>
  <si>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</si>
  <si>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</si>
  <si>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</si>
  <si>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</si>
  <si>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</si>
  <si>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</si>
  <si>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</si>
  <si>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</si>
  <si>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</si>
  <si>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</si>
  <si>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</si>
  <si>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</si>
  <si>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</si>
  <si>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</si>
  <si>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</si>
  <si>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</si>
  <si>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</si>
  <si>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</si>
  <si>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</si>
  <si>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</si>
  <si>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</si>
  <si>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</si>
  <si>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</si>
  <si>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</si>
  <si>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</si>
  <si>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</si>
  <si>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</si>
  <si>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</si>
  <si>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</si>
  <si>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</si>
  <si>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</si>
  <si>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</si>
  <si>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</si>
  <si>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</si>
  <si>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</si>
  <si>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</si>
  <si>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</si>
  <si>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</si>
  <si>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</si>
  <si>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</si>
  <si>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</si>
  <si>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</si>
  <si>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</si>
  <si>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</si>
  <si>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</si>
  <si>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</si>
  <si>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</si>
  <si>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</si>
  <si>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</si>
  <si>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</si>
  <si>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</si>
  <si>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</si>
  <si>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</si>
  <si>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</si>
  <si>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</si>
  <si>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</si>
  <si>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</si>
  <si>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</si>
  <si>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</si>
  <si>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</si>
  <si>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</si>
  <si>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</si>
  <si>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</si>
  <si>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</si>
  <si>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</si>
  <si>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</si>
  <si>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</si>
  <si>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</si>
  <si>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</si>
  <si>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</si>
  <si>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</si>
  <si>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</si>
  <si>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</si>
  <si>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</si>
  <si>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</si>
  <si>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</si>
  <si>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</si>
  <si>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</si>
  <si>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</si>
  <si>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</si>
  <si>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</si>
  <si>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</si>
  <si>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</si>
  <si>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</si>
  <si>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</si>
  <si>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</si>
  <si>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</si>
  <si>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</si>
  <si>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</si>
  <si>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</si>
  <si>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</si>
  <si>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</si>
  <si>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</si>
  <si>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</si>
  <si>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</si>
  <si>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</si>
  <si>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</si>
  <si>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</si>
  <si>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</si>
  <si>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</si>
  <si>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</si>
  <si>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</si>
  <si>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</si>
  <si>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</si>
  <si>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</si>
  <si>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</si>
  <si>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</si>
  <si>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</si>
  <si>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</si>
  <si>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</si>
  <si>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</si>
  <si>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</si>
  <si>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</si>
  <si>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</si>
  <si>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</si>
  <si>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</si>
  <si>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</si>
  <si>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</si>
  <si>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</si>
  <si>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</si>
  <si>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</si>
  <si>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</si>
  <si>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</si>
  <si>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</si>
  <si>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</si>
  <si>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</si>
  <si>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</si>
  <si>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</si>
  <si>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</si>
  <si>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</si>
  <si>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</si>
  <si>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</si>
  <si>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</si>
  <si>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</si>
  <si>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</si>
  <si>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</si>
  <si>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</si>
  <si>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</si>
  <si>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</si>
  <si>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</si>
  <si>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</si>
  <si>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</si>
  <si>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</si>
  <si>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</si>
  <si>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</si>
  <si>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</si>
  <si>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</si>
  <si>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</si>
  <si>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</si>
  <si>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</si>
  <si>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</si>
  <si>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</si>
  <si>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</si>
  <si>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</si>
  <si>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</si>
  <si>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</si>
  <si>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</si>
  <si>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</si>
  <si>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</si>
  <si>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</si>
  <si>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</si>
  <si>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</si>
  <si>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</si>
  <si>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</si>
  <si>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</si>
  <si>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</si>
  <si>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</si>
  <si>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</si>
  <si>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</si>
  <si>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</si>
  <si>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</si>
  <si>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</si>
  <si>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</si>
  <si>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</si>
  <si>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</si>
  <si>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</si>
  <si>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</si>
  <si>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</si>
  <si>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</si>
  <si>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</si>
  <si>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</si>
  <si>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</si>
  <si>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</si>
  <si>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</si>
  <si>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</si>
  <si>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</si>
  <si>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</si>
  <si>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</si>
  <si>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</si>
  <si>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</si>
  <si>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</si>
  <si>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</si>
  <si>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</si>
  <si>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</si>
  <si>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</si>
  <si>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</si>
  <si>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</si>
  <si>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</si>
  <si>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</si>
  <si>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</si>
  <si>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</si>
  <si>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</si>
  <si>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</si>
  <si>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</si>
  <si>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</si>
  <si>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</si>
  <si>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</si>
  <si>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</si>
  <si>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</si>
  <si>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</si>
  <si>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</si>
  <si>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</si>
  <si>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</si>
  <si>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</si>
  <si>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</si>
  <si>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</si>
  <si>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</si>
  <si>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</si>
  <si>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</si>
  <si>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</si>
  <si>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</si>
  <si>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</si>
  <si>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</si>
  <si>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</si>
  <si>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</si>
  <si>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</si>
  <si>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</si>
  <si>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</si>
  <si>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</si>
  <si>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</si>
  <si>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</si>
  <si>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</si>
  <si>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</si>
  <si>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</si>
  <si>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</si>
  <si>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</si>
  <si>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</si>
  <si>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</si>
  <si>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</si>
  <si>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</si>
  <si>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</si>
  <si>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</si>
  <si>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</si>
  <si>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</si>
  <si>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</si>
  <si>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</si>
  <si>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</si>
  <si>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</si>
  <si>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</si>
  <si>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</si>
  <si>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</si>
  <si>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</si>
  <si>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</si>
  <si>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</si>
  <si>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</si>
  <si>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</si>
  <si>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</si>
  <si>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</si>
  <si>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</si>
  <si>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</si>
  <si>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</si>
  <si>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</si>
  <si>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</si>
  <si>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</si>
  <si>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</si>
  <si>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</si>
  <si>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</si>
  <si>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</si>
  <si>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</si>
  <si>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</si>
  <si>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</si>
  <si>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</si>
  <si>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</si>
  <si>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</si>
  <si>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</si>
  <si>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</si>
  <si>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</si>
  <si>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</si>
  <si>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</si>
  <si>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</si>
  <si>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</si>
  <si>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</si>
  <si>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</si>
  <si>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</si>
  <si>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</si>
  <si>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</si>
  <si>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</si>
  <si>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</si>
  <si>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</si>
  <si>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</si>
  <si>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</si>
  <si>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</si>
  <si>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</si>
  <si>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</si>
  <si>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</si>
  <si>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</si>
  <si>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</si>
  <si>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</si>
  <si>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</si>
  <si>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</si>
  <si>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</si>
  <si>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</si>
  <si>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</si>
  <si>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</si>
  <si>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</si>
  <si>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</si>
  <si>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</si>
  <si>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</si>
  <si>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</si>
  <si>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</si>
  <si>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</si>
  <si>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</si>
  <si>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</si>
  <si>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</si>
  <si>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</si>
  <si>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</si>
  <si>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</si>
  <si>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</si>
  <si>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</si>
  <si>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</si>
  <si>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</si>
  <si>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</si>
  <si>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</si>
  <si>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</si>
  <si>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</si>
  <si>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</si>
  <si>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</si>
  <si>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</si>
  <si>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</si>
  <si>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</si>
  <si>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</si>
  <si>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</si>
  <si>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</si>
  <si>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</si>
  <si>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</si>
  <si>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</si>
  <si>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</si>
  <si>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</si>
  <si>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</si>
  <si>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</si>
  <si>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</si>
  <si>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</si>
  <si>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</si>
  <si>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</si>
  <si>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</si>
  <si>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</si>
  <si>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</si>
  <si>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</si>
  <si>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</si>
  <si>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</si>
  <si>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</si>
  <si>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</si>
  <si>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</si>
  <si>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</si>
  <si>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</si>
  <si>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</si>
  <si>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</si>
  <si>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</si>
  <si>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</si>
  <si>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</si>
  <si>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</si>
  <si>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</si>
  <si>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</si>
  <si>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</si>
  <si>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</si>
  <si>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</si>
  <si>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</si>
  <si>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</si>
  <si>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</si>
  <si>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</si>
  <si>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</si>
  <si>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</si>
  <si>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</si>
  <si>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</si>
  <si>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</si>
  <si>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</si>
  <si>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</si>
  <si>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</si>
  <si>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</si>
  <si>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</si>
  <si>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</si>
  <si>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</si>
  <si>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</si>
  <si>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</si>
  <si>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</si>
  <si>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</si>
  <si>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</si>
  <si>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</si>
  <si>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</si>
  <si>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</si>
  <si>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</si>
  <si>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</si>
  <si>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</si>
  <si>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</si>
  <si>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</si>
  <si>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</si>
  <si>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</si>
  <si>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</si>
  <si>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</si>
  <si>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</si>
  <si>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</si>
  <si>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</si>
  <si>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</si>
  <si>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</si>
  <si>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</si>
  <si>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</si>
  <si>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</si>
  <si>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</si>
  <si>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</si>
  <si>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</si>
  <si>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</si>
  <si>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</si>
  <si>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</si>
  <si>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</si>
  <si>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</si>
  <si>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</si>
  <si>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</si>
  <si>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</si>
  <si>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</si>
  <si>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</si>
  <si>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</si>
  <si>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</si>
  <si>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</si>
  <si>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</si>
  <si>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</si>
  <si>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</si>
  <si>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</si>
  <si>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</si>
  <si>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</si>
  <si>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</si>
  <si>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</si>
  <si>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</si>
  <si>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</si>
  <si>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</si>
  <si>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</si>
  <si>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</si>
  <si>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</si>
  <si>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</si>
  <si>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</si>
  <si>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</si>
  <si>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</si>
  <si>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</si>
  <si>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</si>
  <si>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</si>
  <si>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</si>
  <si>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</si>
  <si>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</si>
  <si>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</si>
  <si>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</si>
  <si>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</si>
  <si>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</si>
  <si>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</si>
  <si>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</si>
  <si>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</si>
  <si>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</si>
  <si>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</si>
  <si>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</si>
  <si>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</si>
  <si>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</si>
  <si>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</si>
  <si>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</si>
  <si>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</si>
  <si>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</si>
  <si>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</si>
  <si>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</si>
  <si>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</si>
  <si>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</si>
  <si>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</si>
  <si>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</si>
  <si>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</si>
  <si>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</si>
  <si>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</si>
  <si>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</si>
  <si>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</si>
  <si>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</si>
  <si>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</si>
  <si>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</si>
  <si>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</si>
  <si>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</si>
  <si>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</si>
  <si>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</si>
  <si>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</si>
  <si>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</si>
  <si>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</si>
  <si>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</si>
  <si>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</si>
  <si>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</si>
  <si>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</si>
  <si>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</si>
  <si>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</si>
  <si>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</si>
  <si>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</si>
  <si>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</si>
  <si>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</si>
  <si>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</si>
  <si>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</si>
  <si>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</si>
  <si>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</si>
  <si>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</si>
  <si>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</si>
  <si>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</si>
  <si>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</si>
  <si>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</si>
  <si>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</si>
  <si>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</si>
  <si>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</si>
  <si>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</si>
  <si>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</si>
  <si>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</si>
  <si>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</si>
  <si>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</si>
  <si>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</si>
  <si>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</si>
  <si>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</si>
  <si>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</si>
  <si>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</si>
  <si>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</si>
  <si>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</si>
  <si>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</si>
  <si>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</si>
  <si>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</si>
  <si>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</si>
  <si>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</si>
  <si>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</si>
  <si>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</si>
  <si>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</si>
  <si>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</si>
  <si>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</si>
  <si>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</si>
  <si>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</si>
  <si>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</si>
  <si>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</si>
  <si>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</si>
  <si>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</si>
  <si>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</si>
  <si>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</si>
  <si>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</si>
  <si>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</si>
  <si>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</si>
  <si>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</si>
  <si>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</si>
  <si>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</si>
  <si>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</si>
  <si>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</si>
  <si>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</si>
  <si>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</si>
  <si>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</si>
  <si>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</si>
  <si>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</si>
  <si>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</si>
  <si>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</si>
  <si>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</si>
  <si>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</si>
  <si>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</si>
  <si>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</si>
  <si>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</si>
  <si>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</si>
  <si>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</si>
  <si>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</si>
  <si>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</si>
  <si>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</si>
  <si>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</si>
  <si>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</si>
  <si>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</si>
  <si>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</si>
  <si>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</si>
  <si>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</si>
  <si>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</si>
  <si>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</si>
  <si>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</si>
  <si>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</si>
  <si>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</si>
  <si>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</si>
  <si>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</si>
  <si>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</si>
  <si>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</si>
  <si>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</si>
  <si>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</si>
  <si>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</si>
  <si>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</si>
  <si>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</si>
  <si>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</si>
  <si>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</si>
  <si>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</si>
  <si>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</si>
  <si>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</si>
  <si>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</si>
  <si>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</si>
  <si>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</si>
  <si>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</si>
  <si>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</si>
  <si>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</si>
  <si>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</si>
  <si>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</si>
  <si>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</si>
  <si>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</si>
  <si>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</si>
  <si>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</si>
  <si>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</si>
  <si>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</si>
  <si>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</si>
  <si>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</si>
  <si>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</si>
  <si>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</si>
  <si>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</si>
  <si>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</si>
  <si>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</si>
  <si>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</si>
  <si>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</si>
  <si>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</si>
  <si>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</si>
  <si>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</si>
  <si>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</si>
  <si>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</si>
  <si>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</si>
  <si>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</si>
  <si>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</si>
  <si>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</si>
  <si>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</si>
  <si>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</si>
  <si>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</si>
  <si>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</si>
  <si>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</si>
  <si>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</si>
  <si>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</si>
  <si>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</si>
  <si>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</si>
  <si>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</si>
  <si>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</si>
  <si>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</si>
  <si>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</si>
  <si>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</si>
  <si>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</si>
  <si>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</si>
  <si>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</si>
  <si>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</si>
  <si>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</si>
  <si>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</si>
  <si>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</si>
  <si>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</si>
  <si>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</si>
  <si>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</si>
  <si>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</si>
  <si>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</si>
  <si>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</si>
  <si>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</si>
  <si>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</si>
  <si>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</si>
  <si>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</si>
  <si>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</si>
  <si>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</si>
  <si>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</si>
  <si>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</si>
  <si>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</si>
  <si>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</si>
  <si>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</si>
  <si>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</si>
  <si>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</si>
  <si>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</si>
  <si>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</si>
  <si>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</si>
  <si>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</si>
  <si>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</si>
  <si>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</si>
  <si>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</si>
  <si>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</si>
  <si>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</si>
  <si>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</si>
  <si>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</si>
  <si>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</si>
  <si>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</si>
  <si>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</si>
  <si>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</si>
  <si>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</si>
  <si>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</si>
  <si>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</si>
  <si>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</si>
  <si>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</si>
  <si>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</si>
  <si>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</si>
  <si>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</si>
  <si>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</si>
  <si>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</si>
  <si>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</si>
  <si>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</si>
  <si>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</si>
  <si>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</si>
  <si>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</si>
  <si>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</si>
  <si>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</si>
  <si>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</si>
  <si>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</si>
  <si>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</si>
  <si>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</si>
  <si>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</si>
  <si>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</si>
  <si>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</si>
  <si>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</si>
  <si>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</si>
  <si>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</si>
  <si>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</si>
  <si>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</si>
  <si>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</si>
  <si>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</si>
  <si>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</si>
  <si>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</si>
  <si>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</si>
  <si>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</si>
  <si>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</si>
  <si>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</si>
  <si>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</si>
  <si>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</si>
  <si>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</si>
  <si>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</si>
  <si>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</si>
  <si>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</si>
  <si>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</si>
  <si>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</si>
  <si>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</si>
  <si>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</si>
  <si>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</si>
  <si>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</si>
  <si>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</si>
  <si>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</si>
  <si>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</si>
  <si>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</si>
  <si>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</si>
  <si>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</si>
  <si>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</si>
  <si>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</si>
  <si>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</si>
  <si>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</si>
  <si>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</si>
  <si>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</si>
  <si>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</si>
  <si>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</si>
  <si>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</si>
  <si>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</si>
  <si>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</si>
  <si>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</si>
  <si>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</si>
  <si>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</si>
  <si>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</si>
  <si>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</si>
  <si>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</si>
  <si>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</si>
  <si>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</si>
  <si>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</si>
  <si>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</si>
  <si>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</si>
  <si>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</si>
  <si>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</si>
  <si>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</si>
  <si>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</si>
  <si>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</si>
  <si>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</si>
  <si>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</si>
  <si>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</si>
  <si>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</si>
  <si>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</si>
  <si>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</si>
  <si>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</si>
  <si>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</si>
  <si>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</si>
  <si>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</si>
  <si>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</si>
  <si>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</si>
  <si>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</si>
  <si>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</si>
  <si>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</si>
  <si>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</si>
  <si>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</si>
  <si>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</si>
  <si>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</si>
  <si>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</si>
  <si>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</si>
  <si>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</si>
  <si>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</si>
  <si>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</si>
  <si>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</si>
  <si>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</si>
  <si>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</si>
  <si>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</si>
  <si>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</si>
  <si>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</si>
  <si>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</si>
  <si>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</si>
  <si>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</si>
  <si>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</si>
  <si>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</si>
  <si>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</si>
  <si>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</si>
  <si>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</si>
  <si>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</si>
  <si>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</si>
  <si>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</si>
  <si>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</si>
  <si>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</si>
  <si>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</si>
  <si>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</si>
  <si>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</si>
  <si>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</si>
  <si>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</si>
  <si>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</si>
  <si>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</si>
  <si>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</si>
  <si>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</si>
  <si>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</si>
  <si>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</si>
  <si>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</si>
  <si>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</si>
  <si>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</si>
  <si>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</si>
  <si>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</si>
  <si>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</si>
  <si>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</si>
  <si>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</si>
  <si>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</si>
  <si>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</si>
  <si>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</si>
  <si>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</si>
  <si>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</si>
  <si>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</si>
  <si>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</si>
  <si>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</si>
  <si>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</si>
  <si>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</si>
  <si>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</si>
  <si>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</si>
  <si>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</si>
  <si>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</si>
  <si>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</si>
  <si>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</si>
  <si>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</si>
  <si>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</si>
  <si>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</si>
  <si>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</si>
  <si>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</si>
  <si>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</si>
  <si>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</si>
  <si>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</si>
  <si>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</si>
  <si>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</si>
  <si>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</si>
  <si>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</si>
  <si>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</si>
  <si>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</si>
  <si>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</si>
  <si>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</si>
  <si>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</si>
  <si>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</si>
  <si>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</si>
  <si>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</si>
  <si>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</si>
  <si>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</si>
  <si>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</si>
  <si>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</si>
  <si>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</si>
  <si>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</si>
  <si>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</si>
  <si>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</si>
  <si>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</si>
  <si>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</si>
  <si>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</si>
  <si>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</si>
  <si>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</si>
  <si>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</si>
  <si>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</si>
  <si>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</si>
  <si>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</si>
  <si>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</si>
  <si>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</si>
  <si>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</si>
  <si>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</si>
  <si>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</si>
  <si>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</si>
  <si>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</si>
  <si>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</si>
  <si>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</si>
  <si>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</si>
  <si>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</si>
  <si>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</si>
  <si>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</si>
  <si>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</si>
  <si>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</si>
  <si>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</si>
  <si>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</si>
  <si>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</si>
  <si>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</si>
  <si>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</si>
  <si>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</si>
  <si>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</si>
  <si>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</si>
  <si>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</si>
  <si>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</si>
  <si>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</si>
  <si>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</si>
  <si>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</si>
  <si>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</si>
  <si>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</si>
  <si>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</si>
  <si>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</si>
  <si>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</si>
  <si>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</si>
  <si>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</si>
  <si>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</si>
  <si>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</si>
  <si>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</si>
  <si>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</si>
  <si>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</si>
  <si>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</si>
  <si>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</si>
  <si>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</si>
  <si>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</si>
  <si>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</si>
  <si>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</si>
  <si>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</si>
  <si>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</si>
  <si>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</si>
  <si>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</si>
  <si>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</si>
  <si>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</si>
  <si>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</si>
  <si>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</si>
  <si>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</si>
  <si>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</si>
  <si>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</si>
  <si>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</si>
  <si>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</si>
  <si>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</si>
  <si>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</si>
  <si>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</si>
  <si>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</si>
  <si>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</si>
  <si>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</si>
  <si>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</si>
  <si>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</si>
  <si>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</si>
  <si>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</si>
  <si>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</si>
  <si>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</si>
  <si>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</si>
  <si>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</si>
  <si>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</si>
  <si>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</si>
  <si>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</si>
  <si>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</si>
  <si>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</si>
  <si>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</si>
  <si>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</si>
  <si>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</si>
  <si>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</si>
  <si>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</si>
  <si>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</si>
  <si>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</si>
  <si>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</si>
  <si>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</si>
  <si>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</si>
  <si>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</si>
  <si>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</si>
  <si>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</si>
  <si>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</si>
  <si>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</si>
  <si>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</si>
  <si>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</si>
  <si>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</si>
  <si>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</si>
  <si>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</si>
  <si>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</si>
  <si>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</si>
  <si>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</si>
  <si>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</si>
  <si>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</si>
  <si>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</si>
  <si>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</si>
  <si>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</si>
  <si>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</si>
  <si>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</si>
  <si>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</si>
  <si>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</si>
  <si>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</si>
  <si>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</si>
  <si>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</si>
  <si>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</si>
  <si>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</si>
  <si>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</si>
  <si>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</si>
  <si>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</si>
  <si>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</si>
  <si>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</si>
  <si>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</si>
  <si>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</si>
  <si>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</si>
  <si>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</si>
  <si>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</si>
  <si>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</si>
  <si>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</si>
  <si>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</si>
  <si>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</si>
  <si>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</si>
  <si>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</si>
  <si>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</si>
  <si>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</si>
  <si>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</si>
  <si>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</si>
  <si>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</si>
  <si>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</si>
  <si>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</si>
  <si>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</si>
  <si>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</si>
  <si>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</si>
  <si>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</si>
  <si>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</si>
  <si>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</si>
  <si>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</si>
  <si>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</si>
  <si>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</si>
  <si>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</si>
  <si>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</si>
  <si>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</si>
  <si>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</si>
  <si>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</si>
  <si>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</si>
  <si>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</si>
  <si>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</si>
  <si>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</si>
  <si>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</si>
  <si>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</si>
  <si>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</si>
  <si>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</si>
  <si>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</si>
  <si>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</si>
  <si>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</si>
  <si>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</si>
  <si>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</si>
  <si>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</si>
  <si>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</si>
  <si>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</si>
  <si>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</si>
  <si>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</si>
  <si>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</si>
  <si>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</si>
  <si>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</si>
  <si>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</si>
  <si>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</si>
  <si>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</si>
  <si>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</si>
  <si>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</si>
  <si>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</si>
  <si>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</si>
  <si>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</si>
  <si>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</si>
  <si>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</si>
  <si>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</si>
  <si>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</si>
  <si>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</si>
  <si>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</si>
  <si>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</si>
  <si>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</si>
  <si>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</si>
  <si>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</si>
  <si>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</si>
  <si>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</si>
  <si>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</si>
  <si>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</si>
  <si>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</si>
  <si>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</si>
  <si>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</si>
  <si>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</si>
  <si>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</si>
  <si>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</si>
  <si>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</si>
  <si>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</si>
  <si>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</si>
  <si>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</si>
  <si>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</si>
  <si>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</si>
  <si>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</si>
  <si>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</si>
  <si>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</si>
  <si>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</si>
  <si>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</si>
  <si>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</si>
  <si>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</si>
  <si>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</si>
  <si>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</si>
  <si>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</si>
  <si>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</si>
  <si>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</si>
  <si>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</si>
  <si>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</si>
  <si>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</si>
  <si>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</si>
  <si>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</si>
  <si>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</si>
  <si>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</si>
  <si>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</si>
  <si>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</si>
  <si>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</si>
  <si>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</si>
  <si>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</si>
  <si>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</si>
  <si>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</si>
  <si>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</si>
  <si>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</si>
  <si>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</si>
  <si>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</si>
  <si>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</si>
  <si>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</si>
  <si>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</si>
  <si>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</si>
  <si>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</si>
  <si>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</si>
  <si>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</si>
  <si>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</si>
  <si>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</si>
  <si>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</si>
  <si>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</si>
  <si>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</si>
  <si>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</si>
  <si>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</si>
  <si>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</si>
  <si>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</si>
  <si>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</si>
  <si>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</si>
  <si>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</si>
  <si>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</si>
  <si>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</si>
  <si>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</si>
  <si>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</si>
  <si>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</si>
  <si>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</si>
  <si>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</si>
  <si>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</si>
  <si>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</si>
  <si>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</si>
  <si>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</si>
  <si>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</si>
  <si>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</si>
  <si>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</si>
  <si>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</si>
  <si>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</si>
  <si>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</si>
  <si>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</si>
  <si>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</si>
  <si>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</si>
  <si>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</si>
  <si>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</si>
  <si>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</si>
  <si>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</si>
  <si>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</si>
  <si>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</si>
  <si>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</si>
  <si>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</si>
  <si>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</si>
  <si>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</si>
  <si>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</si>
  <si>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</si>
  <si>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</si>
  <si>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</si>
  <si>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</si>
  <si>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</si>
  <si>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</si>
  <si>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</si>
  <si>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</si>
  <si>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</si>
  <si>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</si>
  <si>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</si>
  <si>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</si>
  <si>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</si>
  <si>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</si>
  <si>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</si>
  <si>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</si>
  <si>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</si>
  <si>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</si>
  <si>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</si>
  <si>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</si>
  <si>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</si>
  <si>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</si>
  <si>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</si>
  <si>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</si>
  <si>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</si>
  <si>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</si>
  <si>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</si>
  <si>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</si>
  <si>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</si>
  <si>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</si>
  <si>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</si>
  <si>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</si>
  <si>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</si>
  <si>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</si>
  <si>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</si>
  <si>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</si>
  <si>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</si>
  <si>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</si>
  <si>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</si>
  <si>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</si>
  <si>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</si>
  <si>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</si>
  <si>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</si>
  <si>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</si>
  <si>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</si>
  <si>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</si>
  <si>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</si>
  <si>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</si>
  <si>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</si>
  <si>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</si>
  <si>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</si>
  <si>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</si>
  <si>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</si>
  <si>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</si>
  <si>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</si>
  <si>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</si>
  <si>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</si>
  <si>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</si>
  <si>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</si>
  <si>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</si>
  <si>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</si>
  <si>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</si>
  <si>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</si>
  <si>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</si>
  <si>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</si>
  <si>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</si>
  <si>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</si>
  <si>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</si>
  <si>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</si>
  <si>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</si>
  <si>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</si>
  <si>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</si>
  <si>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</si>
  <si>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</si>
  <si>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</si>
  <si>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</si>
  <si>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</si>
  <si>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</si>
  <si>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</si>
  <si>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</si>
  <si>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</si>
  <si>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</si>
  <si>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</si>
  <si>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</si>
  <si>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</si>
  <si>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</si>
  <si>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</si>
  <si>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</si>
  <si>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</si>
  <si>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</si>
  <si>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</si>
  <si>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</si>
  <si>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</si>
  <si>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</si>
  <si>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</si>
  <si>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</si>
  <si>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</si>
  <si>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</si>
  <si>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</si>
  <si>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</si>
  <si>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</si>
  <si>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</si>
  <si>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</si>
  <si>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</si>
  <si>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</si>
  <si>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</si>
  <si>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</si>
  <si>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</si>
  <si>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</si>
  <si>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</si>
  <si>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</si>
  <si>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</si>
  <si>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</si>
  <si>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</si>
  <si>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</si>
  <si>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</si>
  <si>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</si>
  <si>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</si>
  <si>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</si>
  <si>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</si>
  <si>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</si>
  <si>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</si>
  <si>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</si>
  <si>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</si>
  <si>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</si>
  <si>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</si>
  <si>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</si>
  <si>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</si>
  <si>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</si>
  <si>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</si>
  <si>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</si>
  <si>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</si>
  <si>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</si>
  <si>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</si>
  <si>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</si>
  <si>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</si>
  <si>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</si>
  <si>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</si>
  <si>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</si>
  <si>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</si>
  <si>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</si>
  <si>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</si>
  <si>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</si>
  <si>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</si>
  <si>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</si>
  <si>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</si>
  <si>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</si>
  <si>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</si>
  <si>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</si>
  <si>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</si>
  <si>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</si>
  <si>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</si>
  <si>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</si>
  <si>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</si>
  <si>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</si>
  <si>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</si>
  <si>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</si>
  <si>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</si>
  <si>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</si>
  <si>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</si>
  <si>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</si>
  <si>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</si>
  <si>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</si>
  <si>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</si>
  <si>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</si>
  <si>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</si>
  <si>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</si>
  <si>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</si>
  <si>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</si>
  <si>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</si>
  <si>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</si>
  <si>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</si>
  <si>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</si>
  <si>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</si>
  <si>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</si>
  <si>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</si>
  <si>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</si>
  <si>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</si>
  <si>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</si>
  <si>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</si>
  <si>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</si>
  <si>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</si>
  <si>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</si>
  <si>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</si>
  <si>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</si>
  <si>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</si>
  <si>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</si>
  <si>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</si>
  <si>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</si>
  <si>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</si>
  <si>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</si>
  <si>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</si>
  <si>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</si>
  <si>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</si>
  <si>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</si>
  <si>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</si>
  <si>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</si>
  <si>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</si>
  <si>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</si>
  <si>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</si>
  <si>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</si>
  <si>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</si>
  <si>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</si>
  <si>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</si>
  <si>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</si>
  <si>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</si>
  <si>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</si>
  <si>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</si>
  <si>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</si>
  <si>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</si>
  <si>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</si>
  <si>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</si>
  <si>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</si>
  <si>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</si>
  <si>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</si>
  <si>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</si>
  <si>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</si>
  <si>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</si>
  <si>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</si>
  <si>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</si>
  <si>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</si>
  <si>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</si>
  <si>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</si>
  <si>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</si>
  <si>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</si>
  <si>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</si>
  <si>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</si>
  <si>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</si>
  <si>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</si>
  <si>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</si>
  <si>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</si>
  <si>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</si>
  <si>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</si>
  <si>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</si>
  <si>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</si>
  <si>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</si>
  <si>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</si>
  <si>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</si>
  <si>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</si>
  <si>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</si>
  <si>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</si>
  <si>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</si>
  <si>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</si>
  <si>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</si>
  <si>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</si>
  <si>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</si>
  <si>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</si>
  <si>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</si>
  <si>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</si>
  <si>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</si>
  <si>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</si>
  <si>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</si>
  <si>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</si>
  <si>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</si>
  <si>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</si>
  <si>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</si>
  <si>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</si>
  <si>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</si>
  <si>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</si>
  <si>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</si>
  <si>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</si>
  <si>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</si>
  <si>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</si>
  <si>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</si>
  <si>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</si>
  <si>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</si>
  <si>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</si>
  <si>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</si>
  <si>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</si>
  <si>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</si>
  <si>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</si>
  <si>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</si>
  <si>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</si>
  <si>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</si>
  <si>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</si>
  <si>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</si>
  <si>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</si>
  <si>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</si>
  <si>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</si>
  <si>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</si>
  <si>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</si>
  <si>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</si>
  <si>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</si>
  <si>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</si>
  <si>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</si>
  <si>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</si>
  <si>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</si>
  <si>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</si>
  <si>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</si>
  <si>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</si>
  <si>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</si>
  <si>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</si>
  <si>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</si>
  <si>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</si>
  <si>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</si>
  <si>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</si>
  <si>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</si>
  <si>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</si>
  <si>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</si>
  <si>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</si>
  <si>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</si>
  <si>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</si>
  <si>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</si>
  <si>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</si>
  <si>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</si>
  <si>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</si>
  <si>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</si>
  <si>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</si>
  <si>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</si>
  <si>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</si>
  <si>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</si>
  <si>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</si>
  <si>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</si>
  <si>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</si>
  <si>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</si>
  <si>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</si>
  <si>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</si>
  <si>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</si>
  <si>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</si>
  <si>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</si>
  <si>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</si>
  <si>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</si>
  <si>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</si>
  <si>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</si>
  <si>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</si>
  <si>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</si>
  <si>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</si>
  <si>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</si>
  <si>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</si>
  <si>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</si>
  <si>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</si>
  <si>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</si>
  <si>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</si>
  <si>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</si>
  <si>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</si>
  <si>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</si>
  <si>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</si>
  <si>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</si>
  <si>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</si>
  <si>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</si>
  <si>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</si>
  <si>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</si>
  <si>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</si>
  <si>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</si>
  <si>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</si>
  <si>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</si>
  <si>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</si>
  <si>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</si>
  <si>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</si>
  <si>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</si>
  <si>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</si>
  <si>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</si>
  <si>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</si>
  <si>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</si>
  <si>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</si>
  <si>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</si>
  <si>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</si>
  <si>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</si>
  <si>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</si>
  <si>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</si>
  <si>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</si>
  <si>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</si>
  <si>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</si>
  <si>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</si>
  <si>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</si>
  <si>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</si>
  <si>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</si>
  <si>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</si>
  <si>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</si>
  <si>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</si>
  <si>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</si>
  <si>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</si>
  <si>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</si>
  <si>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</si>
  <si>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</si>
  <si>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</si>
  <si>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</si>
  <si>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</si>
  <si>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</si>
  <si>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</si>
  <si>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</si>
  <si>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</si>
  <si>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</si>
  <si>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</si>
  <si>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</si>
  <si>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</si>
  <si>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</si>
  <si>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</si>
  <si>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</si>
  <si>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</si>
  <si>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</si>
  <si>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</si>
  <si>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</si>
  <si>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</si>
  <si>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</si>
  <si>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</si>
  <si>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</si>
  <si>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</si>
  <si>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</si>
  <si>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</si>
  <si>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</si>
  <si>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</si>
  <si>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</si>
  <si>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</si>
  <si>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</si>
  <si>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</si>
  <si>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</si>
  <si>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</si>
  <si>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</si>
  <si>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</si>
  <si>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</si>
  <si>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</si>
  <si>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</si>
  <si>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</si>
  <si>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</si>
  <si>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</si>
  <si>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</si>
  <si>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</si>
  <si>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</si>
  <si>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</si>
  <si>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</si>
  <si>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</si>
  <si>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</si>
  <si>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</si>
  <si>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</si>
  <si>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</si>
  <si>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</si>
  <si>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</si>
  <si>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</si>
  <si>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</si>
  <si>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</si>
  <si>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</si>
  <si>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</si>
  <si>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</si>
  <si>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</si>
  <si>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</si>
  <si>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</si>
  <si>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</si>
  <si>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</si>
  <si>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</si>
  <si>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</si>
  <si>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</si>
  <si>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</si>
  <si>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</si>
  <si>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</si>
  <si>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</si>
  <si>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</si>
  <si>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</si>
  <si>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</si>
  <si>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</si>
  <si>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</si>
  <si>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</si>
  <si>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</si>
  <si>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</si>
  <si>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</si>
  <si>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</si>
  <si>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</si>
  <si>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</si>
  <si>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</si>
  <si>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</si>
  <si>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</si>
  <si>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</si>
  <si>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</si>
  <si>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</si>
  <si>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</si>
  <si>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</si>
  <si>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</si>
  <si>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</si>
  <si>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</si>
  <si>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</si>
  <si>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</si>
  <si>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</si>
  <si>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</si>
  <si>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</si>
  <si>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</si>
  <si>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</si>
  <si>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</si>
  <si>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</si>
  <si>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</si>
  <si>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</si>
  <si>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</si>
  <si>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</si>
  <si>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</si>
  <si>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</si>
  <si>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</si>
  <si>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</si>
  <si>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</si>
  <si>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</si>
  <si>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</si>
  <si>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</si>
  <si>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</si>
  <si>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</si>
  <si>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</si>
  <si>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</si>
  <si>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</si>
  <si>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</si>
  <si>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</si>
  <si>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</si>
  <si>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</si>
  <si>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</si>
  <si>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</si>
  <si>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</si>
  <si>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</si>
  <si>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</si>
  <si>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</si>
  <si>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</si>
  <si>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</si>
  <si>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</si>
  <si>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</si>
  <si>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</si>
  <si>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</si>
  <si>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</si>
  <si>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</si>
  <si>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</si>
  <si>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</si>
  <si>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</si>
  <si>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</si>
  <si>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</si>
  <si>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</si>
  <si>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</si>
  <si>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</si>
  <si>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</si>
  <si>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</si>
  <si>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</si>
  <si>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</si>
  <si>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</si>
  <si>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</si>
  <si>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</si>
  <si>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</si>
  <si>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</si>
  <si>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</si>
  <si>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</si>
  <si>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</si>
  <si>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</si>
  <si>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</si>
  <si>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</si>
  <si>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</si>
  <si>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</si>
  <si>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</si>
  <si>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</si>
  <si>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</si>
  <si>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</si>
  <si>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</si>
  <si>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</si>
  <si>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</si>
  <si>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</si>
  <si>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</si>
  <si>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</si>
  <si>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</si>
  <si>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</si>
  <si>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</si>
  <si>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</si>
  <si>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</si>
  <si>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</si>
  <si>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</si>
  <si>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</si>
  <si>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</si>
  <si>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</si>
  <si>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</si>
  <si>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</si>
  <si>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</si>
  <si>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</si>
  <si>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</si>
  <si>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</si>
  <si>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</si>
  <si>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</si>
  <si>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</si>
  <si>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</si>
  <si>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</si>
  <si>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</si>
  <si>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</si>
  <si>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</si>
  <si>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</si>
  <si>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</si>
  <si>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</si>
  <si>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</si>
  <si>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</si>
  <si>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</si>
  <si>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</si>
  <si>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</si>
  <si>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</si>
  <si>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</si>
  <si>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</si>
  <si>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</si>
  <si>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</si>
  <si>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</si>
  <si>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</si>
  <si>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</si>
  <si>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</si>
  <si>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</si>
  <si>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</si>
  <si>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</si>
  <si>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</si>
  <si>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</si>
  <si>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</si>
  <si>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</si>
  <si>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</si>
  <si>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</si>
  <si>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</si>
  <si>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</si>
  <si>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</si>
  <si>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</si>
  <si>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</si>
  <si>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</si>
  <si>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</si>
  <si>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</si>
  <si>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</si>
  <si>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</si>
  <si>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</si>
  <si>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</si>
  <si>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</si>
  <si>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</si>
  <si>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</si>
  <si>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</si>
  <si>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</si>
  <si>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</si>
  <si>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</si>
  <si>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</si>
  <si>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</si>
  <si>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</si>
  <si>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</si>
  <si>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</si>
  <si>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</si>
  <si>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</si>
  <si>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</si>
  <si>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</si>
  <si>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</si>
  <si>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</si>
  <si>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</si>
  <si>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</si>
  <si>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</si>
  <si>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</si>
  <si>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</si>
  <si>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</si>
  <si>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</si>
  <si>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</si>
  <si>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</si>
  <si>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</si>
  <si>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</si>
  <si>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</si>
  <si>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</si>
  <si>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</si>
  <si>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</si>
  <si>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</si>
  <si>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</si>
  <si>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</si>
  <si>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</si>
  <si>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</si>
  <si>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</si>
  <si>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</si>
  <si>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</si>
  <si>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</si>
  <si>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</si>
  <si>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</si>
  <si>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</si>
  <si>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</si>
  <si>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</si>
  <si>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</si>
  <si>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</si>
  <si>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</si>
  <si>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</si>
  <si>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</si>
  <si>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</si>
  <si>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</si>
  <si>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</si>
  <si>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</si>
  <si>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</si>
  <si>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</si>
  <si>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</si>
  <si>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</si>
  <si>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</si>
  <si>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</si>
  <si>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</si>
  <si>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</si>
  <si>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</si>
  <si>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</si>
  <si>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</si>
  <si>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</si>
  <si>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</si>
  <si>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</si>
  <si>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</si>
  <si>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</si>
  <si>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</si>
  <si>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</si>
  <si>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</si>
  <si>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</si>
  <si>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</si>
  <si>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</si>
  <si>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</si>
  <si>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</si>
  <si>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</si>
  <si>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</si>
  <si>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</si>
  <si>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</si>
  <si>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</si>
  <si>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</si>
  <si>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</si>
  <si>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</si>
  <si>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</si>
  <si>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</si>
  <si>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</si>
  <si>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</si>
  <si>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</si>
  <si>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</si>
  <si>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</si>
  <si>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</si>
  <si>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</si>
  <si>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</si>
  <si>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</si>
  <si>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</si>
  <si>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</si>
  <si>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</si>
  <si>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</si>
  <si>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</si>
  <si>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</si>
  <si>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</si>
  <si>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</si>
  <si>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</si>
  <si>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</si>
  <si>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</si>
  <si>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</si>
  <si>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</si>
  <si>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</si>
  <si>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</si>
  <si>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</si>
  <si>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</si>
  <si>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</si>
  <si>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</si>
  <si>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</si>
  <si>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</si>
  <si>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</si>
  <si>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</si>
  <si>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</si>
  <si>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</si>
  <si>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</si>
  <si>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</si>
  <si>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</si>
  <si>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</si>
  <si>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</si>
  <si>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</si>
  <si>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</si>
  <si>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</si>
  <si>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</si>
  <si>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</si>
  <si>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</si>
  <si>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</si>
  <si>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</si>
  <si>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</si>
  <si>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</si>
  <si>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</si>
  <si>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</si>
  <si>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</si>
  <si>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</si>
  <si>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</si>
  <si>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</si>
  <si>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</si>
  <si>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</si>
  <si>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</si>
  <si>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</si>
  <si>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</si>
  <si>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</si>
  <si>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</si>
  <si>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</si>
  <si>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</si>
  <si>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</si>
  <si>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</si>
  <si>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</si>
  <si>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</si>
  <si>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</si>
  <si>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</si>
  <si>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</si>
  <si>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</si>
  <si>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</si>
  <si>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</si>
  <si>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</si>
  <si>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</si>
  <si>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</si>
  <si>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</si>
  <si>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</si>
  <si>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</si>
  <si>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</si>
  <si>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</si>
  <si>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</si>
  <si>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</si>
  <si>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</si>
  <si>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</si>
  <si>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</si>
  <si>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</si>
  <si>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</si>
  <si>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</si>
  <si>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</si>
  <si>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</si>
  <si>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</si>
  <si>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</si>
  <si>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</si>
  <si>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</si>
  <si>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</si>
  <si>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</si>
  <si>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</si>
  <si>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</si>
  <si>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</si>
  <si>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</si>
  <si>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</si>
  <si>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</si>
  <si>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</si>
  <si>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</si>
  <si>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</si>
  <si>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</si>
  <si>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</si>
  <si>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</si>
  <si>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</si>
  <si>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</si>
  <si>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</si>
  <si>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</si>
  <si>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</si>
  <si>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</si>
  <si>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</si>
  <si>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</si>
  <si>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</si>
  <si>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</si>
  <si>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</si>
  <si>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</si>
  <si>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</si>
  <si>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</si>
  <si>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</si>
  <si>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</si>
  <si>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</si>
  <si>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</si>
  <si>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</si>
  <si>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</si>
  <si>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</si>
  <si>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</si>
  <si>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</si>
  <si>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</si>
  <si>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</si>
  <si>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</si>
  <si>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</si>
  <si>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</si>
  <si>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</si>
  <si>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</si>
  <si>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</si>
  <si>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</si>
  <si>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</si>
  <si>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</si>
  <si>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</si>
  <si>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</si>
  <si>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</si>
  <si>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</si>
  <si>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</si>
  <si>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</si>
  <si>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</si>
  <si>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</si>
  <si>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</si>
  <si>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</si>
  <si>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</si>
  <si>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</si>
  <si>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</si>
  <si>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</si>
  <si>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</si>
  <si>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</si>
  <si>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</si>
  <si>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</si>
  <si>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</si>
  <si>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</si>
  <si>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</si>
  <si>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</si>
  <si>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</si>
  <si>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</si>
  <si>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</si>
  <si>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</si>
  <si>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</si>
  <si>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</si>
  <si>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</si>
  <si>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</si>
  <si>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</si>
  <si>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</si>
  <si>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</si>
  <si>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</si>
  <si>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</si>
  <si>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</si>
  <si>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</si>
  <si>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</si>
  <si>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</si>
  <si>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</si>
  <si>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</si>
  <si>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</si>
  <si>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</si>
  <si>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</si>
  <si>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</si>
  <si>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</si>
  <si>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</si>
  <si>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</si>
  <si>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</si>
  <si>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</si>
  <si>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</si>
  <si>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</si>
  <si>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</si>
  <si>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</si>
  <si>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</si>
  <si>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</si>
  <si>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</si>
  <si>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</si>
  <si>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</si>
  <si>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</si>
  <si>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</si>
  <si>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</si>
  <si>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</si>
  <si>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</si>
  <si>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</si>
  <si>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</si>
  <si>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</si>
  <si>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</si>
  <si>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</si>
  <si>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</si>
  <si>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</si>
  <si>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</si>
  <si>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</si>
  <si>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</si>
  <si>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</si>
  <si>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</si>
  <si>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</si>
  <si>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</si>
  <si>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</si>
  <si>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</si>
  <si>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</si>
  <si>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</si>
  <si>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</si>
  <si>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</si>
  <si>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</si>
  <si>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</si>
  <si>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</si>
  <si>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</si>
  <si>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</si>
  <si>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</si>
  <si>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</si>
  <si>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</si>
  <si>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</si>
  <si>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</si>
  <si>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</si>
  <si>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</si>
  <si>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</si>
  <si>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</si>
  <si>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</si>
  <si>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</si>
  <si>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</si>
  <si>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</si>
  <si>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</si>
  <si>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</si>
  <si>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</si>
  <si>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</si>
  <si>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</si>
  <si>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</si>
  <si>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</si>
  <si>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</si>
  <si>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</si>
  <si>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</si>
  <si>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</si>
  <si>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</si>
  <si>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</si>
  <si>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</si>
  <si>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</si>
  <si>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</si>
  <si>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</si>
  <si>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</si>
  <si>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</si>
  <si>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</si>
  <si>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</si>
  <si>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</si>
  <si>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</si>
  <si>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</si>
  <si>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</si>
  <si>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</si>
  <si>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</si>
  <si>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</si>
  <si>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</si>
  <si>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</si>
  <si>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</si>
  <si>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</si>
  <si>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</si>
  <si>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</si>
  <si>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</si>
  <si>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</si>
  <si>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</si>
  <si>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</si>
  <si>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</si>
  <si>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</si>
  <si>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</si>
  <si>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</si>
  <si>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</si>
  <si>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</si>
  <si>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</si>
  <si>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</si>
  <si>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</si>
  <si>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</si>
  <si>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</si>
  <si>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</si>
  <si>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</si>
  <si>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</si>
  <si>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</si>
  <si>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</si>
  <si>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</si>
  <si>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</si>
  <si>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</si>
  <si>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</si>
  <si>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</si>
  <si>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</si>
  <si>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</si>
  <si>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</si>
  <si>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</si>
  <si>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</si>
  <si>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</si>
  <si>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</si>
  <si>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</si>
  <si>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</si>
  <si>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</si>
  <si>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</si>
  <si>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</si>
  <si>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</si>
  <si>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</si>
  <si>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</si>
  <si>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</si>
  <si>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</si>
  <si>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</si>
  <si>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</si>
  <si>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</si>
  <si>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</si>
  <si>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</si>
  <si>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</si>
  <si>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</si>
  <si>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</si>
  <si>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</si>
  <si>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</si>
  <si>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</si>
  <si>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</si>
  <si>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</si>
  <si>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</si>
  <si>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</si>
  <si>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</si>
  <si>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</si>
  <si>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</si>
  <si>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</si>
  <si>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</si>
  <si>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</si>
  <si>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</si>
  <si>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</si>
  <si>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</si>
  <si>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</si>
  <si>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</si>
  <si>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</si>
  <si>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</si>
  <si>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</si>
  <si>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</si>
  <si>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</si>
  <si>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</si>
  <si>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</si>
  <si>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</si>
  <si>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</si>
  <si>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</si>
  <si>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</si>
  <si>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</si>
  <si>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</si>
  <si>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</si>
  <si>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</si>
  <si>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</si>
  <si>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</si>
  <si>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</si>
  <si>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</si>
  <si>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</si>
  <si>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</si>
  <si>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</si>
  <si>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</si>
  <si>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</si>
  <si>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</si>
  <si>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</si>
  <si>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</si>
  <si>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</si>
  <si>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</si>
  <si>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</si>
  <si>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</si>
  <si>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</si>
  <si>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</si>
  <si>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</si>
  <si>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</si>
  <si>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</si>
  <si>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</si>
  <si>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</si>
  <si>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</si>
  <si>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</si>
  <si>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</si>
  <si>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</si>
  <si>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</si>
  <si>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</si>
  <si>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</si>
  <si>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</si>
  <si>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</si>
  <si>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</si>
  <si>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</si>
  <si>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</si>
  <si>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</si>
  <si>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</si>
  <si>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</si>
  <si>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</si>
  <si>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</si>
  <si>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</si>
  <si>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</si>
  <si>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</si>
  <si>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</si>
  <si>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</si>
  <si>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</si>
  <si>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</si>
  <si>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</si>
  <si>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</si>
  <si>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</si>
  <si>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</si>
  <si>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</si>
  <si>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</si>
  <si>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</si>
  <si>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</si>
  <si>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</si>
  <si>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</si>
  <si>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</si>
  <si>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</si>
  <si>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</si>
  <si>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</si>
  <si>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</si>
  <si>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</si>
  <si>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</si>
  <si>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</si>
  <si>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</si>
  <si>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</si>
  <si>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</si>
  <si>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</si>
  <si>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</si>
  <si>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</si>
  <si>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</si>
  <si>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</si>
  <si>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</si>
  <si>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</si>
  <si>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</si>
  <si>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</si>
  <si>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</si>
  <si>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</si>
  <si>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</si>
  <si>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</si>
  <si>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</si>
  <si>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</si>
  <si>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</si>
  <si>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</si>
  <si>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</si>
  <si>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</si>
  <si>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</si>
  <si>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</si>
  <si>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</si>
  <si>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</si>
  <si>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</si>
  <si>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</si>
  <si>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</si>
  <si>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</si>
  <si>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</si>
  <si>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</si>
  <si>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</si>
  <si>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</si>
  <si>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</si>
  <si>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</si>
  <si>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</si>
  <si>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</si>
  <si>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</si>
  <si>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</si>
  <si>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</si>
  <si>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</si>
  <si>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</si>
  <si>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</si>
  <si>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</si>
  <si>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</si>
  <si>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</si>
  <si>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</si>
  <si>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</si>
  <si>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</si>
  <si>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</si>
  <si>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</si>
  <si>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</si>
  <si>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</si>
  <si>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</si>
  <si>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</si>
  <si>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</si>
  <si>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</si>
  <si>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</si>
  <si>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</si>
  <si>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</si>
  <si>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</si>
  <si>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</si>
  <si>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</si>
  <si>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</si>
  <si>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</si>
  <si>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</si>
  <si>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</si>
  <si>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</si>
  <si>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</si>
  <si>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</si>
  <si>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</si>
  <si>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</si>
  <si>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</si>
  <si>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</si>
  <si>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</si>
  <si>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</si>
  <si>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</si>
  <si>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</si>
  <si>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</si>
  <si>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</si>
  <si>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</si>
  <si>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</si>
  <si>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</si>
  <si>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</si>
  <si>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</si>
  <si>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</si>
  <si>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</si>
  <si>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</si>
  <si>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</si>
  <si>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</si>
  <si>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</si>
  <si>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</si>
  <si>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</si>
  <si>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</si>
  <si>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</si>
  <si>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</si>
  <si>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</si>
  <si>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</si>
  <si>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</si>
  <si>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</si>
  <si>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</si>
  <si>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</si>
  <si>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</si>
  <si>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</si>
  <si>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</si>
  <si>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</si>
  <si>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</si>
  <si>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</si>
  <si>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</si>
  <si>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</si>
  <si>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</si>
  <si>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</si>
  <si>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</si>
  <si>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</si>
  <si>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</si>
  <si>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</si>
  <si>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</si>
  <si>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</si>
  <si>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</si>
  <si>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</si>
  <si>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</si>
  <si>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</si>
  <si>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</si>
  <si>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</si>
  <si>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</si>
  <si>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</si>
  <si>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</si>
  <si>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</si>
  <si>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</si>
  <si>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</si>
  <si>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</si>
  <si>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</si>
  <si>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</si>
  <si>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</si>
  <si>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</si>
  <si>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</si>
  <si>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</si>
  <si>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</si>
  <si>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</si>
  <si>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</si>
  <si>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</si>
  <si>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</si>
  <si>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</si>
  <si>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</si>
  <si>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</si>
  <si>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</si>
  <si>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</si>
  <si>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</si>
  <si>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</si>
  <si>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</si>
  <si>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</si>
  <si>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</si>
  <si>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</si>
  <si>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</si>
  <si>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</si>
  <si>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xindirect(ref_text, [a1])</t>
  </si>
  <si>
    <t>a non-volatile version of INDIRECT. Requires ctrl-alt-F9 to update. I've mostly deprecated this because it doesn't seem to play well with what-if tables</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</si>
  <si>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</si>
  <si>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</si>
  <si>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</si>
  <si>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</si>
  <si>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</si>
  <si>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</si>
  <si>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</si>
  <si>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</si>
  <si>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</si>
  <si>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</si>
  <si>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</si>
  <si>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</si>
  <si>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</si>
  <si>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</si>
  <si>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</si>
  <si>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</si>
  <si>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</si>
  <si>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</si>
  <si>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</si>
  <si>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</si>
  <si>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</si>
  <si>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</si>
  <si>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</si>
  <si>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</si>
  <si>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</si>
  <si>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</si>
  <si>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</si>
  <si>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</si>
  <si>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</si>
  <si>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</si>
  <si>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</si>
  <si>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</si>
  <si>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</si>
  <si>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</si>
  <si>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</si>
  <si>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</si>
  <si>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</si>
  <si>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</si>
  <si>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</si>
  <si>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</si>
  <si>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</si>
  <si>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</si>
  <si>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</si>
  <si>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</si>
  <si>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</si>
  <si>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</si>
  <si>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</si>
  <si>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</si>
  <si>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</si>
  <si>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</si>
  <si>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</si>
  <si>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</si>
  <si>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</si>
  <si>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</si>
  <si>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</si>
  <si>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</si>
  <si>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</si>
  <si>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</si>
  <si>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</si>
  <si>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</si>
  <si>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</si>
  <si>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</si>
  <si>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</si>
  <si>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</si>
  <si>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</si>
  <si>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</si>
  <si>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</si>
  <si>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</si>
  <si>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</si>
  <si>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</si>
  <si>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</si>
  <si>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</si>
  <si>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</si>
  <si>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</si>
  <si>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</si>
  <si>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</si>
  <si>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</si>
  <si>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</si>
  <si>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</si>
  <si>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</si>
  <si>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</si>
  <si>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</si>
  <si>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</si>
  <si>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</si>
  <si>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</si>
  <si>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</si>
  <si>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</si>
  <si>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</si>
  <si>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</si>
  <si>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</si>
  <si>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</si>
  <si>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</si>
  <si>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</si>
  <si>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</si>
  <si>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</si>
  <si>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</si>
  <si>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</si>
  <si>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</si>
  <si>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</si>
  <si>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</si>
  <si>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</si>
  <si>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</si>
  <si>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</si>
  <si>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</si>
  <si>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</si>
  <si>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</si>
  <si>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addr_lookup(arr, address)</t>
  </si>
  <si>
    <t>Non-volatile INDIRECT: value(s) at addr_ad within rng. addr_ad may be a numeric address, an A1 string, a range string (e.g. B2:D4), or an array of these. Out-of-bounds or no overlap returns "".</t>
  </si>
  <si>
    <t>=LAMBDA(arr,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t>
  </si>
  <si>
    <t>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t>
  </si>
  <si>
    <t>arrow(str)</t>
  </si>
  <si>
    <t>arrow_move(start_ad, arrow, [steps], [board_rng], [push_mode])</t>
  </si>
  <si>
    <t>Moves a start address (numeric or A1) 'steps' (default 1) in an arrow direction,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</si>
  <si>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</si>
  <si>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</si>
  <si>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arrow_trip(rng, start_ad, dir, [stopper])</t>
  </si>
  <si>
    <t>Walks from start_ad (numeric or A1) in a straight arrow direction across rng until the edge (or the optional stopper value). Returns a 2-column array of NUMERIC addresses and their values, including the start cell.</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</si>
  <si>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</si>
  <si>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</si>
  <si>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</si>
  <si>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</si>
  <si>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</si>
  <si>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</si>
  <si>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</si>
  <si>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</si>
  <si>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</si>
  <si>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</si>
  <si>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</si>
  <si>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</si>
  <si>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</si>
  <si>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</si>
  <si>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</si>
  <si>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</si>
  <si>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</si>
  <si>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</si>
  <si>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</si>
  <si>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</si>
  <si>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</si>
  <si>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</si>
  <si>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</si>
  <si>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</si>
  <si>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</si>
  <si>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</si>
  <si>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</si>
  <si>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</si>
  <si>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</si>
  <si>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</si>
  <si>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</si>
  <si>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</si>
  <si>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</si>
  <si>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Checks whether all values in the array are unique; returns TRUE/FALSE. Case-insensitive, so {"A","a"} is not unique. Combine with str2arr to test character by character.</t>
  </si>
  <si>
    <t>=LAMBDA(Arr, LET(
   flatArr, TOCOL(Arr, 1, 4),
   filtArr, FILTER(flatArr, flatArr &lt;&gt; ""),
   rowCount, ROWS(filtArr),
   matchMatrix, --(filtArr = TRANSPOSE(filtArr)),
   freq, MMULT(matchMatrix, SEQUENCE(rowCount, 1, 1, 0)),
   IF(MAX(freq) &gt; 1, 0, 1)
))</t>
  </si>
  <si>
    <t>Tests whether every value in an array is distinct.
Arguments:
  arr - the array to test.
Returns:
  TRUE if all values are unique, FALSE otherwise. Comparison is case-insensitive ({"A","a"} is not unique).
Notes:
  Combine with str2arr to check a string character by character.</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</si>
  <si>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</si>
  <si>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</si>
  <si>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</si>
  <si>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</si>
  <si>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</si>
  <si>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</si>
  <si>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</si>
  <si>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</si>
  <si>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</si>
  <si>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</si>
  <si>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</si>
  <si>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</si>
  <si>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</si>
  <si>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</si>
  <si>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</si>
  <si>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</si>
  <si>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</si>
  <si>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</si>
  <si>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num_ad(arr)</t>
  </si>
  <si>
    <t>Converts each valid A1 string address in arr to a numeric address (1e6*row+col). Anything that is not a string address - values already numeric, ranges, or junk - passes through unchanged. Element-wise; same shape as arr.</t>
  </si>
  <si>
    <t>=LAMBDA(arr,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t>
  </si>
  <si>
    <t>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</si>
  <si>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</si>
  <si>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</si>
  <si>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</si>
  <si>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</si>
  <si>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</si>
  <si>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</si>
  <si>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</si>
  <si>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</si>
  <si>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</si>
  <si>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</si>
  <si>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</si>
  <si>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</si>
  <si>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range2ad(range, [str])</t>
  </si>
  <si>
    <t>Expands a range string like "B4:AA43" into an array of its cell addresses, in the same shape. str=0 (default) returns numeric addresses (1e6*row+col); str=1 returns A1 strings.</t>
  </si>
  <si>
    <t>=LAMBDA(range,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t>
  </si>
  <si>
    <t>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</si>
  <si>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</si>
  <si>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</si>
  <si>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</si>
  <si>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</si>
  <si>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rotate_arrow(arrow, steps, [clockwise])</t>
  </si>
  <si>
    <t>Rotates an arrow by 45 degrees times steps. clockwise = 1 (default) rotates clockwise; clockwise = 0 rotates counter-clockwise.</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</si>
  <si>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</si>
  <si>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</si>
  <si>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</si>
  <si>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</si>
  <si>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</si>
  <si>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</si>
  <si>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</si>
  <si>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</si>
  <si>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</si>
  <si>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</si>
  <si>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</si>
  <si>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</si>
  <si>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</si>
  <si>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</si>
  <si>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</si>
  <si>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</si>
  <si>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</si>
  <si>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</si>
  <si>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</si>
  <si>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</si>
  <si>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</si>
  <si>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</si>
  <si>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</si>
  <si>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</si>
  <si>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</si>
  <si>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</si>
  <si>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shift_arr(arr, dir, [steps], [fill])</t>
  </si>
  <si>
    <t>Shifts a 1D or 2D array by "steps" (default 1) in the dir arrow. With no fill, items wrap around; if fill is a value, it fills the vacated cells instead.</t>
  </si>
  <si>
    <t>smallest(check, return)</t>
  </si>
  <si>
    <t>Finds the smallest number in "check" and returns the first matching value in "return" (an XLOOKUP on MIN).</t>
  </si>
  <si>
    <t>str2arr(str_or_array, [as_row])</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</si>
  <si>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</si>
  <si>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</si>
  <si>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t>
  </si>
  <si>
    <t>str_ad(arr)</t>
  </si>
  <si>
    <t>Converts each valid numeric address (1e6*row+col) in arr to an A1 string. Non-addresses - strings, non-integers, out-of-range numbers - pass through. WARNING: any number in address range becomes an address; only use on known addresses.</t>
  </si>
  <si>
    <t>=LAMBDA(arr,
  LET(
    to_str, LAMBDA(one,
      IFERROR(
        IF(NOT(ISNUMBER(one)), one,
          LET(
            row_num, INT(one / 1000000),
            col, MOD(one, 1000000),
            ok, AND(one = INT(one), row_num &gt;= 1, row_num &lt;= 1048576, col &gt;= 1, col &lt;= 16384),
            IF(ok, ADDRESS(row_num, col, 4), one))),
        one)),
    IF(ROWS(arr) * COLUMNS(arr) = 1, to_str(arr), MAP(arr, to_str))
  )
)</t>
  </si>
  <si>
    <t>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</si>
  <si>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</si>
  <si>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</si>
  <si>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</si>
  <si>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</si>
  <si>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</si>
  <si>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</si>
  <si>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</si>
  <si>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</si>
  <si>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</si>
  <si>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</si>
  <si>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</si>
  <si>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</si>
  <si>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</si>
  <si>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</si>
  <si>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</si>
  <si>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</si>
  <si>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</si>
  <si>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</si>
  <si>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</si>
  <si>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</si>
  <si>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</si>
  <si>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</si>
  <si>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</si>
  <si>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</si>
  <si>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</si>
  <si>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</si>
  <si>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</si>
  <si>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</si>
  <si>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</si>
  <si>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</si>
  <si>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</si>
  <si>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</si>
  <si>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</si>
  <si>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</si>
  <si>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</si>
  <si>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</si>
  <si>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</si>
  <si>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</si>
  <si>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</si>
  <si>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</si>
  <si>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</si>
  <si>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</si>
  <si>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</si>
  <si>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</si>
  <si>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</si>
  <si>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</si>
  <si>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</si>
  <si>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</si>
  <si>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</si>
  <si>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</si>
  <si>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</si>
  <si>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</si>
  <si>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</si>
  <si>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</si>
  <si>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</si>
  <si>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</si>
  <si>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</si>
  <si>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</si>
  <si>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</si>
  <si>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</si>
  <si>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addr_lookup</t>
  </si>
  <si>
    <t>arrow</t>
  </si>
  <si>
    <t>arrow_move</t>
  </si>
  <si>
    <t>arrow_trip</t>
  </si>
  <si>
    <t>biggest</t>
  </si>
  <si>
    <t>clamp</t>
  </si>
  <si>
    <t>count_substring</t>
  </si>
  <si>
    <t>ctotal</t>
  </si>
  <si>
    <t>cycles</t>
  </si>
  <si>
    <t>die_pips</t>
  </si>
  <si>
    <t>dist</t>
  </si>
  <si>
    <t>exists</t>
  </si>
  <si>
    <t>freq_table</t>
  </si>
  <si>
    <t>is_unique</t>
  </si>
  <si>
    <t>knight_moves</t>
  </si>
  <si>
    <t>label_lookup</t>
  </si>
  <si>
    <t>load_array</t>
  </si>
  <si>
    <t>neighbors_count</t>
  </si>
  <si>
    <t>neighbors_list</t>
  </si>
  <si>
    <t>num_ad</t>
  </si>
  <si>
    <t>offset_letter</t>
  </si>
  <si>
    <t>only_letters</t>
  </si>
  <si>
    <t>only_numbers</t>
  </si>
  <si>
    <t>range2ad</t>
  </si>
  <si>
    <t>rev</t>
  </si>
  <si>
    <t>rotate_arrow</t>
  </si>
  <si>
    <t>route_cost</t>
  </si>
  <si>
    <t>save_array</t>
  </si>
  <si>
    <t>selections</t>
  </si>
  <si>
    <t>set</t>
  </si>
  <si>
    <t>set_d</t>
  </si>
  <si>
    <t>set_i</t>
  </si>
  <si>
    <t>set_u</t>
  </si>
  <si>
    <t>shift_arr</t>
  </si>
  <si>
    <t>smallest</t>
  </si>
  <si>
    <t>str2arr</t>
  </si>
  <si>
    <t>str_ad</t>
  </si>
  <si>
    <t>str_rev</t>
  </si>
  <si>
    <t>textbetween</t>
  </si>
  <si>
    <t>transform_array</t>
  </si>
  <si>
    <t>update_arr</t>
  </si>
  <si>
    <t>xbyrow</t>
  </si>
  <si>
    <t>xcountif</t>
  </si>
  <si>
    <t>xdec2bin</t>
  </si>
  <si>
    <t>xfilter</t>
  </si>
  <si>
    <t>xmod</t>
  </si>
  <si>
    <t>xn</t>
  </si>
  <si>
    <t>xrank</t>
  </si>
  <si>
    <t>xsequence</t>
  </si>
  <si>
    <t>xtextsplit</t>
  </si>
  <si>
    <t>xtocol</t>
  </si>
  <si>
    <t>TOTAL</t>
  </si>
  <si>
    <t>addr_lookup(arr,address) - non-volatile INDIRECT. address: A1 string, numeric addr, range string ('overlap rect'), or an ARRAY of addresses</t>
  </si>
  <si>
    <t>grid D7:F9</t>
  </si>
  <si>
    <t>addr array</t>
  </si>
  <si>
    <t>D7</t>
  </si>
  <si>
    <t>F9</t>
  </si>
  <si>
    <t>string 'E8' -&gt; 50</t>
  </si>
  <si>
    <t>numeric 8000005 (E8) -&gt; 50</t>
  </si>
  <si>
    <t>range 'D7:E8' -&gt; 2x2</t>
  </si>
  <si>
    <t>addr array {D7;F9} -&gt; {10;90}</t>
  </si>
  <si>
    <t>out of bounds 'Z99' -&gt; ''</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</si>
  <si>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</si>
  <si>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</si>
  <si>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</si>
  <si>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</si>
  <si>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</si>
  <si>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</si>
  <si>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</si>
  <si>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</si>
  <si>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</si>
  <si>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</si>
  <si>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</si>
  <si>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</si>
  <si>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</si>
  <si>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</si>
  <si>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</si>
  <si>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</si>
  <si>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</si>
  <si>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</si>
  <si>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</si>
  <si>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</si>
  <si>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</si>
  <si>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</si>
  <si>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</si>
  <si>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</si>
  <si>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</si>
  <si>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</si>
  <si>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</si>
  <si>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</si>
  <si>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</si>
  <si>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</si>
  <si>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</si>
  <si>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</si>
  <si>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</si>
  <si>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</si>
  <si>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</si>
  <si>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</si>
  <si>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</si>
  <si>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</si>
  <si>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</si>
  <si>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</si>
  <si>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</si>
  <si>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</si>
  <si>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</si>
  <si>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</si>
  <si>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</si>
  <si>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</si>
  <si>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</si>
  <si>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</si>
  <si>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</si>
  <si>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</si>
  <si>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</si>
  <si>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</si>
  <si>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</si>
  <si>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</si>
  <si>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</si>
  <si>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</si>
  <si>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</si>
  <si>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</si>
  <si>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</si>
  <si>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</si>
  <si>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</si>
  <si>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</si>
  <si>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</si>
  <si>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</si>
  <si>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</si>
  <si>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</si>
  <si>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</si>
  <si>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</si>
  <si>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</si>
  <si>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</si>
  <si>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</si>
  <si>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</si>
  <si>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</si>
  <si>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</si>
  <si>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</si>
  <si>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</si>
  <si>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</si>
  <si>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</si>
  <si>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</si>
  <si>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</si>
  <si>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</si>
  <si>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</si>
  <si>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</si>
  <si>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</si>
  <si>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</si>
  <si>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</si>
  <si>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</si>
  <si>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</si>
  <si>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</si>
  <si>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</si>
  <si>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</si>
  <si>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</si>
  <si>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</si>
  <si>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</si>
  <si>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</si>
  <si>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</si>
  <si>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</si>
  <si>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</si>
  <si>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</si>
  <si>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</si>
  <si>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</si>
  <si>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</si>
  <si>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</si>
  <si>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</si>
  <si>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</si>
  <si>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</si>
  <si>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</si>
  <si>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</si>
  <si>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</si>
  <si>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</si>
  <si>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</si>
  <si>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</si>
  <si>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</si>
  <si>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</si>
  <si>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</si>
  <si>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</si>
  <si>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</si>
  <si>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</si>
  <si>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</si>
  <si>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</si>
  <si>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</si>
  <si>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</si>
  <si>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</si>
  <si>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</si>
  <si>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</si>
  <si>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</si>
  <si>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</si>
  <si>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</si>
  <si>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</si>
  <si>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</si>
  <si>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</si>
  <si>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</si>
  <si>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</si>
  <si>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</si>
  <si>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</si>
  <si>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</si>
  <si>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</si>
  <si>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</si>
  <si>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</si>
  <si>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</si>
  <si>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</si>
  <si>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</si>
  <si>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</si>
  <si>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</si>
  <si>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num_ad(arr) - A1 string -&gt; numeric (1e6*row+col); everything else unchanged; array-aware; idempotent</t>
  </si>
  <si>
    <t>D3 -&gt; 3000004</t>
  </si>
  <si>
    <t>already numeric passes</t>
  </si>
  <si>
    <t>non-address text 'hi'</t>
  </si>
  <si>
    <t>hi</t>
  </si>
  <si>
    <t>$B$2 (strip $)</t>
  </si>
  <si>
    <t>$B$2</t>
  </si>
  <si>
    <t>range string stays text</t>
  </si>
  <si>
    <t>B2:D4</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</si>
  <si>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</si>
  <si>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</si>
  <si>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</si>
  <si>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</si>
  <si>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</si>
  <si>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</si>
  <si>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</si>
  <si>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</si>
  <si>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</si>
  <si>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</si>
  <si>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</si>
  <si>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</si>
  <si>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</si>
  <si>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</si>
  <si>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</si>
  <si>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</si>
  <si>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</si>
  <si>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</si>
  <si>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</si>
  <si>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</si>
  <si>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</si>
  <si>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</si>
  <si>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</si>
  <si>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</si>
  <si>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</si>
  <si>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</si>
  <si>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</si>
  <si>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</si>
  <si>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</si>
  <si>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</si>
  <si>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</si>
  <si>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</si>
  <si>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</si>
  <si>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</si>
  <si>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</si>
  <si>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</si>
  <si>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</si>
  <si>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</si>
  <si>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</si>
  <si>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</si>
  <si>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</si>
  <si>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range2ad(range,[str]) - expand a range STRING into an array of its cell addresses (same shape). str 0=numeric(def), 1=A1 strings</t>
  </si>
  <si>
    <t>'B2:C3' -&gt; numeric 2x2</t>
  </si>
  <si>
    <t>B2:C3</t>
  </si>
  <si>
    <t>'B2:C3',1 -&gt; A1 strings</t>
  </si>
  <si>
    <t>'A1:A3' -&gt; numeric column</t>
  </si>
  <si>
    <t>A1:A3</t>
  </si>
  <si>
    <t>'A1:C1',1 -&gt; A1 row</t>
  </si>
  <si>
    <t>A1:C1</t>
  </si>
  <si>
    <t>single cell 'D3'</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</si>
  <si>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</si>
  <si>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</si>
  <si>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</si>
  <si>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</si>
  <si>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</si>
  <si>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</si>
  <si>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</si>
  <si>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</si>
  <si>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</si>
  <si>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</si>
  <si>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</si>
  <si>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</si>
  <si>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</si>
  <si>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</si>
  <si>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</si>
  <si>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</si>
  <si>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</si>
  <si>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</si>
  <si>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</si>
  <si>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</si>
  <si>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</si>
  <si>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</si>
  <si>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</si>
  <si>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</si>
  <si>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</si>
  <si>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</si>
  <si>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</si>
  <si>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</si>
  <si>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</si>
  <si>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</si>
  <si>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</si>
  <si>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</si>
  <si>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</si>
  <si>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</si>
  <si>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</si>
  <si>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</si>
  <si>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</si>
  <si>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</si>
  <si>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</si>
  <si>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</si>
  <si>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</si>
  <si>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</si>
  <si>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</si>
  <si>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</si>
  <si>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col {1;2;3} D fill 0</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</si>
  <si>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</si>
  <si>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</si>
  <si>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</si>
  <si>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</si>
  <si>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</si>
  <si>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</si>
  <si>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</si>
  <si>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</si>
  <si>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</si>
  <si>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</si>
  <si>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str_ad(arr) - numeric address -&gt; A1 string; strings/out-of-range numbers unchanged; array-aware</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</si>
  <si>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</si>
  <si>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</si>
  <si>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</si>
  <si>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</si>
  <si>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</si>
  <si>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</si>
  <si>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</si>
  <si>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</si>
  <si>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</si>
  <si>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</si>
  <si>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</si>
  <si>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</si>
  <si>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</si>
  <si>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</si>
  <si>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</si>
  <si>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</si>
  <si>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</si>
  <si>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</si>
  <si>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</si>
  <si>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</si>
  <si>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</si>
  <si>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</si>
  <si>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</si>
  <si>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</si>
  <si>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</si>
  <si>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</si>
  <si>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</si>
  <si>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</si>
  <si>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</si>
  <si>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</si>
  <si>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</si>
  <si>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</si>
  <si>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</si>
  <si>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</si>
  <si>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</si>
  <si>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</si>
  <si>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</si>
  <si>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</si>
  <si>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</si>
  <si>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</si>
  <si>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</si>
  <si>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</si>
  <si>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</si>
  <si>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</si>
  <si>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</si>
  <si>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</si>
  <si>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</si>
  <si>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</si>
  <si>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</si>
  <si>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</si>
  <si>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</si>
  <si>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</si>
  <si>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</si>
  <si>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</si>
  <si>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</si>
  <si>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</si>
  <si>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</si>
  <si>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</si>
  <si>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</si>
  <si>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</si>
  <si>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</si>
  <si>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</si>
  <si>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</si>
  <si>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</si>
  <si>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</si>
  <si>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</si>
  <si>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</si>
  <si>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</si>
  <si>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</si>
  <si>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</si>
  <si>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</si>
  <si>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</si>
  <si>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</si>
  <si>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</si>
  <si>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</si>
  <si>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</si>
  <si>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</si>
  <si>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</si>
  <si>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</si>
  <si>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</si>
  <si>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</si>
  <si>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</si>
  <si>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</si>
  <si>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</si>
  <si>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</si>
  <si>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</si>
  <si>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</si>
  <si>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</si>
  <si>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</si>
  <si>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</si>
  <si>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</si>
  <si>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</si>
  <si>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</si>
  <si>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</si>
  <si>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</si>
  <si>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</si>
  <si>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</si>
  <si>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</si>
  <si>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</si>
  <si>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</si>
  <si>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</si>
  <si>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</si>
  <si>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</si>
  <si>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</si>
  <si>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</si>
  <si>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</si>
  <si>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</si>
  <si>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</si>
  <si>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</si>
  <si>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</si>
  <si>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</si>
  <si>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</si>
  <si>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</si>
  <si>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</si>
  <si>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</si>
  <si>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</si>
  <si>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</si>
  <si>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</si>
  <si>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</si>
  <si>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</si>
  <si>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</si>
  <si>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</si>
  <si>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</si>
  <si>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</si>
  <si>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</si>
  <si>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</si>
  <si>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</si>
  <si>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</si>
  <si>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</si>
  <si>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</si>
  <si>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</si>
  <si>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</si>
  <si>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</si>
  <si>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</si>
  <si>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</si>
  <si>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</si>
  <si>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</si>
  <si>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</si>
  <si>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</si>
  <si>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=LAMBDA(arrow, steps, [dir], LET(
   arrows, "↑↗→↘↓↙←↖",
   arrow_list, MID(arrows, SEQUENCE(8), 1),
   i, XMATCH(arrow, arrow_list),
   s, IF(ISOMITTED(dir), steps, IF(dir = "ccw", -steps, steps)),
   n, MOD(i - 1 + s, 8) + 1,
   IFNA(MID(arrows, n, 1), "")
))</t>
  </si>
  <si>
    <t>Rotates an arrow around the eight compass directions.
Arguments:
  arrow       - the arrow to rotate (↑↗→↘↓↙←↖).
  steps       - number of 45-degree turns.
  [clockwise] - 1 = clockwise (default), 0 = counter-clockwise.
Returns:
  The rotated arrow, or "" if arrow is not one of ↑↗→↘↓↙←↖.
Example:
  rotate_arrow("→", 1)  -&gt;  "↘"</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</si>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</sst>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ont>
    <font>
      <sz val="12"/>
      <name val="Aptos Narrow"/>
    </font>
    <font>
      <sz val="16"/>
      <color rgb="FF000000"/>
      <name val="Aptos Narrow"/>
      <family val="2"/>
    </font>
    <font>
      <sz val="12"/>
      <name val="Aptos Narrow"/>
      <family val="2"/>
    </font>
    <font>
      <b/>
      <sz val="14"/>
      <name val="Aptos Narrow"/>
      <family val="2"/>
    </font>
    <font>
      <sz val="14"/>
      <name val="Aptos Narrow"/>
      <family val="2"/>
    </font>
  </fonts>
  <fills count="10">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85">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3" fontId="7" fillId="3" borderId="12" xfId="0" applyNumberFormat="1" applyFont="1" applyFill="1" applyBorder="1" applyAlignment="1">
      <alignment horizontal="left" vertical="center" wrapText="1"/>
    </xf>
    <xf numFmtId="0" fontId="15" fillId="0" borderId="0" xfId="0"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0" fontId="20" fillId="0" borderId="0" xfId="0" applyFont="1"/>
    <xf numFmtId="0" fontId="21" fillId="0" borderId="0" xfId="0" applyFont="1"/>
    <xf numFmtId="0" fontId="21" fillId="0" borderId="0" xfId="0" quotePrefix="1" applyFont="1" applyAlignment="1">
      <alignment wrapText="1"/>
    </xf>
    <xf numFmtId="0" fontId="21" fillId="0" borderId="0" xfId="0" applyFont="1" applyAlignment="1">
      <alignment wrapText="1"/>
    </xf>
    <xf numFmtId="0" fontId="21" fillId="0" borderId="0" xfId="0" quotePrefix="1" applyFont="1"/>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quotePrefix="1" applyFont="1" applyAlignment="1">
      <alignment horizontal="left" vertical="top" wrapText="1"/>
    </xf>
    <xf numFmtId="0" fontId="1" fillId="0" borderId="0" xfId="0" applyFont="1" applyAlignment="1">
      <alignment horizontal="left"/>
    </xf>
    <xf numFmtId="0" fontId="1" fillId="0" borderId="1" xfId="0" applyFont="1" applyBorder="1" applyAlignment="1">
      <alignment horizontal="left"/>
    </xf>
    <xf numFmtId="0" fontId="0" fillId="0" borderId="3" xfId="0" applyBorder="1"/>
    <xf numFmtId="0" fontId="0" fillId="0" borderId="4" xfId="0" applyBorder="1"/>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3" fillId="0" borderId="0" xfId="0" applyFont="1" applyAlignment="1">
      <alignment horizontal="left"/>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center" wrapText="1"/>
    </xf>
    <xf numFmtId="0" fontId="19" fillId="0" borderId="17" xfId="0" applyFont="1" applyBorder="1" applyAlignment="1">
      <alignment horizontal="left" vertical="top" wrapText="1"/>
    </xf>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eetMetadata" Target="metadata.xml"/><Relationship Id="rId5" Type="http://schemas.openxmlformats.org/officeDocument/2006/relationships/worksheet" Target="worksheets/sheet5.xml"/><Relationship Id="rId61" Type="http://schemas.microsoft.com/office/2017/06/relationships/rdRichValueTypes" Target="richData/rdRichValueTyp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17/06/relationships/rdRichValue" Target="richData/rdrichvalue.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8" tint="0.79998168889431442"/>
  </sheetPr>
  <dimension ref="A1:AMH75"/>
  <sheetViews>
    <sheetView showGridLines="0" zoomScale="70" zoomScaleNormal="70" workbookViewId="0">
      <selection activeCell="P26" sqref="P26"/>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5000000000000004">
      <c r="A1" s="27" t="s">
        <v>19</v>
      </c>
      <c r="B1" s="71" t="s">
        <v>20</v>
      </c>
      <c r="C1" s="72"/>
      <c r="D1" s="72"/>
      <c r="E1" s="72"/>
      <c r="F1" s="72"/>
      <c r="G1" s="73"/>
    </row>
    <row r="2" spans="1:1022" ht="19.25" customHeight="1" thickBot="1" x14ac:dyDescent="0.55000000000000004">
      <c r="A2" s="27" t="s">
        <v>21</v>
      </c>
      <c r="B2" s="71" t="s">
        <v>22</v>
      </c>
      <c r="C2" s="72"/>
      <c r="D2" s="72"/>
      <c r="E2" s="72"/>
      <c r="F2" s="72"/>
      <c r="G2" s="73"/>
      <c r="U2" s="27" t="s">
        <v>23</v>
      </c>
      <c r="V2" s="3" t="s">
        <v>24</v>
      </c>
      <c r="W2" s="3" t="s">
        <v>25</v>
      </c>
      <c r="X2" s="3" t="s">
        <v>26</v>
      </c>
      <c r="Y2" s="3" t="s">
        <v>27</v>
      </c>
      <c r="Z2" s="3" t="s">
        <v>28</v>
      </c>
      <c r="AA2" s="3" t="s">
        <v>29</v>
      </c>
      <c r="AB2" s="3" t="s">
        <v>30</v>
      </c>
      <c r="AC2" s="3" t="s">
        <v>31</v>
      </c>
      <c r="AD2" s="3" t="s">
        <v>32</v>
      </c>
      <c r="AE2" s="3" t="s">
        <v>33</v>
      </c>
      <c r="AF2" s="3" t="s">
        <v>34</v>
      </c>
      <c r="AG2" s="3" t="s">
        <v>35</v>
      </c>
      <c r="AH2" s="3" t="s">
        <v>36</v>
      </c>
      <c r="AI2" s="3" t="s">
        <v>37</v>
      </c>
      <c r="AJ2" s="3" t="s">
        <v>38</v>
      </c>
      <c r="AK2" s="3" t="s">
        <v>39</v>
      </c>
      <c r="AL2" s="3" t="s">
        <v>40</v>
      </c>
      <c r="AM2" s="3" t="s">
        <v>41</v>
      </c>
      <c r="AN2" s="3" t="s">
        <v>42</v>
      </c>
      <c r="AO2" s="3" t="s">
        <v>43</v>
      </c>
      <c r="AP2" s="3" t="s">
        <v>44</v>
      </c>
      <c r="AQ2" s="3" t="s">
        <v>45</v>
      </c>
      <c r="AR2" s="3" t="s">
        <v>46</v>
      </c>
      <c r="AS2" s="3" t="s">
        <v>47</v>
      </c>
      <c r="AT2" s="3" t="s">
        <v>48</v>
      </c>
      <c r="AU2" s="3" t="s">
        <v>49</v>
      </c>
      <c r="AV2" s="3" t="s">
        <v>50</v>
      </c>
      <c r="AW2" s="3" t="s">
        <v>51</v>
      </c>
      <c r="AX2" s="3" t="s">
        <v>52</v>
      </c>
      <c r="AY2" s="3" t="s">
        <v>53</v>
      </c>
      <c r="AZ2" s="3" t="s">
        <v>54</v>
      </c>
      <c r="BA2" s="3" t="s">
        <v>55</v>
      </c>
      <c r="BB2" s="3" t="s">
        <v>56</v>
      </c>
      <c r="BC2" s="3" t="s">
        <v>57</v>
      </c>
      <c r="BD2" s="3" t="s">
        <v>58</v>
      </c>
      <c r="BE2" s="3" t="s">
        <v>59</v>
      </c>
      <c r="BF2" s="3" t="s">
        <v>60</v>
      </c>
      <c r="BG2" s="3" t="s">
        <v>61</v>
      </c>
      <c r="BH2" s="3" t="s">
        <v>62</v>
      </c>
      <c r="BI2" s="3" t="s">
        <v>63</v>
      </c>
      <c r="BJ2" s="3" t="s">
        <v>64</v>
      </c>
      <c r="BK2" s="3" t="s">
        <v>65</v>
      </c>
      <c r="BL2" s="3" t="s">
        <v>66</v>
      </c>
      <c r="BM2" s="3" t="s">
        <v>67</v>
      </c>
      <c r="BN2" s="3" t="s">
        <v>68</v>
      </c>
      <c r="BO2" s="3" t="s">
        <v>69</v>
      </c>
      <c r="BP2" s="3" t="s">
        <v>70</v>
      </c>
      <c r="BQ2" s="3" t="s">
        <v>71</v>
      </c>
      <c r="BR2" s="3" t="s">
        <v>72</v>
      </c>
      <c r="BS2" s="3" t="s">
        <v>73</v>
      </c>
      <c r="BT2" s="3" t="s">
        <v>74</v>
      </c>
      <c r="BU2" s="3" t="s">
        <v>75</v>
      </c>
      <c r="BV2" s="3" t="s">
        <v>76</v>
      </c>
      <c r="BW2" s="3" t="s">
        <v>77</v>
      </c>
      <c r="BX2" s="3" t="s">
        <v>78</v>
      </c>
      <c r="BY2" s="3" t="s">
        <v>79</v>
      </c>
      <c r="BZ2" s="3" t="s">
        <v>80</v>
      </c>
      <c r="CA2" s="3" t="s">
        <v>81</v>
      </c>
      <c r="CB2" s="3" t="s">
        <v>82</v>
      </c>
      <c r="CC2" s="3" t="s">
        <v>83</v>
      </c>
      <c r="CD2" s="3" t="s">
        <v>84</v>
      </c>
      <c r="CE2" s="3" t="s">
        <v>85</v>
      </c>
      <c r="CF2" s="3" t="s">
        <v>86</v>
      </c>
      <c r="CG2" s="3" t="s">
        <v>87</v>
      </c>
      <c r="CH2" s="3" t="s">
        <v>88</v>
      </c>
      <c r="CI2" s="3" t="s">
        <v>89</v>
      </c>
      <c r="CJ2" s="3" t="s">
        <v>90</v>
      </c>
      <c r="CK2" s="3" t="s">
        <v>91</v>
      </c>
      <c r="CL2" s="3" t="s">
        <v>92</v>
      </c>
      <c r="CM2" s="3" t="s">
        <v>93</v>
      </c>
      <c r="CN2" s="3" t="s">
        <v>94</v>
      </c>
      <c r="CO2" s="3" t="s">
        <v>95</v>
      </c>
      <c r="CP2" s="3" t="s">
        <v>96</v>
      </c>
      <c r="CQ2" s="3" t="s">
        <v>97</v>
      </c>
      <c r="CR2" s="3" t="s">
        <v>98</v>
      </c>
      <c r="CS2" s="3" t="s">
        <v>99</v>
      </c>
      <c r="CT2" s="3" t="s">
        <v>100</v>
      </c>
      <c r="CU2" s="3" t="s">
        <v>101</v>
      </c>
      <c r="CV2" s="3" t="s">
        <v>102</v>
      </c>
      <c r="CW2" s="3" t="s">
        <v>103</v>
      </c>
      <c r="CX2" s="3" t="s">
        <v>104</v>
      </c>
      <c r="CY2" s="3" t="s">
        <v>105</v>
      </c>
      <c r="CZ2" s="3" t="s">
        <v>106</v>
      </c>
      <c r="DA2" s="3" t="s">
        <v>107</v>
      </c>
      <c r="DB2" s="3" t="s">
        <v>108</v>
      </c>
      <c r="DC2" s="3" t="s">
        <v>109</v>
      </c>
      <c r="DD2" s="3" t="s">
        <v>110</v>
      </c>
      <c r="DE2" s="3" t="s">
        <v>111</v>
      </c>
      <c r="DF2" s="3" t="s">
        <v>112</v>
      </c>
      <c r="DG2" s="3" t="s">
        <v>113</v>
      </c>
      <c r="DH2" s="3" t="s">
        <v>114</v>
      </c>
      <c r="DI2" s="3" t="s">
        <v>115</v>
      </c>
      <c r="DJ2" s="3" t="s">
        <v>116</v>
      </c>
      <c r="DK2" s="3" t="s">
        <v>117</v>
      </c>
      <c r="DL2" s="3" t="s">
        <v>118</v>
      </c>
      <c r="DM2" s="3" t="s">
        <v>119</v>
      </c>
      <c r="DN2" s="3" t="s">
        <v>120</v>
      </c>
      <c r="DO2" s="3" t="s">
        <v>121</v>
      </c>
      <c r="DP2" s="3" t="s">
        <v>122</v>
      </c>
    </row>
    <row r="3" spans="1:1022" ht="19.25" customHeight="1" thickBot="1" x14ac:dyDescent="0.55000000000000004">
      <c r="A3" s="27" t="s">
        <v>123</v>
      </c>
      <c r="B3" s="71" t="s">
        <v>124</v>
      </c>
      <c r="C3" s="72"/>
      <c r="D3" s="72"/>
      <c r="E3" s="72"/>
      <c r="F3" s="72"/>
      <c r="G3" s="73"/>
      <c r="U3" s="27" t="s">
        <v>125</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126</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80" t="s">
        <v>127</v>
      </c>
      <c r="B5" s="75"/>
      <c r="C5" s="75"/>
      <c r="D5" s="75"/>
      <c r="E5" s="76"/>
      <c r="G5" s="27" t="s">
        <v>128</v>
      </c>
      <c r="H5" s="27" t="s">
        <v>129</v>
      </c>
      <c r="I5" s="27" t="s">
        <v>130</v>
      </c>
      <c r="K5" s="27" t="s">
        <v>131</v>
      </c>
      <c r="L5" s="27" t="s">
        <v>132</v>
      </c>
      <c r="M5" s="27" t="s">
        <v>133</v>
      </c>
      <c r="O5" s="27" t="s">
        <v>131</v>
      </c>
      <c r="P5" s="27" t="s">
        <v>134</v>
      </c>
      <c r="Q5" s="27" t="s">
        <v>135</v>
      </c>
      <c r="R5" s="27" t="s">
        <v>136</v>
      </c>
      <c r="S5" s="27" t="s">
        <v>137</v>
      </c>
    </row>
    <row r="6" spans="1:1022" ht="18.899999999999999" customHeight="1" thickBot="1" x14ac:dyDescent="0.5">
      <c r="A6" s="9" t="s">
        <v>138</v>
      </c>
      <c r="E6" s="12"/>
      <c r="G6" s="6" t="s">
        <v>139</v>
      </c>
      <c r="H6" s="5">
        <v>2</v>
      </c>
      <c r="I6" s="5">
        <v>2</v>
      </c>
      <c r="K6" s="5">
        <v>1</v>
      </c>
      <c r="L6" s="5" t="s">
        <v>140</v>
      </c>
      <c r="M6" s="5" t="s">
        <v>141</v>
      </c>
      <c r="O6" s="5">
        <v>1</v>
      </c>
      <c r="P6" s="5" t="s">
        <v>142</v>
      </c>
      <c r="Q6" s="5">
        <v>31</v>
      </c>
      <c r="R6" s="7">
        <v>46023</v>
      </c>
      <c r="S6" s="7">
        <v>46053</v>
      </c>
      <c r="U6" s="31" t="s">
        <v>143</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144</v>
      </c>
      <c r="B7" s="14" t="s">
        <v>145</v>
      </c>
      <c r="C7" s="14" t="s">
        <v>145</v>
      </c>
      <c r="D7" s="10"/>
      <c r="E7" s="11"/>
      <c r="G7" s="5" t="s">
        <v>146</v>
      </c>
      <c r="H7" s="5">
        <v>3</v>
      </c>
      <c r="I7" s="5">
        <v>3</v>
      </c>
      <c r="K7" s="5">
        <v>2</v>
      </c>
      <c r="L7" s="5" t="s">
        <v>147</v>
      </c>
      <c r="M7" s="5" t="s">
        <v>148</v>
      </c>
      <c r="O7" s="5">
        <v>2</v>
      </c>
      <c r="P7" s="5" t="s">
        <v>149</v>
      </c>
      <c r="Q7" s="5">
        <v>28</v>
      </c>
      <c r="R7" s="7">
        <v>46054</v>
      </c>
      <c r="S7" s="7">
        <v>46081</v>
      </c>
    </row>
    <row r="8" spans="1:1022" ht="18.899999999999999" customHeight="1" thickBot="1" x14ac:dyDescent="0.55000000000000004">
      <c r="G8" s="5" t="s">
        <v>150</v>
      </c>
      <c r="H8" s="5">
        <v>4</v>
      </c>
      <c r="I8" s="5">
        <v>4</v>
      </c>
      <c r="K8" s="5">
        <v>3</v>
      </c>
      <c r="L8" s="5" t="s">
        <v>151</v>
      </c>
      <c r="M8" s="5" t="s">
        <v>148</v>
      </c>
      <c r="O8" s="5">
        <v>3</v>
      </c>
      <c r="P8" s="5" t="s">
        <v>152</v>
      </c>
      <c r="Q8" s="5">
        <v>31</v>
      </c>
      <c r="R8" s="7">
        <v>46082</v>
      </c>
      <c r="S8" s="7">
        <v>46112</v>
      </c>
      <c r="U8" s="81" t="s">
        <v>153</v>
      </c>
      <c r="V8" s="76"/>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154</v>
      </c>
      <c r="B9" s="27" t="s">
        <v>155</v>
      </c>
      <c r="C9" s="27" t="s">
        <v>156</v>
      </c>
      <c r="D9" s="27" t="s">
        <v>157</v>
      </c>
      <c r="E9" s="27" t="s">
        <v>158</v>
      </c>
      <c r="G9" s="5" t="s">
        <v>159</v>
      </c>
      <c r="H9" s="5">
        <v>5</v>
      </c>
      <c r="I9" s="5">
        <v>5</v>
      </c>
      <c r="K9" s="5">
        <v>4</v>
      </c>
      <c r="L9" s="5" t="s">
        <v>160</v>
      </c>
      <c r="M9" s="5" t="s">
        <v>148</v>
      </c>
      <c r="O9" s="5">
        <v>4</v>
      </c>
      <c r="P9" s="5" t="s">
        <v>161</v>
      </c>
      <c r="Q9" s="5">
        <v>30</v>
      </c>
      <c r="R9" s="7">
        <v>46113</v>
      </c>
      <c r="S9" s="7">
        <v>46142</v>
      </c>
      <c r="W9" s="8"/>
    </row>
    <row r="10" spans="1:1022" ht="18.899999999999999" customHeight="1" thickBot="1" x14ac:dyDescent="0.5">
      <c r="A10" s="5" t="s">
        <v>162</v>
      </c>
      <c r="B10" s="5" t="s">
        <v>163</v>
      </c>
      <c r="C10" s="5" t="s">
        <v>163</v>
      </c>
      <c r="D10" s="5">
        <v>-1</v>
      </c>
      <c r="E10" s="5">
        <v>0</v>
      </c>
      <c r="G10" s="5" t="s">
        <v>164</v>
      </c>
      <c r="H10" s="5">
        <v>6</v>
      </c>
      <c r="I10" s="5">
        <v>6</v>
      </c>
      <c r="K10" s="5">
        <v>5</v>
      </c>
      <c r="L10" s="5" t="s">
        <v>165</v>
      </c>
      <c r="M10" s="5" t="s">
        <v>141</v>
      </c>
      <c r="O10" s="5">
        <v>5</v>
      </c>
      <c r="P10" s="5" t="s">
        <v>166</v>
      </c>
      <c r="Q10" s="5">
        <v>31</v>
      </c>
      <c r="R10" s="7">
        <v>46143</v>
      </c>
      <c r="S10" s="7">
        <v>46173</v>
      </c>
      <c r="U10" s="31" t="s">
        <v>167</v>
      </c>
      <c r="V10" s="1" t="s">
        <v>168</v>
      </c>
      <c r="W10" s="1" t="s">
        <v>169</v>
      </c>
      <c r="X10" s="1" t="s">
        <v>170</v>
      </c>
      <c r="Y10" s="1" t="s">
        <v>171</v>
      </c>
      <c r="Z10" s="1" t="s">
        <v>172</v>
      </c>
      <c r="AA10" s="1" t="s">
        <v>173</v>
      </c>
      <c r="AB10" s="1" t="s">
        <v>174</v>
      </c>
      <c r="AC10" s="1" t="s">
        <v>175</v>
      </c>
      <c r="AD10" s="1" t="s">
        <v>176</v>
      </c>
      <c r="AE10" s="1" t="s">
        <v>177</v>
      </c>
      <c r="AF10" s="1" t="s">
        <v>178</v>
      </c>
      <c r="AG10" s="1" t="s">
        <v>179</v>
      </c>
      <c r="AH10" s="1" t="s">
        <v>180</v>
      </c>
      <c r="AI10" s="1" t="s">
        <v>181</v>
      </c>
      <c r="AJ10" s="1" t="s">
        <v>182</v>
      </c>
      <c r="AK10" s="1" t="s">
        <v>183</v>
      </c>
    </row>
    <row r="11" spans="1:1022" ht="18.899999999999999" customHeight="1" thickBot="1" x14ac:dyDescent="0.5">
      <c r="A11" s="5" t="s">
        <v>160</v>
      </c>
      <c r="B11" s="5" t="s">
        <v>184</v>
      </c>
      <c r="C11" s="5" t="s">
        <v>184</v>
      </c>
      <c r="D11" s="5">
        <v>1</v>
      </c>
      <c r="E11" s="5">
        <v>0</v>
      </c>
      <c r="G11" s="5" t="s">
        <v>185</v>
      </c>
      <c r="H11" s="5">
        <v>7</v>
      </c>
      <c r="I11" s="5">
        <v>7</v>
      </c>
      <c r="K11" s="5">
        <v>6</v>
      </c>
      <c r="L11" s="5" t="s">
        <v>186</v>
      </c>
      <c r="M11" s="5" t="s">
        <v>148</v>
      </c>
      <c r="O11" s="5">
        <v>6</v>
      </c>
      <c r="P11" s="5" t="s">
        <v>187</v>
      </c>
      <c r="Q11" s="5">
        <v>30</v>
      </c>
      <c r="R11" s="7">
        <v>46174</v>
      </c>
      <c r="S11" s="7">
        <v>46203</v>
      </c>
      <c r="U11" s="31" t="s">
        <v>188</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189</v>
      </c>
      <c r="B12" s="5" t="s">
        <v>190</v>
      </c>
      <c r="C12" s="5" t="s">
        <v>190</v>
      </c>
      <c r="D12" s="5">
        <v>0</v>
      </c>
      <c r="E12" s="5">
        <v>-1</v>
      </c>
      <c r="G12" s="5" t="s">
        <v>191</v>
      </c>
      <c r="H12" s="5">
        <v>8</v>
      </c>
      <c r="I12" s="5">
        <v>8</v>
      </c>
      <c r="K12" s="5">
        <v>7</v>
      </c>
      <c r="L12" s="5" t="s">
        <v>192</v>
      </c>
      <c r="M12" s="5" t="s">
        <v>148</v>
      </c>
      <c r="O12" s="5">
        <v>7</v>
      </c>
      <c r="P12" s="5" t="s">
        <v>193</v>
      </c>
      <c r="Q12" s="5">
        <v>31</v>
      </c>
      <c r="R12" s="7">
        <v>46204</v>
      </c>
      <c r="S12" s="7">
        <v>46234</v>
      </c>
    </row>
    <row r="13" spans="1:1022" ht="18.899999999999999" customHeight="1" thickBot="1" x14ac:dyDescent="0.55000000000000004">
      <c r="A13" s="5" t="s">
        <v>194</v>
      </c>
      <c r="B13" s="5" t="s">
        <v>195</v>
      </c>
      <c r="C13" s="5" t="s">
        <v>195</v>
      </c>
      <c r="D13" s="5">
        <v>0</v>
      </c>
      <c r="E13" s="5">
        <v>1</v>
      </c>
      <c r="G13" s="5" t="s">
        <v>196</v>
      </c>
      <c r="H13" s="5">
        <v>9</v>
      </c>
      <c r="I13" s="5">
        <v>9</v>
      </c>
      <c r="K13" s="5">
        <v>8</v>
      </c>
      <c r="L13" s="5" t="s">
        <v>197</v>
      </c>
      <c r="M13" s="5" t="s">
        <v>148</v>
      </c>
      <c r="O13" s="5">
        <v>8</v>
      </c>
      <c r="P13" s="5" t="s">
        <v>198</v>
      </c>
      <c r="Q13" s="5">
        <v>31</v>
      </c>
      <c r="R13" s="7">
        <v>46235</v>
      </c>
      <c r="S13" s="7">
        <v>46265</v>
      </c>
      <c r="U13" s="31" t="s">
        <v>199</v>
      </c>
      <c r="V13" s="1" t="s">
        <v>200</v>
      </c>
      <c r="W13" s="1" t="s">
        <v>201</v>
      </c>
      <c r="X13" s="1" t="s">
        <v>202</v>
      </c>
      <c r="Y13" s="1" t="s">
        <v>203</v>
      </c>
      <c r="Z13" s="1" t="s">
        <v>204</v>
      </c>
      <c r="AA13" s="1" t="s">
        <v>205</v>
      </c>
      <c r="AB13" s="1" t="s">
        <v>206</v>
      </c>
      <c r="AC13" s="1" t="s">
        <v>207</v>
      </c>
      <c r="AD13" s="1" t="s">
        <v>208</v>
      </c>
      <c r="AE13" s="1" t="s">
        <v>209</v>
      </c>
      <c r="AF13" s="1" t="s">
        <v>210</v>
      </c>
      <c r="AG13" s="1" t="s">
        <v>211</v>
      </c>
      <c r="AH13" s="1" t="s">
        <v>212</v>
      </c>
      <c r="AI13" s="1" t="s">
        <v>213</v>
      </c>
      <c r="AJ13" s="32" t="s">
        <v>214</v>
      </c>
      <c r="AK13" s="32" t="s">
        <v>215</v>
      </c>
      <c r="AL13" s="32" t="s">
        <v>216</v>
      </c>
      <c r="AM13" s="32" t="s">
        <v>217</v>
      </c>
      <c r="AN13" s="32" t="s">
        <v>218</v>
      </c>
      <c r="AO13" s="32" t="s">
        <v>219</v>
      </c>
      <c r="AP13" s="32" t="s">
        <v>220</v>
      </c>
      <c r="AQ13" s="1" t="s">
        <v>221</v>
      </c>
      <c r="AR13" s="1" t="s">
        <v>222</v>
      </c>
      <c r="AS13" s="1" t="s">
        <v>223</v>
      </c>
      <c r="AT13" s="1" t="s">
        <v>224</v>
      </c>
      <c r="AU13" s="1" t="s">
        <v>225</v>
      </c>
      <c r="AV13" s="1" t="s">
        <v>226</v>
      </c>
      <c r="AW13" s="1" t="s">
        <v>163</v>
      </c>
      <c r="AX13" s="1" t="s">
        <v>227</v>
      </c>
      <c r="AY13" s="1" t="s">
        <v>228</v>
      </c>
      <c r="AZ13" s="1" t="s">
        <v>229</v>
      </c>
      <c r="BA13" s="1" t="s">
        <v>230</v>
      </c>
      <c r="BB13" s="1" t="s">
        <v>231</v>
      </c>
      <c r="BC13" s="1" t="s">
        <v>232</v>
      </c>
      <c r="BD13" s="1" t="s">
        <v>233</v>
      </c>
      <c r="BE13" s="1" t="s">
        <v>234</v>
      </c>
      <c r="BF13" s="1" t="s">
        <v>235</v>
      </c>
      <c r="BG13" s="1" t="s">
        <v>236</v>
      </c>
      <c r="BH13" s="1" t="s">
        <v>237</v>
      </c>
      <c r="BI13" s="1" t="s">
        <v>238</v>
      </c>
      <c r="BJ13" s="1" t="s">
        <v>239</v>
      </c>
      <c r="BK13" s="1" t="s">
        <v>240</v>
      </c>
      <c r="BL13" s="1" t="s">
        <v>241</v>
      </c>
      <c r="BM13" s="1" t="s">
        <v>242</v>
      </c>
      <c r="BN13" s="1" t="s">
        <v>243</v>
      </c>
      <c r="BO13" s="1" t="s">
        <v>244</v>
      </c>
      <c r="BP13" s="1" t="s">
        <v>162</v>
      </c>
      <c r="BQ13" s="1" t="s">
        <v>245</v>
      </c>
      <c r="BR13" s="1" t="s">
        <v>246</v>
      </c>
      <c r="BS13" s="1" t="s">
        <v>247</v>
      </c>
      <c r="BT13" s="1" t="s">
        <v>248</v>
      </c>
      <c r="BU13" s="1" t="s">
        <v>249</v>
      </c>
      <c r="BV13" s="1" t="s">
        <v>250</v>
      </c>
      <c r="BW13" s="1" t="s">
        <v>251</v>
      </c>
      <c r="BX13" s="1" t="s">
        <v>252</v>
      </c>
      <c r="BY13" s="1" t="s">
        <v>253</v>
      </c>
      <c r="BZ13" s="1" t="s">
        <v>254</v>
      </c>
      <c r="CA13" s="1" t="s">
        <v>255</v>
      </c>
      <c r="CB13" s="1" t="s">
        <v>256</v>
      </c>
      <c r="CC13" s="1" t="s">
        <v>257</v>
      </c>
      <c r="CD13" s="1" t="s">
        <v>258</v>
      </c>
      <c r="CE13" s="1" t="s">
        <v>259</v>
      </c>
      <c r="CF13" s="1" t="s">
        <v>260</v>
      </c>
      <c r="CG13" s="1" t="s">
        <v>261</v>
      </c>
      <c r="CH13" s="1" t="s">
        <v>262</v>
      </c>
      <c r="CI13" s="1" t="s">
        <v>263</v>
      </c>
      <c r="CJ13" s="1" t="s">
        <v>264</v>
      </c>
      <c r="CK13" s="1" t="s">
        <v>265</v>
      </c>
      <c r="CL13" s="1" t="s">
        <v>266</v>
      </c>
      <c r="CM13" s="1" t="s">
        <v>267</v>
      </c>
      <c r="CN13" s="1" t="s">
        <v>268</v>
      </c>
      <c r="CO13" s="1" t="s">
        <v>269</v>
      </c>
      <c r="CP13" s="1" t="s">
        <v>270</v>
      </c>
      <c r="CQ13" s="1" t="s">
        <v>271</v>
      </c>
      <c r="CR13" s="1" t="s">
        <v>272</v>
      </c>
      <c r="CS13" s="1" t="s">
        <v>273</v>
      </c>
      <c r="CT13" s="1" t="s">
        <v>274</v>
      </c>
      <c r="CU13" s="1" t="s">
        <v>275</v>
      </c>
      <c r="CV13" s="1" t="s">
        <v>276</v>
      </c>
      <c r="CW13" s="1" t="s">
        <v>277</v>
      </c>
      <c r="CX13" s="1" t="s">
        <v>278</v>
      </c>
      <c r="CY13" s="1" t="s">
        <v>279</v>
      </c>
      <c r="CZ13" s="1" t="s">
        <v>280</v>
      </c>
      <c r="DA13" s="1" t="s">
        <v>281</v>
      </c>
      <c r="DB13" s="1" t="s">
        <v>282</v>
      </c>
      <c r="DC13" s="1" t="s">
        <v>283</v>
      </c>
      <c r="DD13" s="1" t="s">
        <v>284</v>
      </c>
      <c r="DE13" s="1" t="s">
        <v>285</v>
      </c>
      <c r="DF13" s="1" t="s">
        <v>286</v>
      </c>
      <c r="DG13" s="1" t="s">
        <v>287</v>
      </c>
      <c r="DH13" s="1" t="s">
        <v>288</v>
      </c>
      <c r="DI13" s="1" t="s">
        <v>289</v>
      </c>
      <c r="DJ13" s="1" t="s">
        <v>290</v>
      </c>
      <c r="DK13" s="1" t="s">
        <v>291</v>
      </c>
      <c r="DL13" s="1" t="s">
        <v>292</v>
      </c>
      <c r="DM13" s="1" t="s">
        <v>293</v>
      </c>
      <c r="DN13" s="1" t="s">
        <v>294</v>
      </c>
      <c r="DO13" s="1" t="s">
        <v>295</v>
      </c>
      <c r="DP13" s="1" t="s">
        <v>296</v>
      </c>
      <c r="DQ13" s="1" t="s">
        <v>297</v>
      </c>
      <c r="DR13" s="1" t="s">
        <v>298</v>
      </c>
      <c r="DS13" s="1" t="s">
        <v>299</v>
      </c>
      <c r="DT13" s="1" t="s">
        <v>300</v>
      </c>
      <c r="DU13" s="1" t="s">
        <v>301</v>
      </c>
      <c r="DV13" s="1" t="s">
        <v>302</v>
      </c>
      <c r="DW13" s="1" t="s">
        <v>195</v>
      </c>
      <c r="DX13" s="1" t="s">
        <v>303</v>
      </c>
      <c r="DY13" s="1" t="s">
        <v>304</v>
      </c>
      <c r="DZ13" s="1" t="s">
        <v>305</v>
      </c>
      <c r="EA13" s="1" t="s">
        <v>306</v>
      </c>
      <c r="EB13" s="1" t="s">
        <v>307</v>
      </c>
      <c r="EC13" s="1" t="s">
        <v>308</v>
      </c>
      <c r="ED13" s="1" t="s">
        <v>309</v>
      </c>
      <c r="EE13" s="1" t="s">
        <v>310</v>
      </c>
      <c r="EF13" s="1" t="s">
        <v>311</v>
      </c>
      <c r="EG13" s="1" t="s">
        <v>312</v>
      </c>
      <c r="EH13" s="1" t="s">
        <v>313</v>
      </c>
      <c r="EI13" s="1" t="s">
        <v>314</v>
      </c>
      <c r="EJ13" s="1" t="s">
        <v>315</v>
      </c>
      <c r="EK13" s="1" t="s">
        <v>316</v>
      </c>
      <c r="EL13" s="1" t="s">
        <v>317</v>
      </c>
      <c r="EM13" s="1" t="s">
        <v>318</v>
      </c>
      <c r="EN13" s="1" t="s">
        <v>319</v>
      </c>
      <c r="EO13" s="1" t="s">
        <v>320</v>
      </c>
      <c r="EP13" s="1" t="s">
        <v>321</v>
      </c>
      <c r="EQ13" s="1" t="s">
        <v>322</v>
      </c>
      <c r="ER13" s="1" t="s">
        <v>323</v>
      </c>
      <c r="ES13" s="1" t="s">
        <v>324</v>
      </c>
      <c r="ET13" s="1" t="s">
        <v>325</v>
      </c>
      <c r="EU13" s="1" t="s">
        <v>326</v>
      </c>
      <c r="EV13" s="1" t="s">
        <v>327</v>
      </c>
      <c r="EW13" s="1" t="s">
        <v>328</v>
      </c>
      <c r="EX13" s="1" t="s">
        <v>329</v>
      </c>
      <c r="EY13" s="1" t="s">
        <v>330</v>
      </c>
      <c r="EZ13" s="1" t="s">
        <v>331</v>
      </c>
      <c r="FA13" s="1" t="s">
        <v>332</v>
      </c>
      <c r="FB13" s="1" t="s">
        <v>333</v>
      </c>
      <c r="FC13" s="1" t="s">
        <v>334</v>
      </c>
      <c r="FD13" s="1" t="s">
        <v>335</v>
      </c>
      <c r="FE13" s="1" t="s">
        <v>336</v>
      </c>
      <c r="FF13" s="1" t="s">
        <v>337</v>
      </c>
      <c r="FG13" s="1" t="s">
        <v>338</v>
      </c>
      <c r="FH13" s="1" t="s">
        <v>339</v>
      </c>
      <c r="FI13" s="1" t="s">
        <v>340</v>
      </c>
      <c r="FJ13" s="1" t="s">
        <v>341</v>
      </c>
      <c r="FK13" s="1" t="s">
        <v>342</v>
      </c>
      <c r="FL13" s="1" t="s">
        <v>343</v>
      </c>
      <c r="FM13" s="1" t="s">
        <v>344</v>
      </c>
      <c r="FN13" s="1" t="s">
        <v>345</v>
      </c>
      <c r="FO13" s="1" t="s">
        <v>346</v>
      </c>
      <c r="FP13" s="1" t="s">
        <v>347</v>
      </c>
      <c r="FQ13" s="1" t="s">
        <v>348</v>
      </c>
      <c r="FR13" s="1" t="s">
        <v>349</v>
      </c>
      <c r="FS13" s="1" t="s">
        <v>350</v>
      </c>
      <c r="FT13" s="1" t="s">
        <v>351</v>
      </c>
      <c r="FU13" s="1" t="s">
        <v>352</v>
      </c>
      <c r="FV13" s="1" t="s">
        <v>353</v>
      </c>
      <c r="FW13" s="1" t="s">
        <v>354</v>
      </c>
      <c r="FX13" s="1" t="s">
        <v>355</v>
      </c>
      <c r="FY13" s="1" t="s">
        <v>356</v>
      </c>
      <c r="FZ13" s="1" t="s">
        <v>357</v>
      </c>
      <c r="GA13" s="1" t="s">
        <v>358</v>
      </c>
      <c r="GB13" s="1" t="s">
        <v>359</v>
      </c>
      <c r="GC13" s="1" t="s">
        <v>360</v>
      </c>
      <c r="GD13" s="1" t="s">
        <v>361</v>
      </c>
      <c r="GE13" s="1" t="s">
        <v>362</v>
      </c>
      <c r="GF13" s="1" t="s">
        <v>363</v>
      </c>
      <c r="GG13" s="1" t="s">
        <v>364</v>
      </c>
      <c r="GH13" s="1" t="s">
        <v>365</v>
      </c>
      <c r="GI13" s="1" t="s">
        <v>165</v>
      </c>
      <c r="GJ13" s="1" t="s">
        <v>366</v>
      </c>
      <c r="GK13" s="1" t="s">
        <v>194</v>
      </c>
      <c r="GL13" s="1" t="s">
        <v>367</v>
      </c>
      <c r="GM13" s="1" t="s">
        <v>368</v>
      </c>
      <c r="GN13" s="1" t="s">
        <v>369</v>
      </c>
      <c r="GO13" s="1" t="s">
        <v>370</v>
      </c>
      <c r="GP13" s="1" t="s">
        <v>371</v>
      </c>
      <c r="GQ13" s="1" t="s">
        <v>372</v>
      </c>
      <c r="GR13" s="1" t="s">
        <v>373</v>
      </c>
      <c r="GS13" s="1" t="s">
        <v>374</v>
      </c>
      <c r="GT13" s="1" t="s">
        <v>375</v>
      </c>
      <c r="GU13" s="1" t="s">
        <v>376</v>
      </c>
      <c r="GV13" s="1" t="s">
        <v>377</v>
      </c>
      <c r="GW13" s="1" t="s">
        <v>378</v>
      </c>
      <c r="GX13" s="1" t="s">
        <v>379</v>
      </c>
      <c r="GY13" s="1" t="s">
        <v>380</v>
      </c>
      <c r="GZ13" s="1" t="s">
        <v>381</v>
      </c>
      <c r="HA13" s="1" t="s">
        <v>382</v>
      </c>
      <c r="HB13" s="1" t="s">
        <v>383</v>
      </c>
      <c r="HC13" s="1" t="s">
        <v>384</v>
      </c>
      <c r="HD13" s="1" t="s">
        <v>385</v>
      </c>
      <c r="HE13" s="1" t="s">
        <v>386</v>
      </c>
      <c r="HF13" s="1" t="s">
        <v>387</v>
      </c>
      <c r="HG13" s="1" t="s">
        <v>388</v>
      </c>
      <c r="HH13" s="1" t="s">
        <v>389</v>
      </c>
      <c r="HI13" s="1" t="s">
        <v>390</v>
      </c>
      <c r="HJ13" s="1" t="s">
        <v>391</v>
      </c>
      <c r="HK13" s="1" t="s">
        <v>392</v>
      </c>
      <c r="HL13" s="1" t="s">
        <v>393</v>
      </c>
      <c r="HM13" s="1" t="s">
        <v>394</v>
      </c>
      <c r="HN13" s="1" t="s">
        <v>395</v>
      </c>
      <c r="HO13" s="1" t="s">
        <v>396</v>
      </c>
      <c r="HP13" s="1" t="s">
        <v>397</v>
      </c>
      <c r="HQ13" s="1" t="s">
        <v>398</v>
      </c>
      <c r="HR13" s="1" t="s">
        <v>399</v>
      </c>
      <c r="HS13" s="1" t="s">
        <v>400</v>
      </c>
      <c r="HT13" s="1" t="s">
        <v>401</v>
      </c>
      <c r="HU13" s="1" t="s">
        <v>402</v>
      </c>
      <c r="HV13" s="1" t="s">
        <v>403</v>
      </c>
      <c r="HW13" s="1" t="s">
        <v>404</v>
      </c>
      <c r="HX13" s="1" t="s">
        <v>405</v>
      </c>
      <c r="HY13" s="1" t="s">
        <v>406</v>
      </c>
      <c r="HZ13" s="1" t="s">
        <v>407</v>
      </c>
      <c r="IA13" s="1" t="s">
        <v>408</v>
      </c>
      <c r="IB13" s="1" t="s">
        <v>409</v>
      </c>
      <c r="IC13" s="1" t="s">
        <v>184</v>
      </c>
      <c r="ID13" s="1" t="s">
        <v>410</v>
      </c>
      <c r="IE13" s="1" t="s">
        <v>411</v>
      </c>
      <c r="IF13" s="1" t="s">
        <v>412</v>
      </c>
      <c r="IG13" s="1" t="s">
        <v>413</v>
      </c>
      <c r="IH13" s="1" t="s">
        <v>414</v>
      </c>
      <c r="II13" s="1" t="s">
        <v>415</v>
      </c>
      <c r="IJ13" s="1" t="s">
        <v>416</v>
      </c>
      <c r="IK13" s="1" t="s">
        <v>417</v>
      </c>
      <c r="IL13" s="1" t="s">
        <v>418</v>
      </c>
      <c r="IM13" s="1" t="s">
        <v>419</v>
      </c>
      <c r="IN13" s="1" t="s">
        <v>420</v>
      </c>
      <c r="IO13" s="1" t="s">
        <v>421</v>
      </c>
      <c r="IP13" s="1" t="s">
        <v>160</v>
      </c>
      <c r="IQ13" s="1" t="s">
        <v>422</v>
      </c>
      <c r="IR13" s="1" t="s">
        <v>423</v>
      </c>
      <c r="IS13" s="1" t="s">
        <v>424</v>
      </c>
      <c r="IT13" s="1" t="s">
        <v>425</v>
      </c>
      <c r="IU13" s="1" t="s">
        <v>426</v>
      </c>
      <c r="IV13" s="1" t="s">
        <v>427</v>
      </c>
      <c r="IW13" s="1" t="s">
        <v>428</v>
      </c>
      <c r="IX13" s="1" t="s">
        <v>429</v>
      </c>
      <c r="IY13" s="1" t="s">
        <v>430</v>
      </c>
      <c r="IZ13" s="1" t="s">
        <v>431</v>
      </c>
      <c r="JA13" s="1" t="s">
        <v>432</v>
      </c>
      <c r="JB13" s="1" t="s">
        <v>433</v>
      </c>
      <c r="JC13" s="1" t="s">
        <v>434</v>
      </c>
      <c r="JD13" s="1" t="s">
        <v>435</v>
      </c>
      <c r="JE13" s="1" t="s">
        <v>436</v>
      </c>
      <c r="JF13" s="1" t="s">
        <v>437</v>
      </c>
      <c r="JG13" s="1" t="s">
        <v>438</v>
      </c>
      <c r="JH13" s="1" t="s">
        <v>439</v>
      </c>
      <c r="JI13" s="1" t="s">
        <v>440</v>
      </c>
      <c r="JJ13" s="1" t="s">
        <v>441</v>
      </c>
      <c r="JK13" s="1" t="s">
        <v>442</v>
      </c>
      <c r="JL13" s="1" t="s">
        <v>443</v>
      </c>
      <c r="JM13" s="1" t="s">
        <v>444</v>
      </c>
      <c r="JN13" s="1" t="s">
        <v>445</v>
      </c>
      <c r="JO13" s="1" t="s">
        <v>446</v>
      </c>
      <c r="JP13" s="1" t="s">
        <v>447</v>
      </c>
      <c r="JQ13" s="1" t="s">
        <v>448</v>
      </c>
      <c r="JR13" s="1" t="s">
        <v>449</v>
      </c>
      <c r="JS13" s="1" t="s">
        <v>450</v>
      </c>
      <c r="JT13" s="1" t="s">
        <v>451</v>
      </c>
      <c r="JU13" s="1" t="s">
        <v>452</v>
      </c>
      <c r="JV13" s="1" t="s">
        <v>453</v>
      </c>
      <c r="JW13" s="1" t="s">
        <v>454</v>
      </c>
      <c r="JX13" s="1" t="s">
        <v>455</v>
      </c>
      <c r="JY13" s="1" t="s">
        <v>456</v>
      </c>
      <c r="JZ13" s="1" t="s">
        <v>457</v>
      </c>
      <c r="KA13" s="1" t="s">
        <v>458</v>
      </c>
      <c r="KB13" s="1" t="s">
        <v>459</v>
      </c>
      <c r="KC13" s="1" t="s">
        <v>460</v>
      </c>
      <c r="KD13" s="1" t="s">
        <v>461</v>
      </c>
      <c r="KE13" s="1" t="s">
        <v>462</v>
      </c>
      <c r="KF13" s="1" t="s">
        <v>463</v>
      </c>
      <c r="KG13" s="1" t="s">
        <v>464</v>
      </c>
      <c r="KH13" s="1" t="s">
        <v>465</v>
      </c>
      <c r="KI13" s="1" t="s">
        <v>466</v>
      </c>
      <c r="KJ13" s="1" t="s">
        <v>467</v>
      </c>
      <c r="KK13" s="1" t="s">
        <v>468</v>
      </c>
      <c r="KL13" s="1" t="s">
        <v>469</v>
      </c>
      <c r="KM13" s="1" t="s">
        <v>470</v>
      </c>
      <c r="KN13" s="1" t="s">
        <v>471</v>
      </c>
      <c r="KO13" s="1" t="s">
        <v>472</v>
      </c>
      <c r="KP13" s="1" t="s">
        <v>473</v>
      </c>
      <c r="KQ13" s="1" t="s">
        <v>190</v>
      </c>
      <c r="KR13" s="1" t="s">
        <v>474</v>
      </c>
      <c r="KS13" s="1" t="s">
        <v>475</v>
      </c>
      <c r="KT13" s="1" t="s">
        <v>476</v>
      </c>
      <c r="KU13" s="1" t="s">
        <v>477</v>
      </c>
      <c r="KV13" s="1" t="s">
        <v>478</v>
      </c>
      <c r="KW13" s="1" t="s">
        <v>479</v>
      </c>
      <c r="KX13" s="1" t="s">
        <v>480</v>
      </c>
      <c r="KY13" s="1" t="s">
        <v>481</v>
      </c>
      <c r="KZ13" s="1" t="s">
        <v>482</v>
      </c>
      <c r="LA13" s="1" t="s">
        <v>483</v>
      </c>
      <c r="LB13" s="1" t="s">
        <v>484</v>
      </c>
      <c r="LC13" s="1" t="s">
        <v>485</v>
      </c>
      <c r="LD13" s="1" t="s">
        <v>486</v>
      </c>
      <c r="LE13" s="1" t="s">
        <v>487</v>
      </c>
      <c r="LF13" s="1" t="s">
        <v>488</v>
      </c>
      <c r="LG13" s="1" t="s">
        <v>489</v>
      </c>
      <c r="LH13" s="1" t="s">
        <v>490</v>
      </c>
      <c r="LI13" s="1" t="s">
        <v>491</v>
      </c>
      <c r="LJ13" s="1" t="s">
        <v>492</v>
      </c>
      <c r="LK13" s="1" t="s">
        <v>493</v>
      </c>
      <c r="LL13" s="1" t="s">
        <v>494</v>
      </c>
      <c r="LM13" s="1" t="s">
        <v>495</v>
      </c>
      <c r="LN13" s="1" t="s">
        <v>496</v>
      </c>
      <c r="LO13" s="1" t="s">
        <v>497</v>
      </c>
      <c r="LP13" s="1" t="s">
        <v>498</v>
      </c>
      <c r="LQ13" s="1" t="s">
        <v>499</v>
      </c>
      <c r="LR13" s="1" t="s">
        <v>500</v>
      </c>
      <c r="LS13" s="1" t="s">
        <v>501</v>
      </c>
      <c r="LT13" s="1" t="s">
        <v>502</v>
      </c>
      <c r="LU13" s="1" t="s">
        <v>503</v>
      </c>
      <c r="LV13" s="1" t="s">
        <v>504</v>
      </c>
      <c r="LW13" s="1" t="s">
        <v>505</v>
      </c>
      <c r="LX13" s="1" t="s">
        <v>506</v>
      </c>
      <c r="LY13" s="1" t="s">
        <v>507</v>
      </c>
      <c r="LZ13" s="1" t="s">
        <v>508</v>
      </c>
      <c r="MA13" s="1" t="s">
        <v>509</v>
      </c>
      <c r="MB13" s="1" t="s">
        <v>510</v>
      </c>
      <c r="MC13" s="1" t="s">
        <v>511</v>
      </c>
      <c r="MD13" s="1" t="s">
        <v>512</v>
      </c>
      <c r="ME13" s="1" t="s">
        <v>513</v>
      </c>
      <c r="MF13" s="1" t="s">
        <v>514</v>
      </c>
      <c r="MG13" s="1" t="s">
        <v>189</v>
      </c>
      <c r="MH13" s="1" t="s">
        <v>515</v>
      </c>
      <c r="MI13" s="1" t="s">
        <v>516</v>
      </c>
      <c r="MJ13" s="1" t="s">
        <v>517</v>
      </c>
      <c r="MK13" s="1" t="s">
        <v>518</v>
      </c>
      <c r="ML13" s="1" t="s">
        <v>519</v>
      </c>
      <c r="MM13" s="1" t="s">
        <v>520</v>
      </c>
      <c r="MN13" s="1" t="s">
        <v>521</v>
      </c>
      <c r="MO13" s="1" t="s">
        <v>522</v>
      </c>
      <c r="MP13" s="1" t="s">
        <v>523</v>
      </c>
      <c r="MQ13" s="1" t="s">
        <v>524</v>
      </c>
      <c r="MR13" s="1" t="s">
        <v>525</v>
      </c>
      <c r="MS13" s="1" t="s">
        <v>526</v>
      </c>
      <c r="MT13" s="1" t="s">
        <v>527</v>
      </c>
      <c r="MU13" s="1" t="s">
        <v>528</v>
      </c>
      <c r="MV13" s="1" t="s">
        <v>529</v>
      </c>
      <c r="MW13" s="1" t="s">
        <v>530</v>
      </c>
      <c r="MX13" s="1" t="s">
        <v>531</v>
      </c>
      <c r="MY13" s="1" t="s">
        <v>532</v>
      </c>
      <c r="MZ13" s="1" t="s">
        <v>533</v>
      </c>
      <c r="NA13" s="1" t="s">
        <v>534</v>
      </c>
      <c r="NB13" s="1" t="s">
        <v>535</v>
      </c>
      <c r="NC13" s="1" t="s">
        <v>536</v>
      </c>
      <c r="ND13" s="1" t="s">
        <v>537</v>
      </c>
      <c r="NE13" s="1" t="s">
        <v>538</v>
      </c>
      <c r="NF13" s="1" t="s">
        <v>539</v>
      </c>
      <c r="NG13" s="1" t="s">
        <v>540</v>
      </c>
      <c r="NH13" s="1" t="s">
        <v>541</v>
      </c>
      <c r="NI13" s="1" t="s">
        <v>542</v>
      </c>
      <c r="NJ13" s="1" t="s">
        <v>543</v>
      </c>
      <c r="NK13" s="1" t="s">
        <v>544</v>
      </c>
      <c r="NL13" s="1" t="s">
        <v>545</v>
      </c>
      <c r="NM13" s="1" t="s">
        <v>546</v>
      </c>
      <c r="NN13" s="1" t="s">
        <v>547</v>
      </c>
      <c r="NO13" s="1" t="s">
        <v>548</v>
      </c>
      <c r="NP13" s="1" t="s">
        <v>549</v>
      </c>
      <c r="NQ13" s="1" t="s">
        <v>550</v>
      </c>
      <c r="NR13" s="1" t="s">
        <v>551</v>
      </c>
      <c r="NS13" s="1" t="s">
        <v>552</v>
      </c>
      <c r="NT13" s="1" t="s">
        <v>553</v>
      </c>
      <c r="NU13" s="1" t="s">
        <v>554</v>
      </c>
      <c r="NV13" s="1" t="s">
        <v>555</v>
      </c>
      <c r="NW13" s="1" t="s">
        <v>556</v>
      </c>
      <c r="NX13" s="1" t="s">
        <v>557</v>
      </c>
      <c r="NY13" s="1" t="s">
        <v>558</v>
      </c>
      <c r="NZ13" s="1" t="s">
        <v>559</v>
      </c>
      <c r="OA13" s="1" t="s">
        <v>560</v>
      </c>
      <c r="OB13" s="1" t="s">
        <v>561</v>
      </c>
      <c r="OC13" s="1" t="s">
        <v>562</v>
      </c>
      <c r="OD13" s="1" t="s">
        <v>563</v>
      </c>
      <c r="OE13" s="1" t="s">
        <v>564</v>
      </c>
      <c r="OF13" s="1" t="s">
        <v>565</v>
      </c>
      <c r="OG13" s="1" t="s">
        <v>566</v>
      </c>
      <c r="OH13" s="1" t="s">
        <v>567</v>
      </c>
      <c r="OI13" s="1" t="s">
        <v>568</v>
      </c>
      <c r="OJ13" s="1" t="s">
        <v>569</v>
      </c>
      <c r="OK13" s="1" t="s">
        <v>570</v>
      </c>
      <c r="OL13" s="1" t="s">
        <v>571</v>
      </c>
      <c r="OM13" s="1" t="s">
        <v>572</v>
      </c>
      <c r="ON13" s="1" t="s">
        <v>573</v>
      </c>
      <c r="OO13" s="1" t="s">
        <v>574</v>
      </c>
      <c r="OP13" s="1" t="s">
        <v>575</v>
      </c>
      <c r="OQ13" s="1" t="s">
        <v>576</v>
      </c>
      <c r="OR13" s="1" t="s">
        <v>577</v>
      </c>
      <c r="OS13" s="1" t="s">
        <v>578</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532</v>
      </c>
      <c r="B14" s="5" t="s">
        <v>525</v>
      </c>
      <c r="C14" s="5" t="s">
        <v>579</v>
      </c>
      <c r="D14" s="5">
        <v>-1</v>
      </c>
      <c r="E14" s="5">
        <v>-1</v>
      </c>
      <c r="G14" s="6" t="s">
        <v>580</v>
      </c>
      <c r="H14" s="5">
        <v>10</v>
      </c>
      <c r="I14" s="5">
        <v>10</v>
      </c>
      <c r="K14" s="5">
        <v>9</v>
      </c>
      <c r="L14" s="5" t="s">
        <v>581</v>
      </c>
      <c r="M14" s="5" t="s">
        <v>141</v>
      </c>
      <c r="O14" s="5">
        <v>9</v>
      </c>
      <c r="P14" s="5" t="s">
        <v>582</v>
      </c>
      <c r="Q14" s="5">
        <v>30</v>
      </c>
      <c r="R14" s="7">
        <v>46266</v>
      </c>
      <c r="S14" s="7">
        <v>46295</v>
      </c>
      <c r="U14" s="31" t="s">
        <v>583</v>
      </c>
      <c r="V14" s="1" t="s">
        <v>200</v>
      </c>
      <c r="W14" s="1" t="s">
        <v>200</v>
      </c>
      <c r="X14" s="1" t="s">
        <v>202</v>
      </c>
      <c r="Y14" s="1" t="s">
        <v>202</v>
      </c>
      <c r="Z14" s="1" t="s">
        <v>163</v>
      </c>
      <c r="AA14" s="1" t="s">
        <v>163</v>
      </c>
      <c r="AB14" s="1" t="s">
        <v>163</v>
      </c>
      <c r="AC14" s="1" t="s">
        <v>163</v>
      </c>
      <c r="AD14" s="1" t="s">
        <v>163</v>
      </c>
      <c r="AE14" s="1" t="s">
        <v>163</v>
      </c>
      <c r="AF14" s="1" t="s">
        <v>163</v>
      </c>
      <c r="AG14" s="1" t="s">
        <v>163</v>
      </c>
      <c r="AH14" s="1" t="s">
        <v>163</v>
      </c>
      <c r="AI14" s="1" t="s">
        <v>163</v>
      </c>
      <c r="AJ14" s="1" t="s">
        <v>163</v>
      </c>
      <c r="AK14" s="1" t="s">
        <v>163</v>
      </c>
      <c r="AL14" s="1" t="s">
        <v>163</v>
      </c>
      <c r="AM14" s="1" t="s">
        <v>163</v>
      </c>
      <c r="AN14" s="1" t="s">
        <v>163</v>
      </c>
      <c r="AO14" s="1" t="s">
        <v>163</v>
      </c>
      <c r="AP14" s="1" t="s">
        <v>163</v>
      </c>
      <c r="AQ14" s="1" t="s">
        <v>163</v>
      </c>
      <c r="AR14" s="1" t="s">
        <v>163</v>
      </c>
      <c r="AS14" s="1" t="s">
        <v>163</v>
      </c>
      <c r="AT14" s="1" t="s">
        <v>163</v>
      </c>
      <c r="AU14" s="1" t="s">
        <v>163</v>
      </c>
      <c r="AV14" s="1" t="s">
        <v>163</v>
      </c>
      <c r="AW14" s="1" t="s">
        <v>163</v>
      </c>
      <c r="AX14" s="1" t="s">
        <v>163</v>
      </c>
      <c r="AY14" s="1" t="s">
        <v>163</v>
      </c>
      <c r="AZ14" s="1" t="s">
        <v>163</v>
      </c>
      <c r="BA14" s="1" t="s">
        <v>163</v>
      </c>
      <c r="BB14" s="1" t="s">
        <v>163</v>
      </c>
      <c r="BC14" s="1" t="s">
        <v>163</v>
      </c>
      <c r="BD14" s="1" t="s">
        <v>163</v>
      </c>
      <c r="BE14" s="1" t="s">
        <v>163</v>
      </c>
      <c r="BF14" s="1" t="s">
        <v>163</v>
      </c>
      <c r="BG14" s="1" t="s">
        <v>163</v>
      </c>
      <c r="BH14" s="1" t="s">
        <v>163</v>
      </c>
      <c r="BI14" s="1" t="s">
        <v>163</v>
      </c>
      <c r="BJ14" s="1" t="s">
        <v>163</v>
      </c>
      <c r="BK14" s="1" t="s">
        <v>163</v>
      </c>
      <c r="BL14" s="1" t="s">
        <v>163</v>
      </c>
      <c r="BM14" s="1" t="s">
        <v>163</v>
      </c>
      <c r="BN14" s="1" t="s">
        <v>163</v>
      </c>
      <c r="BO14" s="1" t="s">
        <v>163</v>
      </c>
      <c r="BP14" s="1" t="s">
        <v>163</v>
      </c>
      <c r="BQ14" s="1" t="s">
        <v>163</v>
      </c>
      <c r="BR14" s="1" t="s">
        <v>163</v>
      </c>
      <c r="BS14" s="1" t="s">
        <v>163</v>
      </c>
      <c r="BT14" s="1" t="s">
        <v>163</v>
      </c>
      <c r="BU14" s="1" t="s">
        <v>163</v>
      </c>
      <c r="BV14" s="1" t="s">
        <v>163</v>
      </c>
      <c r="BW14" s="1" t="s">
        <v>163</v>
      </c>
      <c r="BX14" s="1" t="s">
        <v>163</v>
      </c>
      <c r="BY14" s="1" t="s">
        <v>257</v>
      </c>
      <c r="BZ14" s="1" t="s">
        <v>257</v>
      </c>
      <c r="CA14" s="1" t="s">
        <v>257</v>
      </c>
      <c r="CB14" s="1" t="s">
        <v>257</v>
      </c>
      <c r="CC14" s="1" t="s">
        <v>257</v>
      </c>
      <c r="CD14" s="1" t="s">
        <v>257</v>
      </c>
      <c r="CE14" s="1" t="s">
        <v>257</v>
      </c>
      <c r="CF14" s="1" t="s">
        <v>257</v>
      </c>
      <c r="CG14" s="1" t="s">
        <v>257</v>
      </c>
      <c r="CH14" s="1" t="s">
        <v>257</v>
      </c>
      <c r="CI14" s="1" t="s">
        <v>257</v>
      </c>
      <c r="CJ14" s="1" t="s">
        <v>257</v>
      </c>
      <c r="CK14" s="1" t="s">
        <v>257</v>
      </c>
      <c r="CL14" s="1" t="s">
        <v>195</v>
      </c>
      <c r="CM14" s="1" t="s">
        <v>195</v>
      </c>
      <c r="CN14" s="1" t="s">
        <v>195</v>
      </c>
      <c r="CO14" s="1" t="s">
        <v>195</v>
      </c>
      <c r="CP14" s="1" t="s">
        <v>195</v>
      </c>
      <c r="CQ14" s="1" t="s">
        <v>195</v>
      </c>
      <c r="CR14" s="1" t="s">
        <v>195</v>
      </c>
      <c r="CS14" s="1" t="s">
        <v>195</v>
      </c>
      <c r="CT14" s="1" t="s">
        <v>195</v>
      </c>
      <c r="CU14" s="1" t="s">
        <v>195</v>
      </c>
      <c r="CV14" s="1" t="s">
        <v>195</v>
      </c>
      <c r="CW14" s="1" t="s">
        <v>195</v>
      </c>
      <c r="CX14" s="1" t="s">
        <v>195</v>
      </c>
      <c r="CY14" s="1" t="s">
        <v>195</v>
      </c>
      <c r="CZ14" s="1" t="s">
        <v>195</v>
      </c>
      <c r="DA14" s="1" t="s">
        <v>195</v>
      </c>
      <c r="DB14" s="1" t="s">
        <v>195</v>
      </c>
      <c r="DC14" s="1" t="s">
        <v>195</v>
      </c>
      <c r="DD14" s="1" t="s">
        <v>195</v>
      </c>
      <c r="DE14" s="1" t="s">
        <v>195</v>
      </c>
      <c r="DF14" s="1" t="s">
        <v>195</v>
      </c>
      <c r="DG14" s="1" t="s">
        <v>195</v>
      </c>
      <c r="DH14" s="1" t="s">
        <v>195</v>
      </c>
      <c r="DI14" s="1" t="s">
        <v>195</v>
      </c>
      <c r="DJ14" s="1" t="s">
        <v>195</v>
      </c>
      <c r="DK14" s="1" t="s">
        <v>195</v>
      </c>
      <c r="DL14" s="1" t="s">
        <v>195</v>
      </c>
      <c r="DM14" s="1" t="s">
        <v>195</v>
      </c>
      <c r="DN14" s="1" t="s">
        <v>195</v>
      </c>
      <c r="DO14" s="1" t="s">
        <v>195</v>
      </c>
      <c r="DP14" s="1" t="s">
        <v>195</v>
      </c>
      <c r="DQ14" s="1" t="s">
        <v>195</v>
      </c>
      <c r="DR14" s="1" t="s">
        <v>195</v>
      </c>
      <c r="DS14" s="1" t="s">
        <v>195</v>
      </c>
      <c r="DT14" s="1" t="s">
        <v>195</v>
      </c>
      <c r="DU14" s="1" t="s">
        <v>195</v>
      </c>
      <c r="DV14" s="1" t="s">
        <v>195</v>
      </c>
      <c r="DW14" s="1" t="s">
        <v>195</v>
      </c>
      <c r="DX14" s="1" t="s">
        <v>195</v>
      </c>
      <c r="DY14" s="1" t="s">
        <v>195</v>
      </c>
      <c r="DZ14" s="1" t="s">
        <v>195</v>
      </c>
      <c r="EA14" s="1" t="s">
        <v>195</v>
      </c>
      <c r="EB14" s="1" t="s">
        <v>195</v>
      </c>
      <c r="EC14" s="1" t="s">
        <v>195</v>
      </c>
      <c r="ED14" s="1" t="s">
        <v>195</v>
      </c>
      <c r="EE14" s="1" t="s">
        <v>195</v>
      </c>
      <c r="EF14" s="1" t="s">
        <v>195</v>
      </c>
      <c r="EG14" s="1" t="s">
        <v>195</v>
      </c>
      <c r="EH14" s="1" t="s">
        <v>195</v>
      </c>
      <c r="EI14" s="1" t="s">
        <v>195</v>
      </c>
      <c r="EJ14" s="1" t="s">
        <v>195</v>
      </c>
      <c r="EK14" s="1" t="s">
        <v>195</v>
      </c>
      <c r="EL14" s="1" t="s">
        <v>195</v>
      </c>
      <c r="EM14" s="1" t="s">
        <v>195</v>
      </c>
      <c r="EN14" s="1" t="s">
        <v>195</v>
      </c>
      <c r="EO14" s="1" t="s">
        <v>195</v>
      </c>
      <c r="EP14" s="1" t="s">
        <v>195</v>
      </c>
      <c r="EQ14" s="1" t="s">
        <v>195</v>
      </c>
      <c r="ER14" s="1" t="s">
        <v>195</v>
      </c>
      <c r="ES14" s="1" t="s">
        <v>195</v>
      </c>
      <c r="ET14" s="1" t="s">
        <v>195</v>
      </c>
      <c r="EU14" s="1" t="s">
        <v>195</v>
      </c>
      <c r="EV14" s="1" t="s">
        <v>195</v>
      </c>
      <c r="EW14" s="1" t="s">
        <v>195</v>
      </c>
      <c r="EX14" s="1" t="s">
        <v>195</v>
      </c>
      <c r="EY14" s="1" t="s">
        <v>195</v>
      </c>
      <c r="EZ14" s="1" t="s">
        <v>195</v>
      </c>
      <c r="FA14" s="1" t="s">
        <v>195</v>
      </c>
      <c r="FB14" s="1" t="s">
        <v>195</v>
      </c>
      <c r="FC14" s="1" t="s">
        <v>195</v>
      </c>
      <c r="FD14" s="1" t="s">
        <v>195</v>
      </c>
      <c r="FE14" s="1" t="s">
        <v>195</v>
      </c>
      <c r="FF14" s="1" t="s">
        <v>195</v>
      </c>
      <c r="FG14" s="1" t="s">
        <v>195</v>
      </c>
      <c r="FH14" s="1" t="s">
        <v>195</v>
      </c>
      <c r="FI14" s="1" t="s">
        <v>195</v>
      </c>
      <c r="FJ14" s="1" t="s">
        <v>195</v>
      </c>
      <c r="FK14" s="1" t="s">
        <v>195</v>
      </c>
      <c r="FL14" s="1" t="s">
        <v>195</v>
      </c>
      <c r="FM14" s="1" t="s">
        <v>195</v>
      </c>
      <c r="FN14" s="1" t="s">
        <v>195</v>
      </c>
      <c r="FO14" s="1" t="s">
        <v>195</v>
      </c>
      <c r="FP14" s="1" t="s">
        <v>195</v>
      </c>
      <c r="FQ14" s="1" t="s">
        <v>195</v>
      </c>
      <c r="FR14" s="1" t="s">
        <v>195</v>
      </c>
      <c r="FS14" s="1" t="s">
        <v>195</v>
      </c>
      <c r="FT14" s="1" t="s">
        <v>195</v>
      </c>
      <c r="FU14" s="1" t="s">
        <v>195</v>
      </c>
      <c r="FV14" s="1" t="s">
        <v>195</v>
      </c>
      <c r="FW14" s="1" t="s">
        <v>195</v>
      </c>
      <c r="FX14" s="1" t="s">
        <v>195</v>
      </c>
      <c r="FY14" s="1" t="s">
        <v>195</v>
      </c>
      <c r="FZ14" s="1" t="s">
        <v>195</v>
      </c>
      <c r="GA14" s="1" t="s">
        <v>195</v>
      </c>
      <c r="GB14" s="1" t="s">
        <v>195</v>
      </c>
      <c r="GC14" s="1" t="s">
        <v>195</v>
      </c>
      <c r="GD14" s="1" t="s">
        <v>195</v>
      </c>
      <c r="GE14" s="1" t="s">
        <v>195</v>
      </c>
      <c r="GF14" s="1" t="s">
        <v>195</v>
      </c>
      <c r="GG14" s="1" t="s">
        <v>195</v>
      </c>
      <c r="GH14" s="1" t="s">
        <v>195</v>
      </c>
      <c r="GI14" s="1" t="s">
        <v>195</v>
      </c>
      <c r="GJ14" s="1" t="s">
        <v>195</v>
      </c>
      <c r="GK14" s="1" t="s">
        <v>195</v>
      </c>
      <c r="GL14" s="1" t="s">
        <v>195</v>
      </c>
      <c r="GM14" s="1" t="s">
        <v>190</v>
      </c>
      <c r="GN14" s="1" t="s">
        <v>195</v>
      </c>
      <c r="GO14" s="1" t="s">
        <v>195</v>
      </c>
      <c r="GP14" s="1" t="s">
        <v>195</v>
      </c>
      <c r="GQ14" s="1" t="s">
        <v>195</v>
      </c>
      <c r="GR14" s="1" t="s">
        <v>377</v>
      </c>
      <c r="GS14" s="1" t="s">
        <v>377</v>
      </c>
      <c r="GT14" s="1" t="s">
        <v>377</v>
      </c>
      <c r="GU14" s="1" t="s">
        <v>377</v>
      </c>
      <c r="GV14" s="1" t="s">
        <v>377</v>
      </c>
      <c r="GW14" s="1" t="s">
        <v>377</v>
      </c>
      <c r="GX14" s="1" t="s">
        <v>377</v>
      </c>
      <c r="GY14" s="1" t="s">
        <v>377</v>
      </c>
      <c r="GZ14" s="1" t="s">
        <v>377</v>
      </c>
      <c r="HA14" s="1" t="s">
        <v>377</v>
      </c>
      <c r="HB14" s="1" t="s">
        <v>377</v>
      </c>
      <c r="HC14" s="1" t="s">
        <v>377</v>
      </c>
      <c r="HD14" s="1" t="s">
        <v>377</v>
      </c>
      <c r="HE14" s="1" t="s">
        <v>377</v>
      </c>
      <c r="HF14" s="1" t="s">
        <v>184</v>
      </c>
      <c r="HG14" s="1" t="s">
        <v>184</v>
      </c>
      <c r="HH14" s="1" t="s">
        <v>184</v>
      </c>
      <c r="HI14" s="1" t="s">
        <v>184</v>
      </c>
      <c r="HJ14" s="1" t="s">
        <v>184</v>
      </c>
      <c r="HK14" s="1" t="s">
        <v>184</v>
      </c>
      <c r="HL14" s="1" t="s">
        <v>184</v>
      </c>
      <c r="HM14" s="1" t="s">
        <v>184</v>
      </c>
      <c r="HN14" s="1" t="s">
        <v>184</v>
      </c>
      <c r="HO14" s="1" t="s">
        <v>184</v>
      </c>
      <c r="HP14" s="1" t="s">
        <v>184</v>
      </c>
      <c r="HQ14" s="1" t="s">
        <v>184</v>
      </c>
      <c r="HR14" s="1" t="s">
        <v>184</v>
      </c>
      <c r="HS14" s="1" t="s">
        <v>184</v>
      </c>
      <c r="HT14" s="1" t="s">
        <v>184</v>
      </c>
      <c r="HU14" s="1" t="s">
        <v>184</v>
      </c>
      <c r="HV14" s="1" t="s">
        <v>184</v>
      </c>
      <c r="HW14" s="1" t="s">
        <v>184</v>
      </c>
      <c r="HX14" s="1" t="s">
        <v>184</v>
      </c>
      <c r="HY14" s="1" t="s">
        <v>184</v>
      </c>
      <c r="HZ14" s="1" t="s">
        <v>184</v>
      </c>
      <c r="IA14" s="1" t="s">
        <v>184</v>
      </c>
      <c r="IB14" s="1" t="s">
        <v>184</v>
      </c>
      <c r="IC14" s="1" t="s">
        <v>184</v>
      </c>
      <c r="ID14" s="1" t="s">
        <v>184</v>
      </c>
      <c r="IE14" s="1" t="s">
        <v>184</v>
      </c>
      <c r="IF14" s="1" t="s">
        <v>184</v>
      </c>
      <c r="IG14" s="1" t="s">
        <v>184</v>
      </c>
      <c r="IH14" s="1" t="s">
        <v>184</v>
      </c>
      <c r="II14" s="1" t="s">
        <v>184</v>
      </c>
      <c r="IJ14" s="1" t="s">
        <v>184</v>
      </c>
      <c r="IK14" s="1" t="s">
        <v>184</v>
      </c>
      <c r="IL14" s="1" t="s">
        <v>184</v>
      </c>
      <c r="IM14" s="1" t="s">
        <v>184</v>
      </c>
      <c r="IN14" s="1" t="s">
        <v>184</v>
      </c>
      <c r="IO14" s="1" t="s">
        <v>184</v>
      </c>
      <c r="IP14" s="1" t="s">
        <v>184</v>
      </c>
      <c r="IQ14" s="1" t="s">
        <v>184</v>
      </c>
      <c r="IR14" s="1" t="s">
        <v>184</v>
      </c>
      <c r="IS14" s="1" t="s">
        <v>184</v>
      </c>
      <c r="IT14" s="1" t="s">
        <v>184</v>
      </c>
      <c r="IU14" s="1" t="s">
        <v>184</v>
      </c>
      <c r="IV14" s="1" t="s">
        <v>184</v>
      </c>
      <c r="IW14" s="1" t="s">
        <v>184</v>
      </c>
      <c r="IX14" s="1" t="s">
        <v>184</v>
      </c>
      <c r="IY14" s="1" t="s">
        <v>184</v>
      </c>
      <c r="IZ14" s="1" t="s">
        <v>184</v>
      </c>
      <c r="JA14" s="1" t="s">
        <v>184</v>
      </c>
      <c r="JB14" s="1" t="s">
        <v>437</v>
      </c>
      <c r="JC14" s="1" t="s">
        <v>437</v>
      </c>
      <c r="JD14" s="1" t="s">
        <v>437</v>
      </c>
      <c r="JE14" s="1" t="s">
        <v>437</v>
      </c>
      <c r="JF14" s="1" t="s">
        <v>437</v>
      </c>
      <c r="JG14" s="1" t="s">
        <v>437</v>
      </c>
      <c r="JH14" s="1" t="s">
        <v>437</v>
      </c>
      <c r="JI14" s="1" t="s">
        <v>437</v>
      </c>
      <c r="JJ14" s="1" t="s">
        <v>437</v>
      </c>
      <c r="JK14" s="1" t="s">
        <v>437</v>
      </c>
      <c r="JL14" s="1" t="s">
        <v>437</v>
      </c>
      <c r="JM14" s="1" t="s">
        <v>190</v>
      </c>
      <c r="JN14" s="1" t="s">
        <v>190</v>
      </c>
      <c r="JO14" s="1" t="s">
        <v>190</v>
      </c>
      <c r="JP14" s="1" t="s">
        <v>190</v>
      </c>
      <c r="JQ14" s="1" t="s">
        <v>190</v>
      </c>
      <c r="JR14" s="1" t="s">
        <v>190</v>
      </c>
      <c r="JS14" s="1" t="s">
        <v>190</v>
      </c>
      <c r="JT14" s="1" t="s">
        <v>190</v>
      </c>
      <c r="JU14" s="1" t="s">
        <v>190</v>
      </c>
      <c r="JV14" s="1" t="s">
        <v>190</v>
      </c>
      <c r="JW14" s="1" t="s">
        <v>190</v>
      </c>
      <c r="JX14" s="1" t="s">
        <v>190</v>
      </c>
      <c r="JY14" s="1" t="s">
        <v>190</v>
      </c>
      <c r="JZ14" s="1" t="s">
        <v>190</v>
      </c>
      <c r="KA14" s="1" t="s">
        <v>190</v>
      </c>
      <c r="KB14" s="1" t="s">
        <v>190</v>
      </c>
      <c r="KC14" s="1" t="s">
        <v>190</v>
      </c>
      <c r="KD14" s="1" t="s">
        <v>190</v>
      </c>
      <c r="KE14" s="1" t="s">
        <v>190</v>
      </c>
      <c r="KF14" s="1" t="s">
        <v>190</v>
      </c>
      <c r="KG14" s="1" t="s">
        <v>190</v>
      </c>
      <c r="KH14" s="1" t="s">
        <v>190</v>
      </c>
      <c r="KI14" s="1" t="s">
        <v>190</v>
      </c>
      <c r="KJ14" s="1" t="s">
        <v>190</v>
      </c>
      <c r="KK14" s="1" t="s">
        <v>190</v>
      </c>
      <c r="KL14" s="1" t="s">
        <v>190</v>
      </c>
      <c r="KM14" s="1" t="s">
        <v>190</v>
      </c>
      <c r="KN14" s="1" t="s">
        <v>190</v>
      </c>
      <c r="KO14" s="1" t="s">
        <v>190</v>
      </c>
      <c r="KP14" s="1" t="s">
        <v>190</v>
      </c>
      <c r="KQ14" s="1" t="s">
        <v>190</v>
      </c>
      <c r="KR14" s="1" t="s">
        <v>190</v>
      </c>
      <c r="KS14" s="1" t="s">
        <v>190</v>
      </c>
      <c r="KT14" s="1" t="s">
        <v>190</v>
      </c>
      <c r="KU14" s="1" t="s">
        <v>190</v>
      </c>
      <c r="KV14" s="1" t="s">
        <v>190</v>
      </c>
      <c r="KW14" s="1" t="s">
        <v>190</v>
      </c>
      <c r="KX14" s="1" t="s">
        <v>190</v>
      </c>
      <c r="KY14" s="1" t="s">
        <v>190</v>
      </c>
      <c r="KZ14" s="1" t="s">
        <v>190</v>
      </c>
      <c r="LA14" s="1" t="s">
        <v>190</v>
      </c>
      <c r="LB14" s="1" t="s">
        <v>190</v>
      </c>
      <c r="LC14" s="1" t="s">
        <v>190</v>
      </c>
      <c r="LD14" s="1" t="s">
        <v>190</v>
      </c>
      <c r="LE14" s="1" t="s">
        <v>190</v>
      </c>
      <c r="LF14" s="1" t="s">
        <v>190</v>
      </c>
      <c r="LG14" s="1" t="s">
        <v>190</v>
      </c>
      <c r="LH14" s="1" t="s">
        <v>190</v>
      </c>
      <c r="LI14" s="1" t="s">
        <v>190</v>
      </c>
      <c r="LJ14" s="1" t="s">
        <v>190</v>
      </c>
      <c r="LK14" s="1" t="s">
        <v>190</v>
      </c>
      <c r="LL14" s="1" t="s">
        <v>190</v>
      </c>
      <c r="LM14" s="1" t="s">
        <v>190</v>
      </c>
      <c r="LN14" s="1" t="s">
        <v>190</v>
      </c>
      <c r="LO14" s="1" t="s">
        <v>190</v>
      </c>
      <c r="LP14" s="1" t="s">
        <v>190</v>
      </c>
      <c r="LQ14" s="1" t="s">
        <v>190</v>
      </c>
      <c r="LR14" s="1" t="s">
        <v>190</v>
      </c>
      <c r="LS14" s="1" t="s">
        <v>190</v>
      </c>
      <c r="LT14" s="1" t="s">
        <v>190</v>
      </c>
      <c r="LU14" s="1" t="s">
        <v>190</v>
      </c>
      <c r="LV14" s="1" t="s">
        <v>190</v>
      </c>
      <c r="LW14" s="1" t="s">
        <v>190</v>
      </c>
      <c r="LX14" s="1" t="s">
        <v>190</v>
      </c>
      <c r="LY14" s="1" t="s">
        <v>190</v>
      </c>
      <c r="LZ14" s="1" t="s">
        <v>190</v>
      </c>
      <c r="MA14" s="1" t="s">
        <v>190</v>
      </c>
      <c r="MB14" s="1" t="s">
        <v>190</v>
      </c>
      <c r="MC14" s="1" t="s">
        <v>190</v>
      </c>
      <c r="MD14" s="1" t="s">
        <v>190</v>
      </c>
      <c r="ME14" s="1" t="s">
        <v>190</v>
      </c>
      <c r="MF14" s="1" t="s">
        <v>190</v>
      </c>
      <c r="MG14" s="1" t="s">
        <v>190</v>
      </c>
      <c r="MH14" s="1" t="s">
        <v>190</v>
      </c>
      <c r="MI14" s="1" t="s">
        <v>190</v>
      </c>
      <c r="MJ14" s="1" t="s">
        <v>190</v>
      </c>
      <c r="MK14" s="1" t="s">
        <v>190</v>
      </c>
      <c r="ML14" s="1" t="s">
        <v>190</v>
      </c>
      <c r="MM14" s="1" t="s">
        <v>190</v>
      </c>
      <c r="MN14" s="1" t="s">
        <v>525</v>
      </c>
      <c r="MO14" s="1" t="s">
        <v>525</v>
      </c>
      <c r="MP14" s="1" t="s">
        <v>525</v>
      </c>
      <c r="MQ14" s="1" t="s">
        <v>525</v>
      </c>
      <c r="MR14" s="1" t="s">
        <v>525</v>
      </c>
      <c r="MS14" s="1" t="s">
        <v>525</v>
      </c>
      <c r="MT14" s="1" t="s">
        <v>525</v>
      </c>
      <c r="MU14" s="1" t="s">
        <v>525</v>
      </c>
      <c r="MV14" s="1" t="s">
        <v>525</v>
      </c>
      <c r="MW14" s="1" t="s">
        <v>525</v>
      </c>
      <c r="MX14" s="1" t="s">
        <v>525</v>
      </c>
      <c r="MY14" s="1" t="s">
        <v>525</v>
      </c>
      <c r="MZ14" s="1" t="s">
        <v>541</v>
      </c>
      <c r="NA14" s="1" t="s">
        <v>541</v>
      </c>
      <c r="NB14" s="1" t="s">
        <v>541</v>
      </c>
      <c r="NC14" s="1" t="s">
        <v>541</v>
      </c>
      <c r="ND14" s="1" t="s">
        <v>541</v>
      </c>
      <c r="NE14" s="1" t="s">
        <v>541</v>
      </c>
      <c r="NF14" s="1" t="s">
        <v>541</v>
      </c>
      <c r="NG14" s="1" t="s">
        <v>541</v>
      </c>
      <c r="NH14" s="1" t="s">
        <v>541</v>
      </c>
      <c r="NI14" s="1" t="s">
        <v>541</v>
      </c>
      <c r="NJ14" s="1" t="s">
        <v>541</v>
      </c>
      <c r="NK14" s="1" t="s">
        <v>541</v>
      </c>
      <c r="NL14" s="1" t="s">
        <v>541</v>
      </c>
      <c r="NM14" s="1" t="s">
        <v>541</v>
      </c>
      <c r="NN14" s="1" t="s">
        <v>541</v>
      </c>
      <c r="NO14" s="1" t="s">
        <v>541</v>
      </c>
      <c r="NP14" s="1" t="s">
        <v>541</v>
      </c>
      <c r="NQ14" s="1" t="s">
        <v>541</v>
      </c>
      <c r="NR14" s="1" t="s">
        <v>541</v>
      </c>
      <c r="NS14" s="1" t="s">
        <v>541</v>
      </c>
      <c r="NT14" s="1" t="s">
        <v>558</v>
      </c>
      <c r="NU14" s="1" t="s">
        <v>558</v>
      </c>
      <c r="NV14" s="1" t="s">
        <v>558</v>
      </c>
      <c r="NW14" s="1" t="s">
        <v>558</v>
      </c>
      <c r="NX14" s="1" t="s">
        <v>558</v>
      </c>
      <c r="NY14" s="1" t="s">
        <v>558</v>
      </c>
      <c r="NZ14" s="1" t="s">
        <v>558</v>
      </c>
      <c r="OA14" s="1" t="s">
        <v>558</v>
      </c>
      <c r="OB14" s="1" t="s">
        <v>558</v>
      </c>
      <c r="OC14" s="1" t="s">
        <v>558</v>
      </c>
      <c r="OD14" s="1" t="s">
        <v>558</v>
      </c>
      <c r="OE14" s="1" t="s">
        <v>558</v>
      </c>
      <c r="OF14" s="1" t="s">
        <v>567</v>
      </c>
      <c r="OG14" s="1" t="s">
        <v>567</v>
      </c>
      <c r="OH14" s="1" t="s">
        <v>567</v>
      </c>
      <c r="OI14" s="1" t="s">
        <v>567</v>
      </c>
      <c r="OJ14" s="1" t="s">
        <v>567</v>
      </c>
      <c r="OK14" s="1" t="s">
        <v>576</v>
      </c>
      <c r="OL14" s="1" t="s">
        <v>576</v>
      </c>
      <c r="OM14" s="1" t="s">
        <v>576</v>
      </c>
      <c r="ON14" s="1" t="s">
        <v>576</v>
      </c>
      <c r="OO14" s="1" t="s">
        <v>576</v>
      </c>
      <c r="OP14" s="1" t="s">
        <v>576</v>
      </c>
      <c r="OQ14" s="1" t="s">
        <v>576</v>
      </c>
      <c r="OR14" s="1" t="s">
        <v>576</v>
      </c>
      <c r="OS14" s="1" t="s">
        <v>576</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265</v>
      </c>
      <c r="B15" s="5" t="s">
        <v>257</v>
      </c>
      <c r="C15" s="5" t="s">
        <v>584</v>
      </c>
      <c r="D15" s="5">
        <v>-1</v>
      </c>
      <c r="E15" s="5">
        <v>1</v>
      </c>
      <c r="G15" s="5" t="s">
        <v>585</v>
      </c>
      <c r="H15" s="5">
        <v>10</v>
      </c>
      <c r="I15" s="5">
        <v>11</v>
      </c>
      <c r="K15" s="5">
        <v>10</v>
      </c>
      <c r="L15" s="5" t="s">
        <v>585</v>
      </c>
      <c r="M15" s="5" t="s">
        <v>148</v>
      </c>
      <c r="O15" s="5">
        <v>10</v>
      </c>
      <c r="P15" s="5" t="s">
        <v>586</v>
      </c>
      <c r="Q15" s="5">
        <v>31</v>
      </c>
      <c r="R15" s="7">
        <v>46296</v>
      </c>
      <c r="S15" s="7">
        <v>46326</v>
      </c>
    </row>
    <row r="16" spans="1:1022" ht="18.899999999999999" customHeight="1" x14ac:dyDescent="0.45">
      <c r="A16" s="5" t="s">
        <v>440</v>
      </c>
      <c r="B16" s="5" t="s">
        <v>437</v>
      </c>
      <c r="C16" s="5" t="s">
        <v>587</v>
      </c>
      <c r="D16" s="5">
        <v>1</v>
      </c>
      <c r="E16" s="5">
        <v>-1</v>
      </c>
      <c r="G16" s="5" t="s">
        <v>588</v>
      </c>
      <c r="H16" s="5">
        <v>10</v>
      </c>
      <c r="I16" s="5">
        <v>12</v>
      </c>
      <c r="K16" s="5">
        <v>11</v>
      </c>
      <c r="L16" s="5" t="s">
        <v>589</v>
      </c>
      <c r="M16" s="5" t="s">
        <v>148</v>
      </c>
      <c r="O16" s="5">
        <v>11</v>
      </c>
      <c r="P16" s="5" t="s">
        <v>590</v>
      </c>
      <c r="Q16" s="5">
        <v>30</v>
      </c>
      <c r="R16" s="7">
        <v>46327</v>
      </c>
      <c r="S16" s="7">
        <v>46356</v>
      </c>
      <c r="U16" s="40" t="s">
        <v>591</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383</v>
      </c>
      <c r="B17" s="5" t="s">
        <v>377</v>
      </c>
      <c r="C17" s="5" t="s">
        <v>592</v>
      </c>
      <c r="D17" s="5">
        <v>1</v>
      </c>
      <c r="E17" s="5">
        <v>1</v>
      </c>
      <c r="G17" s="5" t="s">
        <v>589</v>
      </c>
      <c r="H17" s="5">
        <v>10</v>
      </c>
      <c r="I17" s="5">
        <v>13</v>
      </c>
      <c r="K17" s="5">
        <v>12</v>
      </c>
      <c r="L17" s="5" t="s">
        <v>189</v>
      </c>
      <c r="M17" s="5" t="s">
        <v>148</v>
      </c>
      <c r="O17" s="5">
        <v>12</v>
      </c>
      <c r="P17" s="5" t="s">
        <v>593</v>
      </c>
      <c r="Q17" s="5">
        <v>31</v>
      </c>
      <c r="R17" s="7">
        <v>46357</v>
      </c>
      <c r="S17" s="7">
        <v>46387</v>
      </c>
      <c r="U17" s="40" t="s">
        <v>594</v>
      </c>
      <c r="V17" s="1" t="s">
        <v>595</v>
      </c>
      <c r="W17" s="1" t="s">
        <v>596</v>
      </c>
      <c r="X17" s="1" t="s">
        <v>597</v>
      </c>
      <c r="Y17" s="1" t="s">
        <v>598</v>
      </c>
      <c r="Z17" s="1" t="s">
        <v>599</v>
      </c>
      <c r="AA17" s="1" t="s">
        <v>600</v>
      </c>
      <c r="AB17" s="1" t="s">
        <v>601</v>
      </c>
      <c r="AC17" s="1" t="s">
        <v>602</v>
      </c>
      <c r="AD17" s="1" t="s">
        <v>603</v>
      </c>
      <c r="AE17" s="1" t="s">
        <v>604</v>
      </c>
      <c r="AF17" s="1" t="s">
        <v>605</v>
      </c>
      <c r="AG17" s="1" t="s">
        <v>606</v>
      </c>
      <c r="AH17" s="1" t="s">
        <v>607</v>
      </c>
      <c r="AI17" s="1" t="s">
        <v>608</v>
      </c>
      <c r="AJ17" s="1" t="s">
        <v>609</v>
      </c>
      <c r="AK17" s="1" t="s">
        <v>610</v>
      </c>
      <c r="AL17" s="1" t="s">
        <v>611</v>
      </c>
      <c r="AM17" s="1" t="s">
        <v>612</v>
      </c>
      <c r="AN17" s="1" t="s">
        <v>613</v>
      </c>
      <c r="AO17" s="1" t="s">
        <v>614</v>
      </c>
      <c r="AP17" s="1" t="s">
        <v>615</v>
      </c>
      <c r="AQ17" s="1" t="s">
        <v>616</v>
      </c>
      <c r="AR17" s="1" t="s">
        <v>617</v>
      </c>
      <c r="AS17" s="1" t="s">
        <v>618</v>
      </c>
      <c r="AT17" s="1" t="s">
        <v>619</v>
      </c>
      <c r="AU17" s="1" t="s">
        <v>620</v>
      </c>
      <c r="AV17" s="1" t="s">
        <v>621</v>
      </c>
      <c r="AW17" s="1" t="s">
        <v>622</v>
      </c>
      <c r="AX17" s="1" t="s">
        <v>623</v>
      </c>
      <c r="AY17" s="1" t="s">
        <v>624</v>
      </c>
      <c r="AZ17" s="1" t="s">
        <v>625</v>
      </c>
      <c r="BA17" s="1" t="s">
        <v>626</v>
      </c>
      <c r="BB17" s="1" t="s">
        <v>627</v>
      </c>
      <c r="BC17" s="1" t="s">
        <v>628</v>
      </c>
      <c r="BD17" s="1" t="s">
        <v>629</v>
      </c>
      <c r="BE17" s="1" t="s">
        <v>630</v>
      </c>
      <c r="BF17" s="1" t="s">
        <v>631</v>
      </c>
      <c r="BG17" s="1" t="s">
        <v>632</v>
      </c>
      <c r="BH17" s="1" t="s">
        <v>633</v>
      </c>
      <c r="BI17" s="1" t="s">
        <v>634</v>
      </c>
      <c r="BJ17" s="1" t="s">
        <v>635</v>
      </c>
      <c r="BK17" s="1" t="s">
        <v>636</v>
      </c>
      <c r="BL17" s="1" t="s">
        <v>637</v>
      </c>
      <c r="BM17" s="1" t="s">
        <v>638</v>
      </c>
      <c r="BN17" s="1" t="s">
        <v>639</v>
      </c>
      <c r="BO17" s="1" t="s">
        <v>640</v>
      </c>
      <c r="BP17" s="1" t="s">
        <v>641</v>
      </c>
      <c r="BQ17" s="1" t="s">
        <v>642</v>
      </c>
      <c r="BR17" s="1" t="s">
        <v>643</v>
      </c>
      <c r="BS17" s="1" t="s">
        <v>644</v>
      </c>
      <c r="BT17" s="1" t="s">
        <v>645</v>
      </c>
      <c r="BU17" s="1" t="s">
        <v>646</v>
      </c>
      <c r="BV17" s="1" t="s">
        <v>647</v>
      </c>
      <c r="BW17" s="1" t="s">
        <v>648</v>
      </c>
      <c r="BX17" s="1" t="s">
        <v>649</v>
      </c>
      <c r="BY17" s="1" t="s">
        <v>650</v>
      </c>
      <c r="BZ17" s="1" t="s">
        <v>651</v>
      </c>
      <c r="CA17" s="1" t="s">
        <v>652</v>
      </c>
      <c r="CB17" s="1" t="s">
        <v>653</v>
      </c>
      <c r="CC17" s="1" t="s">
        <v>654</v>
      </c>
      <c r="CD17" s="1" t="s">
        <v>655</v>
      </c>
      <c r="CE17" s="1" t="s">
        <v>656</v>
      </c>
      <c r="CF17" s="1" t="s">
        <v>657</v>
      </c>
      <c r="CG17" s="1" t="s">
        <v>658</v>
      </c>
      <c r="CH17" s="1" t="s">
        <v>659</v>
      </c>
      <c r="CI17" s="1" t="s">
        <v>660</v>
      </c>
      <c r="CJ17" s="1" t="s">
        <v>661</v>
      </c>
      <c r="CK17" s="1" t="s">
        <v>662</v>
      </c>
      <c r="CL17" s="1" t="s">
        <v>663</v>
      </c>
      <c r="CM17" s="1" t="s">
        <v>664</v>
      </c>
      <c r="CN17" s="1" t="s">
        <v>665</v>
      </c>
      <c r="CO17" s="1" t="s">
        <v>666</v>
      </c>
      <c r="CP17" s="1" t="s">
        <v>667</v>
      </c>
      <c r="CQ17" s="1" t="s">
        <v>668</v>
      </c>
      <c r="CR17" s="1" t="s">
        <v>669</v>
      </c>
      <c r="CS17" s="1" t="s">
        <v>670</v>
      </c>
      <c r="CT17" s="1" t="s">
        <v>671</v>
      </c>
      <c r="CU17" s="1" t="s">
        <v>672</v>
      </c>
      <c r="CV17" s="1" t="s">
        <v>673</v>
      </c>
      <c r="CW17" s="1" t="s">
        <v>674</v>
      </c>
      <c r="CX17" s="1" t="s">
        <v>675</v>
      </c>
      <c r="CY17" s="1" t="s">
        <v>676</v>
      </c>
      <c r="CZ17" s="1" t="s">
        <v>677</v>
      </c>
      <c r="DA17" s="1" t="s">
        <v>678</v>
      </c>
      <c r="DB17" s="1" t="s">
        <v>679</v>
      </c>
      <c r="DC17" s="1" t="s">
        <v>680</v>
      </c>
      <c r="DD17" s="1" t="s">
        <v>681</v>
      </c>
      <c r="DE17" s="1" t="s">
        <v>682</v>
      </c>
      <c r="DF17" s="1" t="s">
        <v>683</v>
      </c>
      <c r="DG17" s="1" t="s">
        <v>684</v>
      </c>
      <c r="DH17" s="1" t="s">
        <v>685</v>
      </c>
      <c r="DI17" s="1" t="s">
        <v>686</v>
      </c>
      <c r="DJ17" s="1" t="s">
        <v>687</v>
      </c>
      <c r="DK17" s="1" t="s">
        <v>688</v>
      </c>
      <c r="DL17" s="1" t="s">
        <v>689</v>
      </c>
      <c r="DM17" s="1" t="s">
        <v>690</v>
      </c>
      <c r="DN17" s="1" t="s">
        <v>691</v>
      </c>
      <c r="DO17" s="1" t="s">
        <v>692</v>
      </c>
      <c r="DP17" s="1" t="s">
        <v>693</v>
      </c>
      <c r="DQ17" s="1" t="s">
        <v>694</v>
      </c>
      <c r="DR17" s="1" t="s">
        <v>695</v>
      </c>
      <c r="DS17" s="1" t="s">
        <v>696</v>
      </c>
      <c r="DT17" s="1" t="s">
        <v>697</v>
      </c>
      <c r="DU17" s="1" t="s">
        <v>698</v>
      </c>
      <c r="DV17" s="1" t="s">
        <v>699</v>
      </c>
      <c r="DW17" s="1" t="s">
        <v>700</v>
      </c>
      <c r="DX17" s="1" t="s">
        <v>701</v>
      </c>
      <c r="DY17" s="1" t="s">
        <v>702</v>
      </c>
      <c r="DZ17" s="1" t="s">
        <v>703</v>
      </c>
      <c r="EA17" s="1" t="s">
        <v>704</v>
      </c>
      <c r="EB17" s="1" t="s">
        <v>705</v>
      </c>
      <c r="EC17" s="1" t="s">
        <v>706</v>
      </c>
      <c r="ED17" s="1" t="s">
        <v>707</v>
      </c>
      <c r="EE17" s="1" t="s">
        <v>708</v>
      </c>
      <c r="EF17" s="1" t="s">
        <v>709</v>
      </c>
      <c r="EG17" s="1" t="s">
        <v>710</v>
      </c>
      <c r="EH17" s="1" t="s">
        <v>711</v>
      </c>
      <c r="EI17" s="1" t="s">
        <v>712</v>
      </c>
      <c r="EJ17" s="1" t="s">
        <v>713</v>
      </c>
      <c r="EK17" s="1" t="s">
        <v>714</v>
      </c>
      <c r="EL17" s="1" t="s">
        <v>715</v>
      </c>
      <c r="EM17" s="1" t="s">
        <v>716</v>
      </c>
      <c r="EN17" s="1" t="s">
        <v>717</v>
      </c>
      <c r="EO17" s="1" t="s">
        <v>718</v>
      </c>
      <c r="EP17" s="1" t="s">
        <v>719</v>
      </c>
      <c r="EQ17" s="1" t="s">
        <v>720</v>
      </c>
      <c r="ER17" s="1" t="s">
        <v>721</v>
      </c>
      <c r="ES17" s="1" t="s">
        <v>722</v>
      </c>
      <c r="ET17" s="1" t="s">
        <v>723</v>
      </c>
      <c r="EU17" s="1" t="s">
        <v>724</v>
      </c>
      <c r="EV17" s="1" t="s">
        <v>725</v>
      </c>
      <c r="EW17" s="1" t="s">
        <v>726</v>
      </c>
      <c r="EX17" s="1" t="s">
        <v>727</v>
      </c>
      <c r="EY17" s="1" t="s">
        <v>728</v>
      </c>
      <c r="EZ17" s="1" t="s">
        <v>729</v>
      </c>
      <c r="FA17" s="1" t="s">
        <v>730</v>
      </c>
      <c r="FB17" s="1" t="s">
        <v>731</v>
      </c>
      <c r="FC17" s="1" t="s">
        <v>732</v>
      </c>
      <c r="FD17" s="1" t="s">
        <v>733</v>
      </c>
      <c r="FE17" s="1" t="s">
        <v>734</v>
      </c>
      <c r="FF17" s="1" t="s">
        <v>735</v>
      </c>
      <c r="FG17" s="1" t="s">
        <v>736</v>
      </c>
      <c r="FH17" s="1" t="s">
        <v>737</v>
      </c>
      <c r="FI17" s="1" t="s">
        <v>738</v>
      </c>
      <c r="FJ17" s="1" t="s">
        <v>739</v>
      </c>
      <c r="FK17" s="1" t="s">
        <v>740</v>
      </c>
      <c r="FL17" s="1" t="s">
        <v>741</v>
      </c>
      <c r="FM17" s="1" t="s">
        <v>742</v>
      </c>
      <c r="FN17" s="1" t="s">
        <v>743</v>
      </c>
      <c r="FO17" s="1" t="s">
        <v>744</v>
      </c>
      <c r="FP17" s="1" t="s">
        <v>745</v>
      </c>
      <c r="FQ17" s="1" t="s">
        <v>746</v>
      </c>
      <c r="FR17" s="1" t="s">
        <v>747</v>
      </c>
      <c r="FS17" s="1" t="s">
        <v>748</v>
      </c>
      <c r="FT17" s="1" t="s">
        <v>749</v>
      </c>
      <c r="FU17" s="1" t="s">
        <v>750</v>
      </c>
      <c r="FV17" s="1" t="s">
        <v>751</v>
      </c>
      <c r="FW17" s="1" t="s">
        <v>752</v>
      </c>
      <c r="FX17" s="1" t="s">
        <v>753</v>
      </c>
      <c r="FY17" s="1" t="s">
        <v>754</v>
      </c>
      <c r="FZ17" s="1" t="s">
        <v>755</v>
      </c>
      <c r="GA17" s="1" t="s">
        <v>756</v>
      </c>
      <c r="GB17" s="1" t="s">
        <v>757</v>
      </c>
      <c r="GC17" s="1" t="s">
        <v>758</v>
      </c>
      <c r="GD17" s="1" t="s">
        <v>759</v>
      </c>
      <c r="GE17" s="1" t="s">
        <v>760</v>
      </c>
      <c r="GF17" s="1" t="s">
        <v>761</v>
      </c>
      <c r="GG17" s="1" t="s">
        <v>762</v>
      </c>
      <c r="GH17" s="1" t="s">
        <v>763</v>
      </c>
      <c r="GI17" s="1" t="s">
        <v>764</v>
      </c>
      <c r="GJ17" s="1" t="s">
        <v>765</v>
      </c>
      <c r="GK17" s="1" t="s">
        <v>766</v>
      </c>
      <c r="GL17" s="1" t="s">
        <v>767</v>
      </c>
      <c r="GM17" s="1" t="s">
        <v>768</v>
      </c>
      <c r="GN17" s="1" t="s">
        <v>769</v>
      </c>
      <c r="GO17" s="1" t="s">
        <v>770</v>
      </c>
      <c r="GP17" s="1" t="s">
        <v>771</v>
      </c>
      <c r="GQ17" s="1" t="s">
        <v>772</v>
      </c>
      <c r="GR17" s="1" t="s">
        <v>773</v>
      </c>
      <c r="GS17" s="1" t="s">
        <v>774</v>
      </c>
      <c r="GT17" s="1" t="s">
        <v>775</v>
      </c>
      <c r="GU17" s="1" t="s">
        <v>776</v>
      </c>
      <c r="GV17" s="1" t="s">
        <v>777</v>
      </c>
      <c r="GW17" s="1" t="s">
        <v>778</v>
      </c>
      <c r="GX17" s="1" t="s">
        <v>779</v>
      </c>
      <c r="GY17" s="1" t="s">
        <v>780</v>
      </c>
      <c r="GZ17" s="1" t="s">
        <v>781</v>
      </c>
      <c r="HA17" s="1" t="s">
        <v>782</v>
      </c>
      <c r="HB17" s="1" t="s">
        <v>783</v>
      </c>
      <c r="HC17" s="1" t="s">
        <v>784</v>
      </c>
      <c r="HD17" s="1" t="s">
        <v>785</v>
      </c>
      <c r="HE17" s="1" t="s">
        <v>786</v>
      </c>
      <c r="HF17" s="1" t="s">
        <v>787</v>
      </c>
      <c r="HG17" s="1" t="s">
        <v>788</v>
      </c>
      <c r="HH17" s="1" t="s">
        <v>789</v>
      </c>
      <c r="HI17" s="1" t="s">
        <v>790</v>
      </c>
      <c r="HJ17" s="1" t="s">
        <v>791</v>
      </c>
      <c r="HK17" s="1" t="s">
        <v>792</v>
      </c>
      <c r="HL17" s="1" t="s">
        <v>793</v>
      </c>
      <c r="HM17" s="1" t="s">
        <v>794</v>
      </c>
      <c r="HN17" s="1" t="s">
        <v>795</v>
      </c>
      <c r="HO17" s="1" t="s">
        <v>796</v>
      </c>
      <c r="HP17" s="1" t="s">
        <v>797</v>
      </c>
      <c r="HQ17" s="1" t="s">
        <v>798</v>
      </c>
      <c r="HR17" s="1" t="s">
        <v>799</v>
      </c>
      <c r="HS17" s="1" t="s">
        <v>800</v>
      </c>
      <c r="HT17" s="1" t="s">
        <v>801</v>
      </c>
      <c r="HU17" s="1" t="s">
        <v>802</v>
      </c>
      <c r="HV17" s="1" t="s">
        <v>803</v>
      </c>
      <c r="HW17" s="1" t="s">
        <v>804</v>
      </c>
      <c r="HX17" s="1" t="s">
        <v>805</v>
      </c>
      <c r="HY17" s="1" t="s">
        <v>806</v>
      </c>
      <c r="HZ17" s="1" t="s">
        <v>807</v>
      </c>
      <c r="IA17" s="1" t="s">
        <v>808</v>
      </c>
      <c r="IB17" s="1" t="s">
        <v>809</v>
      </c>
      <c r="IC17" s="1" t="s">
        <v>810</v>
      </c>
      <c r="ID17" s="1" t="s">
        <v>811</v>
      </c>
      <c r="IE17" s="1" t="s">
        <v>812</v>
      </c>
      <c r="IF17" s="1" t="s">
        <v>813</v>
      </c>
      <c r="IG17" s="1" t="s">
        <v>814</v>
      </c>
      <c r="IH17" s="1" t="s">
        <v>815</v>
      </c>
      <c r="II17" s="1" t="s">
        <v>816</v>
      </c>
      <c r="IJ17" s="1" t="s">
        <v>817</v>
      </c>
      <c r="IK17" s="1" t="s">
        <v>818</v>
      </c>
      <c r="IL17" s="1" t="s">
        <v>819</v>
      </c>
      <c r="IM17" s="1" t="s">
        <v>820</v>
      </c>
      <c r="IN17" s="1" t="s">
        <v>821</v>
      </c>
      <c r="IO17" s="1" t="s">
        <v>822</v>
      </c>
      <c r="IP17" s="1" t="s">
        <v>823</v>
      </c>
      <c r="IQ17" s="1" t="s">
        <v>824</v>
      </c>
      <c r="IR17" s="1" t="s">
        <v>825</v>
      </c>
      <c r="IS17" s="1" t="s">
        <v>826</v>
      </c>
      <c r="IT17" s="1" t="s">
        <v>827</v>
      </c>
      <c r="IU17" s="1" t="s">
        <v>828</v>
      </c>
      <c r="IV17" s="1" t="s">
        <v>829</v>
      </c>
      <c r="IW17" s="1" t="s">
        <v>830</v>
      </c>
      <c r="IX17" s="1" t="s">
        <v>831</v>
      </c>
      <c r="IY17" s="1" t="s">
        <v>832</v>
      </c>
      <c r="IZ17" s="1" t="s">
        <v>833</v>
      </c>
      <c r="JA17" s="1" t="s">
        <v>834</v>
      </c>
      <c r="JB17" s="1" t="s">
        <v>835</v>
      </c>
      <c r="JC17" s="1" t="s">
        <v>836</v>
      </c>
      <c r="JD17" s="1" t="s">
        <v>837</v>
      </c>
      <c r="JE17" s="1" t="s">
        <v>838</v>
      </c>
      <c r="JF17" s="1" t="s">
        <v>839</v>
      </c>
      <c r="JG17" s="1" t="s">
        <v>840</v>
      </c>
      <c r="JH17" s="1" t="s">
        <v>841</v>
      </c>
      <c r="JI17" s="1" t="s">
        <v>842</v>
      </c>
      <c r="JJ17" s="1" t="s">
        <v>843</v>
      </c>
      <c r="JK17" s="1" t="s">
        <v>844</v>
      </c>
      <c r="JL17" s="1" t="s">
        <v>845</v>
      </c>
      <c r="JM17" s="1" t="s">
        <v>846</v>
      </c>
      <c r="JN17" s="1" t="s">
        <v>847</v>
      </c>
      <c r="JO17" s="1" t="s">
        <v>848</v>
      </c>
      <c r="JP17" s="1" t="s">
        <v>849</v>
      </c>
      <c r="JQ17" s="1" t="s">
        <v>850</v>
      </c>
      <c r="JR17" s="1" t="s">
        <v>851</v>
      </c>
      <c r="JS17" s="1" t="s">
        <v>852</v>
      </c>
      <c r="JT17" s="1" t="s">
        <v>853</v>
      </c>
      <c r="JU17" s="1" t="s">
        <v>854</v>
      </c>
      <c r="JV17" s="1" t="s">
        <v>855</v>
      </c>
      <c r="JW17" s="1" t="s">
        <v>856</v>
      </c>
      <c r="JX17" s="1" t="s">
        <v>857</v>
      </c>
      <c r="JY17" s="1" t="s">
        <v>858</v>
      </c>
      <c r="JZ17" s="1" t="s">
        <v>859</v>
      </c>
      <c r="KA17" s="1" t="s">
        <v>860</v>
      </c>
      <c r="KB17" s="1" t="s">
        <v>861</v>
      </c>
      <c r="KC17" s="1" t="s">
        <v>862</v>
      </c>
      <c r="KD17" s="1" t="s">
        <v>863</v>
      </c>
      <c r="KE17" s="1" t="s">
        <v>864</v>
      </c>
      <c r="KF17" s="1" t="s">
        <v>865</v>
      </c>
      <c r="KG17" s="1" t="s">
        <v>866</v>
      </c>
      <c r="KH17" s="1" t="s">
        <v>867</v>
      </c>
      <c r="KI17" s="1" t="s">
        <v>868</v>
      </c>
      <c r="KJ17" s="1" t="s">
        <v>869</v>
      </c>
      <c r="KK17" s="1" t="s">
        <v>870</v>
      </c>
      <c r="KL17" s="1" t="s">
        <v>871</v>
      </c>
      <c r="KM17" s="1" t="s">
        <v>872</v>
      </c>
      <c r="KN17" s="1" t="s">
        <v>873</v>
      </c>
      <c r="KO17" s="1" t="s">
        <v>874</v>
      </c>
      <c r="KP17" s="1" t="s">
        <v>875</v>
      </c>
      <c r="KQ17" s="1" t="s">
        <v>876</v>
      </c>
      <c r="KR17" s="1" t="s">
        <v>877</v>
      </c>
      <c r="KS17" s="1" t="s">
        <v>878</v>
      </c>
      <c r="KT17" s="1" t="s">
        <v>879</v>
      </c>
      <c r="KU17" s="1" t="s">
        <v>880</v>
      </c>
      <c r="KV17" s="1" t="s">
        <v>881</v>
      </c>
      <c r="KW17" s="1" t="s">
        <v>882</v>
      </c>
      <c r="KX17" s="1" t="s">
        <v>883</v>
      </c>
      <c r="KY17" s="1" t="s">
        <v>884</v>
      </c>
      <c r="KZ17" s="1" t="s">
        <v>885</v>
      </c>
      <c r="LA17" s="1" t="s">
        <v>886</v>
      </c>
      <c r="LB17" s="1" t="s">
        <v>887</v>
      </c>
      <c r="LC17" s="1" t="s">
        <v>888</v>
      </c>
      <c r="LD17" s="1" t="s">
        <v>889</v>
      </c>
      <c r="LE17" s="1" t="s">
        <v>890</v>
      </c>
      <c r="LF17" s="1" t="s">
        <v>891</v>
      </c>
      <c r="LG17" s="1" t="s">
        <v>892</v>
      </c>
      <c r="LH17" s="1" t="s">
        <v>893</v>
      </c>
      <c r="LI17" s="1" t="s">
        <v>894</v>
      </c>
      <c r="LJ17" s="1" t="s">
        <v>895</v>
      </c>
      <c r="LK17" s="1" t="s">
        <v>896</v>
      </c>
      <c r="LL17" s="1" t="s">
        <v>897</v>
      </c>
      <c r="LM17" s="1" t="s">
        <v>898</v>
      </c>
      <c r="LN17" s="1" t="s">
        <v>899</v>
      </c>
      <c r="LO17" s="1" t="s">
        <v>900</v>
      </c>
      <c r="LP17" s="1" t="s">
        <v>901</v>
      </c>
      <c r="LQ17" s="1" t="s">
        <v>902</v>
      </c>
      <c r="LR17" s="1" t="s">
        <v>903</v>
      </c>
      <c r="LS17" s="1" t="s">
        <v>904</v>
      </c>
      <c r="LT17" s="1" t="s">
        <v>905</v>
      </c>
      <c r="LU17" s="1" t="s">
        <v>906</v>
      </c>
      <c r="LV17" s="1" t="s">
        <v>907</v>
      </c>
      <c r="LW17" s="1" t="s">
        <v>908</v>
      </c>
      <c r="LX17" s="1" t="s">
        <v>909</v>
      </c>
      <c r="LY17" s="1" t="s">
        <v>910</v>
      </c>
      <c r="LZ17" s="1" t="s">
        <v>911</v>
      </c>
      <c r="MA17" s="1" t="s">
        <v>912</v>
      </c>
      <c r="MB17" s="1" t="s">
        <v>913</v>
      </c>
      <c r="MC17" s="1" t="s">
        <v>914</v>
      </c>
      <c r="MD17" s="1" t="s">
        <v>915</v>
      </c>
      <c r="ME17" s="1" t="s">
        <v>916</v>
      </c>
      <c r="MF17" s="1" t="s">
        <v>917</v>
      </c>
      <c r="MG17" s="1" t="s">
        <v>918</v>
      </c>
      <c r="MH17" s="1" t="s">
        <v>919</v>
      </c>
      <c r="MI17" s="1" t="s">
        <v>920</v>
      </c>
      <c r="MJ17" s="1" t="s">
        <v>921</v>
      </c>
      <c r="MK17" s="1" t="s">
        <v>922</v>
      </c>
      <c r="ML17" s="1" t="s">
        <v>923</v>
      </c>
      <c r="MM17" s="1" t="s">
        <v>924</v>
      </c>
      <c r="MN17" s="1" t="s">
        <v>925</v>
      </c>
      <c r="MO17" s="1" t="s">
        <v>926</v>
      </c>
      <c r="MP17" s="1" t="s">
        <v>927</v>
      </c>
      <c r="MQ17" s="1" t="s">
        <v>928</v>
      </c>
      <c r="MR17" s="1" t="s">
        <v>929</v>
      </c>
      <c r="MS17" s="1" t="s">
        <v>930</v>
      </c>
      <c r="MT17" s="1" t="s">
        <v>931</v>
      </c>
      <c r="MU17" s="1" t="s">
        <v>932</v>
      </c>
      <c r="MV17" s="1" t="s">
        <v>933</v>
      </c>
      <c r="MW17" s="1" t="s">
        <v>934</v>
      </c>
      <c r="MX17" s="1" t="s">
        <v>935</v>
      </c>
      <c r="MY17" s="1" t="s">
        <v>936</v>
      </c>
      <c r="MZ17" s="1" t="s">
        <v>937</v>
      </c>
      <c r="NA17" s="1" t="s">
        <v>938</v>
      </c>
      <c r="NB17" s="1" t="s">
        <v>939</v>
      </c>
      <c r="NC17" s="1" t="s">
        <v>940</v>
      </c>
      <c r="ND17" s="1" t="s">
        <v>941</v>
      </c>
      <c r="NE17" s="1" t="s">
        <v>942</v>
      </c>
      <c r="NF17" s="1" t="s">
        <v>943</v>
      </c>
      <c r="NG17" s="1" t="s">
        <v>944</v>
      </c>
      <c r="NH17" s="1" t="s">
        <v>945</v>
      </c>
      <c r="NI17" s="1" t="s">
        <v>946</v>
      </c>
      <c r="NJ17" s="1" t="s">
        <v>947</v>
      </c>
      <c r="NK17" s="1" t="s">
        <v>948</v>
      </c>
      <c r="NL17" s="1" t="s">
        <v>949</v>
      </c>
      <c r="NM17" s="1" t="s">
        <v>950</v>
      </c>
      <c r="NN17" s="1" t="s">
        <v>951</v>
      </c>
      <c r="NO17" s="1" t="s">
        <v>952</v>
      </c>
      <c r="NP17" s="1" t="s">
        <v>953</v>
      </c>
      <c r="NQ17" s="1" t="s">
        <v>954</v>
      </c>
      <c r="NR17" s="1" t="s">
        <v>955</v>
      </c>
      <c r="NS17" s="1" t="s">
        <v>956</v>
      </c>
      <c r="NT17" s="1" t="s">
        <v>957</v>
      </c>
      <c r="NU17" s="1" t="s">
        <v>958</v>
      </c>
      <c r="NV17" s="1" t="s">
        <v>959</v>
      </c>
      <c r="NW17" s="1" t="s">
        <v>960</v>
      </c>
      <c r="NX17" s="1" t="s">
        <v>961</v>
      </c>
      <c r="NY17" s="1" t="s">
        <v>962</v>
      </c>
      <c r="NZ17" s="1" t="s">
        <v>963</v>
      </c>
      <c r="OA17" s="1" t="s">
        <v>964</v>
      </c>
      <c r="OB17" s="1" t="s">
        <v>965</v>
      </c>
      <c r="OC17" s="1" t="s">
        <v>966</v>
      </c>
      <c r="OD17" s="1" t="s">
        <v>967</v>
      </c>
      <c r="OE17" s="1" t="s">
        <v>968</v>
      </c>
      <c r="OF17" s="1" t="s">
        <v>969</v>
      </c>
      <c r="OG17" s="1" t="s">
        <v>970</v>
      </c>
      <c r="OH17" s="1" t="s">
        <v>971</v>
      </c>
      <c r="OI17" s="1" t="s">
        <v>972</v>
      </c>
      <c r="OJ17" s="1" t="s">
        <v>973</v>
      </c>
      <c r="OK17" s="1" t="s">
        <v>974</v>
      </c>
      <c r="OL17" s="1" t="s">
        <v>975</v>
      </c>
      <c r="OM17" s="1" t="s">
        <v>976</v>
      </c>
      <c r="ON17" s="1" t="s">
        <v>977</v>
      </c>
      <c r="OO17" s="1" t="s">
        <v>978</v>
      </c>
      <c r="OP17" s="1" t="s">
        <v>979</v>
      </c>
      <c r="OQ17" s="1" t="s">
        <v>980</v>
      </c>
      <c r="OR17" s="1" t="s">
        <v>981</v>
      </c>
      <c r="OS17" s="1" t="s">
        <v>982</v>
      </c>
      <c r="OT17" s="1" t="s">
        <v>983</v>
      </c>
      <c r="OU17" s="1" t="s">
        <v>984</v>
      </c>
      <c r="OV17" s="1" t="s">
        <v>985</v>
      </c>
      <c r="OW17" s="1" t="s">
        <v>986</v>
      </c>
      <c r="OX17" s="1" t="s">
        <v>987</v>
      </c>
      <c r="OY17" s="1" t="s">
        <v>988</v>
      </c>
      <c r="OZ17" s="1" t="s">
        <v>989</v>
      </c>
      <c r="PA17" s="1" t="s">
        <v>990</v>
      </c>
      <c r="PB17" s="1" t="s">
        <v>991</v>
      </c>
      <c r="PC17" s="1" t="s">
        <v>992</v>
      </c>
      <c r="PD17" s="1" t="s">
        <v>993</v>
      </c>
      <c r="PE17" s="1" t="s">
        <v>994</v>
      </c>
      <c r="PF17" s="1" t="s">
        <v>995</v>
      </c>
      <c r="PG17" s="1" t="s">
        <v>996</v>
      </c>
      <c r="PH17" s="1" t="s">
        <v>997</v>
      </c>
      <c r="PI17" s="1" t="s">
        <v>998</v>
      </c>
      <c r="PJ17" s="1" t="s">
        <v>999</v>
      </c>
      <c r="PK17" s="1" t="s">
        <v>1000</v>
      </c>
      <c r="PL17" s="1" t="s">
        <v>1001</v>
      </c>
      <c r="PM17" s="1" t="s">
        <v>1002</v>
      </c>
      <c r="PN17" s="1" t="s">
        <v>1003</v>
      </c>
      <c r="PO17" s="1" t="s">
        <v>1004</v>
      </c>
      <c r="PP17" s="1" t="s">
        <v>1005</v>
      </c>
      <c r="PQ17" s="1" t="s">
        <v>1006</v>
      </c>
      <c r="PR17" s="1" t="s">
        <v>1007</v>
      </c>
      <c r="PS17" s="1" t="s">
        <v>1008</v>
      </c>
      <c r="PT17" s="1" t="s">
        <v>1009</v>
      </c>
      <c r="PU17" s="1" t="s">
        <v>1010</v>
      </c>
      <c r="PV17" s="1" t="s">
        <v>1011</v>
      </c>
      <c r="PW17" s="1" t="s">
        <v>1012</v>
      </c>
      <c r="PX17" s="1" t="s">
        <v>1013</v>
      </c>
      <c r="PY17" s="1" t="s">
        <v>1014</v>
      </c>
      <c r="PZ17" s="1" t="s">
        <v>1015</v>
      </c>
      <c r="QA17" s="1" t="s">
        <v>1016</v>
      </c>
      <c r="QB17" s="1" t="s">
        <v>1017</v>
      </c>
      <c r="QC17" s="1" t="s">
        <v>1018</v>
      </c>
      <c r="QD17" s="1" t="s">
        <v>1019</v>
      </c>
      <c r="QE17" s="1" t="s">
        <v>1020</v>
      </c>
      <c r="QF17" s="1" t="s">
        <v>1021</v>
      </c>
      <c r="QG17" s="1" t="s">
        <v>1022</v>
      </c>
      <c r="QH17" s="1" t="s">
        <v>1023</v>
      </c>
      <c r="QI17" s="1" t="s">
        <v>1024</v>
      </c>
      <c r="QJ17" s="1" t="s">
        <v>1025</v>
      </c>
      <c r="QK17" s="1" t="s">
        <v>1026</v>
      </c>
      <c r="QL17" s="1" t="s">
        <v>1027</v>
      </c>
      <c r="QM17" s="1" t="s">
        <v>1028</v>
      </c>
      <c r="QN17" s="1" t="s">
        <v>1029</v>
      </c>
      <c r="QO17" s="1" t="s">
        <v>1030</v>
      </c>
      <c r="QP17" s="1" t="s">
        <v>1031</v>
      </c>
      <c r="QQ17" s="1" t="s">
        <v>1032</v>
      </c>
      <c r="QR17" s="1" t="s">
        <v>1033</v>
      </c>
      <c r="QS17" s="1" t="s">
        <v>1034</v>
      </c>
      <c r="QT17" s="1" t="s">
        <v>1035</v>
      </c>
      <c r="QU17" s="1" t="s">
        <v>1036</v>
      </c>
      <c r="QV17" s="1" t="s">
        <v>1037</v>
      </c>
      <c r="QW17" s="1" t="s">
        <v>1038</v>
      </c>
      <c r="QX17" s="1" t="s">
        <v>1039</v>
      </c>
      <c r="QY17" s="1" t="s">
        <v>1040</v>
      </c>
      <c r="QZ17" s="1" t="s">
        <v>1041</v>
      </c>
      <c r="RA17" s="1" t="s">
        <v>1042</v>
      </c>
      <c r="RB17" s="1" t="s">
        <v>1043</v>
      </c>
      <c r="RC17" s="1" t="s">
        <v>1044</v>
      </c>
      <c r="RD17" s="1" t="s">
        <v>1045</v>
      </c>
      <c r="RE17" s="1" t="s">
        <v>1046</v>
      </c>
      <c r="RF17" s="1" t="s">
        <v>1047</v>
      </c>
      <c r="RG17" s="1" t="s">
        <v>1048</v>
      </c>
      <c r="RH17" s="1" t="s">
        <v>1049</v>
      </c>
      <c r="RI17" s="1" t="s">
        <v>1050</v>
      </c>
      <c r="RJ17" s="1" t="s">
        <v>1051</v>
      </c>
      <c r="RK17" s="1" t="s">
        <v>1052</v>
      </c>
      <c r="RL17" s="1" t="s">
        <v>1053</v>
      </c>
      <c r="RM17" s="1" t="s">
        <v>1054</v>
      </c>
      <c r="RN17" s="1" t="s">
        <v>1055</v>
      </c>
      <c r="RO17" s="1" t="s">
        <v>1056</v>
      </c>
      <c r="RP17" s="1" t="s">
        <v>1057</v>
      </c>
      <c r="RQ17" s="1" t="s">
        <v>1058</v>
      </c>
      <c r="RR17" s="1" t="s">
        <v>1059</v>
      </c>
      <c r="RS17" s="1" t="s">
        <v>1060</v>
      </c>
      <c r="RT17" s="1" t="s">
        <v>1061</v>
      </c>
      <c r="RU17" s="1" t="s">
        <v>1062</v>
      </c>
      <c r="RV17" s="1" t="s">
        <v>1063</v>
      </c>
      <c r="RW17" s="1" t="s">
        <v>1064</v>
      </c>
      <c r="RX17" s="1" t="s">
        <v>1065</v>
      </c>
      <c r="RY17" s="1" t="s">
        <v>1066</v>
      </c>
      <c r="RZ17" s="1" t="s">
        <v>1067</v>
      </c>
      <c r="SA17" s="1" t="s">
        <v>1068</v>
      </c>
      <c r="SB17" s="1" t="s">
        <v>1069</v>
      </c>
      <c r="SC17" s="1" t="s">
        <v>1070</v>
      </c>
      <c r="SD17" s="1" t="s">
        <v>1071</v>
      </c>
      <c r="SE17" s="1" t="s">
        <v>1072</v>
      </c>
      <c r="SF17" s="1" t="s">
        <v>1073</v>
      </c>
      <c r="SG17" s="1" t="s">
        <v>1074</v>
      </c>
      <c r="SH17" s="1" t="s">
        <v>1075</v>
      </c>
      <c r="SI17" s="1" t="s">
        <v>1076</v>
      </c>
      <c r="SJ17" s="1" t="s">
        <v>1077</v>
      </c>
      <c r="SK17" s="1" t="s">
        <v>1078</v>
      </c>
      <c r="SL17" s="1" t="s">
        <v>1079</v>
      </c>
      <c r="SM17" s="1" t="s">
        <v>1080</v>
      </c>
      <c r="SN17" s="1" t="s">
        <v>1081</v>
      </c>
      <c r="SO17" s="1" t="s">
        <v>1082</v>
      </c>
      <c r="SP17" s="1" t="s">
        <v>1083</v>
      </c>
      <c r="SQ17" s="1" t="s">
        <v>1084</v>
      </c>
      <c r="SR17" s="1" t="s">
        <v>1085</v>
      </c>
      <c r="SS17" s="1" t="s">
        <v>1086</v>
      </c>
      <c r="ST17" s="1" t="s">
        <v>1087</v>
      </c>
      <c r="SU17" s="1" t="s">
        <v>1088</v>
      </c>
      <c r="SV17" s="1" t="s">
        <v>1089</v>
      </c>
      <c r="SW17" s="1" t="s">
        <v>1090</v>
      </c>
      <c r="SX17" s="1" t="s">
        <v>1091</v>
      </c>
      <c r="SY17" s="1" t="s">
        <v>1092</v>
      </c>
      <c r="SZ17" s="1" t="s">
        <v>1093</v>
      </c>
      <c r="TA17" s="1" t="s">
        <v>1094</v>
      </c>
      <c r="TB17" s="1" t="s">
        <v>1095</v>
      </c>
      <c r="TC17" s="1" t="s">
        <v>1096</v>
      </c>
      <c r="TD17" s="1" t="s">
        <v>1097</v>
      </c>
      <c r="TE17" s="1" t="s">
        <v>1098</v>
      </c>
      <c r="TF17" s="1" t="s">
        <v>1099</v>
      </c>
      <c r="TG17" s="1" t="s">
        <v>1100</v>
      </c>
      <c r="TH17" s="1" t="s">
        <v>1101</v>
      </c>
      <c r="TI17" s="1" t="s">
        <v>1102</v>
      </c>
      <c r="TJ17" s="1" t="s">
        <v>1103</v>
      </c>
      <c r="TK17" s="1" t="s">
        <v>1104</v>
      </c>
      <c r="TL17" s="1" t="s">
        <v>1105</v>
      </c>
      <c r="TM17" s="1" t="s">
        <v>1106</v>
      </c>
      <c r="TN17" s="1" t="s">
        <v>1107</v>
      </c>
      <c r="TO17" s="1" t="s">
        <v>1108</v>
      </c>
      <c r="TP17" s="1" t="s">
        <v>1109</v>
      </c>
      <c r="TQ17" s="1" t="s">
        <v>1110</v>
      </c>
      <c r="TR17" s="1" t="s">
        <v>1111</v>
      </c>
      <c r="TS17" s="1" t="s">
        <v>1112</v>
      </c>
      <c r="TT17" s="1" t="s">
        <v>1113</v>
      </c>
      <c r="TU17" s="1" t="s">
        <v>1114</v>
      </c>
      <c r="TV17" s="1" t="s">
        <v>1115</v>
      </c>
      <c r="TW17" s="1" t="s">
        <v>1116</v>
      </c>
      <c r="TX17" s="1" t="s">
        <v>1117</v>
      </c>
      <c r="TY17" s="1" t="s">
        <v>1118</v>
      </c>
      <c r="TZ17" s="1" t="s">
        <v>1119</v>
      </c>
      <c r="UA17" s="1" t="s">
        <v>1120</v>
      </c>
      <c r="UB17" s="1" t="s">
        <v>1121</v>
      </c>
      <c r="UC17" s="1" t="s">
        <v>1122</v>
      </c>
      <c r="UD17" s="1" t="s">
        <v>1123</v>
      </c>
      <c r="UE17" s="1" t="s">
        <v>1124</v>
      </c>
      <c r="UF17" s="1" t="s">
        <v>1125</v>
      </c>
      <c r="UG17" s="1" t="s">
        <v>1126</v>
      </c>
      <c r="UH17" s="1" t="s">
        <v>1127</v>
      </c>
      <c r="UI17" s="1" t="s">
        <v>1128</v>
      </c>
      <c r="UJ17" s="1" t="s">
        <v>1129</v>
      </c>
      <c r="UK17" s="1" t="s">
        <v>1130</v>
      </c>
      <c r="UL17" s="1" t="s">
        <v>1131</v>
      </c>
      <c r="UM17" s="1" t="s">
        <v>1132</v>
      </c>
      <c r="UN17" s="1" t="s">
        <v>1133</v>
      </c>
      <c r="UO17" s="1" t="s">
        <v>1134</v>
      </c>
      <c r="UP17" s="1" t="s">
        <v>1135</v>
      </c>
      <c r="UQ17" s="1" t="s">
        <v>1136</v>
      </c>
      <c r="UR17" s="1" t="s">
        <v>1137</v>
      </c>
      <c r="US17" s="1" t="s">
        <v>1138</v>
      </c>
      <c r="UT17" s="1" t="s">
        <v>1139</v>
      </c>
      <c r="UU17" s="1" t="s">
        <v>1140</v>
      </c>
      <c r="UV17" s="1" t="s">
        <v>1141</v>
      </c>
      <c r="UW17" s="1" t="s">
        <v>1142</v>
      </c>
      <c r="UX17" s="1" t="s">
        <v>1143</v>
      </c>
      <c r="UY17" s="1" t="s">
        <v>1144</v>
      </c>
      <c r="UZ17" s="1" t="s">
        <v>1145</v>
      </c>
      <c r="VA17" s="1" t="s">
        <v>1146</v>
      </c>
      <c r="VB17" s="1" t="s">
        <v>1147</v>
      </c>
      <c r="VC17" s="1" t="s">
        <v>1148</v>
      </c>
      <c r="VD17" s="1" t="s">
        <v>1149</v>
      </c>
      <c r="VE17" s="1" t="s">
        <v>1150</v>
      </c>
      <c r="VF17" s="1" t="s">
        <v>1151</v>
      </c>
      <c r="VG17" s="1" t="s">
        <v>1152</v>
      </c>
      <c r="VH17" s="1" t="s">
        <v>1153</v>
      </c>
      <c r="VI17" s="1" t="s">
        <v>1154</v>
      </c>
      <c r="VJ17" s="1" t="s">
        <v>1155</v>
      </c>
      <c r="VK17" s="1" t="s">
        <v>1156</v>
      </c>
      <c r="VL17" s="1" t="s">
        <v>1157</v>
      </c>
      <c r="VM17" s="1" t="s">
        <v>1158</v>
      </c>
      <c r="VN17" s="1" t="s">
        <v>1159</v>
      </c>
      <c r="VO17" s="1" t="s">
        <v>1160</v>
      </c>
      <c r="VP17" s="1" t="s">
        <v>1161</v>
      </c>
      <c r="VQ17" s="1" t="s">
        <v>1162</v>
      </c>
      <c r="VR17" s="1" t="s">
        <v>1163</v>
      </c>
      <c r="VS17" s="1" t="s">
        <v>1164</v>
      </c>
      <c r="VT17" s="1" t="s">
        <v>1165</v>
      </c>
      <c r="VU17" s="1" t="s">
        <v>1166</v>
      </c>
      <c r="VV17" s="1" t="s">
        <v>1167</v>
      </c>
      <c r="VW17" s="1" t="s">
        <v>1168</v>
      </c>
      <c r="VX17" s="1" t="s">
        <v>1169</v>
      </c>
      <c r="VY17" s="1" t="s">
        <v>1170</v>
      </c>
      <c r="VZ17" s="1" t="s">
        <v>1171</v>
      </c>
      <c r="WA17" s="1" t="s">
        <v>1172</v>
      </c>
      <c r="WB17" s="1" t="s">
        <v>1173</v>
      </c>
      <c r="WC17" s="1" t="s">
        <v>1174</v>
      </c>
      <c r="WD17" s="1" t="s">
        <v>1175</v>
      </c>
      <c r="WE17" s="1" t="s">
        <v>1176</v>
      </c>
      <c r="WF17" s="1" t="s">
        <v>1177</v>
      </c>
      <c r="WG17" s="1" t="s">
        <v>1178</v>
      </c>
      <c r="WH17" s="1" t="s">
        <v>1179</v>
      </c>
      <c r="WI17" s="1" t="s">
        <v>1180</v>
      </c>
      <c r="WJ17" s="1" t="s">
        <v>1181</v>
      </c>
      <c r="WK17" s="1" t="s">
        <v>1182</v>
      </c>
      <c r="WL17" s="1" t="s">
        <v>1183</v>
      </c>
      <c r="WM17" s="1" t="s">
        <v>1184</v>
      </c>
      <c r="WN17" s="1" t="s">
        <v>1185</v>
      </c>
      <c r="WO17" s="1" t="s">
        <v>1186</v>
      </c>
      <c r="WP17" s="1" t="s">
        <v>1187</v>
      </c>
      <c r="WQ17" s="1" t="s">
        <v>1188</v>
      </c>
      <c r="WR17" s="1" t="s">
        <v>1189</v>
      </c>
      <c r="WS17" s="1" t="s">
        <v>1190</v>
      </c>
      <c r="WT17" s="1" t="s">
        <v>1191</v>
      </c>
      <c r="WU17" s="1" t="s">
        <v>1192</v>
      </c>
      <c r="WV17" s="1" t="s">
        <v>1193</v>
      </c>
      <c r="WW17" s="1" t="s">
        <v>1194</v>
      </c>
      <c r="WX17" s="1" t="s">
        <v>1195</v>
      </c>
      <c r="WY17" s="1" t="s">
        <v>1196</v>
      </c>
      <c r="WZ17" s="1" t="s">
        <v>1197</v>
      </c>
      <c r="XA17" s="1" t="s">
        <v>1198</v>
      </c>
      <c r="XB17" s="1" t="s">
        <v>1199</v>
      </c>
      <c r="XC17" s="1" t="s">
        <v>1200</v>
      </c>
      <c r="XD17" s="1" t="s">
        <v>1201</v>
      </c>
      <c r="XE17" s="1" t="s">
        <v>1202</v>
      </c>
      <c r="XF17" s="1" t="s">
        <v>1203</v>
      </c>
      <c r="XG17" s="1" t="s">
        <v>1204</v>
      </c>
      <c r="XH17" s="1" t="s">
        <v>1205</v>
      </c>
      <c r="XI17" s="1" t="s">
        <v>1206</v>
      </c>
      <c r="XJ17" s="1" t="s">
        <v>1207</v>
      </c>
      <c r="XK17" s="1" t="s">
        <v>1208</v>
      </c>
      <c r="XL17" s="1" t="s">
        <v>1209</v>
      </c>
      <c r="XM17" s="1" t="s">
        <v>1210</v>
      </c>
      <c r="XN17" s="1" t="s">
        <v>1211</v>
      </c>
      <c r="XO17" s="1" t="s">
        <v>1212</v>
      </c>
      <c r="XP17" s="1" t="s">
        <v>1213</v>
      </c>
      <c r="XQ17" s="1" t="s">
        <v>1214</v>
      </c>
      <c r="XR17" s="1" t="s">
        <v>1215</v>
      </c>
      <c r="XS17" s="1" t="s">
        <v>1216</v>
      </c>
      <c r="XT17" s="1" t="s">
        <v>1217</v>
      </c>
      <c r="XU17" s="1" t="s">
        <v>1218</v>
      </c>
      <c r="XV17" s="1" t="s">
        <v>1219</v>
      </c>
      <c r="XW17" s="1" t="s">
        <v>1220</v>
      </c>
      <c r="XX17" s="1" t="s">
        <v>1221</v>
      </c>
      <c r="XY17" s="1" t="s">
        <v>1222</v>
      </c>
      <c r="XZ17" s="1" t="s">
        <v>1223</v>
      </c>
      <c r="YA17" s="1" t="s">
        <v>1224</v>
      </c>
      <c r="YB17" s="1" t="s">
        <v>1225</v>
      </c>
      <c r="YC17" s="1" t="s">
        <v>1226</v>
      </c>
      <c r="YD17" s="1" t="s">
        <v>1227</v>
      </c>
      <c r="YE17" s="1" t="s">
        <v>1228</v>
      </c>
      <c r="YF17" s="1" t="s">
        <v>1229</v>
      </c>
      <c r="YG17" s="1" t="s">
        <v>1230</v>
      </c>
      <c r="YH17" s="1" t="s">
        <v>1231</v>
      </c>
      <c r="YI17" s="1" t="s">
        <v>1232</v>
      </c>
      <c r="YJ17" s="1" t="s">
        <v>1233</v>
      </c>
      <c r="YK17" s="1" t="s">
        <v>1234</v>
      </c>
      <c r="YL17" s="1" t="s">
        <v>1235</v>
      </c>
      <c r="YM17" s="1" t="s">
        <v>1236</v>
      </c>
      <c r="YN17" s="1" t="s">
        <v>1237</v>
      </c>
      <c r="YO17" s="1" t="s">
        <v>1238</v>
      </c>
      <c r="YP17" s="1" t="s">
        <v>1239</v>
      </c>
      <c r="YQ17" s="1" t="s">
        <v>1240</v>
      </c>
      <c r="YR17" s="1" t="s">
        <v>1241</v>
      </c>
      <c r="YS17" s="1" t="s">
        <v>1242</v>
      </c>
      <c r="YT17" s="1" t="s">
        <v>1243</v>
      </c>
      <c r="YU17" s="1" t="s">
        <v>1244</v>
      </c>
      <c r="YV17" s="1" t="s">
        <v>1245</v>
      </c>
      <c r="YW17" s="1" t="s">
        <v>1246</v>
      </c>
      <c r="YX17" s="1" t="s">
        <v>1247</v>
      </c>
      <c r="YY17" s="1" t="s">
        <v>1248</v>
      </c>
      <c r="YZ17" s="1" t="s">
        <v>1249</v>
      </c>
      <c r="ZA17" s="1" t="s">
        <v>1250</v>
      </c>
      <c r="ZB17" s="1" t="s">
        <v>1251</v>
      </c>
      <c r="ZC17" s="1" t="s">
        <v>1252</v>
      </c>
      <c r="ZD17" s="1" t="s">
        <v>1253</v>
      </c>
      <c r="ZE17" s="1" t="s">
        <v>1254</v>
      </c>
      <c r="ZF17" s="1" t="s">
        <v>1255</v>
      </c>
      <c r="ZG17" s="1" t="s">
        <v>1256</v>
      </c>
      <c r="ZH17" s="1" t="s">
        <v>1257</v>
      </c>
      <c r="ZI17" s="1" t="s">
        <v>1258</v>
      </c>
      <c r="ZJ17" s="1" t="s">
        <v>1259</v>
      </c>
      <c r="ZK17" s="1" t="s">
        <v>1260</v>
      </c>
      <c r="ZL17" s="1" t="s">
        <v>1261</v>
      </c>
      <c r="ZM17" s="1" t="s">
        <v>1262</v>
      </c>
      <c r="ZN17" s="1" t="s">
        <v>1263</v>
      </c>
      <c r="ZO17" s="1" t="s">
        <v>1264</v>
      </c>
      <c r="ZP17" s="1" t="s">
        <v>1265</v>
      </c>
      <c r="ZQ17" s="1" t="s">
        <v>1266</v>
      </c>
      <c r="ZR17" s="1" t="s">
        <v>1267</v>
      </c>
      <c r="ZS17" s="1" t="s">
        <v>1268</v>
      </c>
      <c r="ZT17" s="1" t="s">
        <v>1269</v>
      </c>
      <c r="ZU17" s="1" t="s">
        <v>1270</v>
      </c>
      <c r="ZV17" s="1" t="s">
        <v>1271</v>
      </c>
      <c r="ZW17" s="1" t="s">
        <v>1272</v>
      </c>
      <c r="ZX17" s="1" t="s">
        <v>1273</v>
      </c>
      <c r="ZY17" s="1" t="s">
        <v>1274</v>
      </c>
      <c r="ZZ17" s="1" t="s">
        <v>1275</v>
      </c>
      <c r="AAA17" s="1" t="s">
        <v>1276</v>
      </c>
      <c r="AAB17" s="1" t="s">
        <v>1277</v>
      </c>
      <c r="AAC17" s="1" t="s">
        <v>1278</v>
      </c>
      <c r="AAD17" s="1" t="s">
        <v>1279</v>
      </c>
      <c r="AAE17" s="1" t="s">
        <v>1280</v>
      </c>
      <c r="AAF17" s="1" t="s">
        <v>1281</v>
      </c>
      <c r="AAG17" s="1" t="s">
        <v>1282</v>
      </c>
      <c r="AAH17" s="1" t="s">
        <v>1283</v>
      </c>
      <c r="AAI17" s="1" t="s">
        <v>1284</v>
      </c>
      <c r="AAJ17" s="1" t="s">
        <v>1285</v>
      </c>
      <c r="AAK17" s="1" t="s">
        <v>1286</v>
      </c>
      <c r="AAL17" s="1" t="s">
        <v>1287</v>
      </c>
      <c r="AAM17" s="1" t="s">
        <v>1288</v>
      </c>
      <c r="AAN17" s="1" t="s">
        <v>1289</v>
      </c>
      <c r="AAO17" s="1" t="s">
        <v>1290</v>
      </c>
      <c r="AAP17" s="1" t="s">
        <v>1291</v>
      </c>
      <c r="AAQ17" s="1" t="s">
        <v>1292</v>
      </c>
      <c r="AAR17" s="1" t="s">
        <v>1293</v>
      </c>
      <c r="AAS17" s="1" t="s">
        <v>1294</v>
      </c>
      <c r="AAT17" s="1" t="s">
        <v>1295</v>
      </c>
      <c r="AAU17" s="1" t="s">
        <v>1296</v>
      </c>
      <c r="AAV17" s="1" t="s">
        <v>1297</v>
      </c>
      <c r="AAW17" s="1" t="s">
        <v>1298</v>
      </c>
      <c r="AAX17" s="1" t="s">
        <v>1299</v>
      </c>
      <c r="AAY17" s="1" t="s">
        <v>1300</v>
      </c>
      <c r="AAZ17" s="1" t="s">
        <v>1301</v>
      </c>
      <c r="ABA17" s="1" t="s">
        <v>1302</v>
      </c>
      <c r="ABB17" s="1" t="s">
        <v>1303</v>
      </c>
      <c r="ABC17" s="1" t="s">
        <v>1304</v>
      </c>
      <c r="ABD17" s="1" t="s">
        <v>1305</v>
      </c>
      <c r="ABE17" s="1" t="s">
        <v>1306</v>
      </c>
      <c r="ABF17" s="1" t="s">
        <v>1307</v>
      </c>
      <c r="ABG17" s="1" t="s">
        <v>1308</v>
      </c>
      <c r="ABH17" s="1" t="s">
        <v>1309</v>
      </c>
      <c r="ABI17" s="1" t="s">
        <v>1310</v>
      </c>
      <c r="ABJ17" s="1" t="s">
        <v>1311</v>
      </c>
      <c r="ABK17" s="1" t="s">
        <v>1312</v>
      </c>
      <c r="ABL17" s="1" t="s">
        <v>1313</v>
      </c>
      <c r="ABM17" s="1" t="s">
        <v>1314</v>
      </c>
      <c r="ABN17" s="1" t="s">
        <v>1315</v>
      </c>
      <c r="ABO17" s="1" t="s">
        <v>1316</v>
      </c>
      <c r="ABP17" s="1" t="s">
        <v>1317</v>
      </c>
      <c r="ABQ17" s="1" t="s">
        <v>1318</v>
      </c>
      <c r="ABR17" s="1" t="s">
        <v>1319</v>
      </c>
      <c r="ABS17" s="1" t="s">
        <v>1320</v>
      </c>
      <c r="ABT17" s="1" t="s">
        <v>1321</v>
      </c>
      <c r="ABU17" s="1" t="s">
        <v>1322</v>
      </c>
      <c r="ABV17" s="1" t="s">
        <v>1323</v>
      </c>
      <c r="ABW17" s="1" t="s">
        <v>1324</v>
      </c>
      <c r="ABX17" s="1" t="s">
        <v>1325</v>
      </c>
      <c r="ABY17" s="1" t="s">
        <v>1326</v>
      </c>
      <c r="ABZ17" s="1" t="s">
        <v>1327</v>
      </c>
      <c r="ACA17" s="1" t="s">
        <v>1328</v>
      </c>
      <c r="ACB17" s="1" t="s">
        <v>1329</v>
      </c>
      <c r="ACC17" s="1" t="s">
        <v>1330</v>
      </c>
      <c r="ACD17" s="1" t="s">
        <v>1331</v>
      </c>
      <c r="ACE17" s="1" t="s">
        <v>1332</v>
      </c>
      <c r="ACF17" s="1" t="s">
        <v>1333</v>
      </c>
      <c r="ACG17" s="1" t="s">
        <v>1334</v>
      </c>
      <c r="ACH17" s="1" t="s">
        <v>1335</v>
      </c>
      <c r="ACI17" s="1" t="s">
        <v>1336</v>
      </c>
      <c r="ACJ17" s="1" t="s">
        <v>1337</v>
      </c>
      <c r="ACK17" s="1" t="s">
        <v>1338</v>
      </c>
      <c r="ACL17" s="1" t="s">
        <v>1339</v>
      </c>
      <c r="ACM17" s="1" t="s">
        <v>1340</v>
      </c>
      <c r="ACN17" s="1" t="s">
        <v>1341</v>
      </c>
      <c r="ACO17" s="1" t="s">
        <v>1342</v>
      </c>
      <c r="ACP17" s="1" t="s">
        <v>1343</v>
      </c>
      <c r="ACQ17" s="1" t="s">
        <v>1344</v>
      </c>
      <c r="ACR17" s="1" t="s">
        <v>1345</v>
      </c>
      <c r="ACS17" s="1" t="s">
        <v>1346</v>
      </c>
      <c r="ACT17" s="1" t="s">
        <v>1347</v>
      </c>
      <c r="ACU17" s="1" t="s">
        <v>1348</v>
      </c>
      <c r="ACV17" s="1" t="s">
        <v>1349</v>
      </c>
      <c r="ACW17" s="1" t="s">
        <v>1350</v>
      </c>
      <c r="ACX17" s="1" t="s">
        <v>1351</v>
      </c>
      <c r="ACY17" s="1" t="s">
        <v>1352</v>
      </c>
      <c r="ACZ17" s="1" t="s">
        <v>1353</v>
      </c>
      <c r="ADA17" s="1" t="s">
        <v>1354</v>
      </c>
      <c r="ADB17" s="1" t="s">
        <v>1355</v>
      </c>
      <c r="ADC17" s="1" t="s">
        <v>1356</v>
      </c>
      <c r="ADD17" s="1" t="s">
        <v>1357</v>
      </c>
      <c r="ADE17" s="1" t="s">
        <v>1358</v>
      </c>
      <c r="ADF17" s="1" t="s">
        <v>1359</v>
      </c>
      <c r="ADG17" s="1" t="s">
        <v>1360</v>
      </c>
      <c r="ADH17" s="1" t="s">
        <v>1361</v>
      </c>
      <c r="ADI17" s="1" t="s">
        <v>1362</v>
      </c>
      <c r="ADJ17" s="1" t="s">
        <v>1363</v>
      </c>
      <c r="ADK17" s="1" t="s">
        <v>1364</v>
      </c>
      <c r="ADL17" s="1" t="s">
        <v>1365</v>
      </c>
      <c r="ADM17" s="1" t="s">
        <v>1366</v>
      </c>
      <c r="ADN17" s="1" t="s">
        <v>1367</v>
      </c>
      <c r="ADO17" s="1" t="s">
        <v>1368</v>
      </c>
      <c r="ADP17" s="1" t="s">
        <v>1369</v>
      </c>
      <c r="ADQ17" s="1" t="s">
        <v>1370</v>
      </c>
      <c r="ADR17" s="1" t="s">
        <v>1371</v>
      </c>
      <c r="ADS17" s="1" t="s">
        <v>1372</v>
      </c>
      <c r="ADT17" s="1" t="s">
        <v>1373</v>
      </c>
      <c r="ADU17" s="1" t="s">
        <v>1374</v>
      </c>
      <c r="ADV17" s="1" t="s">
        <v>1375</v>
      </c>
      <c r="ADW17" s="1" t="s">
        <v>1376</v>
      </c>
      <c r="ADX17" s="1" t="s">
        <v>1377</v>
      </c>
      <c r="ADY17" s="1" t="s">
        <v>1378</v>
      </c>
      <c r="ADZ17" s="1" t="s">
        <v>1379</v>
      </c>
      <c r="AEA17" s="1" t="s">
        <v>1380</v>
      </c>
      <c r="AEB17" s="1" t="s">
        <v>1381</v>
      </c>
      <c r="AEC17" s="1" t="s">
        <v>1382</v>
      </c>
      <c r="AED17" s="1" t="s">
        <v>1383</v>
      </c>
      <c r="AEE17" s="1" t="s">
        <v>1384</v>
      </c>
      <c r="AEF17" s="1" t="s">
        <v>1385</v>
      </c>
      <c r="AEG17" s="1" t="s">
        <v>1386</v>
      </c>
      <c r="AEH17" s="1" t="s">
        <v>1387</v>
      </c>
      <c r="AEI17" s="1" t="s">
        <v>1388</v>
      </c>
      <c r="AEJ17" s="1" t="s">
        <v>1389</v>
      </c>
      <c r="AEK17" s="1" t="s">
        <v>1390</v>
      </c>
      <c r="AEL17" s="1" t="s">
        <v>1391</v>
      </c>
      <c r="AEM17" s="1" t="s">
        <v>1392</v>
      </c>
      <c r="AEN17" s="1" t="s">
        <v>1393</v>
      </c>
      <c r="AEO17" s="1" t="s">
        <v>1394</v>
      </c>
      <c r="AEP17" s="1" t="s">
        <v>1395</v>
      </c>
      <c r="AEQ17" s="1" t="s">
        <v>1396</v>
      </c>
      <c r="AER17" s="1" t="s">
        <v>1397</v>
      </c>
      <c r="AES17" s="1" t="s">
        <v>1398</v>
      </c>
      <c r="AET17" s="1" t="s">
        <v>1399</v>
      </c>
      <c r="AEU17" s="1" t="s">
        <v>1400</v>
      </c>
      <c r="AEV17" s="1" t="s">
        <v>1401</v>
      </c>
      <c r="AEW17" s="1" t="s">
        <v>1402</v>
      </c>
      <c r="AEX17" s="1" t="s">
        <v>1403</v>
      </c>
      <c r="AEY17" s="1" t="s">
        <v>1404</v>
      </c>
      <c r="AEZ17" s="1" t="s">
        <v>1405</v>
      </c>
      <c r="AFA17" s="1" t="s">
        <v>1406</v>
      </c>
      <c r="AFB17" s="1" t="s">
        <v>1407</v>
      </c>
      <c r="AFC17" s="1" t="s">
        <v>1408</v>
      </c>
      <c r="AFD17" s="1" t="s">
        <v>1409</v>
      </c>
      <c r="AFE17" s="1" t="s">
        <v>1410</v>
      </c>
      <c r="AFF17" s="1" t="s">
        <v>1411</v>
      </c>
      <c r="AFG17" s="1" t="s">
        <v>1412</v>
      </c>
      <c r="AFH17" s="1" t="s">
        <v>1413</v>
      </c>
      <c r="AFI17" s="1" t="s">
        <v>1414</v>
      </c>
      <c r="AFJ17" s="1" t="s">
        <v>1415</v>
      </c>
      <c r="AFK17" s="1" t="s">
        <v>1416</v>
      </c>
      <c r="AFL17" s="1" t="s">
        <v>1417</v>
      </c>
      <c r="AFM17" s="1" t="s">
        <v>1418</v>
      </c>
      <c r="AFN17" s="1" t="s">
        <v>1419</v>
      </c>
      <c r="AFO17" s="1" t="s">
        <v>1420</v>
      </c>
      <c r="AFP17" s="1" t="s">
        <v>1421</v>
      </c>
      <c r="AFQ17" s="1" t="s">
        <v>1422</v>
      </c>
      <c r="AFR17" s="1" t="s">
        <v>1423</v>
      </c>
      <c r="AFS17" s="1" t="s">
        <v>1424</v>
      </c>
      <c r="AFT17" s="1" t="s">
        <v>1425</v>
      </c>
      <c r="AFU17" s="1" t="s">
        <v>1426</v>
      </c>
      <c r="AFV17" s="1" t="s">
        <v>1427</v>
      </c>
      <c r="AFW17" s="1" t="s">
        <v>1428</v>
      </c>
      <c r="AFX17" s="1" t="s">
        <v>1429</v>
      </c>
      <c r="AFY17" s="1" t="s">
        <v>1430</v>
      </c>
      <c r="AFZ17" s="1" t="s">
        <v>1431</v>
      </c>
      <c r="AGA17" s="1" t="s">
        <v>1432</v>
      </c>
      <c r="AGB17" s="1" t="s">
        <v>1433</v>
      </c>
      <c r="AGC17" s="1" t="s">
        <v>1434</v>
      </c>
      <c r="AGD17" s="1" t="s">
        <v>1435</v>
      </c>
      <c r="AGE17" s="1" t="s">
        <v>1436</v>
      </c>
      <c r="AGF17" s="1" t="s">
        <v>1437</v>
      </c>
      <c r="AGG17" s="1" t="s">
        <v>1438</v>
      </c>
      <c r="AGH17" s="1" t="s">
        <v>1439</v>
      </c>
      <c r="AGI17" s="1" t="s">
        <v>1440</v>
      </c>
      <c r="AGJ17" s="1" t="s">
        <v>1441</v>
      </c>
      <c r="AGK17" s="1" t="s">
        <v>1442</v>
      </c>
      <c r="AGL17" s="1" t="s">
        <v>1443</v>
      </c>
      <c r="AGM17" s="1" t="s">
        <v>1444</v>
      </c>
      <c r="AGN17" s="1" t="s">
        <v>1445</v>
      </c>
      <c r="AGO17" s="1" t="s">
        <v>1446</v>
      </c>
      <c r="AGP17" s="1" t="s">
        <v>1447</v>
      </c>
      <c r="AGQ17" s="1" t="s">
        <v>1448</v>
      </c>
      <c r="AGR17" s="1" t="s">
        <v>1449</v>
      </c>
      <c r="AGS17" s="1" t="s">
        <v>1450</v>
      </c>
      <c r="AGT17" s="1" t="s">
        <v>1451</v>
      </c>
      <c r="AGU17" s="1" t="s">
        <v>1452</v>
      </c>
      <c r="AGV17" s="1" t="s">
        <v>1453</v>
      </c>
      <c r="AGW17" s="1" t="s">
        <v>1454</v>
      </c>
      <c r="AGX17" s="1" t="s">
        <v>1455</v>
      </c>
      <c r="AGY17" s="1" t="s">
        <v>1456</v>
      </c>
      <c r="AGZ17" s="1" t="s">
        <v>1457</v>
      </c>
      <c r="AHA17" s="1" t="s">
        <v>1458</v>
      </c>
      <c r="AHB17" s="1" t="s">
        <v>1459</v>
      </c>
      <c r="AHC17" s="1" t="s">
        <v>1460</v>
      </c>
      <c r="AHD17" s="1" t="s">
        <v>1461</v>
      </c>
      <c r="AHE17" s="1" t="s">
        <v>1462</v>
      </c>
      <c r="AHF17" s="1" t="s">
        <v>1463</v>
      </c>
      <c r="AHG17" s="1" t="s">
        <v>1464</v>
      </c>
      <c r="AHH17" s="1" t="s">
        <v>1465</v>
      </c>
      <c r="AHI17" s="1" t="s">
        <v>1466</v>
      </c>
      <c r="AHJ17" s="1" t="s">
        <v>1467</v>
      </c>
      <c r="AHK17" s="1" t="s">
        <v>1468</v>
      </c>
      <c r="AHL17" s="1" t="s">
        <v>1469</v>
      </c>
      <c r="AHM17" s="1" t="s">
        <v>1470</v>
      </c>
      <c r="AHN17" s="1" t="s">
        <v>1471</v>
      </c>
      <c r="AHO17" s="1" t="s">
        <v>1472</v>
      </c>
      <c r="AHP17" s="1" t="s">
        <v>1473</v>
      </c>
      <c r="AHQ17" s="1" t="s">
        <v>1474</v>
      </c>
      <c r="AHR17" s="1" t="s">
        <v>1475</v>
      </c>
      <c r="AHS17" s="1" t="s">
        <v>1476</v>
      </c>
      <c r="AHT17" s="1" t="s">
        <v>1477</v>
      </c>
      <c r="AHU17" s="1" t="s">
        <v>1478</v>
      </c>
      <c r="AHV17" s="1" t="s">
        <v>1479</v>
      </c>
      <c r="AHW17" s="1" t="s">
        <v>1480</v>
      </c>
      <c r="AHX17" s="1" t="s">
        <v>1481</v>
      </c>
      <c r="AHY17" s="1" t="s">
        <v>1482</v>
      </c>
      <c r="AHZ17" s="1" t="s">
        <v>1483</v>
      </c>
      <c r="AIA17" s="1" t="s">
        <v>1484</v>
      </c>
      <c r="AIB17" s="1" t="s">
        <v>1485</v>
      </c>
      <c r="AIC17" s="1" t="s">
        <v>1486</v>
      </c>
      <c r="AID17" s="1" t="s">
        <v>1487</v>
      </c>
      <c r="AIE17" s="1" t="s">
        <v>1488</v>
      </c>
      <c r="AIF17" s="1" t="s">
        <v>1489</v>
      </c>
      <c r="AIG17" s="1" t="s">
        <v>1490</v>
      </c>
      <c r="AIH17" s="1" t="s">
        <v>1491</v>
      </c>
      <c r="AII17" s="1" t="s">
        <v>1492</v>
      </c>
      <c r="AIJ17" s="1" t="s">
        <v>1493</v>
      </c>
      <c r="AIK17" s="1" t="s">
        <v>1494</v>
      </c>
      <c r="AIL17" s="1" t="s">
        <v>1495</v>
      </c>
      <c r="AIM17" s="1" t="s">
        <v>1496</v>
      </c>
      <c r="AIN17" s="1" t="s">
        <v>1497</v>
      </c>
      <c r="AIO17" s="1" t="s">
        <v>1498</v>
      </c>
      <c r="AIP17" s="1" t="s">
        <v>1499</v>
      </c>
      <c r="AIQ17" s="1" t="s">
        <v>1500</v>
      </c>
      <c r="AIR17" s="1" t="s">
        <v>1501</v>
      </c>
      <c r="AIS17" s="1" t="s">
        <v>1502</v>
      </c>
      <c r="AIT17" s="1" t="s">
        <v>1503</v>
      </c>
      <c r="AIU17" s="1" t="s">
        <v>1504</v>
      </c>
      <c r="AIV17" s="1" t="s">
        <v>1505</v>
      </c>
      <c r="AIW17" s="1" t="s">
        <v>1506</v>
      </c>
      <c r="AIX17" s="1" t="s">
        <v>1507</v>
      </c>
      <c r="AIY17" s="1" t="s">
        <v>1508</v>
      </c>
      <c r="AIZ17" s="1" t="s">
        <v>1509</v>
      </c>
      <c r="AJA17" s="1" t="s">
        <v>1510</v>
      </c>
      <c r="AJB17" s="1" t="s">
        <v>1511</v>
      </c>
      <c r="AJC17" s="1" t="s">
        <v>1512</v>
      </c>
      <c r="AJD17" s="1" t="s">
        <v>1513</v>
      </c>
      <c r="AJE17" s="1" t="s">
        <v>1514</v>
      </c>
      <c r="AJF17" s="1" t="s">
        <v>1515</v>
      </c>
      <c r="AJG17" s="1" t="s">
        <v>1516</v>
      </c>
      <c r="AJH17" s="1" t="s">
        <v>1517</v>
      </c>
      <c r="AJI17" s="1" t="s">
        <v>1518</v>
      </c>
      <c r="AJJ17" s="1" t="s">
        <v>1519</v>
      </c>
      <c r="AJK17" s="1" t="s">
        <v>1520</v>
      </c>
      <c r="AJL17" s="1" t="s">
        <v>1521</v>
      </c>
      <c r="AJM17" s="1" t="s">
        <v>1522</v>
      </c>
      <c r="AJN17" s="1" t="s">
        <v>1523</v>
      </c>
      <c r="AJO17" s="1" t="s">
        <v>1524</v>
      </c>
      <c r="AJP17" s="1" t="s">
        <v>1525</v>
      </c>
      <c r="AJQ17" s="1" t="s">
        <v>1526</v>
      </c>
      <c r="AJR17" s="1" t="s">
        <v>1527</v>
      </c>
      <c r="AJS17" s="1" t="s">
        <v>1528</v>
      </c>
      <c r="AJT17" s="1" t="s">
        <v>1529</v>
      </c>
      <c r="AJU17" s="1" t="s">
        <v>1530</v>
      </c>
      <c r="AJV17" s="1" t="s">
        <v>1531</v>
      </c>
      <c r="AJW17" s="1" t="s">
        <v>1532</v>
      </c>
      <c r="AJX17" s="1" t="s">
        <v>1533</v>
      </c>
      <c r="AJY17" s="1" t="s">
        <v>1534</v>
      </c>
      <c r="AJZ17" s="1" t="s">
        <v>1535</v>
      </c>
      <c r="AKA17" s="1" t="s">
        <v>1536</v>
      </c>
      <c r="AKB17" s="1" t="s">
        <v>1537</v>
      </c>
      <c r="AKC17" s="1" t="s">
        <v>1538</v>
      </c>
      <c r="AKD17" s="1" t="s">
        <v>1539</v>
      </c>
      <c r="AKE17" s="1" t="s">
        <v>1540</v>
      </c>
      <c r="AKF17" s="1" t="s">
        <v>1541</v>
      </c>
      <c r="AKG17" s="1" t="s">
        <v>1542</v>
      </c>
      <c r="AKH17" s="1" t="s">
        <v>1543</v>
      </c>
      <c r="AKI17" s="1" t="s">
        <v>1544</v>
      </c>
      <c r="AKJ17" s="1" t="s">
        <v>1545</v>
      </c>
      <c r="AKK17" s="1" t="s">
        <v>1546</v>
      </c>
      <c r="AKL17" s="1" t="s">
        <v>1547</v>
      </c>
      <c r="AKM17" s="1" t="s">
        <v>1548</v>
      </c>
      <c r="AKN17" s="1" t="s">
        <v>1549</v>
      </c>
      <c r="AKO17" s="1" t="s">
        <v>1550</v>
      </c>
      <c r="AKP17" s="1" t="s">
        <v>1551</v>
      </c>
      <c r="AKQ17" s="1" t="s">
        <v>1552</v>
      </c>
      <c r="AKR17" s="1" t="s">
        <v>1553</v>
      </c>
      <c r="AKS17" s="1" t="s">
        <v>1554</v>
      </c>
      <c r="AKT17" s="1" t="s">
        <v>1555</v>
      </c>
      <c r="AKU17" s="1" t="s">
        <v>1556</v>
      </c>
      <c r="AKV17" s="1" t="s">
        <v>1557</v>
      </c>
      <c r="AKW17" s="1" t="s">
        <v>1558</v>
      </c>
      <c r="AKX17" s="1" t="s">
        <v>1559</v>
      </c>
      <c r="AKY17" s="1" t="s">
        <v>1560</v>
      </c>
      <c r="AKZ17" s="1" t="s">
        <v>1561</v>
      </c>
      <c r="ALA17" s="1" t="s">
        <v>1562</v>
      </c>
      <c r="ALB17" s="1" t="s">
        <v>1563</v>
      </c>
      <c r="ALC17" s="1" t="s">
        <v>1564</v>
      </c>
      <c r="ALD17" s="1" t="s">
        <v>1565</v>
      </c>
      <c r="ALE17" s="1" t="s">
        <v>1566</v>
      </c>
      <c r="ALF17" s="1" t="s">
        <v>1567</v>
      </c>
      <c r="ALG17" s="1" t="s">
        <v>1568</v>
      </c>
      <c r="ALH17" s="1" t="s">
        <v>1569</v>
      </c>
      <c r="ALI17" s="1" t="s">
        <v>1570</v>
      </c>
      <c r="ALJ17" s="1" t="s">
        <v>1571</v>
      </c>
      <c r="ALK17" s="1" t="s">
        <v>1572</v>
      </c>
      <c r="ALL17" s="1" t="s">
        <v>1573</v>
      </c>
      <c r="ALM17" s="1" t="s">
        <v>1574</v>
      </c>
      <c r="ALN17" s="1" t="s">
        <v>1575</v>
      </c>
      <c r="ALO17" s="1" t="s">
        <v>1576</v>
      </c>
      <c r="ALP17" s="1" t="s">
        <v>1577</v>
      </c>
      <c r="ALQ17" s="1" t="s">
        <v>1578</v>
      </c>
      <c r="ALR17" s="1" t="s">
        <v>1579</v>
      </c>
      <c r="ALS17" s="1" t="s">
        <v>1580</v>
      </c>
      <c r="ALT17" s="1" t="s">
        <v>1581</v>
      </c>
      <c r="ALU17" s="1" t="s">
        <v>1582</v>
      </c>
      <c r="ALV17" s="1" t="s">
        <v>1583</v>
      </c>
      <c r="ALW17" s="1" t="s">
        <v>1584</v>
      </c>
      <c r="ALX17" s="1" t="s">
        <v>1585</v>
      </c>
      <c r="ALY17" s="1" t="s">
        <v>1586</v>
      </c>
      <c r="ALZ17" s="1" t="s">
        <v>1587</v>
      </c>
      <c r="AMA17" s="1" t="s">
        <v>1588</v>
      </c>
      <c r="AMB17" s="1" t="s">
        <v>1589</v>
      </c>
      <c r="AMC17" s="1" t="s">
        <v>1590</v>
      </c>
      <c r="AMD17" s="1" t="s">
        <v>1591</v>
      </c>
      <c r="AME17" s="1" t="s">
        <v>1592</v>
      </c>
      <c r="AMF17" s="1" t="s">
        <v>1593</v>
      </c>
      <c r="AMG17" s="1" t="s">
        <v>1594</v>
      </c>
      <c r="AMH17" s="1" t="s">
        <v>1595</v>
      </c>
    </row>
    <row r="18" spans="1:1022" ht="18.899999999999999" customHeight="1" x14ac:dyDescent="0.45">
      <c r="F18" s="2" t="s">
        <v>1596</v>
      </c>
      <c r="G18" s="5" t="s">
        <v>140</v>
      </c>
      <c r="H18" s="5">
        <v>10</v>
      </c>
      <c r="I18" s="5">
        <v>14</v>
      </c>
      <c r="K18" s="5">
        <v>13</v>
      </c>
      <c r="L18" s="5" t="s">
        <v>1597</v>
      </c>
      <c r="M18" s="5" t="s">
        <v>148</v>
      </c>
      <c r="U18" s="40" t="s">
        <v>1598</v>
      </c>
      <c r="V18" s="1" t="s">
        <v>1599</v>
      </c>
      <c r="W18" s="1" t="s">
        <v>1600</v>
      </c>
      <c r="X18" s="1" t="s">
        <v>1601</v>
      </c>
      <c r="Y18" s="1" t="s">
        <v>1602</v>
      </c>
      <c r="Z18" s="1" t="s">
        <v>1603</v>
      </c>
      <c r="AA18" s="1" t="s">
        <v>1604</v>
      </c>
      <c r="AB18" s="1" t="s">
        <v>1605</v>
      </c>
      <c r="AC18" s="1" t="s">
        <v>1606</v>
      </c>
      <c r="AD18" s="1" t="s">
        <v>1607</v>
      </c>
      <c r="AE18" s="1" t="s">
        <v>1608</v>
      </c>
      <c r="AF18" s="1" t="s">
        <v>1609</v>
      </c>
      <c r="AG18" s="1" t="s">
        <v>1610</v>
      </c>
      <c r="AH18" s="1" t="s">
        <v>1611</v>
      </c>
      <c r="AI18" s="1" t="s">
        <v>1612</v>
      </c>
      <c r="AJ18" s="1" t="s">
        <v>1613</v>
      </c>
      <c r="AK18" s="1" t="s">
        <v>1614</v>
      </c>
      <c r="AL18" s="1" t="s">
        <v>1615</v>
      </c>
      <c r="AM18" s="1" t="s">
        <v>1616</v>
      </c>
      <c r="AN18" s="1" t="s">
        <v>1617</v>
      </c>
      <c r="AO18" s="1" t="s">
        <v>1618</v>
      </c>
      <c r="AP18" s="1" t="s">
        <v>1619</v>
      </c>
      <c r="AQ18" s="1" t="s">
        <v>1620</v>
      </c>
      <c r="AR18" s="1" t="s">
        <v>1621</v>
      </c>
      <c r="AS18" s="1" t="s">
        <v>1622</v>
      </c>
      <c r="AT18" s="1" t="s">
        <v>1623</v>
      </c>
      <c r="AU18" s="1" t="s">
        <v>1624</v>
      </c>
      <c r="AV18" s="1" t="s">
        <v>1625</v>
      </c>
      <c r="AW18" s="1" t="s">
        <v>1626</v>
      </c>
      <c r="AX18" s="1" t="s">
        <v>1627</v>
      </c>
      <c r="AY18" s="1" t="s">
        <v>1628</v>
      </c>
      <c r="AZ18" s="1" t="s">
        <v>1629</v>
      </c>
      <c r="BA18" s="1" t="s">
        <v>1630</v>
      </c>
      <c r="BB18" s="1" t="s">
        <v>1631</v>
      </c>
      <c r="BC18" s="1" t="s">
        <v>1632</v>
      </c>
      <c r="BD18" s="1" t="s">
        <v>1633</v>
      </c>
      <c r="BE18" s="1" t="s">
        <v>1634</v>
      </c>
      <c r="BF18" s="1" t="s">
        <v>1635</v>
      </c>
      <c r="BG18" s="1" t="s">
        <v>1636</v>
      </c>
      <c r="BH18" s="1" t="s">
        <v>1637</v>
      </c>
      <c r="BI18" s="1" t="s">
        <v>1638</v>
      </c>
      <c r="BJ18" s="1" t="s">
        <v>1639</v>
      </c>
      <c r="BK18" s="1" t="s">
        <v>1640</v>
      </c>
      <c r="BL18" s="1" t="s">
        <v>1641</v>
      </c>
      <c r="BM18" s="1" t="s">
        <v>1642</v>
      </c>
      <c r="BN18" s="1" t="s">
        <v>1643</v>
      </c>
      <c r="BO18" s="1" t="s">
        <v>1644</v>
      </c>
      <c r="BP18" s="1" t="s">
        <v>1645</v>
      </c>
      <c r="BQ18" s="1" t="s">
        <v>1646</v>
      </c>
      <c r="BR18" s="1" t="s">
        <v>1647</v>
      </c>
      <c r="BS18" s="1" t="s">
        <v>1648</v>
      </c>
      <c r="BT18" s="1" t="s">
        <v>1649</v>
      </c>
      <c r="BU18" s="1" t="s">
        <v>1650</v>
      </c>
      <c r="BV18" s="1" t="s">
        <v>1651</v>
      </c>
      <c r="BW18" s="1" t="s">
        <v>1652</v>
      </c>
      <c r="BX18" s="1" t="s">
        <v>1653</v>
      </c>
      <c r="BY18" s="1" t="s">
        <v>1654</v>
      </c>
      <c r="BZ18" s="1" t="s">
        <v>1655</v>
      </c>
      <c r="CA18" s="1" t="s">
        <v>1656</v>
      </c>
      <c r="CB18" s="1" t="s">
        <v>1657</v>
      </c>
      <c r="CC18" s="1" t="s">
        <v>1658</v>
      </c>
      <c r="CD18" s="1" t="s">
        <v>1659</v>
      </c>
      <c r="CE18" s="1" t="s">
        <v>1660</v>
      </c>
      <c r="CF18" s="1" t="s">
        <v>1661</v>
      </c>
      <c r="CG18" s="1" t="s">
        <v>1662</v>
      </c>
      <c r="CH18" s="1" t="s">
        <v>1663</v>
      </c>
      <c r="CI18" s="1" t="s">
        <v>1664</v>
      </c>
      <c r="CJ18" s="1" t="s">
        <v>1665</v>
      </c>
      <c r="CK18" s="1" t="s">
        <v>1666</v>
      </c>
      <c r="CL18" s="1" t="s">
        <v>1667</v>
      </c>
      <c r="CM18" s="1" t="s">
        <v>1668</v>
      </c>
      <c r="CN18" s="1" t="s">
        <v>1669</v>
      </c>
      <c r="CO18" s="1" t="s">
        <v>1670</v>
      </c>
      <c r="CP18" s="1" t="s">
        <v>1671</v>
      </c>
      <c r="CQ18" s="1" t="s">
        <v>1672</v>
      </c>
      <c r="CR18" s="1" t="s">
        <v>1673</v>
      </c>
      <c r="CS18" s="1" t="s">
        <v>1674</v>
      </c>
      <c r="CT18" s="1" t="s">
        <v>1675</v>
      </c>
      <c r="CU18" s="1" t="s">
        <v>1676</v>
      </c>
      <c r="CV18" s="1" t="s">
        <v>1677</v>
      </c>
      <c r="CW18" s="1" t="s">
        <v>1678</v>
      </c>
      <c r="CX18" s="1" t="s">
        <v>1679</v>
      </c>
      <c r="CY18" s="1" t="s">
        <v>1680</v>
      </c>
      <c r="CZ18" s="1" t="s">
        <v>1681</v>
      </c>
      <c r="DA18" s="1" t="s">
        <v>1682</v>
      </c>
      <c r="DB18" s="1" t="s">
        <v>1683</v>
      </c>
      <c r="DC18" s="1" t="s">
        <v>1684</v>
      </c>
      <c r="DD18" s="1" t="s">
        <v>1685</v>
      </c>
      <c r="DE18" s="1" t="s">
        <v>1686</v>
      </c>
      <c r="DF18" s="1" t="s">
        <v>1687</v>
      </c>
      <c r="DG18" s="1" t="s">
        <v>1688</v>
      </c>
      <c r="DH18" s="1" t="s">
        <v>1689</v>
      </c>
      <c r="DI18" s="1" t="s">
        <v>1690</v>
      </c>
      <c r="DJ18" s="1" t="s">
        <v>1691</v>
      </c>
      <c r="DK18" s="1" t="s">
        <v>1692</v>
      </c>
      <c r="DL18" s="1" t="s">
        <v>1693</v>
      </c>
      <c r="DM18" s="1" t="s">
        <v>1694</v>
      </c>
      <c r="DN18" s="1" t="s">
        <v>1695</v>
      </c>
      <c r="DO18" s="1" t="s">
        <v>1696</v>
      </c>
      <c r="DP18" s="1" t="s">
        <v>1697</v>
      </c>
      <c r="DQ18" s="1" t="s">
        <v>1698</v>
      </c>
      <c r="DR18" s="1" t="s">
        <v>1699</v>
      </c>
      <c r="DS18" s="1" t="s">
        <v>1700</v>
      </c>
      <c r="DT18" s="1" t="s">
        <v>1701</v>
      </c>
      <c r="DU18" s="1" t="s">
        <v>1702</v>
      </c>
      <c r="DV18" s="1" t="s">
        <v>1703</v>
      </c>
      <c r="DW18" s="1" t="s">
        <v>1704</v>
      </c>
      <c r="DX18" s="1" t="s">
        <v>1705</v>
      </c>
      <c r="DY18" s="1" t="s">
        <v>1706</v>
      </c>
      <c r="DZ18" s="1" t="s">
        <v>1707</v>
      </c>
      <c r="EA18" s="1" t="s">
        <v>1708</v>
      </c>
      <c r="EB18" s="1" t="s">
        <v>1709</v>
      </c>
      <c r="EC18" s="1" t="s">
        <v>1710</v>
      </c>
      <c r="ED18" s="1" t="s">
        <v>1711</v>
      </c>
      <c r="EE18" s="1" t="s">
        <v>1712</v>
      </c>
      <c r="EF18" s="1" t="s">
        <v>1713</v>
      </c>
      <c r="EG18" s="1" t="s">
        <v>1714</v>
      </c>
      <c r="EH18" s="1" t="s">
        <v>1715</v>
      </c>
      <c r="EI18" s="1" t="s">
        <v>1716</v>
      </c>
      <c r="EJ18" s="1" t="s">
        <v>1717</v>
      </c>
      <c r="EK18" s="1" t="s">
        <v>1718</v>
      </c>
      <c r="EL18" s="1" t="s">
        <v>1719</v>
      </c>
      <c r="EM18" s="1" t="s">
        <v>1720</v>
      </c>
      <c r="EN18" s="1" t="s">
        <v>1721</v>
      </c>
      <c r="EO18" s="1" t="s">
        <v>1722</v>
      </c>
      <c r="EP18" s="1" t="s">
        <v>1723</v>
      </c>
      <c r="EQ18" s="1" t="s">
        <v>1724</v>
      </c>
      <c r="ER18" s="1" t="s">
        <v>1725</v>
      </c>
      <c r="ES18" s="1" t="s">
        <v>1726</v>
      </c>
      <c r="ET18" s="1" t="s">
        <v>1727</v>
      </c>
      <c r="EU18" s="1" t="s">
        <v>1728</v>
      </c>
      <c r="EV18" s="1" t="s">
        <v>1729</v>
      </c>
      <c r="EW18" s="1" t="s">
        <v>1730</v>
      </c>
      <c r="EX18" s="1" t="s">
        <v>1731</v>
      </c>
      <c r="EY18" s="1" t="s">
        <v>1732</v>
      </c>
      <c r="EZ18" s="1" t="s">
        <v>1733</v>
      </c>
      <c r="FA18" s="1" t="s">
        <v>1734</v>
      </c>
      <c r="FB18" s="1" t="s">
        <v>1735</v>
      </c>
      <c r="FC18" s="1" t="s">
        <v>1736</v>
      </c>
      <c r="FD18" s="1" t="s">
        <v>1737</v>
      </c>
      <c r="FE18" s="1" t="s">
        <v>1738</v>
      </c>
      <c r="FF18" s="1" t="s">
        <v>1739</v>
      </c>
      <c r="FG18" s="1" t="s">
        <v>1740</v>
      </c>
      <c r="FH18" s="1" t="s">
        <v>1741</v>
      </c>
      <c r="FI18" s="1" t="s">
        <v>1742</v>
      </c>
      <c r="FJ18" s="1" t="s">
        <v>1743</v>
      </c>
      <c r="FK18" s="1" t="s">
        <v>1744</v>
      </c>
      <c r="FL18" s="1" t="s">
        <v>1745</v>
      </c>
      <c r="FM18" s="1" t="s">
        <v>1746</v>
      </c>
      <c r="FN18" s="1" t="s">
        <v>1747</v>
      </c>
      <c r="FO18" s="1" t="s">
        <v>1748</v>
      </c>
      <c r="FP18" s="1" t="s">
        <v>1749</v>
      </c>
      <c r="FQ18" s="1" t="s">
        <v>1750</v>
      </c>
      <c r="FR18" s="1" t="s">
        <v>1751</v>
      </c>
      <c r="FS18" s="1" t="s">
        <v>1752</v>
      </c>
      <c r="FT18" s="1" t="s">
        <v>1753</v>
      </c>
      <c r="FU18" s="1" t="s">
        <v>1754</v>
      </c>
      <c r="FV18" s="1" t="s">
        <v>1755</v>
      </c>
      <c r="FW18" s="1" t="s">
        <v>1756</v>
      </c>
      <c r="FX18" s="1" t="s">
        <v>1757</v>
      </c>
      <c r="FY18" s="1" t="s">
        <v>1758</v>
      </c>
      <c r="FZ18" s="1" t="s">
        <v>1759</v>
      </c>
      <c r="GA18" s="1" t="s">
        <v>1760</v>
      </c>
      <c r="GB18" s="1" t="s">
        <v>1761</v>
      </c>
      <c r="GC18" s="1" t="s">
        <v>1762</v>
      </c>
      <c r="GD18" s="1" t="s">
        <v>1763</v>
      </c>
      <c r="GE18" s="1" t="s">
        <v>1764</v>
      </c>
      <c r="GF18" s="1" t="s">
        <v>1765</v>
      </c>
      <c r="GG18" s="1" t="s">
        <v>1766</v>
      </c>
      <c r="GH18" s="1" t="s">
        <v>1767</v>
      </c>
      <c r="GI18" s="1" t="s">
        <v>1768</v>
      </c>
      <c r="GJ18" s="1" t="s">
        <v>1769</v>
      </c>
      <c r="GK18" s="1" t="s">
        <v>1770</v>
      </c>
      <c r="GL18" s="1" t="s">
        <v>1771</v>
      </c>
      <c r="GM18" s="1" t="s">
        <v>1772</v>
      </c>
      <c r="GN18" s="1" t="s">
        <v>1773</v>
      </c>
      <c r="GO18" s="1" t="s">
        <v>1774</v>
      </c>
      <c r="GP18" s="1" t="s">
        <v>1775</v>
      </c>
      <c r="GQ18" s="1" t="s">
        <v>1776</v>
      </c>
      <c r="GR18" s="1" t="s">
        <v>1777</v>
      </c>
      <c r="GS18" s="1" t="s">
        <v>1778</v>
      </c>
      <c r="GT18" s="1" t="s">
        <v>1779</v>
      </c>
      <c r="GU18" s="1" t="s">
        <v>1780</v>
      </c>
      <c r="GV18" s="1" t="s">
        <v>1781</v>
      </c>
      <c r="GW18" s="1" t="s">
        <v>1782</v>
      </c>
      <c r="GX18" s="1" t="s">
        <v>1783</v>
      </c>
      <c r="GY18" s="1" t="s">
        <v>1784</v>
      </c>
      <c r="GZ18" s="1" t="s">
        <v>1785</v>
      </c>
      <c r="HA18" s="1" t="s">
        <v>1786</v>
      </c>
      <c r="HB18" s="1" t="s">
        <v>1787</v>
      </c>
      <c r="HC18" s="1" t="s">
        <v>1788</v>
      </c>
      <c r="HD18" s="1" t="s">
        <v>1789</v>
      </c>
      <c r="HE18" s="1" t="s">
        <v>1790</v>
      </c>
      <c r="HF18" s="1" t="s">
        <v>1791</v>
      </c>
      <c r="HG18" s="1" t="s">
        <v>1792</v>
      </c>
      <c r="HH18" s="1" t="s">
        <v>1793</v>
      </c>
      <c r="HI18" s="1" t="s">
        <v>1794</v>
      </c>
      <c r="HJ18" s="1" t="s">
        <v>1795</v>
      </c>
      <c r="HK18" s="1" t="s">
        <v>1796</v>
      </c>
      <c r="HL18" s="1" t="s">
        <v>1797</v>
      </c>
      <c r="HM18" s="1" t="s">
        <v>1798</v>
      </c>
      <c r="HN18" s="1" t="s">
        <v>1799</v>
      </c>
      <c r="HO18" s="1" t="s">
        <v>1800</v>
      </c>
      <c r="HP18" s="1" t="s">
        <v>1801</v>
      </c>
      <c r="HQ18" s="1" t="s">
        <v>1802</v>
      </c>
      <c r="HR18" s="1" t="s">
        <v>1803</v>
      </c>
      <c r="HS18" s="1" t="s">
        <v>1804</v>
      </c>
      <c r="HT18" s="1" t="s">
        <v>1805</v>
      </c>
      <c r="HU18" s="1" t="s">
        <v>1806</v>
      </c>
      <c r="HV18" s="1" t="s">
        <v>1807</v>
      </c>
      <c r="HW18" s="1" t="s">
        <v>1808</v>
      </c>
      <c r="HX18" s="1" t="s">
        <v>1809</v>
      </c>
      <c r="HY18" s="1" t="s">
        <v>1810</v>
      </c>
      <c r="HZ18" s="1" t="s">
        <v>1811</v>
      </c>
      <c r="IA18" s="1" t="s">
        <v>1812</v>
      </c>
      <c r="IB18" s="1" t="s">
        <v>1813</v>
      </c>
      <c r="IC18" s="1" t="s">
        <v>1814</v>
      </c>
      <c r="ID18" s="1" t="s">
        <v>1815</v>
      </c>
      <c r="IE18" s="1" t="s">
        <v>1816</v>
      </c>
      <c r="IF18" s="1" t="s">
        <v>1817</v>
      </c>
      <c r="IG18" s="1" t="s">
        <v>1818</v>
      </c>
      <c r="IH18" s="1" t="s">
        <v>1819</v>
      </c>
      <c r="II18" s="1" t="s">
        <v>1820</v>
      </c>
      <c r="IJ18" s="1" t="s">
        <v>1821</v>
      </c>
      <c r="IK18" s="1" t="s">
        <v>1822</v>
      </c>
      <c r="IL18" s="1" t="s">
        <v>1823</v>
      </c>
      <c r="IM18" s="1" t="s">
        <v>1824</v>
      </c>
      <c r="IN18" s="1" t="s">
        <v>1825</v>
      </c>
      <c r="IO18" s="1" t="s">
        <v>1826</v>
      </c>
      <c r="IP18" s="1" t="s">
        <v>1827</v>
      </c>
      <c r="IQ18" s="1" t="s">
        <v>1828</v>
      </c>
      <c r="IR18" s="1" t="s">
        <v>1829</v>
      </c>
      <c r="IS18" s="1" t="s">
        <v>1830</v>
      </c>
      <c r="IT18" s="1" t="s">
        <v>1831</v>
      </c>
      <c r="IU18" s="1" t="s">
        <v>1832</v>
      </c>
      <c r="IV18" s="1" t="s">
        <v>1833</v>
      </c>
      <c r="IW18" s="1" t="s">
        <v>1834</v>
      </c>
      <c r="IX18" s="1" t="s">
        <v>1835</v>
      </c>
      <c r="IY18" s="1" t="s">
        <v>1836</v>
      </c>
      <c r="IZ18" s="1" t="s">
        <v>1837</v>
      </c>
      <c r="JA18" s="1" t="s">
        <v>1838</v>
      </c>
      <c r="JB18" s="1" t="s">
        <v>1839</v>
      </c>
      <c r="JC18" s="1" t="s">
        <v>1840</v>
      </c>
      <c r="JD18" s="1" t="s">
        <v>1841</v>
      </c>
      <c r="JE18" s="1" t="s">
        <v>1842</v>
      </c>
      <c r="JF18" s="1" t="s">
        <v>1843</v>
      </c>
      <c r="JG18" s="1" t="s">
        <v>1844</v>
      </c>
      <c r="JH18" s="1" t="s">
        <v>1845</v>
      </c>
      <c r="JI18" s="1" t="s">
        <v>1846</v>
      </c>
      <c r="JJ18" s="1" t="s">
        <v>1847</v>
      </c>
      <c r="JK18" s="1" t="s">
        <v>1848</v>
      </c>
      <c r="JL18" s="1" t="s">
        <v>1849</v>
      </c>
      <c r="JM18" s="1" t="s">
        <v>1850</v>
      </c>
      <c r="JN18" s="1" t="s">
        <v>1851</v>
      </c>
      <c r="JO18" s="1" t="s">
        <v>1852</v>
      </c>
      <c r="JP18" s="1" t="s">
        <v>1853</v>
      </c>
      <c r="JQ18" s="1" t="s">
        <v>1854</v>
      </c>
      <c r="JR18" s="1" t="s">
        <v>1855</v>
      </c>
      <c r="JS18" s="1" t="s">
        <v>1856</v>
      </c>
      <c r="JT18" s="1" t="s">
        <v>1857</v>
      </c>
      <c r="JU18" s="1" t="s">
        <v>1858</v>
      </c>
      <c r="JV18" s="1" t="s">
        <v>1859</v>
      </c>
      <c r="JW18" s="1" t="s">
        <v>1860</v>
      </c>
      <c r="JX18" s="1" t="s">
        <v>1861</v>
      </c>
      <c r="JY18" s="1" t="s">
        <v>1862</v>
      </c>
      <c r="JZ18" s="1" t="s">
        <v>1863</v>
      </c>
      <c r="KA18" s="1" t="s">
        <v>1864</v>
      </c>
      <c r="KB18" s="1" t="s">
        <v>1865</v>
      </c>
      <c r="KC18" s="1" t="s">
        <v>1866</v>
      </c>
      <c r="KD18" s="1" t="s">
        <v>1867</v>
      </c>
      <c r="KE18" s="1" t="s">
        <v>1868</v>
      </c>
      <c r="KF18" s="1" t="s">
        <v>1869</v>
      </c>
      <c r="KG18" s="1" t="s">
        <v>1870</v>
      </c>
      <c r="KH18" s="1" t="s">
        <v>1871</v>
      </c>
      <c r="KI18" s="1" t="s">
        <v>1872</v>
      </c>
      <c r="KJ18" s="1" t="s">
        <v>1873</v>
      </c>
      <c r="KK18" s="1" t="s">
        <v>1874</v>
      </c>
      <c r="KL18" s="1" t="s">
        <v>1875</v>
      </c>
      <c r="KM18" s="1" t="s">
        <v>1876</v>
      </c>
      <c r="KN18" s="1" t="s">
        <v>1877</v>
      </c>
      <c r="KO18" s="1" t="s">
        <v>1878</v>
      </c>
      <c r="KP18" s="1" t="s">
        <v>1879</v>
      </c>
      <c r="KQ18" s="1" t="s">
        <v>1880</v>
      </c>
      <c r="KR18" s="1" t="s">
        <v>1881</v>
      </c>
      <c r="KS18" s="1" t="s">
        <v>1882</v>
      </c>
      <c r="KT18" s="1" t="s">
        <v>1883</v>
      </c>
      <c r="KU18" s="1" t="s">
        <v>1884</v>
      </c>
      <c r="KV18" s="1" t="s">
        <v>1885</v>
      </c>
      <c r="KW18" s="1" t="s">
        <v>1886</v>
      </c>
      <c r="KX18" s="1" t="s">
        <v>1887</v>
      </c>
      <c r="KY18" s="1" t="s">
        <v>1888</v>
      </c>
      <c r="KZ18" s="1" t="s">
        <v>1889</v>
      </c>
      <c r="LA18" s="1" t="s">
        <v>1890</v>
      </c>
      <c r="LB18" s="1" t="s">
        <v>1891</v>
      </c>
      <c r="LC18" s="1" t="s">
        <v>1892</v>
      </c>
      <c r="LD18" s="1" t="s">
        <v>1893</v>
      </c>
      <c r="LE18" s="1" t="s">
        <v>1894</v>
      </c>
      <c r="LF18" s="1" t="s">
        <v>1895</v>
      </c>
      <c r="LG18" s="1" t="s">
        <v>1896</v>
      </c>
      <c r="LH18" s="1" t="s">
        <v>1897</v>
      </c>
      <c r="LI18" s="1" t="s">
        <v>1898</v>
      </c>
      <c r="LJ18" s="1" t="s">
        <v>1899</v>
      </c>
      <c r="LK18" s="1" t="s">
        <v>1900</v>
      </c>
      <c r="LL18" s="1" t="s">
        <v>1901</v>
      </c>
      <c r="LM18" s="1" t="s">
        <v>1902</v>
      </c>
      <c r="LN18" s="1" t="s">
        <v>1903</v>
      </c>
      <c r="LO18" s="1" t="s">
        <v>1904</v>
      </c>
      <c r="LP18" s="1" t="s">
        <v>1905</v>
      </c>
      <c r="LQ18" s="1" t="s">
        <v>1906</v>
      </c>
      <c r="LR18" s="1" t="s">
        <v>1907</v>
      </c>
      <c r="LS18" s="1" t="s">
        <v>1908</v>
      </c>
      <c r="LT18" s="1" t="s">
        <v>1909</v>
      </c>
      <c r="LU18" s="1" t="s">
        <v>1910</v>
      </c>
      <c r="LV18" s="1" t="s">
        <v>1911</v>
      </c>
      <c r="LW18" s="1" t="s">
        <v>1912</v>
      </c>
      <c r="LX18" s="1" t="s">
        <v>1913</v>
      </c>
      <c r="LY18" s="1" t="s">
        <v>1914</v>
      </c>
      <c r="LZ18" s="1" t="s">
        <v>1915</v>
      </c>
      <c r="MA18" s="1" t="s">
        <v>1916</v>
      </c>
      <c r="MB18" s="1" t="s">
        <v>1917</v>
      </c>
      <c r="MC18" s="1" t="s">
        <v>1918</v>
      </c>
      <c r="MD18" s="1" t="s">
        <v>1919</v>
      </c>
      <c r="ME18" s="1" t="s">
        <v>1920</v>
      </c>
      <c r="MF18" s="1" t="s">
        <v>1921</v>
      </c>
      <c r="MG18" s="1" t="s">
        <v>1922</v>
      </c>
      <c r="MH18" s="1" t="s">
        <v>1923</v>
      </c>
      <c r="MI18" s="1" t="s">
        <v>1924</v>
      </c>
      <c r="MJ18" s="1" t="s">
        <v>1925</v>
      </c>
      <c r="MK18" s="1" t="s">
        <v>1926</v>
      </c>
      <c r="ML18" s="1" t="s">
        <v>1927</v>
      </c>
      <c r="MM18" s="1" t="s">
        <v>1928</v>
      </c>
      <c r="MN18" s="1" t="s">
        <v>1929</v>
      </c>
      <c r="MO18" s="1" t="s">
        <v>1930</v>
      </c>
      <c r="MP18" s="1" t="s">
        <v>1931</v>
      </c>
      <c r="MQ18" s="1" t="s">
        <v>1932</v>
      </c>
      <c r="MR18" s="1" t="s">
        <v>1933</v>
      </c>
      <c r="MS18" s="1" t="s">
        <v>1934</v>
      </c>
      <c r="MT18" s="1" t="s">
        <v>1935</v>
      </c>
      <c r="MU18" s="1" t="s">
        <v>1936</v>
      </c>
      <c r="MV18" s="1" t="s">
        <v>1937</v>
      </c>
      <c r="MW18" s="1" t="s">
        <v>1938</v>
      </c>
      <c r="MX18" s="1" t="s">
        <v>1939</v>
      </c>
      <c r="MY18" s="1" t="s">
        <v>1940</v>
      </c>
      <c r="MZ18" s="1" t="s">
        <v>1941</v>
      </c>
      <c r="NA18" s="1" t="s">
        <v>1942</v>
      </c>
      <c r="NB18" s="1" t="s">
        <v>1943</v>
      </c>
      <c r="NC18" s="1" t="s">
        <v>1944</v>
      </c>
      <c r="ND18" s="1" t="s">
        <v>1945</v>
      </c>
      <c r="NE18" s="1" t="s">
        <v>1946</v>
      </c>
      <c r="NF18" s="1" t="s">
        <v>1947</v>
      </c>
      <c r="NG18" s="1" t="s">
        <v>1948</v>
      </c>
      <c r="NH18" s="1" t="s">
        <v>1949</v>
      </c>
      <c r="NI18" s="1" t="s">
        <v>1950</v>
      </c>
      <c r="NJ18" s="1" t="s">
        <v>1951</v>
      </c>
      <c r="NK18" s="1" t="s">
        <v>1952</v>
      </c>
      <c r="NL18" s="1" t="s">
        <v>1953</v>
      </c>
      <c r="NM18" s="1" t="s">
        <v>1954</v>
      </c>
      <c r="NN18" s="1" t="s">
        <v>1955</v>
      </c>
      <c r="NO18" s="1" t="s">
        <v>1956</v>
      </c>
      <c r="NP18" s="1" t="s">
        <v>1957</v>
      </c>
      <c r="NQ18" s="1" t="s">
        <v>1958</v>
      </c>
      <c r="NR18" s="1" t="s">
        <v>1959</v>
      </c>
      <c r="NS18" s="1" t="s">
        <v>1960</v>
      </c>
      <c r="NT18" s="1" t="s">
        <v>1961</v>
      </c>
      <c r="NU18" s="1" t="s">
        <v>1962</v>
      </c>
      <c r="NV18" s="1" t="s">
        <v>1963</v>
      </c>
      <c r="NW18" s="1" t="s">
        <v>1964</v>
      </c>
      <c r="NX18" s="1" t="s">
        <v>1965</v>
      </c>
      <c r="NY18" s="1" t="s">
        <v>1966</v>
      </c>
      <c r="NZ18" s="1" t="s">
        <v>1967</v>
      </c>
      <c r="OA18" s="1" t="s">
        <v>1968</v>
      </c>
      <c r="OB18" s="1" t="s">
        <v>1969</v>
      </c>
      <c r="OC18" s="1" t="s">
        <v>1970</v>
      </c>
      <c r="OD18" s="1" t="s">
        <v>1971</v>
      </c>
      <c r="OE18" s="1" t="s">
        <v>1972</v>
      </c>
      <c r="OF18" s="1" t="s">
        <v>1973</v>
      </c>
      <c r="OG18" s="1" t="s">
        <v>1974</v>
      </c>
      <c r="OH18" s="1" t="s">
        <v>1975</v>
      </c>
      <c r="OI18" s="1" t="s">
        <v>1976</v>
      </c>
      <c r="OJ18" s="1" t="s">
        <v>1977</v>
      </c>
      <c r="OK18" s="1" t="s">
        <v>1978</v>
      </c>
      <c r="OL18" s="1" t="s">
        <v>1979</v>
      </c>
      <c r="OM18" s="1" t="s">
        <v>1980</v>
      </c>
      <c r="ON18" s="1" t="s">
        <v>1981</v>
      </c>
      <c r="OO18" s="1" t="s">
        <v>1982</v>
      </c>
      <c r="OP18" s="1" t="s">
        <v>1983</v>
      </c>
      <c r="OQ18" s="1" t="s">
        <v>1984</v>
      </c>
      <c r="OR18" s="1" t="s">
        <v>1985</v>
      </c>
      <c r="OS18" s="1" t="s">
        <v>1986</v>
      </c>
      <c r="OT18" s="1" t="s">
        <v>1987</v>
      </c>
      <c r="OU18" s="1" t="s">
        <v>1988</v>
      </c>
      <c r="OV18" s="1" t="s">
        <v>1989</v>
      </c>
      <c r="OW18" s="1" t="s">
        <v>1990</v>
      </c>
      <c r="OX18" s="1" t="s">
        <v>1991</v>
      </c>
      <c r="OY18" s="1" t="s">
        <v>1992</v>
      </c>
      <c r="OZ18" s="1" t="s">
        <v>1993</v>
      </c>
      <c r="PA18" s="1" t="s">
        <v>1994</v>
      </c>
      <c r="PB18" s="1" t="s">
        <v>1995</v>
      </c>
      <c r="PC18" s="1" t="s">
        <v>1996</v>
      </c>
      <c r="PD18" s="1" t="s">
        <v>1997</v>
      </c>
      <c r="PE18" s="1" t="s">
        <v>1998</v>
      </c>
      <c r="PF18" s="1" t="s">
        <v>1999</v>
      </c>
      <c r="PG18" s="1" t="s">
        <v>2000</v>
      </c>
      <c r="PH18" s="1" t="s">
        <v>2001</v>
      </c>
      <c r="PI18" s="1" t="s">
        <v>2002</v>
      </c>
      <c r="PJ18" s="1" t="s">
        <v>2003</v>
      </c>
      <c r="PK18" s="1" t="s">
        <v>2004</v>
      </c>
      <c r="PL18" s="1" t="s">
        <v>2005</v>
      </c>
      <c r="PM18" s="1" t="s">
        <v>2006</v>
      </c>
      <c r="PN18" s="1" t="s">
        <v>2007</v>
      </c>
      <c r="PO18" s="1" t="s">
        <v>2008</v>
      </c>
      <c r="PP18" s="1" t="s">
        <v>2009</v>
      </c>
      <c r="PQ18" s="1" t="s">
        <v>2010</v>
      </c>
      <c r="PR18" s="1" t="s">
        <v>2011</v>
      </c>
      <c r="PS18" s="1" t="s">
        <v>2012</v>
      </c>
      <c r="PT18" s="1" t="s">
        <v>2013</v>
      </c>
      <c r="PU18" s="1" t="s">
        <v>2014</v>
      </c>
      <c r="PV18" s="1" t="s">
        <v>2015</v>
      </c>
      <c r="PW18" s="1" t="s">
        <v>2016</v>
      </c>
      <c r="PX18" s="1" t="s">
        <v>2017</v>
      </c>
      <c r="PY18" s="1" t="s">
        <v>2018</v>
      </c>
      <c r="PZ18" s="1" t="s">
        <v>2019</v>
      </c>
      <c r="QA18" s="1" t="s">
        <v>2020</v>
      </c>
      <c r="QB18" s="1" t="s">
        <v>2021</v>
      </c>
      <c r="QC18" s="1" t="s">
        <v>2022</v>
      </c>
      <c r="QD18" s="1" t="s">
        <v>2023</v>
      </c>
      <c r="QE18" s="1" t="s">
        <v>2024</v>
      </c>
      <c r="QF18" s="1" t="s">
        <v>2025</v>
      </c>
      <c r="QG18" s="1" t="s">
        <v>2026</v>
      </c>
      <c r="QH18" s="1" t="s">
        <v>2027</v>
      </c>
      <c r="QI18" s="1" t="s">
        <v>2028</v>
      </c>
      <c r="QJ18" s="1" t="s">
        <v>2029</v>
      </c>
      <c r="QK18" s="1" t="s">
        <v>2030</v>
      </c>
      <c r="QL18" s="1" t="s">
        <v>2031</v>
      </c>
      <c r="QM18" s="1" t="s">
        <v>2032</v>
      </c>
      <c r="QN18" s="1" t="s">
        <v>2033</v>
      </c>
      <c r="QO18" s="1" t="s">
        <v>2034</v>
      </c>
      <c r="QP18" s="1" t="s">
        <v>2035</v>
      </c>
      <c r="QQ18" s="1" t="s">
        <v>2036</v>
      </c>
      <c r="QR18" s="1" t="s">
        <v>2037</v>
      </c>
      <c r="QS18" s="1" t="s">
        <v>2038</v>
      </c>
      <c r="QT18" s="1" t="s">
        <v>2039</v>
      </c>
      <c r="QU18" s="1" t="s">
        <v>2040</v>
      </c>
      <c r="QV18" s="1" t="s">
        <v>2041</v>
      </c>
      <c r="QW18" s="1" t="s">
        <v>2042</v>
      </c>
      <c r="QX18" s="1" t="s">
        <v>2043</v>
      </c>
      <c r="QY18" s="1" t="s">
        <v>2044</v>
      </c>
      <c r="QZ18" s="1" t="s">
        <v>2045</v>
      </c>
      <c r="RA18" s="1" t="s">
        <v>2046</v>
      </c>
      <c r="RB18" s="1" t="s">
        <v>2047</v>
      </c>
      <c r="RC18" s="1" t="s">
        <v>2048</v>
      </c>
      <c r="RD18" s="1" t="s">
        <v>2049</v>
      </c>
      <c r="RE18" s="1" t="s">
        <v>2050</v>
      </c>
      <c r="RF18" s="1" t="s">
        <v>2051</v>
      </c>
      <c r="RG18" s="1" t="s">
        <v>2052</v>
      </c>
      <c r="RH18" s="1" t="s">
        <v>2053</v>
      </c>
      <c r="RI18" s="1" t="s">
        <v>2054</v>
      </c>
      <c r="RJ18" s="1" t="s">
        <v>2055</v>
      </c>
      <c r="RK18" s="1" t="s">
        <v>2056</v>
      </c>
      <c r="RL18" s="1" t="s">
        <v>2057</v>
      </c>
      <c r="RM18" s="1" t="s">
        <v>2058</v>
      </c>
      <c r="RN18" s="1" t="s">
        <v>2059</v>
      </c>
      <c r="RO18" s="1" t="s">
        <v>2060</v>
      </c>
      <c r="RP18" s="1" t="s">
        <v>2061</v>
      </c>
      <c r="RQ18" s="1" t="s">
        <v>2062</v>
      </c>
      <c r="RR18" s="1" t="s">
        <v>2063</v>
      </c>
      <c r="RS18" s="1" t="s">
        <v>2064</v>
      </c>
      <c r="RT18" s="1" t="s">
        <v>2065</v>
      </c>
      <c r="RU18" s="1" t="s">
        <v>2066</v>
      </c>
      <c r="RV18" s="1" t="s">
        <v>2067</v>
      </c>
      <c r="RW18" s="1" t="s">
        <v>2068</v>
      </c>
      <c r="RX18" s="1" t="s">
        <v>2069</v>
      </c>
      <c r="RY18" s="1" t="s">
        <v>2070</v>
      </c>
      <c r="RZ18" s="1" t="s">
        <v>2071</v>
      </c>
      <c r="SA18" s="1" t="s">
        <v>2072</v>
      </c>
      <c r="SB18" s="1" t="s">
        <v>2073</v>
      </c>
      <c r="SC18" s="1" t="s">
        <v>2074</v>
      </c>
      <c r="SD18" s="1" t="s">
        <v>2075</v>
      </c>
      <c r="SE18" s="1" t="s">
        <v>2076</v>
      </c>
      <c r="SF18" s="1" t="s">
        <v>2077</v>
      </c>
      <c r="SG18" s="1" t="s">
        <v>2078</v>
      </c>
      <c r="SH18" s="1" t="s">
        <v>2079</v>
      </c>
      <c r="SI18" s="1" t="s">
        <v>2080</v>
      </c>
      <c r="SJ18" s="1" t="s">
        <v>2081</v>
      </c>
      <c r="SK18" s="1" t="s">
        <v>2082</v>
      </c>
      <c r="SL18" s="1" t="s">
        <v>2083</v>
      </c>
      <c r="SM18" s="1" t="s">
        <v>2084</v>
      </c>
      <c r="SN18" s="1" t="s">
        <v>2085</v>
      </c>
      <c r="SO18" s="1" t="s">
        <v>2086</v>
      </c>
      <c r="SP18" s="1" t="s">
        <v>2087</v>
      </c>
      <c r="SQ18" s="1" t="s">
        <v>2088</v>
      </c>
      <c r="SR18" s="1" t="s">
        <v>2089</v>
      </c>
      <c r="SS18" s="1" t="s">
        <v>2090</v>
      </c>
      <c r="ST18" s="1" t="s">
        <v>2091</v>
      </c>
      <c r="SU18" s="1" t="s">
        <v>2092</v>
      </c>
      <c r="SV18" s="1" t="s">
        <v>2093</v>
      </c>
      <c r="SW18" s="1" t="s">
        <v>2094</v>
      </c>
      <c r="SX18" s="1" t="s">
        <v>2095</v>
      </c>
      <c r="SY18" s="1" t="s">
        <v>2096</v>
      </c>
      <c r="SZ18" s="1" t="s">
        <v>2097</v>
      </c>
      <c r="TA18" s="1" t="s">
        <v>2098</v>
      </c>
      <c r="TB18" s="1" t="s">
        <v>2099</v>
      </c>
      <c r="TC18" s="1" t="s">
        <v>2100</v>
      </c>
      <c r="TD18" s="1" t="s">
        <v>2101</v>
      </c>
      <c r="TE18" s="1" t="s">
        <v>2102</v>
      </c>
      <c r="TF18" s="1" t="s">
        <v>2103</v>
      </c>
      <c r="TG18" s="1" t="s">
        <v>2104</v>
      </c>
      <c r="TH18" s="1" t="s">
        <v>2105</v>
      </c>
      <c r="TI18" s="1" t="s">
        <v>2106</v>
      </c>
      <c r="TJ18" s="1" t="s">
        <v>2107</v>
      </c>
      <c r="TK18" s="1" t="s">
        <v>2108</v>
      </c>
      <c r="TL18" s="1" t="s">
        <v>2109</v>
      </c>
      <c r="TM18" s="1" t="s">
        <v>2110</v>
      </c>
      <c r="TN18" s="1" t="s">
        <v>2111</v>
      </c>
      <c r="TO18" s="1" t="s">
        <v>2112</v>
      </c>
      <c r="TP18" s="1" t="s">
        <v>2113</v>
      </c>
      <c r="TQ18" s="1" t="s">
        <v>2114</v>
      </c>
      <c r="TR18" s="1" t="s">
        <v>2115</v>
      </c>
      <c r="TS18" s="1" t="s">
        <v>2116</v>
      </c>
      <c r="TT18" s="1" t="s">
        <v>2117</v>
      </c>
      <c r="TU18" s="1" t="s">
        <v>2118</v>
      </c>
      <c r="TV18" s="1" t="s">
        <v>2119</v>
      </c>
      <c r="TW18" s="1" t="s">
        <v>2120</v>
      </c>
      <c r="TX18" s="1" t="s">
        <v>2121</v>
      </c>
      <c r="TY18" s="1" t="s">
        <v>2122</v>
      </c>
      <c r="TZ18" s="1" t="s">
        <v>2123</v>
      </c>
      <c r="UA18" s="1" t="s">
        <v>2124</v>
      </c>
      <c r="UB18" s="1" t="s">
        <v>2125</v>
      </c>
      <c r="UC18" s="1" t="s">
        <v>2126</v>
      </c>
      <c r="UD18" s="1" t="s">
        <v>2127</v>
      </c>
      <c r="UE18" s="1" t="s">
        <v>2128</v>
      </c>
      <c r="UF18" s="1" t="s">
        <v>2129</v>
      </c>
      <c r="UG18" s="1" t="s">
        <v>2130</v>
      </c>
      <c r="UH18" s="1" t="s">
        <v>2131</v>
      </c>
      <c r="UI18" s="1" t="s">
        <v>2132</v>
      </c>
      <c r="UJ18" s="1" t="s">
        <v>2133</v>
      </c>
      <c r="UK18" s="1" t="s">
        <v>2134</v>
      </c>
      <c r="UL18" s="1" t="s">
        <v>2135</v>
      </c>
      <c r="UM18" s="1" t="s">
        <v>2136</v>
      </c>
      <c r="UN18" s="1" t="s">
        <v>2137</v>
      </c>
      <c r="UO18" s="1" t="s">
        <v>2138</v>
      </c>
      <c r="UP18" s="1" t="s">
        <v>2139</v>
      </c>
      <c r="UQ18" s="1" t="s">
        <v>2140</v>
      </c>
      <c r="UR18" s="1" t="s">
        <v>2141</v>
      </c>
      <c r="US18" s="1" t="s">
        <v>2142</v>
      </c>
      <c r="UT18" s="1" t="s">
        <v>2143</v>
      </c>
      <c r="UU18" s="1" t="s">
        <v>2144</v>
      </c>
      <c r="UV18" s="1" t="s">
        <v>2145</v>
      </c>
      <c r="UW18" s="1" t="s">
        <v>2146</v>
      </c>
      <c r="UX18" s="1" t="s">
        <v>2147</v>
      </c>
      <c r="UY18" s="1" t="s">
        <v>2148</v>
      </c>
      <c r="UZ18" s="1" t="s">
        <v>2149</v>
      </c>
      <c r="VA18" s="1" t="s">
        <v>2150</v>
      </c>
      <c r="VB18" s="1" t="s">
        <v>2151</v>
      </c>
      <c r="VC18" s="1" t="s">
        <v>2152</v>
      </c>
      <c r="VD18" s="1" t="s">
        <v>2153</v>
      </c>
      <c r="VE18" s="1" t="s">
        <v>2154</v>
      </c>
      <c r="VF18" s="1" t="s">
        <v>2155</v>
      </c>
      <c r="VG18" s="1" t="s">
        <v>2156</v>
      </c>
      <c r="VH18" s="1" t="s">
        <v>2157</v>
      </c>
      <c r="VI18" s="1" t="s">
        <v>2158</v>
      </c>
      <c r="VJ18" s="1" t="s">
        <v>2159</v>
      </c>
      <c r="VK18" s="1" t="s">
        <v>2160</v>
      </c>
      <c r="VL18" s="1" t="s">
        <v>2161</v>
      </c>
      <c r="VM18" s="1" t="s">
        <v>2162</v>
      </c>
      <c r="VN18" s="1" t="s">
        <v>2163</v>
      </c>
      <c r="VO18" s="1" t="s">
        <v>2164</v>
      </c>
      <c r="VP18" s="1" t="s">
        <v>2165</v>
      </c>
      <c r="VQ18" s="1" t="s">
        <v>2166</v>
      </c>
      <c r="VR18" s="1" t="s">
        <v>2167</v>
      </c>
      <c r="VS18" s="1" t="s">
        <v>2168</v>
      </c>
      <c r="VT18" s="1" t="s">
        <v>2169</v>
      </c>
      <c r="VU18" s="1" t="s">
        <v>2170</v>
      </c>
      <c r="VV18" s="1" t="s">
        <v>2171</v>
      </c>
      <c r="VW18" s="1" t="s">
        <v>2172</v>
      </c>
      <c r="VX18" s="1" t="s">
        <v>2173</v>
      </c>
      <c r="VY18" s="1" t="s">
        <v>2174</v>
      </c>
      <c r="VZ18" s="1" t="s">
        <v>2175</v>
      </c>
      <c r="WA18" s="1" t="s">
        <v>2176</v>
      </c>
      <c r="WB18" s="1" t="s">
        <v>2177</v>
      </c>
      <c r="WC18" s="1" t="s">
        <v>2178</v>
      </c>
      <c r="WD18" s="1" t="s">
        <v>2179</v>
      </c>
      <c r="WE18" s="1" t="s">
        <v>2180</v>
      </c>
      <c r="WF18" s="1" t="s">
        <v>2181</v>
      </c>
      <c r="WG18" s="1" t="s">
        <v>2182</v>
      </c>
      <c r="WH18" s="1" t="s">
        <v>2183</v>
      </c>
      <c r="WI18" s="1" t="s">
        <v>2184</v>
      </c>
      <c r="WJ18" s="1" t="s">
        <v>2185</v>
      </c>
      <c r="WK18" s="1" t="s">
        <v>2186</v>
      </c>
      <c r="WL18" s="1" t="s">
        <v>2187</v>
      </c>
      <c r="WM18" s="1" t="s">
        <v>2188</v>
      </c>
      <c r="WN18" s="1" t="s">
        <v>2189</v>
      </c>
      <c r="WO18" s="1" t="s">
        <v>2190</v>
      </c>
      <c r="WP18" s="1" t="s">
        <v>2191</v>
      </c>
      <c r="WQ18" s="1" t="s">
        <v>2192</v>
      </c>
      <c r="WR18" s="1" t="s">
        <v>2193</v>
      </c>
      <c r="WS18" s="1" t="s">
        <v>2194</v>
      </c>
      <c r="WT18" s="1" t="s">
        <v>2195</v>
      </c>
      <c r="WU18" s="1" t="s">
        <v>2196</v>
      </c>
      <c r="WV18" s="1" t="s">
        <v>2197</v>
      </c>
      <c r="WW18" s="1" t="s">
        <v>2198</v>
      </c>
      <c r="WX18" s="1" t="s">
        <v>2199</v>
      </c>
      <c r="WY18" s="1" t="s">
        <v>2200</v>
      </c>
      <c r="WZ18" s="1" t="s">
        <v>2201</v>
      </c>
      <c r="XA18" s="1" t="s">
        <v>2202</v>
      </c>
      <c r="XB18" s="1" t="s">
        <v>2203</v>
      </c>
      <c r="XC18" s="1" t="s">
        <v>2204</v>
      </c>
      <c r="XD18" s="1" t="s">
        <v>2205</v>
      </c>
      <c r="XE18" s="1" t="s">
        <v>2206</v>
      </c>
      <c r="XF18" s="1" t="s">
        <v>2207</v>
      </c>
      <c r="XG18" s="1" t="s">
        <v>2208</v>
      </c>
      <c r="XH18" s="1" t="s">
        <v>2209</v>
      </c>
      <c r="XI18" s="1" t="s">
        <v>2210</v>
      </c>
      <c r="XJ18" s="1" t="s">
        <v>2211</v>
      </c>
      <c r="XK18" s="1" t="s">
        <v>2212</v>
      </c>
      <c r="XL18" s="1" t="s">
        <v>2213</v>
      </c>
      <c r="XM18" s="1" t="s">
        <v>2214</v>
      </c>
      <c r="XN18" s="1" t="s">
        <v>2215</v>
      </c>
      <c r="XO18" s="1" t="s">
        <v>2216</v>
      </c>
      <c r="XP18" s="1" t="s">
        <v>2217</v>
      </c>
      <c r="XQ18" s="1" t="s">
        <v>2218</v>
      </c>
      <c r="XR18" s="1" t="s">
        <v>2219</v>
      </c>
      <c r="XS18" s="1" t="s">
        <v>2220</v>
      </c>
      <c r="XT18" s="1" t="s">
        <v>2221</v>
      </c>
      <c r="XU18" s="1" t="s">
        <v>2222</v>
      </c>
      <c r="XV18" s="1" t="s">
        <v>2223</v>
      </c>
      <c r="XW18" s="1" t="s">
        <v>2224</v>
      </c>
      <c r="XX18" s="1" t="s">
        <v>2225</v>
      </c>
      <c r="XY18" s="1" t="s">
        <v>2226</v>
      </c>
      <c r="XZ18" s="1" t="s">
        <v>2227</v>
      </c>
      <c r="YA18" s="1" t="s">
        <v>2228</v>
      </c>
      <c r="YB18" s="1" t="s">
        <v>2229</v>
      </c>
      <c r="YC18" s="1" t="s">
        <v>2230</v>
      </c>
      <c r="YD18" s="1" t="s">
        <v>2231</v>
      </c>
      <c r="YE18" s="1" t="s">
        <v>2232</v>
      </c>
      <c r="YF18" s="1" t="s">
        <v>2233</v>
      </c>
      <c r="YG18" s="1" t="s">
        <v>2234</v>
      </c>
      <c r="YH18" s="1" t="s">
        <v>2235</v>
      </c>
      <c r="YI18" s="1" t="s">
        <v>2236</v>
      </c>
      <c r="YJ18" s="1" t="s">
        <v>2237</v>
      </c>
      <c r="YK18" s="1" t="s">
        <v>2238</v>
      </c>
      <c r="YL18" s="1" t="s">
        <v>2239</v>
      </c>
      <c r="YM18" s="1" t="s">
        <v>2240</v>
      </c>
      <c r="YN18" s="1" t="s">
        <v>2241</v>
      </c>
      <c r="YO18" s="1" t="s">
        <v>2242</v>
      </c>
      <c r="YP18" s="1" t="s">
        <v>2243</v>
      </c>
      <c r="YQ18" s="1" t="s">
        <v>2244</v>
      </c>
      <c r="YR18" s="1" t="s">
        <v>2245</v>
      </c>
      <c r="YS18" s="1" t="s">
        <v>2246</v>
      </c>
      <c r="YT18" s="1" t="s">
        <v>2247</v>
      </c>
      <c r="YU18" s="1" t="s">
        <v>2248</v>
      </c>
      <c r="YV18" s="1" t="s">
        <v>2249</v>
      </c>
      <c r="YW18" s="1" t="s">
        <v>2250</v>
      </c>
      <c r="YX18" s="1" t="s">
        <v>2251</v>
      </c>
      <c r="YY18" s="1" t="s">
        <v>2252</v>
      </c>
      <c r="YZ18" s="1" t="s">
        <v>2253</v>
      </c>
      <c r="ZA18" s="1" t="s">
        <v>2254</v>
      </c>
      <c r="ZB18" s="1" t="s">
        <v>2255</v>
      </c>
      <c r="ZC18" s="1" t="s">
        <v>2256</v>
      </c>
      <c r="ZD18" s="1" t="s">
        <v>2257</v>
      </c>
      <c r="ZE18" s="1" t="s">
        <v>2258</v>
      </c>
      <c r="ZF18" s="1" t="s">
        <v>2259</v>
      </c>
      <c r="ZG18" s="1" t="s">
        <v>2260</v>
      </c>
      <c r="ZH18" s="1" t="s">
        <v>2261</v>
      </c>
      <c r="ZI18" s="1" t="s">
        <v>2262</v>
      </c>
      <c r="ZJ18" s="1" t="s">
        <v>2263</v>
      </c>
      <c r="ZK18" s="1" t="s">
        <v>2264</v>
      </c>
      <c r="ZL18" s="1" t="s">
        <v>2265</v>
      </c>
      <c r="ZM18" s="1" t="s">
        <v>2266</v>
      </c>
      <c r="ZN18" s="1" t="s">
        <v>2267</v>
      </c>
      <c r="ZO18" s="1" t="s">
        <v>2268</v>
      </c>
      <c r="ZP18" s="1" t="s">
        <v>2269</v>
      </c>
      <c r="ZQ18" s="1" t="s">
        <v>2270</v>
      </c>
      <c r="ZR18" s="1" t="s">
        <v>2271</v>
      </c>
      <c r="ZS18" s="1" t="s">
        <v>2272</v>
      </c>
      <c r="ZT18" s="1" t="s">
        <v>2273</v>
      </c>
      <c r="ZU18" s="1" t="s">
        <v>2274</v>
      </c>
      <c r="ZV18" s="1" t="s">
        <v>2275</v>
      </c>
      <c r="ZW18" s="1" t="s">
        <v>2276</v>
      </c>
      <c r="ZX18" s="1" t="s">
        <v>2277</v>
      </c>
      <c r="ZY18" s="1" t="s">
        <v>2278</v>
      </c>
      <c r="ZZ18" s="1" t="s">
        <v>2279</v>
      </c>
      <c r="AAA18" s="1" t="s">
        <v>2280</v>
      </c>
      <c r="AAB18" s="1" t="s">
        <v>2281</v>
      </c>
      <c r="AAC18" s="1" t="s">
        <v>2282</v>
      </c>
      <c r="AAD18" s="1" t="s">
        <v>2283</v>
      </c>
      <c r="AAE18" s="1" t="s">
        <v>2284</v>
      </c>
      <c r="AAF18" s="1" t="s">
        <v>2285</v>
      </c>
      <c r="AAG18" s="1" t="s">
        <v>2286</v>
      </c>
      <c r="AAH18" s="1" t="s">
        <v>2287</v>
      </c>
      <c r="AAI18" s="1" t="s">
        <v>2288</v>
      </c>
      <c r="AAJ18" s="1" t="s">
        <v>2289</v>
      </c>
      <c r="AAK18" s="1" t="s">
        <v>2290</v>
      </c>
      <c r="AAL18" s="1" t="s">
        <v>2291</v>
      </c>
      <c r="AAM18" s="1" t="s">
        <v>2292</v>
      </c>
      <c r="AAN18" s="1" t="s">
        <v>2293</v>
      </c>
      <c r="AAO18" s="1" t="s">
        <v>2294</v>
      </c>
      <c r="AAP18" s="1" t="s">
        <v>2295</v>
      </c>
      <c r="AAQ18" s="1" t="s">
        <v>2296</v>
      </c>
      <c r="AAR18" s="1" t="s">
        <v>2297</v>
      </c>
      <c r="AAS18" s="1" t="s">
        <v>2298</v>
      </c>
      <c r="AAT18" s="1" t="s">
        <v>2299</v>
      </c>
      <c r="AAU18" s="1" t="s">
        <v>2300</v>
      </c>
      <c r="AAV18" s="1" t="s">
        <v>2301</v>
      </c>
      <c r="AAW18" s="1" t="s">
        <v>2302</v>
      </c>
      <c r="AAX18" s="1" t="s">
        <v>2303</v>
      </c>
      <c r="AAY18" s="1" t="s">
        <v>2304</v>
      </c>
      <c r="AAZ18" s="1" t="s">
        <v>2305</v>
      </c>
      <c r="ABA18" s="1" t="s">
        <v>2306</v>
      </c>
      <c r="ABB18" s="1" t="s">
        <v>2307</v>
      </c>
      <c r="ABC18" s="1" t="s">
        <v>2308</v>
      </c>
      <c r="ABD18" s="1" t="s">
        <v>2309</v>
      </c>
      <c r="ABE18" s="1" t="s">
        <v>2310</v>
      </c>
      <c r="ABF18" s="1" t="s">
        <v>2311</v>
      </c>
      <c r="ABG18" s="1" t="s">
        <v>2312</v>
      </c>
      <c r="ABH18" s="1" t="s">
        <v>2313</v>
      </c>
      <c r="ABI18" s="1" t="s">
        <v>2314</v>
      </c>
      <c r="ABJ18" s="1" t="s">
        <v>2315</v>
      </c>
      <c r="ABK18" s="1" t="s">
        <v>2316</v>
      </c>
      <c r="ABL18" s="1" t="s">
        <v>2317</v>
      </c>
      <c r="ABM18" s="1" t="s">
        <v>2318</v>
      </c>
      <c r="ABN18" s="1" t="s">
        <v>2319</v>
      </c>
      <c r="ABO18" s="1" t="s">
        <v>2320</v>
      </c>
      <c r="ABP18" s="1" t="s">
        <v>2321</v>
      </c>
      <c r="ABQ18" s="1" t="s">
        <v>2322</v>
      </c>
      <c r="ABR18" s="1" t="s">
        <v>2323</v>
      </c>
      <c r="ABS18" s="1" t="s">
        <v>2324</v>
      </c>
      <c r="ABT18" s="1" t="s">
        <v>2325</v>
      </c>
      <c r="ABU18" s="1" t="s">
        <v>2326</v>
      </c>
      <c r="ABV18" s="1" t="s">
        <v>2327</v>
      </c>
      <c r="ABW18" s="1" t="s">
        <v>2328</v>
      </c>
      <c r="ABX18" s="1" t="s">
        <v>2329</v>
      </c>
      <c r="ABY18" s="1" t="s">
        <v>2330</v>
      </c>
      <c r="ABZ18" s="1" t="s">
        <v>2331</v>
      </c>
      <c r="ACA18" s="1" t="s">
        <v>2332</v>
      </c>
      <c r="ACB18" s="1" t="s">
        <v>2333</v>
      </c>
      <c r="ACC18" s="1" t="s">
        <v>2334</v>
      </c>
      <c r="ACD18" s="1" t="s">
        <v>2335</v>
      </c>
      <c r="ACE18" s="1" t="s">
        <v>2336</v>
      </c>
      <c r="ACF18" s="1" t="s">
        <v>2337</v>
      </c>
      <c r="ACG18" s="1" t="s">
        <v>2338</v>
      </c>
      <c r="ACH18" s="1" t="s">
        <v>2339</v>
      </c>
      <c r="ACI18" s="1" t="s">
        <v>2340</v>
      </c>
      <c r="ACJ18" s="1" t="s">
        <v>2341</v>
      </c>
      <c r="ACK18" s="1" t="s">
        <v>2342</v>
      </c>
      <c r="ACL18" s="1" t="s">
        <v>2343</v>
      </c>
      <c r="ACM18" s="1" t="s">
        <v>2344</v>
      </c>
      <c r="ACN18" s="1" t="s">
        <v>2345</v>
      </c>
      <c r="ACO18" s="1" t="s">
        <v>2346</v>
      </c>
      <c r="ACP18" s="1" t="s">
        <v>2347</v>
      </c>
      <c r="ACQ18" s="1" t="s">
        <v>2348</v>
      </c>
      <c r="ACR18" s="1" t="s">
        <v>2349</v>
      </c>
      <c r="ACS18" s="1" t="s">
        <v>2350</v>
      </c>
      <c r="ACT18" s="1" t="s">
        <v>2351</v>
      </c>
      <c r="ACU18" s="1" t="s">
        <v>2352</v>
      </c>
      <c r="ACV18" s="1" t="s">
        <v>2353</v>
      </c>
      <c r="ACW18" s="1" t="s">
        <v>2354</v>
      </c>
      <c r="ACX18" s="1" t="s">
        <v>2355</v>
      </c>
      <c r="ACY18" s="1" t="s">
        <v>2356</v>
      </c>
      <c r="ACZ18" s="1" t="s">
        <v>2357</v>
      </c>
      <c r="ADA18" s="1" t="s">
        <v>2358</v>
      </c>
      <c r="ADB18" s="1" t="s">
        <v>2359</v>
      </c>
      <c r="ADC18" s="1" t="s">
        <v>2360</v>
      </c>
      <c r="ADD18" s="1" t="s">
        <v>2361</v>
      </c>
      <c r="ADE18" s="1" t="s">
        <v>2362</v>
      </c>
      <c r="ADF18" s="1" t="s">
        <v>2363</v>
      </c>
      <c r="ADG18" s="1" t="s">
        <v>2364</v>
      </c>
      <c r="ADH18" s="1" t="s">
        <v>2365</v>
      </c>
      <c r="ADI18" s="1" t="s">
        <v>2366</v>
      </c>
      <c r="ADJ18" s="1" t="s">
        <v>2367</v>
      </c>
      <c r="ADK18" s="1" t="s">
        <v>2368</v>
      </c>
      <c r="ADL18" s="1" t="s">
        <v>2369</v>
      </c>
      <c r="ADM18" s="1" t="s">
        <v>2370</v>
      </c>
      <c r="ADN18" s="1" t="s">
        <v>2371</v>
      </c>
      <c r="ADO18" s="1" t="s">
        <v>2372</v>
      </c>
      <c r="ADP18" s="1" t="s">
        <v>2373</v>
      </c>
      <c r="ADQ18" s="1" t="s">
        <v>2374</v>
      </c>
      <c r="ADR18" s="1" t="s">
        <v>2375</v>
      </c>
      <c r="ADS18" s="1" t="s">
        <v>2376</v>
      </c>
      <c r="ADT18" s="1" t="s">
        <v>2377</v>
      </c>
      <c r="ADU18" s="1" t="s">
        <v>2378</v>
      </c>
      <c r="ADV18" s="1" t="s">
        <v>2379</v>
      </c>
      <c r="ADW18" s="1" t="s">
        <v>2380</v>
      </c>
      <c r="ADX18" s="1" t="s">
        <v>2381</v>
      </c>
      <c r="ADY18" s="1" t="s">
        <v>2382</v>
      </c>
      <c r="ADZ18" s="1" t="s">
        <v>2383</v>
      </c>
      <c r="AEA18" s="1" t="s">
        <v>2384</v>
      </c>
      <c r="AEB18" s="1" t="s">
        <v>2385</v>
      </c>
      <c r="AEC18" s="1" t="s">
        <v>2386</v>
      </c>
      <c r="AED18" s="1" t="s">
        <v>2387</v>
      </c>
      <c r="AEE18" s="1" t="s">
        <v>2388</v>
      </c>
      <c r="AEF18" s="1" t="s">
        <v>2389</v>
      </c>
      <c r="AEG18" s="1" t="s">
        <v>2390</v>
      </c>
      <c r="AEH18" s="1" t="s">
        <v>2391</v>
      </c>
      <c r="AEI18" s="1" t="s">
        <v>2392</v>
      </c>
      <c r="AEJ18" s="1" t="s">
        <v>2393</v>
      </c>
      <c r="AEK18" s="1" t="s">
        <v>2394</v>
      </c>
      <c r="AEL18" s="1" t="s">
        <v>2395</v>
      </c>
      <c r="AEM18" s="1" t="s">
        <v>2396</v>
      </c>
      <c r="AEN18" s="1" t="s">
        <v>2397</v>
      </c>
      <c r="AEO18" s="1" t="s">
        <v>2398</v>
      </c>
      <c r="AEP18" s="1" t="s">
        <v>2399</v>
      </c>
      <c r="AEQ18" s="1" t="s">
        <v>2400</v>
      </c>
      <c r="AER18" s="1" t="s">
        <v>2401</v>
      </c>
      <c r="AES18" s="1" t="s">
        <v>2402</v>
      </c>
      <c r="AET18" s="1" t="s">
        <v>2403</v>
      </c>
      <c r="AEU18" s="1" t="s">
        <v>2404</v>
      </c>
      <c r="AEV18" s="1" t="s">
        <v>2405</v>
      </c>
      <c r="AEW18" s="1" t="s">
        <v>2406</v>
      </c>
      <c r="AEX18" s="1" t="s">
        <v>2407</v>
      </c>
      <c r="AEY18" s="1" t="s">
        <v>2408</v>
      </c>
      <c r="AEZ18" s="1" t="s">
        <v>2409</v>
      </c>
      <c r="AFA18" s="1" t="s">
        <v>2410</v>
      </c>
      <c r="AFB18" s="1" t="s">
        <v>2411</v>
      </c>
      <c r="AFC18" s="1" t="s">
        <v>2412</v>
      </c>
      <c r="AFD18" s="1" t="s">
        <v>2413</v>
      </c>
      <c r="AFE18" s="1" t="s">
        <v>2414</v>
      </c>
      <c r="AFF18" s="1" t="s">
        <v>2415</v>
      </c>
      <c r="AFG18" s="1" t="s">
        <v>2416</v>
      </c>
      <c r="AFH18" s="1" t="s">
        <v>2417</v>
      </c>
      <c r="AFI18" s="1" t="s">
        <v>2418</v>
      </c>
      <c r="AFJ18" s="1" t="s">
        <v>2419</v>
      </c>
      <c r="AFK18" s="1" t="s">
        <v>2420</v>
      </c>
      <c r="AFL18" s="1" t="s">
        <v>2421</v>
      </c>
      <c r="AFM18" s="1" t="s">
        <v>2422</v>
      </c>
      <c r="AFN18" s="1" t="s">
        <v>2423</v>
      </c>
      <c r="AFO18" s="1" t="s">
        <v>2424</v>
      </c>
      <c r="AFP18" s="1" t="s">
        <v>2425</v>
      </c>
      <c r="AFQ18" s="1" t="s">
        <v>2426</v>
      </c>
      <c r="AFR18" s="1" t="s">
        <v>2427</v>
      </c>
      <c r="AFS18" s="1" t="s">
        <v>2428</v>
      </c>
      <c r="AFT18" s="1" t="s">
        <v>2429</v>
      </c>
      <c r="AFU18" s="1" t="s">
        <v>2430</v>
      </c>
      <c r="AFV18" s="1" t="s">
        <v>2431</v>
      </c>
      <c r="AFW18" s="1" t="s">
        <v>2432</v>
      </c>
      <c r="AFX18" s="1" t="s">
        <v>2433</v>
      </c>
      <c r="AFY18" s="1" t="s">
        <v>2434</v>
      </c>
      <c r="AFZ18" s="1" t="s">
        <v>2435</v>
      </c>
      <c r="AGA18" s="1" t="s">
        <v>2436</v>
      </c>
      <c r="AGB18" s="1" t="s">
        <v>2437</v>
      </c>
      <c r="AGC18" s="1" t="s">
        <v>2438</v>
      </c>
      <c r="AGD18" s="1" t="s">
        <v>2439</v>
      </c>
      <c r="AGE18" s="1" t="s">
        <v>2440</v>
      </c>
      <c r="AGF18" s="1" t="s">
        <v>2441</v>
      </c>
      <c r="AGG18" s="1" t="s">
        <v>2442</v>
      </c>
      <c r="AGH18" s="1" t="s">
        <v>2443</v>
      </c>
      <c r="AGI18" s="1" t="s">
        <v>2444</v>
      </c>
      <c r="AGJ18" s="1" t="s">
        <v>2445</v>
      </c>
      <c r="AGK18" s="1" t="s">
        <v>2446</v>
      </c>
      <c r="AGL18" s="1" t="s">
        <v>2447</v>
      </c>
      <c r="AGM18" s="1" t="s">
        <v>2448</v>
      </c>
      <c r="AGN18" s="1" t="s">
        <v>2449</v>
      </c>
      <c r="AGO18" s="1" t="s">
        <v>2450</v>
      </c>
      <c r="AGP18" s="1" t="s">
        <v>2451</v>
      </c>
      <c r="AGQ18" s="1" t="s">
        <v>2452</v>
      </c>
      <c r="AGR18" s="1" t="s">
        <v>2453</v>
      </c>
      <c r="AGS18" s="1" t="s">
        <v>2454</v>
      </c>
      <c r="AGT18" s="1" t="s">
        <v>2455</v>
      </c>
      <c r="AGU18" s="1" t="s">
        <v>2456</v>
      </c>
      <c r="AGV18" s="1" t="s">
        <v>2457</v>
      </c>
      <c r="AGW18" s="1" t="s">
        <v>2458</v>
      </c>
      <c r="AGX18" s="1" t="s">
        <v>2459</v>
      </c>
      <c r="AGY18" s="1" t="s">
        <v>2460</v>
      </c>
      <c r="AGZ18" s="1" t="s">
        <v>2461</v>
      </c>
      <c r="AHA18" s="1" t="s">
        <v>2462</v>
      </c>
      <c r="AHB18" s="1" t="s">
        <v>2463</v>
      </c>
      <c r="AHC18" s="1" t="s">
        <v>2464</v>
      </c>
      <c r="AHD18" s="1" t="s">
        <v>2465</v>
      </c>
      <c r="AHE18" s="1" t="s">
        <v>2466</v>
      </c>
      <c r="AHF18" s="1" t="s">
        <v>2467</v>
      </c>
      <c r="AHG18" s="1" t="s">
        <v>2468</v>
      </c>
      <c r="AHH18" s="1" t="s">
        <v>2469</v>
      </c>
      <c r="AHI18" s="1" t="s">
        <v>2470</v>
      </c>
      <c r="AHJ18" s="1" t="s">
        <v>2471</v>
      </c>
      <c r="AHK18" s="1" t="s">
        <v>2472</v>
      </c>
      <c r="AHL18" s="1" t="s">
        <v>2473</v>
      </c>
      <c r="AHM18" s="1" t="s">
        <v>2474</v>
      </c>
      <c r="AHN18" s="1" t="s">
        <v>2475</v>
      </c>
      <c r="AHO18" s="1" t="s">
        <v>2476</v>
      </c>
      <c r="AHP18" s="1" t="s">
        <v>2477</v>
      </c>
      <c r="AHQ18" s="1" t="s">
        <v>2478</v>
      </c>
      <c r="AHR18" s="1" t="s">
        <v>2479</v>
      </c>
      <c r="AHS18" s="1" t="s">
        <v>2480</v>
      </c>
      <c r="AHT18" s="1" t="s">
        <v>2481</v>
      </c>
      <c r="AHU18" s="1" t="s">
        <v>2482</v>
      </c>
      <c r="AHV18" s="1" t="s">
        <v>2483</v>
      </c>
      <c r="AHW18" s="1" t="s">
        <v>2484</v>
      </c>
      <c r="AHX18" s="1" t="s">
        <v>2485</v>
      </c>
      <c r="AHY18" s="1" t="s">
        <v>2486</v>
      </c>
      <c r="AHZ18" s="1" t="s">
        <v>2487</v>
      </c>
      <c r="AIA18" s="1" t="s">
        <v>2488</v>
      </c>
      <c r="AIB18" s="1" t="s">
        <v>2489</v>
      </c>
      <c r="AIC18" s="1" t="s">
        <v>2490</v>
      </c>
      <c r="AID18" s="1" t="s">
        <v>2491</v>
      </c>
      <c r="AIE18" s="1" t="s">
        <v>2492</v>
      </c>
      <c r="AIF18" s="1" t="s">
        <v>2493</v>
      </c>
      <c r="AIG18" s="1" t="s">
        <v>2494</v>
      </c>
      <c r="AIH18" s="1" t="s">
        <v>2495</v>
      </c>
      <c r="AII18" s="1" t="s">
        <v>2496</v>
      </c>
      <c r="AIJ18" s="1" t="s">
        <v>2497</v>
      </c>
      <c r="AIK18" s="1" t="s">
        <v>2498</v>
      </c>
      <c r="AIL18" s="1" t="s">
        <v>2499</v>
      </c>
      <c r="AIM18" s="1" t="s">
        <v>2500</v>
      </c>
      <c r="AIN18" s="1" t="s">
        <v>2501</v>
      </c>
      <c r="AIO18" s="1" t="s">
        <v>2502</v>
      </c>
      <c r="AIP18" s="1" t="s">
        <v>2503</v>
      </c>
      <c r="AIQ18" s="1" t="s">
        <v>2504</v>
      </c>
      <c r="AIR18" s="1" t="s">
        <v>2505</v>
      </c>
      <c r="AIS18" s="1" t="s">
        <v>2506</v>
      </c>
      <c r="AIT18" s="1" t="s">
        <v>2507</v>
      </c>
      <c r="AIU18" s="1" t="s">
        <v>2508</v>
      </c>
      <c r="AIV18" s="1" t="s">
        <v>2509</v>
      </c>
      <c r="AIW18" s="1" t="s">
        <v>2510</v>
      </c>
      <c r="AIX18" s="1" t="s">
        <v>2511</v>
      </c>
      <c r="AIY18" s="1" t="s">
        <v>2512</v>
      </c>
      <c r="AIZ18" s="1" t="s">
        <v>2513</v>
      </c>
      <c r="AJA18" s="1" t="s">
        <v>2514</v>
      </c>
      <c r="AJB18" s="1" t="s">
        <v>2515</v>
      </c>
      <c r="AJC18" s="1" t="s">
        <v>2516</v>
      </c>
      <c r="AJD18" s="1" t="s">
        <v>2517</v>
      </c>
      <c r="AJE18" s="1" t="s">
        <v>2518</v>
      </c>
      <c r="AJF18" s="1" t="s">
        <v>2519</v>
      </c>
      <c r="AJG18" s="1" t="s">
        <v>2520</v>
      </c>
      <c r="AJH18" s="1" t="s">
        <v>2521</v>
      </c>
      <c r="AJI18" s="1" t="s">
        <v>2522</v>
      </c>
      <c r="AJJ18" s="1" t="s">
        <v>2523</v>
      </c>
      <c r="AJK18" s="1" t="s">
        <v>2524</v>
      </c>
      <c r="AJL18" s="1" t="s">
        <v>2525</v>
      </c>
      <c r="AJM18" s="1" t="s">
        <v>2526</v>
      </c>
      <c r="AJN18" s="1" t="s">
        <v>2527</v>
      </c>
      <c r="AJO18" s="1" t="s">
        <v>2528</v>
      </c>
      <c r="AJP18" s="1" t="s">
        <v>2529</v>
      </c>
      <c r="AJQ18" s="1" t="s">
        <v>2530</v>
      </c>
      <c r="AJR18" s="1" t="s">
        <v>2531</v>
      </c>
      <c r="AJS18" s="1" t="s">
        <v>2532</v>
      </c>
      <c r="AJT18" s="1" t="s">
        <v>2533</v>
      </c>
      <c r="AJU18" s="1" t="s">
        <v>2534</v>
      </c>
      <c r="AJV18" s="1" t="s">
        <v>2535</v>
      </c>
      <c r="AJW18" s="1" t="s">
        <v>2536</v>
      </c>
      <c r="AJX18" s="1" t="s">
        <v>2537</v>
      </c>
      <c r="AJY18" s="1" t="s">
        <v>2538</v>
      </c>
      <c r="AJZ18" s="1" t="s">
        <v>2539</v>
      </c>
      <c r="AKA18" s="1" t="s">
        <v>2540</v>
      </c>
      <c r="AKB18" s="1" t="s">
        <v>2541</v>
      </c>
      <c r="AKC18" s="1" t="s">
        <v>2542</v>
      </c>
      <c r="AKD18" s="1" t="s">
        <v>2543</v>
      </c>
      <c r="AKE18" s="1" t="s">
        <v>2544</v>
      </c>
      <c r="AKF18" s="1" t="s">
        <v>2545</v>
      </c>
      <c r="AKG18" s="1" t="s">
        <v>2546</v>
      </c>
      <c r="AKH18" s="1" t="s">
        <v>2547</v>
      </c>
      <c r="AKI18" s="1" t="s">
        <v>2548</v>
      </c>
      <c r="AKJ18" s="1" t="s">
        <v>2549</v>
      </c>
      <c r="AKK18" s="1" t="s">
        <v>2550</v>
      </c>
      <c r="AKL18" s="1" t="s">
        <v>2551</v>
      </c>
      <c r="AKM18" s="1" t="s">
        <v>2552</v>
      </c>
      <c r="AKN18" s="1" t="s">
        <v>2553</v>
      </c>
      <c r="AKO18" s="1" t="s">
        <v>2554</v>
      </c>
      <c r="AKP18" s="1" t="s">
        <v>2555</v>
      </c>
      <c r="AKQ18" s="1" t="s">
        <v>2556</v>
      </c>
      <c r="AKR18" s="1" t="s">
        <v>2557</v>
      </c>
      <c r="AKS18" s="1" t="s">
        <v>2558</v>
      </c>
      <c r="AKT18" s="1" t="s">
        <v>2559</v>
      </c>
      <c r="AKU18" s="1" t="s">
        <v>2560</v>
      </c>
      <c r="AKV18" s="1" t="s">
        <v>2561</v>
      </c>
      <c r="AKW18" s="1" t="s">
        <v>2562</v>
      </c>
      <c r="AKX18" s="1" t="s">
        <v>2563</v>
      </c>
      <c r="AKY18" s="1" t="s">
        <v>2564</v>
      </c>
      <c r="AKZ18" s="1" t="s">
        <v>2565</v>
      </c>
      <c r="ALA18" s="1" t="s">
        <v>2566</v>
      </c>
      <c r="ALB18" s="1" t="s">
        <v>2567</v>
      </c>
      <c r="ALC18" s="1" t="s">
        <v>2568</v>
      </c>
      <c r="ALD18" s="1" t="s">
        <v>2569</v>
      </c>
      <c r="ALE18" s="1" t="s">
        <v>2570</v>
      </c>
      <c r="ALF18" s="1" t="s">
        <v>2571</v>
      </c>
      <c r="ALG18" s="1" t="s">
        <v>2572</v>
      </c>
      <c r="ALH18" s="1" t="s">
        <v>2573</v>
      </c>
      <c r="ALI18" s="1" t="s">
        <v>2574</v>
      </c>
      <c r="ALJ18" s="1" t="s">
        <v>2575</v>
      </c>
      <c r="ALK18" s="1" t="s">
        <v>2576</v>
      </c>
      <c r="ALL18" s="1" t="s">
        <v>2577</v>
      </c>
      <c r="ALM18" s="1" t="s">
        <v>2578</v>
      </c>
      <c r="ALN18" s="1" t="s">
        <v>2579</v>
      </c>
      <c r="ALO18" s="1" t="s">
        <v>2580</v>
      </c>
      <c r="ALP18" s="1" t="s">
        <v>2581</v>
      </c>
      <c r="ALQ18" s="1" t="s">
        <v>2582</v>
      </c>
      <c r="ALR18" s="1" t="s">
        <v>2583</v>
      </c>
      <c r="ALS18" s="1" t="s">
        <v>2584</v>
      </c>
      <c r="ALT18" s="1" t="s">
        <v>2585</v>
      </c>
      <c r="ALU18" s="1" t="s">
        <v>2586</v>
      </c>
      <c r="ALV18" s="1" t="s">
        <v>2587</v>
      </c>
      <c r="ALW18" s="1" t="s">
        <v>2588</v>
      </c>
      <c r="ALX18" s="1" t="s">
        <v>2589</v>
      </c>
      <c r="ALY18" s="1" t="s">
        <v>2590</v>
      </c>
      <c r="ALZ18" s="1" t="s">
        <v>2591</v>
      </c>
      <c r="AMA18" s="1" t="s">
        <v>2592</v>
      </c>
      <c r="AMB18" s="1" t="s">
        <v>2593</v>
      </c>
      <c r="AMC18" s="1" t="s">
        <v>2594</v>
      </c>
      <c r="AMD18" s="1" t="s">
        <v>2595</v>
      </c>
      <c r="AME18" s="1" t="s">
        <v>2596</v>
      </c>
      <c r="AMF18" s="1" t="s">
        <v>2597</v>
      </c>
      <c r="AMG18" s="1" t="s">
        <v>2598</v>
      </c>
      <c r="AMH18" s="1" t="s">
        <v>2599</v>
      </c>
    </row>
    <row r="19" spans="1:1022" ht="18.899999999999999" customHeight="1" thickBot="1" x14ac:dyDescent="0.5">
      <c r="G19" s="4"/>
      <c r="H19" s="4"/>
      <c r="I19" s="4"/>
      <c r="K19" s="5">
        <v>14</v>
      </c>
      <c r="L19" s="5" t="s">
        <v>243</v>
      </c>
      <c r="M19" s="5" t="s">
        <v>148</v>
      </c>
      <c r="DT19" s="39"/>
    </row>
    <row r="20" spans="1:1022" ht="18.899999999999999" customHeight="1" thickBot="1" x14ac:dyDescent="0.5">
      <c r="A20" s="27" t="s">
        <v>2600</v>
      </c>
      <c r="B20" s="27" t="s">
        <v>2601</v>
      </c>
      <c r="C20" s="27" t="s">
        <v>2602</v>
      </c>
      <c r="G20" s="27" t="s">
        <v>2603</v>
      </c>
      <c r="H20" s="27" t="s">
        <v>2604</v>
      </c>
      <c r="I20" s="4"/>
      <c r="K20" s="5">
        <v>15</v>
      </c>
      <c r="L20" s="5" t="s">
        <v>2605</v>
      </c>
      <c r="M20" s="5" t="s">
        <v>141</v>
      </c>
      <c r="O20" s="27" t="s">
        <v>131</v>
      </c>
      <c r="P20" s="27" t="s">
        <v>2606</v>
      </c>
      <c r="U20" s="28" t="s">
        <v>2607</v>
      </c>
    </row>
    <row r="21" spans="1:1022" ht="18.899999999999999" customHeight="1" x14ac:dyDescent="0.45">
      <c r="A21" s="5" t="s">
        <v>2608</v>
      </c>
      <c r="B21" s="5">
        <v>2</v>
      </c>
      <c r="C21" s="5" t="s">
        <v>2609</v>
      </c>
      <c r="G21" s="5" t="s">
        <v>2610</v>
      </c>
      <c r="H21" s="5" t="s">
        <v>2611</v>
      </c>
      <c r="I21" s="4"/>
      <c r="K21" s="5">
        <v>16</v>
      </c>
      <c r="L21" s="5" t="s">
        <v>2612</v>
      </c>
      <c r="M21" s="5" t="s">
        <v>148</v>
      </c>
      <c r="O21" s="5">
        <v>1</v>
      </c>
      <c r="P21" s="5" t="s">
        <v>2613</v>
      </c>
    </row>
    <row r="22" spans="1:1022" ht="18.899999999999999" customHeight="1" x14ac:dyDescent="0.45">
      <c r="A22" s="5" t="s">
        <v>2614</v>
      </c>
      <c r="B22" s="5">
        <v>4</v>
      </c>
      <c r="C22" s="5" t="s">
        <v>2608</v>
      </c>
      <c r="G22" s="5" t="s">
        <v>2611</v>
      </c>
      <c r="H22" s="5" t="s">
        <v>2610</v>
      </c>
      <c r="I22" s="4"/>
      <c r="K22" s="5">
        <v>17</v>
      </c>
      <c r="L22" s="5" t="s">
        <v>588</v>
      </c>
      <c r="M22" s="5" t="s">
        <v>148</v>
      </c>
      <c r="O22" s="5">
        <v>2</v>
      </c>
      <c r="P22" s="5" t="s">
        <v>2615</v>
      </c>
      <c r="U22" s="33" t="s">
        <v>2616</v>
      </c>
    </row>
    <row r="23" spans="1:1022" ht="18.899999999999999" customHeight="1" x14ac:dyDescent="0.45">
      <c r="G23" s="34" t="s">
        <v>2617</v>
      </c>
      <c r="H23" s="34" t="s">
        <v>2618</v>
      </c>
      <c r="I23" s="4"/>
      <c r="K23" s="5">
        <v>18</v>
      </c>
      <c r="L23" s="5" t="s">
        <v>194</v>
      </c>
      <c r="M23" s="5" t="s">
        <v>148</v>
      </c>
      <c r="O23" s="5">
        <v>3</v>
      </c>
      <c r="P23" s="5" t="s">
        <v>2619</v>
      </c>
      <c r="U23" s="2" t="s">
        <v>2620</v>
      </c>
    </row>
    <row r="24" spans="1:1022" ht="18.75" customHeight="1" x14ac:dyDescent="0.5">
      <c r="G24" s="34" t="s">
        <v>2618</v>
      </c>
      <c r="H24" s="34" t="s">
        <v>2617</v>
      </c>
      <c r="I24" s="4"/>
      <c r="K24" s="5">
        <v>19</v>
      </c>
      <c r="L24" s="5" t="s">
        <v>423</v>
      </c>
      <c r="M24" s="5" t="s">
        <v>148</v>
      </c>
      <c r="O24" s="5">
        <v>4</v>
      </c>
      <c r="P24" s="5" t="s">
        <v>2621</v>
      </c>
      <c r="U24" s="2" t="s">
        <v>2622</v>
      </c>
      <c r="AE24" s="41"/>
    </row>
    <row r="25" spans="1:1022" ht="18.899999999999999" customHeight="1" x14ac:dyDescent="0.45">
      <c r="G25" s="35" t="s">
        <v>2623</v>
      </c>
      <c r="H25" s="35" t="s">
        <v>2624</v>
      </c>
      <c r="I25" s="4"/>
      <c r="K25" s="5">
        <v>20</v>
      </c>
      <c r="L25" s="5" t="s">
        <v>2625</v>
      </c>
      <c r="M25" s="5" t="s">
        <v>148</v>
      </c>
      <c r="O25" s="5">
        <v>5</v>
      </c>
      <c r="P25" s="5" t="s">
        <v>2626</v>
      </c>
      <c r="U25" s="2" t="s">
        <v>2627</v>
      </c>
    </row>
    <row r="26" spans="1:1022" ht="18.899999999999999" customHeight="1" x14ac:dyDescent="0.45">
      <c r="G26" s="35" t="s">
        <v>2624</v>
      </c>
      <c r="H26" s="35" t="s">
        <v>2623</v>
      </c>
      <c r="I26" s="4"/>
      <c r="K26" s="5">
        <v>21</v>
      </c>
      <c r="L26" s="5" t="s">
        <v>162</v>
      </c>
      <c r="M26" s="5" t="s">
        <v>141</v>
      </c>
      <c r="O26" s="5">
        <v>6</v>
      </c>
      <c r="P26" s="5" t="s">
        <v>2628</v>
      </c>
      <c r="U26" s="2" t="s">
        <v>2629</v>
      </c>
    </row>
    <row r="27" spans="1:1022" ht="18.899999999999999" customHeight="1" x14ac:dyDescent="0.45">
      <c r="G27" s="34" t="s">
        <v>2630</v>
      </c>
      <c r="H27" s="34" t="s">
        <v>2631</v>
      </c>
      <c r="I27" s="4"/>
      <c r="K27" s="5">
        <v>22</v>
      </c>
      <c r="L27" s="5" t="s">
        <v>2632</v>
      </c>
      <c r="M27" s="5" t="s">
        <v>148</v>
      </c>
      <c r="O27" s="5">
        <v>7</v>
      </c>
      <c r="P27" s="5" t="s">
        <v>2633</v>
      </c>
      <c r="R27" s="44"/>
    </row>
    <row r="28" spans="1:1022" ht="18.899999999999999" customHeight="1" x14ac:dyDescent="0.45">
      <c r="G28" s="34" t="s">
        <v>2631</v>
      </c>
      <c r="H28" s="34" t="s">
        <v>2630</v>
      </c>
      <c r="I28" s="4"/>
      <c r="K28" s="5">
        <v>23</v>
      </c>
      <c r="L28" s="5" t="s">
        <v>516</v>
      </c>
      <c r="M28" s="5" t="s">
        <v>148</v>
      </c>
    </row>
    <row r="29" spans="1:1022" ht="18.899999999999999" customHeight="1" x14ac:dyDescent="0.45">
      <c r="G29" s="4"/>
      <c r="H29" s="4"/>
      <c r="I29" s="4"/>
      <c r="K29" s="5">
        <v>24</v>
      </c>
      <c r="L29" s="5" t="s">
        <v>2634</v>
      </c>
      <c r="M29" s="5" t="s">
        <v>148</v>
      </c>
      <c r="U29" s="42"/>
    </row>
    <row r="30" spans="1:1022" ht="18.899999999999999" customHeight="1" x14ac:dyDescent="0.45">
      <c r="G30" s="4"/>
      <c r="H30" s="4"/>
      <c r="I30" s="4"/>
      <c r="K30" s="5">
        <v>25</v>
      </c>
      <c r="L30" s="5" t="s">
        <v>2635</v>
      </c>
      <c r="M30" s="5" t="s">
        <v>148</v>
      </c>
      <c r="R30" s="43"/>
    </row>
    <row r="31" spans="1:1022" ht="18.899999999999999" customHeight="1" x14ac:dyDescent="0.45">
      <c r="F31" s="4"/>
      <c r="G31" s="4"/>
      <c r="H31" s="4"/>
      <c r="I31" s="4"/>
      <c r="K31" s="5">
        <v>26</v>
      </c>
      <c r="L31" s="5" t="s">
        <v>2636</v>
      </c>
      <c r="M31" s="5" t="s">
        <v>148</v>
      </c>
    </row>
    <row r="32" spans="1:1022" ht="19.25" customHeight="1" thickBot="1" x14ac:dyDescent="0.55000000000000004">
      <c r="A32" s="15" t="s">
        <v>2637</v>
      </c>
    </row>
    <row r="33" spans="1:21" ht="18" customHeight="1" thickBot="1" x14ac:dyDescent="0.55000000000000004">
      <c r="A33" s="74" t="s">
        <v>0</v>
      </c>
      <c r="B33" s="75"/>
      <c r="C33" s="75"/>
      <c r="D33" s="75"/>
      <c r="E33" s="76"/>
      <c r="F33" s="74" t="s">
        <v>2</v>
      </c>
      <c r="G33" s="75"/>
      <c r="H33" s="75"/>
      <c r="I33" s="75"/>
      <c r="J33" s="75"/>
      <c r="K33" s="75"/>
      <c r="L33" s="75"/>
      <c r="M33" s="75"/>
      <c r="N33" s="75"/>
      <c r="O33" s="75"/>
      <c r="P33" s="75"/>
      <c r="Q33" s="75"/>
      <c r="R33" s="75"/>
      <c r="S33" s="75"/>
      <c r="T33" s="75"/>
      <c r="U33" s="76"/>
    </row>
    <row r="34" spans="1:21" ht="19.25" customHeight="1" x14ac:dyDescent="0.45">
      <c r="A34" s="78" t="s">
        <v>2638</v>
      </c>
      <c r="B34" s="70"/>
      <c r="C34" s="70"/>
      <c r="D34" s="70"/>
      <c r="E34" s="70"/>
      <c r="F34" s="26" t="s">
        <v>2639</v>
      </c>
      <c r="G34" s="26"/>
    </row>
    <row r="35" spans="1:21" ht="19.25" customHeight="1" x14ac:dyDescent="0.45">
      <c r="A35" s="82" t="s">
        <v>2640</v>
      </c>
      <c r="B35" s="70"/>
      <c r="C35" s="70"/>
      <c r="D35" s="70"/>
      <c r="E35" s="70"/>
      <c r="F35" s="26" t="s">
        <v>2641</v>
      </c>
      <c r="G35" s="26"/>
    </row>
    <row r="36" spans="1:21" ht="19.25" customHeight="1" x14ac:dyDescent="0.45">
      <c r="A36" s="78" t="s">
        <v>2642</v>
      </c>
      <c r="B36" s="70"/>
      <c r="C36" s="70"/>
      <c r="D36" s="70"/>
      <c r="E36" s="70"/>
      <c r="F36" s="2" t="s">
        <v>2643</v>
      </c>
    </row>
    <row r="37" spans="1:21" ht="19.25" customHeight="1" x14ac:dyDescent="0.45">
      <c r="A37" s="78" t="s">
        <v>2644</v>
      </c>
      <c r="B37" s="70"/>
      <c r="C37" s="70"/>
      <c r="D37" s="70"/>
      <c r="E37" s="70"/>
      <c r="F37" s="2" t="s">
        <v>2645</v>
      </c>
    </row>
    <row r="38" spans="1:21" ht="19.25" customHeight="1" x14ac:dyDescent="0.45">
      <c r="A38" s="82" t="s">
        <v>2646</v>
      </c>
      <c r="B38" s="70"/>
      <c r="C38" s="70"/>
      <c r="D38" s="70"/>
      <c r="E38" s="70"/>
      <c r="F38" s="26" t="s">
        <v>2647</v>
      </c>
      <c r="G38" s="26"/>
    </row>
    <row r="39" spans="1:21" ht="19.25" customHeight="1" x14ac:dyDescent="0.45">
      <c r="B39" s="25"/>
      <c r="F39" s="26"/>
      <c r="G39" s="26"/>
    </row>
    <row r="40" spans="1:21" ht="19.25" customHeight="1" thickBot="1" x14ac:dyDescent="0.55000000000000004">
      <c r="A40" s="15" t="s">
        <v>2648</v>
      </c>
    </row>
    <row r="41" spans="1:21" ht="17.399999999999999" customHeight="1" thickBot="1" x14ac:dyDescent="0.5">
      <c r="A41" s="28" t="s">
        <v>2649</v>
      </c>
      <c r="B41" s="29" t="s">
        <v>2</v>
      </c>
      <c r="C41" s="29"/>
      <c r="D41" s="29"/>
      <c r="E41" s="30"/>
      <c r="F41" s="29" t="s">
        <v>2650</v>
      </c>
      <c r="G41" s="29" t="s">
        <v>2651</v>
      </c>
      <c r="H41" s="29" t="s">
        <v>2652</v>
      </c>
      <c r="I41" s="29"/>
      <c r="J41" s="29"/>
      <c r="K41" s="29"/>
      <c r="L41" s="29" t="s">
        <v>2651</v>
      </c>
      <c r="M41" s="29" t="s">
        <v>2652</v>
      </c>
      <c r="N41" s="29"/>
      <c r="O41" s="29"/>
      <c r="P41" s="29"/>
      <c r="Q41" s="29"/>
      <c r="R41" s="29"/>
      <c r="S41" s="29"/>
      <c r="T41" s="29"/>
    </row>
    <row r="42" spans="1:21" ht="17.399999999999999" customHeight="1" x14ac:dyDescent="0.45">
      <c r="A42" s="16" t="s">
        <v>2653</v>
      </c>
      <c r="B42" s="17" t="s">
        <v>2654</v>
      </c>
      <c r="C42" s="18"/>
      <c r="D42" s="18"/>
      <c r="E42" s="19"/>
      <c r="F42" s="16" t="s">
        <v>2653</v>
      </c>
      <c r="G42" s="16" t="s">
        <v>2655</v>
      </c>
      <c r="H42" s="22" t="str">
        <f t="array" ref="H42:K42">_xlfn.REGEXEXTRACT(G42,F42,1)</f>
        <v>2</v>
      </c>
      <c r="I42" s="22" t="str">
        <v>0</v>
      </c>
      <c r="J42" s="22" t="str">
        <v>2</v>
      </c>
      <c r="K42" s="22" t="str">
        <v>5</v>
      </c>
      <c r="L42" s="16" t="s">
        <v>2656</v>
      </c>
      <c r="M42" s="22" t="str">
        <f t="array" ref="M42:O42">_xlfn.REGEXEXTRACT(L42,F42,1)</f>
        <v>1</v>
      </c>
      <c r="N42" s="22" t="str">
        <v>3</v>
      </c>
      <c r="O42" s="22" t="str">
        <v>5</v>
      </c>
      <c r="P42" s="22"/>
      <c r="Q42" s="22"/>
      <c r="R42" s="22"/>
      <c r="S42" s="22"/>
      <c r="T42" s="22"/>
    </row>
    <row r="43" spans="1:21" ht="17.399999999999999" customHeight="1" x14ac:dyDescent="0.45">
      <c r="A43" s="16" t="s">
        <v>2657</v>
      </c>
      <c r="B43" s="17" t="s">
        <v>2658</v>
      </c>
      <c r="C43" s="18"/>
      <c r="D43" s="18"/>
      <c r="E43" s="19"/>
      <c r="F43" s="16" t="s">
        <v>2657</v>
      </c>
      <c r="G43" s="16" t="s">
        <v>2655</v>
      </c>
      <c r="H43" s="22" t="str">
        <f t="array" ref="H43">_xlfn.REGEXEXTRACT(G43,F43,1)</f>
        <v>2025</v>
      </c>
      <c r="I43" s="22"/>
      <c r="J43" s="22"/>
      <c r="K43" s="22"/>
      <c r="L43" s="16" t="s">
        <v>2656</v>
      </c>
      <c r="M43" s="22" t="str">
        <f t="array" ref="M43:N43">_xlfn.REGEXEXTRACT(L43,F43,1)</f>
        <v>1</v>
      </c>
      <c r="N43" s="22" t="str">
        <v>35</v>
      </c>
      <c r="O43" s="22"/>
      <c r="P43" s="22"/>
      <c r="Q43" s="22"/>
      <c r="R43" s="22"/>
      <c r="S43" s="22"/>
      <c r="T43" s="22"/>
    </row>
    <row r="44" spans="1:21" ht="17.399999999999999" customHeight="1" x14ac:dyDescent="0.45">
      <c r="A44" s="16" t="s">
        <v>2659</v>
      </c>
      <c r="B44" s="17" t="s">
        <v>2660</v>
      </c>
      <c r="C44" s="18"/>
      <c r="D44" s="18"/>
      <c r="E44" s="19"/>
      <c r="F44" s="16" t="s">
        <v>2661</v>
      </c>
      <c r="G44" s="16" t="s">
        <v>2662</v>
      </c>
      <c r="H44" s="22" t="str">
        <f t="array" ref="H44:I44">_xlfn.REGEXEXTRACT(G44,F44,1)</f>
        <v>A</v>
      </c>
      <c r="I44" s="22" t="str">
        <v>A2025</v>
      </c>
      <c r="J44" s="22"/>
      <c r="K44" s="22"/>
      <c r="L44" s="16" t="s">
        <v>2656</v>
      </c>
      <c r="M44" s="22" t="str">
        <f t="array" ref="M44">_xlfn.REGEXEXTRACT(L44,F44,1)</f>
        <v>A1</v>
      </c>
      <c r="N44" s="22"/>
      <c r="O44" s="22"/>
      <c r="P44" s="22"/>
      <c r="Q44" s="22"/>
      <c r="R44" s="22"/>
      <c r="S44" s="22"/>
      <c r="T44" s="22"/>
    </row>
    <row r="45" spans="1:21" ht="17.25" customHeight="1" x14ac:dyDescent="0.45">
      <c r="A45" s="16" t="s">
        <v>2663</v>
      </c>
      <c r="B45" s="17" t="s">
        <v>2664</v>
      </c>
      <c r="C45" s="18"/>
      <c r="D45" s="18"/>
      <c r="E45" s="19"/>
      <c r="F45" s="16" t="s">
        <v>2663</v>
      </c>
      <c r="G45" s="16" t="s">
        <v>2655</v>
      </c>
      <c r="H45" s="22" t="str">
        <f t="array" ref="H45:K45">_xlfn.REGEXEXTRACT(G45,F45,1)</f>
        <v>M</v>
      </c>
      <c r="I45" s="22" t="str">
        <v>E</v>
      </c>
      <c r="J45" s="22" t="str">
        <v>W</v>
      </c>
      <c r="K45" s="22" t="str">
        <v>C</v>
      </c>
      <c r="L45" s="16" t="s">
        <v>2656</v>
      </c>
      <c r="M45" s="22" t="str">
        <f t="array" ref="M45:Q45">_xlfn.REGEXEXTRACT(L45,F45,1)</f>
        <v>A</v>
      </c>
      <c r="N45" s="22" t="str">
        <v xml:space="preserve"> </v>
      </c>
      <c r="O45" s="22" t="str">
        <v>-</v>
      </c>
      <c r="P45" s="22" t="str">
        <v xml:space="preserve"> </v>
      </c>
      <c r="Q45" s="22" t="str">
        <v>C</v>
      </c>
      <c r="R45" s="22"/>
      <c r="S45" s="22"/>
      <c r="T45" s="22"/>
    </row>
    <row r="46" spans="1:21" ht="17.399999999999999" customHeight="1" x14ac:dyDescent="0.45">
      <c r="A46" s="16" t="s">
        <v>2665</v>
      </c>
      <c r="B46" s="17" t="s">
        <v>2666</v>
      </c>
      <c r="C46" s="18"/>
      <c r="D46" s="18"/>
      <c r="E46" s="19"/>
      <c r="F46" s="16" t="s">
        <v>2665</v>
      </c>
      <c r="G46" s="16" t="s">
        <v>2655</v>
      </c>
      <c r="H46" s="22" t="str">
        <f t="array" ref="H46">_xlfn.REGEXEXTRACT(G46,F46,1)</f>
        <v>MEWC</v>
      </c>
      <c r="I46" s="22"/>
      <c r="J46" s="22"/>
      <c r="K46" s="22"/>
      <c r="L46" s="16" t="s">
        <v>2656</v>
      </c>
      <c r="M46" s="22" t="str">
        <f t="array" ref="M46:N46">_xlfn.REGEXEXTRACT(L46,F46,1)</f>
        <v>A</v>
      </c>
      <c r="N46" s="22" t="str">
        <v xml:space="preserve"> - C</v>
      </c>
      <c r="O46" s="22"/>
      <c r="P46" s="22"/>
      <c r="Q46" s="22"/>
      <c r="R46" s="22"/>
      <c r="S46" s="22"/>
      <c r="T46" s="22"/>
    </row>
    <row r="47" spans="1:21" ht="17.399999999999999" customHeight="1" x14ac:dyDescent="0.45">
      <c r="A47" s="16" t="s">
        <v>2667</v>
      </c>
      <c r="B47" s="17" t="s">
        <v>2668</v>
      </c>
      <c r="C47" s="18"/>
      <c r="D47" s="18"/>
      <c r="E47" s="19"/>
      <c r="F47" s="16" t="s">
        <v>2669</v>
      </c>
      <c r="G47" s="16" t="s">
        <v>2655</v>
      </c>
      <c r="H47" s="22" t="str">
        <f t="array" ref="H47">_xlfn.REGEXEXTRACT(G47,F47,1)</f>
        <v>C2</v>
      </c>
      <c r="I47" s="22"/>
      <c r="J47" s="22"/>
      <c r="K47" s="22"/>
      <c r="L47" s="16" t="s">
        <v>2656</v>
      </c>
      <c r="M47" s="22" t="str">
        <f t="array" ref="M47">_xlfn.REGEXEXTRACT(L47,F47,1)</f>
        <v>C3</v>
      </c>
      <c r="N47" s="22"/>
      <c r="O47" s="22"/>
      <c r="P47" s="22"/>
      <c r="Q47" s="22"/>
      <c r="R47" s="22"/>
      <c r="S47" s="22"/>
      <c r="T47" s="22"/>
    </row>
    <row r="48" spans="1:21" ht="17.399999999999999" customHeight="1" x14ac:dyDescent="0.45">
      <c r="A48" s="16" t="s">
        <v>2670</v>
      </c>
      <c r="B48" s="17" t="s">
        <v>2671</v>
      </c>
      <c r="C48" s="18"/>
      <c r="D48" s="18"/>
      <c r="E48" s="19"/>
      <c r="F48" s="16" t="s">
        <v>2672</v>
      </c>
      <c r="G48" s="16" t="s">
        <v>2655</v>
      </c>
      <c r="H48" s="22" t="str">
        <f t="array" ref="H48">_xlfn.REGEXEXTRACT(G48,F48,1)</f>
        <v>C2025</v>
      </c>
      <c r="I48" s="22"/>
      <c r="J48" s="22"/>
      <c r="K48" s="22"/>
      <c r="L48" s="16" t="s">
        <v>2656</v>
      </c>
      <c r="M48" s="22" t="str">
        <f t="array" ref="M48">_xlfn.REGEXEXTRACT(L48,F48,1)</f>
        <v>C35</v>
      </c>
      <c r="N48" s="22"/>
      <c r="O48" s="22"/>
      <c r="P48" s="22"/>
      <c r="Q48" s="22"/>
      <c r="R48" s="22"/>
      <c r="S48" s="22"/>
      <c r="T48" s="22"/>
    </row>
    <row r="49" spans="1:20" ht="17.399999999999999" customHeight="1" x14ac:dyDescent="0.45">
      <c r="A49" s="16" t="s">
        <v>2673</v>
      </c>
      <c r="B49" s="17" t="s">
        <v>2674</v>
      </c>
      <c r="C49" s="18"/>
      <c r="D49" s="18"/>
      <c r="E49" s="19"/>
      <c r="F49" s="20" t="s">
        <v>2675</v>
      </c>
      <c r="G49" s="16" t="s">
        <v>2676</v>
      </c>
      <c r="H49" s="22" t="str">
        <f t="array" ref="H49:I49">_xlfn.REGEXEXTRACT(G49,F49,1)</f>
        <v>3</v>
      </c>
      <c r="I49" s="22" t="str">
        <v>-5</v>
      </c>
      <c r="J49" s="22"/>
      <c r="K49" s="22"/>
      <c r="L49" s="16" t="s">
        <v>2677</v>
      </c>
      <c r="M49" s="22" t="str">
        <f t="array" ref="M49:O49">_xlfn.REGEXEXTRACT(L49,F49,1)</f>
        <v>9</v>
      </c>
      <c r="N49" s="22" t="str">
        <v>-3</v>
      </c>
      <c r="O49" s="22" t="str">
        <v>0</v>
      </c>
      <c r="P49" s="22"/>
      <c r="Q49" s="22"/>
      <c r="R49" s="22"/>
      <c r="S49" s="22"/>
      <c r="T49" s="22"/>
    </row>
    <row r="50" spans="1:20" ht="17.399999999999999" customHeight="1" x14ac:dyDescent="0.45">
      <c r="A50" s="16" t="s">
        <v>2678</v>
      </c>
      <c r="B50" s="17" t="s">
        <v>2679</v>
      </c>
      <c r="C50" s="18"/>
      <c r="D50" s="18"/>
      <c r="E50" s="19"/>
      <c r="F50" s="16" t="s">
        <v>2678</v>
      </c>
      <c r="G50" s="16" t="s">
        <v>2680</v>
      </c>
      <c r="H50" s="22" t="str">
        <f t="array" ref="H50:K50">_xlfn.REGEXEXTRACT(G50,F50,1)</f>
        <v>a</v>
      </c>
      <c r="I50" s="22" t="str">
        <v>4</v>
      </c>
      <c r="J50" s="22" t="str">
        <v>_</v>
      </c>
      <c r="K50" s="22" t="str">
        <v>3</v>
      </c>
      <c r="L50" s="16" t="s">
        <v>2681</v>
      </c>
      <c r="M50" s="22" t="str">
        <f t="array" ref="M50:P50">_xlfn.REGEXEXTRACT(L50,F50,1)</f>
        <v>H</v>
      </c>
      <c r="N50" s="22" t="str">
        <v>i</v>
      </c>
      <c r="O50" s="22" t="str">
        <v>2</v>
      </c>
      <c r="P50" s="22" t="str">
        <v>u</v>
      </c>
      <c r="Q50" s="22"/>
      <c r="R50" s="22"/>
      <c r="S50" s="22"/>
      <c r="T50" s="22"/>
    </row>
    <row r="51" spans="1:20" ht="17.399999999999999" customHeight="1" x14ac:dyDescent="0.45">
      <c r="A51" s="16" t="s">
        <v>2682</v>
      </c>
      <c r="B51" s="17" t="s">
        <v>2683</v>
      </c>
      <c r="C51" s="18"/>
      <c r="D51" s="18"/>
      <c r="E51" s="19"/>
      <c r="F51" s="16" t="s">
        <v>2682</v>
      </c>
      <c r="G51" s="16" t="s">
        <v>2680</v>
      </c>
      <c r="H51" s="22" t="str">
        <f t="array" ref="H51:K51">_xlfn.REGEXEXTRACT(G51,F51,1)</f>
        <v>.</v>
      </c>
      <c r="I51" s="22" t="str">
        <v>!</v>
      </c>
      <c r="J51" s="22" t="str">
        <v>-</v>
      </c>
      <c r="K51" s="22" t="str">
        <v>_</v>
      </c>
      <c r="L51" s="16" t="s">
        <v>2681</v>
      </c>
      <c r="M51" s="22" t="str">
        <f t="array" ref="M51:N51">_xlfn.REGEXEXTRACT(L51,F51,1)</f>
        <v>,</v>
      </c>
      <c r="N51" s="22" t="str">
        <v>!</v>
      </c>
      <c r="O51" s="22"/>
      <c r="P51" s="22"/>
      <c r="Q51" s="22"/>
      <c r="R51" s="22"/>
      <c r="S51" s="22"/>
      <c r="T51" s="22"/>
    </row>
    <row r="52" spans="1:20" ht="17.399999999999999" customHeight="1" x14ac:dyDescent="0.45">
      <c r="A52" s="16" t="s">
        <v>2684</v>
      </c>
      <c r="B52" s="17" t="s">
        <v>2685</v>
      </c>
      <c r="C52" s="18"/>
      <c r="D52" s="18"/>
      <c r="E52" s="19"/>
      <c r="F52" s="16" t="s">
        <v>2684</v>
      </c>
      <c r="G52" s="16" t="s">
        <v>2655</v>
      </c>
      <c r="H52" s="22" t="e" vm="1">
        <f t="array" ref="H52">_xlfn.REGEXEXTRACT(G52,F52,1)</f>
        <v>#N/A</v>
      </c>
      <c r="I52" s="22"/>
      <c r="J52" s="22"/>
      <c r="K52" s="22"/>
      <c r="L52" s="16" t="s">
        <v>2656</v>
      </c>
      <c r="M52" s="22" t="str">
        <f t="array" ref="M52:N52">_xlfn.REGEXEXTRACT(L52,F52,1)</f>
        <v xml:space="preserve"> </v>
      </c>
      <c r="N52" s="22" t="str">
        <v xml:space="preserve"> </v>
      </c>
      <c r="O52" s="22"/>
      <c r="P52" s="22"/>
      <c r="Q52" s="22"/>
      <c r="R52" s="22"/>
      <c r="S52" s="22"/>
      <c r="T52" s="22"/>
    </row>
    <row r="53" spans="1:20" ht="17.399999999999999" customHeight="1" x14ac:dyDescent="0.45">
      <c r="A53" s="16" t="s">
        <v>2686</v>
      </c>
      <c r="B53" s="17" t="s">
        <v>2687</v>
      </c>
      <c r="C53" s="18"/>
      <c r="D53" s="18"/>
      <c r="E53" s="19"/>
      <c r="F53" s="16" t="s">
        <v>2686</v>
      </c>
      <c r="G53" s="16" t="s">
        <v>2688</v>
      </c>
      <c r="H53" s="22" t="str">
        <f t="array" ref="H53:I53">_xlfn.REGEXEXTRACT(G53,F53,1)</f>
        <v>x</v>
      </c>
      <c r="I53" s="22" t="str">
        <v>9</v>
      </c>
      <c r="J53" s="22"/>
      <c r="K53" s="22"/>
      <c r="L53" s="16" t="s">
        <v>2655</v>
      </c>
      <c r="M53" s="22" t="str">
        <f t="array" ref="M53:T53">_xlfn.REGEXEXTRACT(L53,F53,1)</f>
        <v>M</v>
      </c>
      <c r="N53" s="22" t="str">
        <v>E</v>
      </c>
      <c r="O53" s="22" t="str">
        <v>W</v>
      </c>
      <c r="P53" s="22" t="str">
        <v>C</v>
      </c>
      <c r="Q53" s="22" t="str">
        <v>2</v>
      </c>
      <c r="R53" s="22" t="str">
        <v>0</v>
      </c>
      <c r="S53" s="22" t="str">
        <v>2</v>
      </c>
      <c r="T53" s="22" t="str">
        <v>5</v>
      </c>
    </row>
    <row r="54" spans="1:20" ht="17.399999999999999" customHeight="1" x14ac:dyDescent="0.45">
      <c r="A54" s="16" t="s">
        <v>2689</v>
      </c>
      <c r="B54" s="17" t="s">
        <v>2690</v>
      </c>
      <c r="C54" s="18"/>
      <c r="D54" s="18"/>
      <c r="E54" s="19"/>
      <c r="F54" s="20" t="s">
        <v>2689</v>
      </c>
      <c r="G54" s="16" t="s">
        <v>2691</v>
      </c>
      <c r="H54" s="22" t="str">
        <f t="array" ref="H54:K54">_xlfn.REGEXEXTRACT(G54,F54,1)</f>
        <v>x</v>
      </c>
      <c r="I54" s="22" t="str">
        <v>😍</v>
      </c>
      <c r="J54" s="22" t="str">
        <v>🏴‍☠️</v>
      </c>
      <c r="K54" s="22" t="str">
        <v>👪</v>
      </c>
      <c r="L54" s="16" t="s">
        <v>2692</v>
      </c>
      <c r="M54" s="22" t="str">
        <f t="array" ref="M54:O54">_xlfn.REGEXEXTRACT(L54,F54,1)</f>
        <v>A</v>
      </c>
      <c r="N54" s="22" t="str">
        <v>B</v>
      </c>
      <c r="O54" s="22" t="str">
        <v>🍌</v>
      </c>
      <c r="P54" s="22"/>
      <c r="Q54" s="22"/>
      <c r="R54" s="22"/>
      <c r="S54" s="22"/>
      <c r="T54" s="22"/>
    </row>
    <row r="55" spans="1:20" ht="17.399999999999999" customHeight="1" x14ac:dyDescent="0.45">
      <c r="A55" s="16" t="s">
        <v>2693</v>
      </c>
      <c r="B55" s="17" t="s">
        <v>2694</v>
      </c>
      <c r="C55" s="18"/>
      <c r="D55" s="18"/>
      <c r="E55" s="19"/>
      <c r="F55" s="16" t="s">
        <v>2695</v>
      </c>
      <c r="G55" s="1" t="s">
        <v>2696</v>
      </c>
      <c r="H55" s="22" t="str">
        <f t="array" ref="H55">_xlfn.REGEXEXTRACT(G55,F55,1)</f>
        <v>hog</v>
      </c>
      <c r="I55" s="22"/>
      <c r="J55" s="22"/>
      <c r="K55" s="22"/>
      <c r="L55" s="16" t="s">
        <v>2697</v>
      </c>
      <c r="M55" s="22" t="e" vm="1">
        <f t="array" ref="M55">_xlfn.REGEXEXTRACT(L55,F55,1)</f>
        <v>#N/A</v>
      </c>
      <c r="N55" s="22"/>
      <c r="O55" s="22"/>
      <c r="P55" s="22"/>
      <c r="Q55" s="22"/>
      <c r="R55" s="22"/>
      <c r="S55" s="22"/>
      <c r="T55" s="22"/>
    </row>
    <row r="56" spans="1:20" ht="17.399999999999999" customHeight="1" x14ac:dyDescent="0.45">
      <c r="A56" s="16" t="s">
        <v>2698</v>
      </c>
      <c r="B56" s="17" t="s">
        <v>2699</v>
      </c>
      <c r="C56" s="18"/>
      <c r="D56" s="18"/>
      <c r="E56" s="19"/>
      <c r="F56" s="16" t="s">
        <v>2700</v>
      </c>
      <c r="G56" s="1" t="s">
        <v>2696</v>
      </c>
      <c r="H56" s="22" t="e" vm="1">
        <f t="array" ref="H56">_xlfn.REGEXEXTRACT(G56,F56,1)</f>
        <v>#N/A</v>
      </c>
      <c r="I56" s="22"/>
      <c r="J56" s="22"/>
      <c r="K56" s="22"/>
      <c r="L56" s="16" t="s">
        <v>2697</v>
      </c>
      <c r="M56" s="22" t="str">
        <f t="array" ref="M56">_xlfn.REGEXEXTRACT(L56,F56,1)</f>
        <v>bog</v>
      </c>
      <c r="N56" s="22"/>
      <c r="O56" s="22"/>
      <c r="P56" s="22"/>
      <c r="Q56" s="22"/>
      <c r="R56" s="22"/>
      <c r="S56" s="22"/>
      <c r="T56" s="22"/>
    </row>
    <row r="57" spans="1:20" ht="17.399999999999999" customHeight="1" x14ac:dyDescent="0.45">
      <c r="A57" s="16" t="s">
        <v>2701</v>
      </c>
      <c r="B57" s="17" t="s">
        <v>2702</v>
      </c>
      <c r="C57" s="18"/>
      <c r="D57" s="18"/>
      <c r="E57" s="19"/>
      <c r="F57" s="16" t="s">
        <v>2703</v>
      </c>
      <c r="G57" s="16" t="s">
        <v>2704</v>
      </c>
      <c r="H57" s="22" t="str">
        <f t="array" ref="H57:J57">_xlfn.REGEXEXTRACT(G57,F57,1)</f>
        <v>M</v>
      </c>
      <c r="I57" s="22" t="str">
        <v>E</v>
      </c>
      <c r="J57" s="22" t="str">
        <v>c</v>
      </c>
      <c r="K57" s="22"/>
      <c r="L57" s="16" t="s">
        <v>2656</v>
      </c>
      <c r="M57" s="22" t="str">
        <f t="array" ref="M57:N57">_xlfn.REGEXEXTRACT(L57,F57,1)</f>
        <v>A</v>
      </c>
      <c r="N57" s="22" t="str">
        <v>C</v>
      </c>
      <c r="O57" s="22"/>
      <c r="P57" s="22"/>
      <c r="Q57" s="22"/>
      <c r="R57" s="22"/>
      <c r="S57" s="22"/>
      <c r="T57" s="22"/>
    </row>
    <row r="58" spans="1:20" ht="17.399999999999999" customHeight="1" x14ac:dyDescent="0.45">
      <c r="A58" s="16" t="s">
        <v>2705</v>
      </c>
      <c r="B58" s="17" t="s">
        <v>2706</v>
      </c>
      <c r="C58" s="18"/>
      <c r="D58" s="18"/>
      <c r="E58" s="19"/>
      <c r="F58" s="16" t="s">
        <v>2707</v>
      </c>
      <c r="G58" s="16" t="s">
        <v>2708</v>
      </c>
      <c r="H58" s="22" t="str">
        <f t="array" ref="H58:I58">_xlfn.REGEXEXTRACT(G58,F58,1)</f>
        <v>xxx</v>
      </c>
      <c r="I58" s="22" t="str">
        <v>xxx</v>
      </c>
      <c r="J58" s="22"/>
      <c r="K58" s="22"/>
      <c r="L58" s="16" t="s">
        <v>2709</v>
      </c>
      <c r="M58" s="22" t="str">
        <f t="array" ref="M58">_xlfn.REGEXEXTRACT(L58,F58,1)</f>
        <v>xxx</v>
      </c>
      <c r="N58" s="22"/>
      <c r="O58" s="22"/>
      <c r="P58" s="22"/>
      <c r="Q58" s="22"/>
      <c r="R58" s="22"/>
      <c r="S58" s="22"/>
      <c r="T58" s="22"/>
    </row>
    <row r="59" spans="1:20" ht="17.399999999999999" customHeight="1" x14ac:dyDescent="0.45">
      <c r="A59" s="16" t="s">
        <v>2710</v>
      </c>
      <c r="B59" s="17" t="s">
        <v>2711</v>
      </c>
      <c r="C59" s="18"/>
      <c r="D59" s="18"/>
      <c r="E59" s="19"/>
      <c r="F59" s="16" t="s">
        <v>2712</v>
      </c>
      <c r="G59" s="16" t="s">
        <v>2708</v>
      </c>
      <c r="H59" s="22" t="str">
        <f t="array" ref="H59:K59">_xlfn.REGEXEXTRACT(G59,F59,1)</f>
        <v>xx</v>
      </c>
      <c r="I59" s="22" t="str">
        <v>xx</v>
      </c>
      <c r="J59" s="22" t="str">
        <v>xx</v>
      </c>
      <c r="K59" s="22" t="str">
        <v>x</v>
      </c>
      <c r="L59" s="16" t="s">
        <v>2713</v>
      </c>
      <c r="M59" s="22" t="str">
        <f t="array" ref="M59:Q59">_xlfn.REGEXEXTRACT(L59,F59,1)</f>
        <v>xx</v>
      </c>
      <c r="N59" s="22" t="str">
        <v>xx</v>
      </c>
      <c r="O59" s="22" t="str">
        <v>x</v>
      </c>
      <c r="P59" s="22" t="str">
        <v>xx</v>
      </c>
      <c r="Q59" s="22" t="str">
        <v>x</v>
      </c>
      <c r="R59" s="22"/>
      <c r="S59" s="22"/>
      <c r="T59" s="22"/>
    </row>
    <row r="60" spans="1:20" ht="35.25" customHeight="1" x14ac:dyDescent="0.45">
      <c r="A60" s="16" t="s">
        <v>2714</v>
      </c>
      <c r="B60" s="17" t="s">
        <v>2715</v>
      </c>
      <c r="C60" s="18"/>
      <c r="D60" s="18"/>
      <c r="E60" s="19"/>
      <c r="F60" s="16" t="s">
        <v>2716</v>
      </c>
      <c r="G60" s="21" t="s">
        <v>2717</v>
      </c>
      <c r="H60" s="22" t="str">
        <f t="array" ref="H60">_xlfn.REGEXEXTRACT(G60,F60,1)</f>
        <v>h</v>
      </c>
      <c r="I60" s="22"/>
      <c r="J60" s="22"/>
      <c r="K60" s="22"/>
      <c r="L60" s="16" t="s">
        <v>2655</v>
      </c>
      <c r="M60" s="22" t="str">
        <f t="array" ref="M60">_xlfn.REGEXEXTRACT(L60,F60,1)</f>
        <v>M</v>
      </c>
      <c r="N60" s="22"/>
      <c r="O60" s="22"/>
      <c r="P60" s="22"/>
      <c r="Q60" s="22"/>
      <c r="R60" s="22"/>
      <c r="S60" s="22"/>
      <c r="T60" s="22"/>
    </row>
    <row r="61" spans="1:20" ht="17.399999999999999" customHeight="1" x14ac:dyDescent="0.45">
      <c r="A61" s="16" t="s">
        <v>2714</v>
      </c>
      <c r="B61" s="17" t="s">
        <v>2715</v>
      </c>
      <c r="C61" s="18"/>
      <c r="D61" s="18"/>
      <c r="E61" s="19"/>
      <c r="F61" s="16" t="s">
        <v>2718</v>
      </c>
      <c r="G61" s="16" t="s">
        <v>2719</v>
      </c>
      <c r="H61" s="22" t="str">
        <f t="array" ref="H61">_xlfn.REGEXEXTRACT(G61,F61,1)</f>
        <v>a</v>
      </c>
      <c r="I61" s="22"/>
      <c r="J61" s="22"/>
      <c r="K61" s="22"/>
      <c r="L61" s="16" t="s">
        <v>2720</v>
      </c>
      <c r="M61" s="22" t="e" vm="1">
        <f t="array" ref="M61">_xlfn.REGEXEXTRACT(L61,F61,1)</f>
        <v>#N/A</v>
      </c>
      <c r="N61" s="22"/>
      <c r="O61" s="22"/>
      <c r="P61" s="22"/>
      <c r="Q61" s="22"/>
      <c r="R61" s="22"/>
      <c r="S61" s="22"/>
      <c r="T61" s="22"/>
    </row>
    <row r="62" spans="1:20" ht="35.75" customHeight="1" x14ac:dyDescent="0.45">
      <c r="A62" s="16" t="s">
        <v>2721</v>
      </c>
      <c r="B62" s="17" t="s">
        <v>2722</v>
      </c>
      <c r="C62" s="18"/>
      <c r="D62" s="18"/>
      <c r="E62" s="19"/>
      <c r="F62" s="16" t="s">
        <v>2723</v>
      </c>
      <c r="G62" s="21" t="s">
        <v>2717</v>
      </c>
      <c r="H62" s="22" t="str">
        <f t="array" ref="H62">_xlfn.REGEXEXTRACT(G62,F62,1)</f>
        <v>?</v>
      </c>
      <c r="I62" s="22"/>
      <c r="J62" s="22"/>
      <c r="K62" s="22"/>
      <c r="L62" s="16" t="s">
        <v>2720</v>
      </c>
      <c r="M62" s="22" t="str">
        <f t="array" ref="M62">_xlfn.REGEXEXTRACT(L62,F62,1)</f>
        <v>a</v>
      </c>
      <c r="N62" s="22"/>
      <c r="O62" s="22"/>
      <c r="P62" s="22"/>
      <c r="Q62" s="22"/>
      <c r="R62" s="22"/>
      <c r="S62" s="22"/>
      <c r="T62" s="22"/>
    </row>
    <row r="63" spans="1:20" ht="17.399999999999999" customHeight="1" x14ac:dyDescent="0.45">
      <c r="A63" s="16" t="s">
        <v>2724</v>
      </c>
      <c r="B63" s="17" t="s">
        <v>2725</v>
      </c>
      <c r="C63" s="18"/>
      <c r="D63" s="18"/>
      <c r="E63" s="19"/>
      <c r="F63" s="16" t="s">
        <v>2726</v>
      </c>
      <c r="G63" s="16" t="s">
        <v>2727</v>
      </c>
      <c r="H63" s="22" t="str">
        <f t="array" ref="H63:I63">_xlfn.REGEXEXTRACT(G63,F63,1)</f>
        <v>A1</v>
      </c>
      <c r="I63" s="22" t="str">
        <v>D9</v>
      </c>
      <c r="J63" s="22"/>
      <c r="K63" s="22"/>
      <c r="L63" s="16" t="s">
        <v>2728</v>
      </c>
      <c r="M63" s="22" t="e" vm="1">
        <f t="array" ref="M63">_xlfn.REGEXEXTRACT(L63,F63,1)</f>
        <v>#N/A</v>
      </c>
      <c r="N63" s="22"/>
      <c r="O63" s="22"/>
      <c r="P63" s="22"/>
      <c r="Q63" s="22"/>
      <c r="R63" s="22"/>
      <c r="S63" s="22"/>
      <c r="T63" s="22"/>
    </row>
    <row r="64" spans="1:20" ht="17.399999999999999" customHeight="1" x14ac:dyDescent="0.45">
      <c r="A64" s="16" t="s">
        <v>2724</v>
      </c>
      <c r="B64" s="17" t="s">
        <v>2725</v>
      </c>
      <c r="C64" s="18"/>
      <c r="D64" s="18"/>
      <c r="E64" s="19"/>
      <c r="F64" s="16" t="s">
        <v>2729</v>
      </c>
      <c r="G64" s="16" t="s">
        <v>2730</v>
      </c>
      <c r="H64" s="22" t="str">
        <f t="array" ref="H64">_xlfn.REGEXEXTRACT(G64,F64,1)</f>
        <v>cat</v>
      </c>
      <c r="I64" s="22"/>
      <c r="J64" s="22"/>
      <c r="K64" s="22"/>
      <c r="L64" s="16" t="s">
        <v>2731</v>
      </c>
      <c r="M64" s="22" t="e" vm="1">
        <f t="array" ref="M64">_xlfn.REGEXEXTRACT(L64,F64,1)</f>
        <v>#N/A</v>
      </c>
      <c r="N64" s="22"/>
      <c r="O64" s="22"/>
      <c r="P64" s="22"/>
      <c r="Q64" s="22"/>
      <c r="R64" s="22"/>
      <c r="S64" s="22"/>
      <c r="T64" s="22"/>
    </row>
    <row r="65" spans="1:21" ht="17.399999999999999" customHeight="1" x14ac:dyDescent="0.45">
      <c r="A65" s="16" t="s">
        <v>2732</v>
      </c>
      <c r="B65" s="17" t="s">
        <v>2733</v>
      </c>
      <c r="C65" s="18"/>
      <c r="D65" s="18"/>
      <c r="E65" s="19"/>
      <c r="F65" s="16" t="s">
        <v>2734</v>
      </c>
      <c r="G65" s="16" t="s">
        <v>2735</v>
      </c>
      <c r="H65" s="22" t="e" vm="1">
        <f t="array" ref="H65">_xlfn.REGEXEXTRACT(G65,F65,1)</f>
        <v>#N/A</v>
      </c>
      <c r="I65" s="22"/>
      <c r="J65" s="22"/>
      <c r="K65" s="22"/>
      <c r="L65" s="16" t="s">
        <v>2731</v>
      </c>
      <c r="M65" s="22" t="str">
        <f t="array" ref="M65">_xlfn.REGEXEXTRACT(L65,F65,1)</f>
        <v>cat</v>
      </c>
      <c r="N65" s="22"/>
      <c r="O65" s="22"/>
      <c r="P65" s="22"/>
      <c r="Q65" s="22"/>
      <c r="R65" s="22"/>
      <c r="S65" s="22"/>
      <c r="T65" s="22"/>
    </row>
    <row r="66" spans="1:21" ht="54.5" customHeight="1" x14ac:dyDescent="0.45">
      <c r="A66" s="24" t="s">
        <v>2736</v>
      </c>
      <c r="B66" s="17" t="s">
        <v>2737</v>
      </c>
      <c r="C66" s="18"/>
      <c r="D66" s="18"/>
      <c r="E66" s="19"/>
      <c r="F66" s="16" t="str">
        <f>_xlfn.UNICHAR(10)&amp;"."</f>
        <v xml:space="preserve">
.</v>
      </c>
      <c r="G66" s="21" t="s">
        <v>2717</v>
      </c>
      <c r="H66" s="22" t="str">
        <f t="array" ref="H66">_xlfn.REGEXEXTRACT(G66,F66,1)</f>
        <v xml:space="preserve">
y</v>
      </c>
      <c r="I66" s="22"/>
      <c r="J66" s="22"/>
      <c r="K66" s="22"/>
      <c r="L66" s="16" t="s">
        <v>2720</v>
      </c>
      <c r="M66" s="22" t="e" vm="1">
        <f t="array" ref="M66">_xlfn.REGEXEXTRACT(L66,F66,1)</f>
        <v>#N/A</v>
      </c>
      <c r="N66" s="22"/>
      <c r="O66" s="22"/>
      <c r="P66" s="22"/>
      <c r="Q66" s="22"/>
      <c r="R66" s="22"/>
      <c r="S66" s="22"/>
      <c r="T66" s="22"/>
    </row>
    <row r="67" spans="1:21" ht="43" customHeight="1" x14ac:dyDescent="0.45">
      <c r="A67" s="24" t="s">
        <v>2738</v>
      </c>
      <c r="B67" s="17" t="s">
        <v>2739</v>
      </c>
      <c r="C67" s="18"/>
      <c r="D67" s="18"/>
      <c r="E67" s="19"/>
      <c r="F67" s="21" t="s">
        <v>2738</v>
      </c>
      <c r="G67" s="37" t="s">
        <v>2740</v>
      </c>
      <c r="H67" s="22" t="str">
        <f t="array" ref="H67:J67">_xlfn.REGEXEXTRACT(G67,F67,1)</f>
        <v>2</v>
      </c>
      <c r="I67" s="22" t="str">
        <v>-3.2</v>
      </c>
      <c r="J67" s="22" t="str">
        <v>99.0323141</v>
      </c>
      <c r="K67" s="22"/>
      <c r="L67" s="16"/>
      <c r="M67" s="22"/>
      <c r="N67" s="36"/>
      <c r="O67" s="22"/>
      <c r="P67" s="22"/>
      <c r="Q67" s="22"/>
      <c r="R67" s="22"/>
      <c r="S67" s="22"/>
      <c r="T67" s="22"/>
    </row>
    <row r="68" spans="1:21" ht="17.399999999999999" customHeight="1" x14ac:dyDescent="0.45">
      <c r="A68" s="16" t="s">
        <v>2741</v>
      </c>
      <c r="B68" s="17" t="s">
        <v>2742</v>
      </c>
      <c r="C68" s="18"/>
      <c r="D68" s="18"/>
      <c r="E68" s="19"/>
      <c r="F68" s="16" t="s">
        <v>2741</v>
      </c>
      <c r="G68" s="16" t="s">
        <v>2727</v>
      </c>
      <c r="H68" s="22" t="str">
        <f t="array" ref="H68:J68">_xlfn.REGEXEXTRACT(G68,F68,1)</f>
        <v>A1</v>
      </c>
      <c r="I68" s="22" t="str">
        <v>LLO73</v>
      </c>
      <c r="J68" s="38" t="str">
        <v>D9</v>
      </c>
      <c r="K68" s="22"/>
      <c r="L68" s="16" t="s">
        <v>2728</v>
      </c>
      <c r="M68" s="22" t="str">
        <f t="array" ref="M68:O68">_xlfn.REGEXEXTRACT(L68,F68,1)</f>
        <v>A4</v>
      </c>
      <c r="N68" s="23" t="str">
        <v>VBZ4399999</v>
      </c>
      <c r="O68" s="22" t="str">
        <v>D1</v>
      </c>
      <c r="P68" s="22"/>
      <c r="Q68" s="22"/>
      <c r="R68" s="22"/>
      <c r="S68" s="22"/>
      <c r="T68" s="22"/>
    </row>
    <row r="69" spans="1:21" ht="19.25" customHeight="1" x14ac:dyDescent="0.5">
      <c r="C69" s="79"/>
      <c r="D69" s="79"/>
      <c r="E69" s="79"/>
    </row>
    <row r="70" spans="1:21" ht="19.25" customHeight="1" thickBot="1" x14ac:dyDescent="0.55000000000000004">
      <c r="A70" s="15" t="s">
        <v>2743</v>
      </c>
    </row>
    <row r="71" spans="1:21" ht="19.25" customHeight="1" thickBot="1" x14ac:dyDescent="0.55000000000000004">
      <c r="A71" s="74" t="s">
        <v>0</v>
      </c>
      <c r="B71" s="75"/>
      <c r="C71" s="75"/>
      <c r="D71" s="75"/>
      <c r="E71" s="76"/>
      <c r="F71" s="74" t="s">
        <v>2</v>
      </c>
      <c r="G71" s="75"/>
      <c r="H71" s="75"/>
      <c r="I71" s="75"/>
      <c r="J71" s="75"/>
      <c r="K71" s="75"/>
      <c r="L71" s="75"/>
      <c r="M71" s="75"/>
      <c r="N71" s="75"/>
      <c r="O71" s="75"/>
      <c r="P71" s="75"/>
      <c r="Q71" s="75"/>
      <c r="R71" s="75"/>
      <c r="S71" s="75"/>
      <c r="T71" s="75"/>
      <c r="U71" s="76"/>
    </row>
    <row r="72" spans="1:21" ht="19.25" customHeight="1" x14ac:dyDescent="0.45">
      <c r="A72" s="69" t="s">
        <v>2744</v>
      </c>
      <c r="B72" s="70"/>
      <c r="C72" s="70"/>
      <c r="D72" s="70"/>
      <c r="E72" s="70"/>
      <c r="F72" s="26" t="s">
        <v>2745</v>
      </c>
      <c r="G72" s="26"/>
    </row>
    <row r="73" spans="1:21" ht="19.25" customHeight="1" x14ac:dyDescent="0.45">
      <c r="A73" s="69" t="s">
        <v>2746</v>
      </c>
      <c r="B73" s="70"/>
      <c r="C73" s="70"/>
      <c r="D73" s="70"/>
      <c r="E73" s="70"/>
      <c r="F73" s="26" t="s">
        <v>2747</v>
      </c>
    </row>
    <row r="74" spans="1:21" ht="22.5" customHeight="1" x14ac:dyDescent="0.45">
      <c r="A74" s="69" t="s">
        <v>2748</v>
      </c>
      <c r="B74" s="70"/>
      <c r="C74" s="70"/>
      <c r="D74" s="70"/>
      <c r="E74" s="70"/>
      <c r="F74" s="26" t="s">
        <v>2749</v>
      </c>
    </row>
    <row r="75" spans="1:21" ht="19.25" customHeight="1" x14ac:dyDescent="0.45">
      <c r="A75" s="69" t="s">
        <v>2750</v>
      </c>
      <c r="B75" s="70"/>
      <c r="C75" s="70"/>
      <c r="D75" s="70"/>
      <c r="E75" s="70"/>
      <c r="F75" s="70"/>
      <c r="G75" s="70"/>
      <c r="H75" s="70"/>
      <c r="I75" s="70"/>
      <c r="J75" s="70"/>
      <c r="K75" s="70"/>
      <c r="L75" s="70"/>
      <c r="M75" s="77" t="s">
        <v>2751</v>
      </c>
      <c r="N75" s="70"/>
      <c r="O75" s="70"/>
      <c r="P75" s="70"/>
      <c r="Q75" s="70"/>
      <c r="R75" s="70"/>
      <c r="S75" s="70"/>
      <c r="T75" s="70"/>
      <c r="U75" s="70"/>
    </row>
  </sheetData>
  <mergeCells count="20">
    <mergeCell ref="A72:E72"/>
    <mergeCell ref="B2:G2"/>
    <mergeCell ref="A34:E34"/>
    <mergeCell ref="A73:E73"/>
    <mergeCell ref="A75:L75"/>
    <mergeCell ref="B1:G1"/>
    <mergeCell ref="F71:U71"/>
    <mergeCell ref="M75:U75"/>
    <mergeCell ref="A36:E36"/>
    <mergeCell ref="A37:E37"/>
    <mergeCell ref="A74:E74"/>
    <mergeCell ref="C69:E69"/>
    <mergeCell ref="A33:E33"/>
    <mergeCell ref="A71:E71"/>
    <mergeCell ref="A5:E5"/>
    <mergeCell ref="B3:G3"/>
    <mergeCell ref="U8:V8"/>
    <mergeCell ref="A35:E35"/>
    <mergeCell ref="F33:U33"/>
    <mergeCell ref="A38:E38"/>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8" tint="0.79998168889431442"/>
  </sheetPr>
  <dimension ref="A1:S54"/>
  <sheetViews>
    <sheetView topLeftCell="A11" zoomScale="85" zoomScaleNormal="85" workbookViewId="0">
      <selection activeCell="B23" sqref="B23"/>
    </sheetView>
  </sheetViews>
  <sheetFormatPr defaultRowHeight="21" x14ac:dyDescent="0.5"/>
  <cols>
    <col min="1" max="1" width="54.5625" customWidth="1"/>
    <col min="2" max="2" width="124.1875" customWidth="1"/>
    <col min="3" max="3" width="58.8125" customWidth="1"/>
    <col min="4" max="4" width="230.75" customWidth="1"/>
  </cols>
  <sheetData>
    <row r="1" spans="1:19" s="46" customFormat="1" ht="19.25" customHeight="1" thickBot="1" x14ac:dyDescent="0.55000000000000004">
      <c r="A1" s="45" t="s">
        <v>0</v>
      </c>
      <c r="B1" s="28" t="s">
        <v>2752</v>
      </c>
      <c r="C1" s="29" t="s">
        <v>4</v>
      </c>
      <c r="D1" s="29" t="s">
        <v>2753</v>
      </c>
      <c r="E1" s="29"/>
      <c r="F1" s="29"/>
      <c r="G1" s="29"/>
      <c r="H1" s="29"/>
      <c r="I1" s="29"/>
      <c r="J1" s="29"/>
      <c r="K1" s="29"/>
      <c r="L1" s="29"/>
      <c r="M1" s="29"/>
      <c r="N1" s="29"/>
      <c r="O1" s="29"/>
      <c r="P1" s="29"/>
      <c r="Q1" s="30"/>
      <c r="R1" s="83"/>
      <c r="S1" s="75"/>
    </row>
    <row r="2" spans="1:19" s="2" customFormat="1" ht="19.25" customHeight="1" x14ac:dyDescent="0.45">
      <c r="A2" s="58" t="s">
        <v>2754</v>
      </c>
      <c r="B2" s="59" t="s">
        <v>2755</v>
      </c>
      <c r="C2" s="60" t="s">
        <v>2756</v>
      </c>
      <c r="D2" s="61" t="s">
        <v>2757</v>
      </c>
    </row>
    <row r="3" spans="1:19" s="2" customFormat="1" ht="19.25" customHeight="1" x14ac:dyDescent="0.45">
      <c r="A3" s="58" t="s">
        <v>2758</v>
      </c>
      <c r="B3" s="59" t="s">
        <v>3379</v>
      </c>
      <c r="C3" s="62" t="s">
        <v>3380</v>
      </c>
      <c r="D3" s="61" t="s">
        <v>3381</v>
      </c>
    </row>
    <row r="4" spans="1:19" s="2" customFormat="1" ht="19.25" customHeight="1" x14ac:dyDescent="0.45">
      <c r="A4" s="58" t="s">
        <v>2759</v>
      </c>
      <c r="B4" s="59" t="s">
        <v>2760</v>
      </c>
      <c r="C4" s="60" t="s">
        <v>2761</v>
      </c>
      <c r="D4" s="61" t="s">
        <v>2762</v>
      </c>
    </row>
    <row r="5" spans="1:19" s="2" customFormat="1" ht="19.25" customHeight="1" x14ac:dyDescent="0.45">
      <c r="A5" s="58" t="s">
        <v>2763</v>
      </c>
      <c r="B5" s="59" t="s">
        <v>2764</v>
      </c>
      <c r="C5" s="60" t="s">
        <v>3395</v>
      </c>
      <c r="D5" s="61" t="s">
        <v>3396</v>
      </c>
    </row>
    <row r="6" spans="1:19" s="2" customFormat="1" ht="19.25" customHeight="1" x14ac:dyDescent="0.45">
      <c r="A6" s="58" t="s">
        <v>2765</v>
      </c>
      <c r="B6" s="59" t="s">
        <v>2766</v>
      </c>
      <c r="C6" s="62" t="s">
        <v>3397</v>
      </c>
      <c r="D6" s="61" t="s">
        <v>3398</v>
      </c>
    </row>
    <row r="7" spans="1:19" s="2" customFormat="1" ht="19.25" customHeight="1" x14ac:dyDescent="0.45">
      <c r="A7" s="58" t="s">
        <v>2767</v>
      </c>
      <c r="B7" s="59" t="s">
        <v>2768</v>
      </c>
      <c r="C7" s="60" t="s">
        <v>2769</v>
      </c>
      <c r="D7" s="61" t="s">
        <v>2770</v>
      </c>
    </row>
    <row r="8" spans="1:19" s="2" customFormat="1" ht="19.25" customHeight="1" x14ac:dyDescent="0.45">
      <c r="A8" s="58" t="s">
        <v>2771</v>
      </c>
      <c r="B8" s="59" t="s">
        <v>2772</v>
      </c>
      <c r="C8" s="60" t="s">
        <v>2773</v>
      </c>
      <c r="D8" s="61" t="s">
        <v>2774</v>
      </c>
    </row>
    <row r="9" spans="1:19" s="2" customFormat="1" ht="19.25" customHeight="1" x14ac:dyDescent="0.45">
      <c r="A9" s="58" t="s">
        <v>2775</v>
      </c>
      <c r="B9" s="59" t="s">
        <v>2776</v>
      </c>
      <c r="C9" s="62" t="s">
        <v>2777</v>
      </c>
      <c r="D9" s="61" t="s">
        <v>2778</v>
      </c>
    </row>
    <row r="10" spans="1:19" s="2" customFormat="1" ht="19.25" customHeight="1" x14ac:dyDescent="0.45">
      <c r="A10" s="58" t="s">
        <v>2779</v>
      </c>
      <c r="B10" s="59" t="s">
        <v>2780</v>
      </c>
      <c r="C10" s="60" t="s">
        <v>2781</v>
      </c>
      <c r="D10" s="61" t="s">
        <v>2782</v>
      </c>
    </row>
    <row r="11" spans="1:19" s="2" customFormat="1" ht="19.25" customHeight="1" x14ac:dyDescent="0.45">
      <c r="A11" s="58" t="s">
        <v>2783</v>
      </c>
      <c r="B11" s="59" t="s">
        <v>2784</v>
      </c>
      <c r="C11" s="60" t="s">
        <v>3399</v>
      </c>
      <c r="D11" s="61" t="s">
        <v>3400</v>
      </c>
    </row>
    <row r="12" spans="1:19" s="2" customFormat="1" ht="19.25" customHeight="1" x14ac:dyDescent="0.45">
      <c r="A12" s="58" t="s">
        <v>2785</v>
      </c>
      <c r="B12" s="59" t="s">
        <v>2786</v>
      </c>
      <c r="C12" s="60" t="s">
        <v>2787</v>
      </c>
      <c r="D12" s="61" t="s">
        <v>2788</v>
      </c>
    </row>
    <row r="13" spans="1:19" s="2" customFormat="1" ht="19.25" customHeight="1" x14ac:dyDescent="0.45">
      <c r="A13" s="58" t="s">
        <v>2789</v>
      </c>
      <c r="B13" s="59" t="s">
        <v>2790</v>
      </c>
      <c r="C13" s="62" t="s">
        <v>2791</v>
      </c>
      <c r="D13" s="61" t="s">
        <v>2792</v>
      </c>
    </row>
    <row r="14" spans="1:19" s="2" customFormat="1" ht="19.25" customHeight="1" x14ac:dyDescent="0.45">
      <c r="A14" s="58" t="s">
        <v>2793</v>
      </c>
      <c r="B14" s="59" t="s">
        <v>2794</v>
      </c>
      <c r="C14" s="60" t="s">
        <v>2795</v>
      </c>
      <c r="D14" s="61" t="s">
        <v>2796</v>
      </c>
    </row>
    <row r="15" spans="1:19" s="2" customFormat="1" ht="19.25" customHeight="1" x14ac:dyDescent="0.45">
      <c r="A15" s="58" t="s">
        <v>2797</v>
      </c>
      <c r="B15" s="59" t="s">
        <v>2798</v>
      </c>
      <c r="C15" s="60" t="s">
        <v>2799</v>
      </c>
      <c r="D15" s="61" t="s">
        <v>2800</v>
      </c>
    </row>
    <row r="16" spans="1:19" s="2" customFormat="1" ht="19.25" customHeight="1" x14ac:dyDescent="0.45">
      <c r="A16" s="58" t="s">
        <v>2801</v>
      </c>
      <c r="B16" s="59" t="s">
        <v>2802</v>
      </c>
      <c r="C16" s="60" t="s">
        <v>2803</v>
      </c>
      <c r="D16" s="61" t="s">
        <v>2804</v>
      </c>
    </row>
    <row r="17" spans="1:4" s="2" customFormat="1" ht="19.25" customHeight="1" x14ac:dyDescent="0.45">
      <c r="A17" s="58" t="s">
        <v>2805</v>
      </c>
      <c r="B17" s="59" t="s">
        <v>2806</v>
      </c>
      <c r="C17" s="60" t="s">
        <v>3401</v>
      </c>
      <c r="D17" s="61" t="s">
        <v>3402</v>
      </c>
    </row>
    <row r="18" spans="1:4" s="2" customFormat="1" ht="19.25" customHeight="1" x14ac:dyDescent="0.45">
      <c r="A18" s="58" t="s">
        <v>2807</v>
      </c>
      <c r="B18" s="59" t="s">
        <v>2808</v>
      </c>
      <c r="C18" s="60" t="s">
        <v>2809</v>
      </c>
      <c r="D18" s="61" t="s">
        <v>2810</v>
      </c>
    </row>
    <row r="19" spans="1:4" s="2" customFormat="1" ht="19.25" customHeight="1" x14ac:dyDescent="0.45">
      <c r="A19" s="58" t="s">
        <v>2811</v>
      </c>
      <c r="B19" s="59" t="s">
        <v>2812</v>
      </c>
      <c r="C19" s="60" t="s">
        <v>2813</v>
      </c>
      <c r="D19" s="61" t="s">
        <v>2814</v>
      </c>
    </row>
    <row r="20" spans="1:4" s="2" customFormat="1" ht="19.25" customHeight="1" x14ac:dyDescent="0.45">
      <c r="A20" s="58" t="s">
        <v>2815</v>
      </c>
      <c r="B20" s="59" t="s">
        <v>2816</v>
      </c>
      <c r="C20" s="60" t="s">
        <v>2817</v>
      </c>
      <c r="D20" s="61" t="s">
        <v>2818</v>
      </c>
    </row>
    <row r="21" spans="1:4" s="2" customFormat="1" ht="19.25" customHeight="1" x14ac:dyDescent="0.45">
      <c r="A21" s="58" t="s">
        <v>2819</v>
      </c>
      <c r="B21" s="59" t="s">
        <v>2820</v>
      </c>
      <c r="C21" s="60" t="s">
        <v>2821</v>
      </c>
      <c r="D21" s="61" t="s">
        <v>2822</v>
      </c>
    </row>
    <row r="22" spans="1:4" s="2" customFormat="1" ht="19.25" customHeight="1" x14ac:dyDescent="0.45">
      <c r="A22" s="58" t="s">
        <v>2823</v>
      </c>
      <c r="B22" s="59" t="s">
        <v>2824</v>
      </c>
      <c r="C22" s="60" t="s">
        <v>2825</v>
      </c>
      <c r="D22" s="61" t="s">
        <v>2826</v>
      </c>
    </row>
    <row r="23" spans="1:4" s="2" customFormat="1" ht="19.25" customHeight="1" x14ac:dyDescent="0.45">
      <c r="A23" s="58" t="s">
        <v>2827</v>
      </c>
      <c r="B23" s="59" t="s">
        <v>2828</v>
      </c>
      <c r="C23" s="60" t="s">
        <v>2829</v>
      </c>
      <c r="D23" s="61" t="s">
        <v>2830</v>
      </c>
    </row>
    <row r="24" spans="1:4" s="2" customFormat="1" ht="19.25" customHeight="1" x14ac:dyDescent="0.45">
      <c r="A24" s="58" t="s">
        <v>2831</v>
      </c>
      <c r="B24" s="59" t="s">
        <v>2832</v>
      </c>
      <c r="C24" s="60" t="s">
        <v>2833</v>
      </c>
      <c r="D24" s="61" t="s">
        <v>2834</v>
      </c>
    </row>
    <row r="25" spans="1:4" s="2" customFormat="1" ht="19.25" customHeight="1" x14ac:dyDescent="0.45">
      <c r="A25" s="58" t="s">
        <v>2835</v>
      </c>
      <c r="B25" s="59" t="s">
        <v>2836</v>
      </c>
      <c r="C25" s="60" t="s">
        <v>2837</v>
      </c>
      <c r="D25" s="61" t="s">
        <v>2838</v>
      </c>
    </row>
    <row r="26" spans="1:4" s="2" customFormat="1" ht="19.25" customHeight="1" x14ac:dyDescent="0.45">
      <c r="A26" s="58" t="s">
        <v>2839</v>
      </c>
      <c r="B26" s="59" t="s">
        <v>2840</v>
      </c>
      <c r="C26" s="62" t="s">
        <v>2841</v>
      </c>
      <c r="D26" s="61" t="s">
        <v>2842</v>
      </c>
    </row>
    <row r="27" spans="1:4" s="2" customFormat="1" ht="19.25" customHeight="1" x14ac:dyDescent="0.45">
      <c r="A27" s="58" t="s">
        <v>2843</v>
      </c>
      <c r="B27" s="59" t="s">
        <v>2844</v>
      </c>
      <c r="C27" s="60" t="s">
        <v>3403</v>
      </c>
      <c r="D27" s="61" t="s">
        <v>3404</v>
      </c>
    </row>
    <row r="28" spans="1:4" s="2" customFormat="1" ht="19.25" customHeight="1" x14ac:dyDescent="0.45">
      <c r="A28" s="58" t="s">
        <v>2845</v>
      </c>
      <c r="B28" s="59" t="s">
        <v>2846</v>
      </c>
      <c r="C28" s="60" t="s">
        <v>3405</v>
      </c>
      <c r="D28" s="61" t="s">
        <v>3406</v>
      </c>
    </row>
    <row r="29" spans="1:4" s="2" customFormat="1" ht="19.25" customHeight="1" x14ac:dyDescent="0.45">
      <c r="A29" s="58" t="s">
        <v>2847</v>
      </c>
      <c r="B29" s="59" t="s">
        <v>2848</v>
      </c>
      <c r="C29" s="60" t="s">
        <v>2849</v>
      </c>
      <c r="D29" s="61" t="s">
        <v>2850</v>
      </c>
    </row>
    <row r="30" spans="1:4" s="2" customFormat="1" ht="19.25" customHeight="1" x14ac:dyDescent="0.45">
      <c r="A30" s="58" t="s">
        <v>2851</v>
      </c>
      <c r="B30" s="59" t="s">
        <v>2852</v>
      </c>
      <c r="C30" s="60" t="s">
        <v>2853</v>
      </c>
      <c r="D30" s="61" t="s">
        <v>2854</v>
      </c>
    </row>
    <row r="31" spans="1:4" s="2" customFormat="1" ht="19.25" customHeight="1" x14ac:dyDescent="0.45">
      <c r="A31" s="58" t="s">
        <v>2855</v>
      </c>
      <c r="B31" s="59" t="s">
        <v>2856</v>
      </c>
      <c r="C31" s="60" t="s">
        <v>2857</v>
      </c>
      <c r="D31" s="61" t="s">
        <v>2858</v>
      </c>
    </row>
    <row r="32" spans="1:4" s="2" customFormat="1" ht="19.25" customHeight="1" x14ac:dyDescent="0.45">
      <c r="A32" s="58" t="s">
        <v>2859</v>
      </c>
      <c r="B32" s="59" t="s">
        <v>2860</v>
      </c>
      <c r="C32" s="60" t="s">
        <v>2861</v>
      </c>
      <c r="D32" s="61" t="s">
        <v>2862</v>
      </c>
    </row>
    <row r="33" spans="1:4" s="2" customFormat="1" ht="19.25" customHeight="1" x14ac:dyDescent="0.45">
      <c r="A33" s="58" t="s">
        <v>2863</v>
      </c>
      <c r="B33" s="59" t="s">
        <v>2864</v>
      </c>
      <c r="C33" s="60" t="s">
        <v>2865</v>
      </c>
      <c r="D33" s="61" t="s">
        <v>2866</v>
      </c>
    </row>
    <row r="34" spans="1:4" s="2" customFormat="1" ht="19.25" customHeight="1" x14ac:dyDescent="0.45">
      <c r="A34" s="58" t="s">
        <v>2867</v>
      </c>
      <c r="B34" s="59" t="s">
        <v>2868</v>
      </c>
      <c r="C34" s="60" t="s">
        <v>2869</v>
      </c>
      <c r="D34" s="61" t="s">
        <v>2870</v>
      </c>
    </row>
    <row r="35" spans="1:4" s="2" customFormat="1" ht="19.25" customHeight="1" x14ac:dyDescent="0.45">
      <c r="A35" s="58" t="s">
        <v>2871</v>
      </c>
      <c r="B35" s="59" t="s">
        <v>2872</v>
      </c>
      <c r="C35" s="60" t="s">
        <v>3407</v>
      </c>
      <c r="D35" s="61" t="s">
        <v>3408</v>
      </c>
    </row>
    <row r="36" spans="1:4" s="2" customFormat="1" ht="19.25" customHeight="1" x14ac:dyDescent="0.45">
      <c r="A36" s="58" t="s">
        <v>2873</v>
      </c>
      <c r="B36" s="59" t="s">
        <v>2874</v>
      </c>
      <c r="C36" s="62" t="s">
        <v>3409</v>
      </c>
      <c r="D36" s="61" t="s">
        <v>3410</v>
      </c>
    </row>
    <row r="37" spans="1:4" s="2" customFormat="1" ht="19.25" customHeight="1" x14ac:dyDescent="0.45">
      <c r="A37" s="58" t="s">
        <v>2879</v>
      </c>
      <c r="B37" s="59" t="s">
        <v>2880</v>
      </c>
      <c r="C37" s="60" t="s">
        <v>2881</v>
      </c>
      <c r="D37" s="61" t="s">
        <v>2882</v>
      </c>
    </row>
    <row r="38" spans="1:4" s="2" customFormat="1" ht="19.25" customHeight="1" x14ac:dyDescent="0.45">
      <c r="A38" s="58" t="s">
        <v>2883</v>
      </c>
      <c r="B38" s="59" t="s">
        <v>2884</v>
      </c>
      <c r="C38" s="60" t="s">
        <v>2885</v>
      </c>
      <c r="D38" s="61" t="s">
        <v>2886</v>
      </c>
    </row>
    <row r="39" spans="1:4" s="2" customFormat="1" ht="19.25" customHeight="1" x14ac:dyDescent="0.45">
      <c r="A39" s="58" t="s">
        <v>2875</v>
      </c>
      <c r="B39" s="59" t="s">
        <v>2876</v>
      </c>
      <c r="C39" s="60" t="s">
        <v>2877</v>
      </c>
      <c r="D39" s="61" t="s">
        <v>2878</v>
      </c>
    </row>
    <row r="40" spans="1:4" s="2" customFormat="1" ht="19.25" customHeight="1" x14ac:dyDescent="0.45">
      <c r="A40" s="58" t="s">
        <v>2887</v>
      </c>
      <c r="B40" s="59" t="s">
        <v>2888</v>
      </c>
      <c r="C40" s="60" t="s">
        <v>2889</v>
      </c>
      <c r="D40" s="61" t="s">
        <v>2890</v>
      </c>
    </row>
    <row r="41" spans="1:4" s="2" customFormat="1" ht="19.25" customHeight="1" x14ac:dyDescent="0.45">
      <c r="A41" s="58" t="s">
        <v>2891</v>
      </c>
      <c r="B41" s="59" t="s">
        <v>2892</v>
      </c>
      <c r="C41" s="60" t="s">
        <v>3411</v>
      </c>
      <c r="D41" s="61" t="s">
        <v>3412</v>
      </c>
    </row>
    <row r="42" spans="1:4" s="2" customFormat="1" ht="19.25" customHeight="1" x14ac:dyDescent="0.45">
      <c r="A42" s="58" t="s">
        <v>2893</v>
      </c>
      <c r="B42" s="59" t="s">
        <v>2894</v>
      </c>
      <c r="C42" s="60" t="s">
        <v>2895</v>
      </c>
      <c r="D42" s="61" t="s">
        <v>2896</v>
      </c>
    </row>
    <row r="43" spans="1:4" s="2" customFormat="1" ht="19.25" customHeight="1" x14ac:dyDescent="0.45">
      <c r="A43" s="58" t="s">
        <v>2897</v>
      </c>
      <c r="B43" s="59" t="s">
        <v>2898</v>
      </c>
      <c r="C43" s="60" t="s">
        <v>2899</v>
      </c>
      <c r="D43" s="61" t="s">
        <v>2900</v>
      </c>
    </row>
    <row r="44" spans="1:4" s="2" customFormat="1" ht="19.25" customHeight="1" x14ac:dyDescent="0.45">
      <c r="A44" s="58" t="s">
        <v>2901</v>
      </c>
      <c r="B44" s="59" t="s">
        <v>2902</v>
      </c>
      <c r="C44" s="60" t="s">
        <v>2903</v>
      </c>
      <c r="D44" s="61" t="s">
        <v>2904</v>
      </c>
    </row>
    <row r="45" spans="1:4" s="2" customFormat="1" ht="19.25" customHeight="1" x14ac:dyDescent="0.45">
      <c r="A45" s="58" t="s">
        <v>2905</v>
      </c>
      <c r="B45" s="59" t="s">
        <v>2906</v>
      </c>
      <c r="C45" s="60" t="s">
        <v>2907</v>
      </c>
      <c r="D45" s="61" t="s">
        <v>2908</v>
      </c>
    </row>
    <row r="46" spans="1:4" s="2" customFormat="1" ht="19.25" customHeight="1" x14ac:dyDescent="0.45">
      <c r="A46" s="58" t="s">
        <v>1</v>
      </c>
      <c r="B46" s="59" t="s">
        <v>2909</v>
      </c>
      <c r="C46" s="60" t="s">
        <v>5</v>
      </c>
      <c r="D46" s="61" t="s">
        <v>3</v>
      </c>
    </row>
    <row r="47" spans="1:4" s="2" customFormat="1" ht="19.25" customHeight="1" x14ac:dyDescent="0.45">
      <c r="A47" s="58" t="s">
        <v>2910</v>
      </c>
      <c r="B47" s="59" t="s">
        <v>2911</v>
      </c>
      <c r="C47" s="62" t="s">
        <v>2912</v>
      </c>
      <c r="D47" s="61" t="s">
        <v>2913</v>
      </c>
    </row>
    <row r="48" spans="1:4" s="2" customFormat="1" ht="19.25" customHeight="1" x14ac:dyDescent="0.45">
      <c r="A48" s="58" t="s">
        <v>2914</v>
      </c>
      <c r="B48" s="59" t="s">
        <v>2915</v>
      </c>
      <c r="C48" s="60" t="s">
        <v>2916</v>
      </c>
      <c r="D48" s="61" t="s">
        <v>2917</v>
      </c>
    </row>
    <row r="49" spans="1:4" s="2" customFormat="1" ht="19.25" customHeight="1" x14ac:dyDescent="0.45">
      <c r="A49" s="58" t="s">
        <v>2918</v>
      </c>
      <c r="B49" s="59" t="s">
        <v>2919</v>
      </c>
      <c r="C49" s="60" t="s">
        <v>3413</v>
      </c>
      <c r="D49" s="61" t="s">
        <v>3414</v>
      </c>
    </row>
    <row r="50" spans="1:4" s="2" customFormat="1" ht="19.25" customHeight="1" x14ac:dyDescent="0.45">
      <c r="A50" s="58" t="s">
        <v>2920</v>
      </c>
      <c r="B50" s="59" t="s">
        <v>2921</v>
      </c>
      <c r="C50" s="60" t="s">
        <v>3415</v>
      </c>
      <c r="D50" s="61" t="s">
        <v>3416</v>
      </c>
    </row>
    <row r="51" spans="1:4" s="2" customFormat="1" ht="19.25" customHeight="1" x14ac:dyDescent="0.45">
      <c r="A51" s="58" t="s">
        <v>2922</v>
      </c>
      <c r="B51" s="59" t="s">
        <v>2923</v>
      </c>
      <c r="C51" s="60" t="s">
        <v>2924</v>
      </c>
      <c r="D51" s="61" t="s">
        <v>2925</v>
      </c>
    </row>
    <row r="52" spans="1:4" ht="19.25" customHeight="1" x14ac:dyDescent="0.5">
      <c r="A52" s="58" t="s">
        <v>2926</v>
      </c>
      <c r="B52" s="59" t="s">
        <v>2927</v>
      </c>
      <c r="C52" s="60" t="s">
        <v>3417</v>
      </c>
      <c r="D52" s="61" t="s">
        <v>3418</v>
      </c>
    </row>
    <row r="53" spans="1:4" ht="19.25" customHeight="1" x14ac:dyDescent="0.5">
      <c r="A53" s="58" t="s">
        <v>2928</v>
      </c>
      <c r="B53" s="59" t="s">
        <v>2929</v>
      </c>
      <c r="C53" s="60" t="s">
        <v>2930</v>
      </c>
      <c r="D53" s="61" t="s">
        <v>2931</v>
      </c>
    </row>
    <row r="54" spans="1:4" ht="19.25" customHeight="1" x14ac:dyDescent="0.5">
      <c r="A54" s="58" t="s">
        <v>2932</v>
      </c>
      <c r="B54" s="59" t="s">
        <v>2933</v>
      </c>
      <c r="C54" s="60" t="s">
        <v>2934</v>
      </c>
      <c r="D54" s="61" t="s">
        <v>2935</v>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2"/>
  <dimension ref="A1:E56"/>
  <sheetViews>
    <sheetView workbookViewId="0">
      <pane ySplit="4" topLeftCell="A26" activePane="bottomLeft" state="frozen"/>
      <selection pane="bottomLeft" activeCell="E48" sqref="E48"/>
    </sheetView>
  </sheetViews>
  <sheetFormatPr defaultRowHeight="21" x14ac:dyDescent="0.5"/>
  <cols>
    <col min="1" max="1" width="18" customWidth="1"/>
    <col min="2" max="4" width="8" customWidth="1"/>
    <col min="5" max="5" width="14" customWidth="1"/>
  </cols>
  <sheetData>
    <row r="1" spans="1:5" x14ac:dyDescent="0.5">
      <c r="A1" s="47" t="s">
        <v>2936</v>
      </c>
    </row>
    <row r="2" spans="1:5" x14ac:dyDescent="0.5">
      <c r="A2" s="48" t="s">
        <v>2937</v>
      </c>
    </row>
    <row r="4" spans="1:5" x14ac:dyDescent="0.5">
      <c r="A4" s="47" t="s">
        <v>2938</v>
      </c>
      <c r="B4" s="50" t="s">
        <v>2939</v>
      </c>
      <c r="C4" s="52" t="s">
        <v>2940</v>
      </c>
      <c r="D4" s="47" t="s">
        <v>2941</v>
      </c>
      <c r="E4" s="47" t="s">
        <v>2942</v>
      </c>
    </row>
    <row r="5" spans="1:5" x14ac:dyDescent="0.5">
      <c r="A5" s="48" t="s">
        <v>2943</v>
      </c>
      <c r="B5" s="54">
        <f ca="1">COUNTIF(addr_lookup!$A:$BZ,"PASS")</f>
        <v>5</v>
      </c>
      <c r="C5" s="56">
        <f ca="1">COUNTIF(addr_lookup!$A:$BZ,"FAIL")</f>
        <v>0</v>
      </c>
      <c r="D5" s="48">
        <f t="shared" ref="D5:D36" ca="1" si="0">B5+C5</f>
        <v>5</v>
      </c>
      <c r="E5" s="48" t="str">
        <f t="shared" ref="E5:E36" ca="1" si="1">IF(C5&gt;0,"FAIL ("&amp;C5&amp;")",IF(D5=0,"-","all pass"))</f>
        <v>all pass</v>
      </c>
    </row>
    <row r="6" spans="1:5" x14ac:dyDescent="0.5">
      <c r="A6" s="48" t="s">
        <v>2944</v>
      </c>
      <c r="B6" s="54">
        <f ca="1">COUNTIF(arrow!$A:$BZ,"PASS")</f>
        <v>7</v>
      </c>
      <c r="C6" s="56">
        <f ca="1">COUNTIF(arrow!$A:$BZ,"FAIL")</f>
        <v>0</v>
      </c>
      <c r="D6" s="48">
        <f t="shared" ca="1" si="0"/>
        <v>7</v>
      </c>
      <c r="E6" s="48" t="str">
        <f t="shared" ca="1" si="1"/>
        <v>all pass</v>
      </c>
    </row>
    <row r="7" spans="1:5" x14ac:dyDescent="0.5">
      <c r="A7" s="48" t="s">
        <v>2945</v>
      </c>
      <c r="B7" s="54">
        <f ca="1">COUNTIF(arrow_move!$A:$BZ,"PASS")</f>
        <v>5</v>
      </c>
      <c r="C7" s="56">
        <f ca="1">COUNTIF(arrow_move!$A:$BZ,"FAIL")</f>
        <v>0</v>
      </c>
      <c r="D7" s="48">
        <f t="shared" ca="1" si="0"/>
        <v>5</v>
      </c>
      <c r="E7" s="48" t="str">
        <f t="shared" ca="1" si="1"/>
        <v>all pass</v>
      </c>
    </row>
    <row r="8" spans="1:5" x14ac:dyDescent="0.5">
      <c r="A8" s="48" t="s">
        <v>2946</v>
      </c>
      <c r="B8" s="54">
        <f ca="1">COUNTIF(arrow_trip!$A:$BZ,"PASS")</f>
        <v>5</v>
      </c>
      <c r="C8" s="56">
        <f ca="1">COUNTIF(arrow_trip!$A:$BZ,"FAIL")</f>
        <v>0</v>
      </c>
      <c r="D8" s="48">
        <f t="shared" ca="1" si="0"/>
        <v>5</v>
      </c>
      <c r="E8" s="48" t="str">
        <f t="shared" ca="1" si="1"/>
        <v>all pass</v>
      </c>
    </row>
    <row r="9" spans="1:5" x14ac:dyDescent="0.5">
      <c r="A9" s="48" t="s">
        <v>2947</v>
      </c>
      <c r="B9" s="54">
        <f ca="1">COUNTIF(biggest!$A:$BZ,"PASS")</f>
        <v>3</v>
      </c>
      <c r="C9" s="56">
        <f ca="1">COUNTIF(biggest!$A:$BZ,"FAIL")</f>
        <v>0</v>
      </c>
      <c r="D9" s="48">
        <f t="shared" ca="1" si="0"/>
        <v>3</v>
      </c>
      <c r="E9" s="48" t="str">
        <f t="shared" ca="1" si="1"/>
        <v>all pass</v>
      </c>
    </row>
    <row r="10" spans="1:5" x14ac:dyDescent="0.5">
      <c r="A10" s="48" t="s">
        <v>2948</v>
      </c>
      <c r="B10" s="54">
        <f ca="1">COUNTIF(clamp!$A:$BZ,"PASS")</f>
        <v>5</v>
      </c>
      <c r="C10" s="56">
        <f ca="1">COUNTIF(clamp!$A:$BZ,"FAIL")</f>
        <v>0</v>
      </c>
      <c r="D10" s="48">
        <f t="shared" ca="1" si="0"/>
        <v>5</v>
      </c>
      <c r="E10" s="48" t="str">
        <f t="shared" ca="1" si="1"/>
        <v>all pass</v>
      </c>
    </row>
    <row r="11" spans="1:5" x14ac:dyDescent="0.5">
      <c r="A11" s="48" t="s">
        <v>2949</v>
      </c>
      <c r="B11" s="54">
        <f ca="1">COUNTIF(count_substring!$A:$BZ,"PASS")</f>
        <v>6</v>
      </c>
      <c r="C11" s="56">
        <f ca="1">COUNTIF(count_substring!$A:$BZ,"FAIL")</f>
        <v>0</v>
      </c>
      <c r="D11" s="48">
        <f t="shared" ca="1" si="0"/>
        <v>6</v>
      </c>
      <c r="E11" s="48" t="str">
        <f t="shared" ca="1" si="1"/>
        <v>all pass</v>
      </c>
    </row>
    <row r="12" spans="1:5" x14ac:dyDescent="0.5">
      <c r="A12" s="48" t="s">
        <v>2950</v>
      </c>
      <c r="B12" s="54">
        <f ca="1">COUNTIF(ctotal!$A:$BZ,"PASS")</f>
        <v>4</v>
      </c>
      <c r="C12" s="56">
        <f ca="1">COUNTIF(ctotal!$A:$BZ,"FAIL")</f>
        <v>0</v>
      </c>
      <c r="D12" s="48">
        <f t="shared" ca="1" si="0"/>
        <v>4</v>
      </c>
      <c r="E12" s="48" t="str">
        <f t="shared" ca="1" si="1"/>
        <v>all pass</v>
      </c>
    </row>
    <row r="13" spans="1:5" x14ac:dyDescent="0.5">
      <c r="A13" s="48" t="s">
        <v>2951</v>
      </c>
      <c r="B13" s="54">
        <f ca="1">COUNTIF(cycles!$A:$BZ,"PASS")</f>
        <v>2</v>
      </c>
      <c r="C13" s="56">
        <f ca="1">COUNTIF(cycles!$A:$BZ,"FAIL")</f>
        <v>0</v>
      </c>
      <c r="D13" s="48">
        <f t="shared" ca="1" si="0"/>
        <v>2</v>
      </c>
      <c r="E13" s="48" t="str">
        <f t="shared" ca="1" si="1"/>
        <v>all pass</v>
      </c>
    </row>
    <row r="14" spans="1:5" x14ac:dyDescent="0.5">
      <c r="A14" s="48" t="s">
        <v>2952</v>
      </c>
      <c r="B14" s="54">
        <f ca="1">COUNTIF(die_pips!$A:$BZ,"PASS")</f>
        <v>5</v>
      </c>
      <c r="C14" s="56">
        <f ca="1">COUNTIF(die_pips!$A:$BZ,"FAIL")</f>
        <v>0</v>
      </c>
      <c r="D14" s="48">
        <f t="shared" ca="1" si="0"/>
        <v>5</v>
      </c>
      <c r="E14" s="48" t="str">
        <f t="shared" ca="1" si="1"/>
        <v>all pass</v>
      </c>
    </row>
    <row r="15" spans="1:5" x14ac:dyDescent="0.5">
      <c r="A15" s="48" t="s">
        <v>2953</v>
      </c>
      <c r="B15" s="54">
        <f ca="1">COUNTIF(dist!$A:$BZ,"PASS")</f>
        <v>7</v>
      </c>
      <c r="C15" s="56">
        <f ca="1">COUNTIF(dist!$A:$BZ,"FAIL")</f>
        <v>0</v>
      </c>
      <c r="D15" s="48">
        <f t="shared" ca="1" si="0"/>
        <v>7</v>
      </c>
      <c r="E15" s="48" t="str">
        <f t="shared" ca="1" si="1"/>
        <v>all pass</v>
      </c>
    </row>
    <row r="16" spans="1:5" x14ac:dyDescent="0.5">
      <c r="A16" s="48" t="s">
        <v>2954</v>
      </c>
      <c r="B16" s="54">
        <f ca="1">COUNTIF(exists!$A:$BZ,"PASS")</f>
        <v>4</v>
      </c>
      <c r="C16" s="56">
        <f ca="1">COUNTIF(exists!$A:$BZ,"FAIL")</f>
        <v>0</v>
      </c>
      <c r="D16" s="48">
        <f t="shared" ca="1" si="0"/>
        <v>4</v>
      </c>
      <c r="E16" s="48" t="str">
        <f t="shared" ca="1" si="1"/>
        <v>all pass</v>
      </c>
    </row>
    <row r="17" spans="1:5" x14ac:dyDescent="0.5">
      <c r="A17" s="48" t="s">
        <v>2955</v>
      </c>
      <c r="B17" s="54">
        <f ca="1">COUNTIF(freq_table!$A:$BZ,"PASS")</f>
        <v>5</v>
      </c>
      <c r="C17" s="56">
        <f ca="1">COUNTIF(freq_table!$A:$BZ,"FAIL")</f>
        <v>0</v>
      </c>
      <c r="D17" s="48">
        <f t="shared" ca="1" si="0"/>
        <v>5</v>
      </c>
      <c r="E17" s="48" t="str">
        <f t="shared" ca="1" si="1"/>
        <v>all pass</v>
      </c>
    </row>
    <row r="18" spans="1:5" x14ac:dyDescent="0.5">
      <c r="A18" s="48" t="s">
        <v>2956</v>
      </c>
      <c r="B18" s="54">
        <f ca="1">COUNTIF(is_unique!$A:$BZ,"PASS")</f>
        <v>4</v>
      </c>
      <c r="C18" s="56">
        <f ca="1">COUNTIF(is_unique!$A:$BZ,"FAIL")</f>
        <v>0</v>
      </c>
      <c r="D18" s="48">
        <f t="shared" ca="1" si="0"/>
        <v>4</v>
      </c>
      <c r="E18" s="48" t="str">
        <f t="shared" ca="1" si="1"/>
        <v>all pass</v>
      </c>
    </row>
    <row r="19" spans="1:5" x14ac:dyDescent="0.5">
      <c r="A19" s="48" t="s">
        <v>2957</v>
      </c>
      <c r="B19" s="54">
        <f ca="1">COUNTIF(knight_moves!$A:$BZ,"PASS")</f>
        <v>7</v>
      </c>
      <c r="C19" s="56">
        <f ca="1">COUNTIF(knight_moves!$A:$BZ,"FAIL")</f>
        <v>0</v>
      </c>
      <c r="D19" s="48">
        <f t="shared" ca="1" si="0"/>
        <v>7</v>
      </c>
      <c r="E19" s="48" t="str">
        <f t="shared" ca="1" si="1"/>
        <v>all pass</v>
      </c>
    </row>
    <row r="20" spans="1:5" x14ac:dyDescent="0.5">
      <c r="A20" s="48" t="s">
        <v>2958</v>
      </c>
      <c r="B20" s="54">
        <f ca="1">COUNTIF(label_lookup!$A:$BZ,"PASS")</f>
        <v>4</v>
      </c>
      <c r="C20" s="56">
        <f ca="1">COUNTIF(label_lookup!$A:$BZ,"FAIL")</f>
        <v>0</v>
      </c>
      <c r="D20" s="48">
        <f t="shared" ca="1" si="0"/>
        <v>4</v>
      </c>
      <c r="E20" s="48" t="str">
        <f t="shared" ca="1" si="1"/>
        <v>all pass</v>
      </c>
    </row>
    <row r="21" spans="1:5" x14ac:dyDescent="0.5">
      <c r="A21" s="48" t="s">
        <v>2959</v>
      </c>
      <c r="B21" s="54">
        <f ca="1">COUNTIF(load_array!$A:$BZ,"PASS")</f>
        <v>3</v>
      </c>
      <c r="C21" s="56">
        <f ca="1">COUNTIF(load_array!$A:$BZ,"FAIL")</f>
        <v>0</v>
      </c>
      <c r="D21" s="48">
        <f t="shared" ca="1" si="0"/>
        <v>3</v>
      </c>
      <c r="E21" s="48" t="str">
        <f t="shared" ca="1" si="1"/>
        <v>all pass</v>
      </c>
    </row>
    <row r="22" spans="1:5" x14ac:dyDescent="0.5">
      <c r="A22" s="48" t="s">
        <v>2960</v>
      </c>
      <c r="B22" s="54">
        <f ca="1">COUNTIF(neighbors_count!$A:$BZ,"PASS")</f>
        <v>3</v>
      </c>
      <c r="C22" s="56">
        <f ca="1">COUNTIF(neighbors_count!$A:$BZ,"FAIL")</f>
        <v>0</v>
      </c>
      <c r="D22" s="48">
        <f t="shared" ca="1" si="0"/>
        <v>3</v>
      </c>
      <c r="E22" s="48" t="str">
        <f t="shared" ca="1" si="1"/>
        <v>all pass</v>
      </c>
    </row>
    <row r="23" spans="1:5" x14ac:dyDescent="0.5">
      <c r="A23" s="48" t="s">
        <v>2961</v>
      </c>
      <c r="B23" s="54">
        <f ca="1">COUNTIF(neighbors_list!$A:$BZ,"PASS")</f>
        <v>5</v>
      </c>
      <c r="C23" s="56">
        <f ca="1">COUNTIF(neighbors_list!$A:$BZ,"FAIL")</f>
        <v>0</v>
      </c>
      <c r="D23" s="48">
        <f t="shared" ca="1" si="0"/>
        <v>5</v>
      </c>
      <c r="E23" s="48" t="str">
        <f t="shared" ca="1" si="1"/>
        <v>all pass</v>
      </c>
    </row>
    <row r="24" spans="1:5" x14ac:dyDescent="0.5">
      <c r="A24" s="48" t="s">
        <v>2962</v>
      </c>
      <c r="B24" s="54">
        <f ca="1">COUNTIF(num_ad!$A:$BZ,"PASS")</f>
        <v>6</v>
      </c>
      <c r="C24" s="56">
        <f ca="1">COUNTIF(num_ad!$A:$BZ,"FAIL")</f>
        <v>0</v>
      </c>
      <c r="D24" s="48">
        <f t="shared" ca="1" si="0"/>
        <v>6</v>
      </c>
      <c r="E24" s="48" t="str">
        <f t="shared" ca="1" si="1"/>
        <v>all pass</v>
      </c>
    </row>
    <row r="25" spans="1:5" x14ac:dyDescent="0.5">
      <c r="A25" s="48" t="s">
        <v>2963</v>
      </c>
      <c r="B25" s="54">
        <f ca="1">COUNTIF(offset_letter!$A:$BZ,"PASS")</f>
        <v>6</v>
      </c>
      <c r="C25" s="56">
        <f ca="1">COUNTIF(offset_letter!$A:$BZ,"FAIL")</f>
        <v>0</v>
      </c>
      <c r="D25" s="48">
        <f t="shared" ca="1" si="0"/>
        <v>6</v>
      </c>
      <c r="E25" s="48" t="str">
        <f t="shared" ca="1" si="1"/>
        <v>all pass</v>
      </c>
    </row>
    <row r="26" spans="1:5" x14ac:dyDescent="0.5">
      <c r="A26" s="48" t="s">
        <v>2964</v>
      </c>
      <c r="B26" s="54">
        <f ca="1">COUNTIF(only_letters!$A:$BZ,"PASS")</f>
        <v>5</v>
      </c>
      <c r="C26" s="56">
        <f ca="1">COUNTIF(only_letters!$A:$BZ,"FAIL")</f>
        <v>0</v>
      </c>
      <c r="D26" s="48">
        <f t="shared" ca="1" si="0"/>
        <v>5</v>
      </c>
      <c r="E26" s="48" t="str">
        <f t="shared" ca="1" si="1"/>
        <v>all pass</v>
      </c>
    </row>
    <row r="27" spans="1:5" x14ac:dyDescent="0.5">
      <c r="A27" s="48" t="s">
        <v>2965</v>
      </c>
      <c r="B27" s="54">
        <f ca="1">COUNTIF(only_numbers!$A:$BZ,"PASS")</f>
        <v>5</v>
      </c>
      <c r="C27" s="56">
        <f ca="1">COUNTIF(only_numbers!$A:$BZ,"FAIL")</f>
        <v>0</v>
      </c>
      <c r="D27" s="48">
        <f t="shared" ca="1" si="0"/>
        <v>5</v>
      </c>
      <c r="E27" s="48" t="str">
        <f t="shared" ca="1" si="1"/>
        <v>all pass</v>
      </c>
    </row>
    <row r="28" spans="1:5" x14ac:dyDescent="0.5">
      <c r="A28" s="48" t="s">
        <v>2966</v>
      </c>
      <c r="B28" s="54">
        <f ca="1">COUNTIF(range2ad!$A:$BZ,"PASS")</f>
        <v>5</v>
      </c>
      <c r="C28" s="56">
        <f ca="1">COUNTIF(range2ad!$A:$BZ,"FAIL")</f>
        <v>0</v>
      </c>
      <c r="D28" s="48">
        <f t="shared" ca="1" si="0"/>
        <v>5</v>
      </c>
      <c r="E28" s="48" t="str">
        <f t="shared" ca="1" si="1"/>
        <v>all pass</v>
      </c>
    </row>
    <row r="29" spans="1:5" x14ac:dyDescent="0.5">
      <c r="A29" s="48" t="s">
        <v>2967</v>
      </c>
      <c r="B29" s="54">
        <f ca="1">COUNTIF(rev!$A:$BZ,"PASS")</f>
        <v>3</v>
      </c>
      <c r="C29" s="56">
        <f ca="1">COUNTIF(rev!$A:$BZ,"FAIL")</f>
        <v>0</v>
      </c>
      <c r="D29" s="48">
        <f t="shared" ca="1" si="0"/>
        <v>3</v>
      </c>
      <c r="E29" s="48" t="str">
        <f t="shared" ca="1" si="1"/>
        <v>all pass</v>
      </c>
    </row>
    <row r="30" spans="1:5" x14ac:dyDescent="0.5">
      <c r="A30" s="48" t="s">
        <v>2968</v>
      </c>
      <c r="B30" s="54">
        <f ca="1">COUNTIF(rotate_arrow!$A:$BZ,"PASS")</f>
        <v>6</v>
      </c>
      <c r="C30" s="56">
        <f ca="1">COUNTIF(rotate_arrow!$A:$BZ,"FAIL")</f>
        <v>0</v>
      </c>
      <c r="D30" s="48">
        <f t="shared" ca="1" si="0"/>
        <v>6</v>
      </c>
      <c r="E30" s="48" t="str">
        <f t="shared" ca="1" si="1"/>
        <v>all pass</v>
      </c>
    </row>
    <row r="31" spans="1:5" x14ac:dyDescent="0.5">
      <c r="A31" s="48" t="s">
        <v>2969</v>
      </c>
      <c r="B31" s="54">
        <f ca="1">COUNTIF(route_cost!$A:$BZ,"PASS")</f>
        <v>5</v>
      </c>
      <c r="C31" s="56">
        <f ca="1">COUNTIF(route_cost!$A:$BZ,"FAIL")</f>
        <v>0</v>
      </c>
      <c r="D31" s="48">
        <f t="shared" ca="1" si="0"/>
        <v>5</v>
      </c>
      <c r="E31" s="48" t="str">
        <f t="shared" ca="1" si="1"/>
        <v>all pass</v>
      </c>
    </row>
    <row r="32" spans="1:5" x14ac:dyDescent="0.5">
      <c r="A32" s="48" t="s">
        <v>2970</v>
      </c>
      <c r="B32" s="54">
        <f ca="1">COUNTIF(save_array!$A:$BZ,"PASS")</f>
        <v>3</v>
      </c>
      <c r="C32" s="56">
        <f ca="1">COUNTIF(save_array!$A:$BZ,"FAIL")</f>
        <v>0</v>
      </c>
      <c r="D32" s="48">
        <f t="shared" ca="1" si="0"/>
        <v>3</v>
      </c>
      <c r="E32" s="48" t="str">
        <f t="shared" ca="1" si="1"/>
        <v>all pass</v>
      </c>
    </row>
    <row r="33" spans="1:5" x14ac:dyDescent="0.5">
      <c r="A33" s="48" t="s">
        <v>2971</v>
      </c>
      <c r="B33" s="54">
        <f ca="1">COUNTIF(selections!$A:$BZ,"PASS")</f>
        <v>4</v>
      </c>
      <c r="C33" s="56">
        <f ca="1">COUNTIF(selections!$A:$BZ,"FAIL")</f>
        <v>0</v>
      </c>
      <c r="D33" s="48">
        <f t="shared" ca="1" si="0"/>
        <v>4</v>
      </c>
      <c r="E33" s="48" t="str">
        <f t="shared" ca="1" si="1"/>
        <v>all pass</v>
      </c>
    </row>
    <row r="34" spans="1:5" x14ac:dyDescent="0.5">
      <c r="A34" s="48" t="s">
        <v>2972</v>
      </c>
      <c r="B34" s="54">
        <f ca="1">COUNTIF(set!$A:$BZ,"PASS")</f>
        <v>4</v>
      </c>
      <c r="C34" s="56">
        <f ca="1">COUNTIF(set!$A:$BZ,"FAIL")</f>
        <v>0</v>
      </c>
      <c r="D34" s="48">
        <f t="shared" ca="1" si="0"/>
        <v>4</v>
      </c>
      <c r="E34" s="48" t="str">
        <f t="shared" ca="1" si="1"/>
        <v>all pass</v>
      </c>
    </row>
    <row r="35" spans="1:5" x14ac:dyDescent="0.5">
      <c r="A35" s="48" t="s">
        <v>2973</v>
      </c>
      <c r="B35" s="54">
        <f ca="1">COUNTIF(set_d!$A:$BZ,"PASS")</f>
        <v>2</v>
      </c>
      <c r="C35" s="56">
        <f ca="1">COUNTIF(set_d!$A:$BZ,"FAIL")</f>
        <v>0</v>
      </c>
      <c r="D35" s="48">
        <f t="shared" ca="1" si="0"/>
        <v>2</v>
      </c>
      <c r="E35" s="48" t="str">
        <f t="shared" ca="1" si="1"/>
        <v>all pass</v>
      </c>
    </row>
    <row r="36" spans="1:5" x14ac:dyDescent="0.5">
      <c r="A36" s="48" t="s">
        <v>2974</v>
      </c>
      <c r="B36" s="54">
        <f ca="1">COUNTIF(set_i!$A:$BZ,"PASS")</f>
        <v>3</v>
      </c>
      <c r="C36" s="56">
        <f ca="1">COUNTIF(set_i!$A:$BZ,"FAIL")</f>
        <v>0</v>
      </c>
      <c r="D36" s="48">
        <f t="shared" ca="1" si="0"/>
        <v>3</v>
      </c>
      <c r="E36" s="48" t="str">
        <f t="shared" ca="1" si="1"/>
        <v>all pass</v>
      </c>
    </row>
    <row r="37" spans="1:5" x14ac:dyDescent="0.5">
      <c r="A37" s="48" t="s">
        <v>2975</v>
      </c>
      <c r="B37" s="54">
        <f ca="1">COUNTIF(set_u!$A:$BZ,"PASS")</f>
        <v>3</v>
      </c>
      <c r="C37" s="56">
        <f ca="1">COUNTIF(set_u!$A:$BZ,"FAIL")</f>
        <v>0</v>
      </c>
      <c r="D37" s="48">
        <f t="shared" ref="D37:D55" ca="1" si="2">B37+C37</f>
        <v>3</v>
      </c>
      <c r="E37" s="48" t="str">
        <f t="shared" ref="E37:E55" ca="1" si="3">IF(C37&gt;0,"FAIL ("&amp;C37&amp;")",IF(D37=0,"-","all pass"))</f>
        <v>all pass</v>
      </c>
    </row>
    <row r="38" spans="1:5" x14ac:dyDescent="0.5">
      <c r="A38" s="48" t="s">
        <v>2976</v>
      </c>
      <c r="B38" s="54">
        <f ca="1">COUNTIF(shift_arr!$A:$BZ,"PASS")</f>
        <v>5</v>
      </c>
      <c r="C38" s="56">
        <f ca="1">COUNTIF(shift_arr!$A:$BZ,"FAIL")</f>
        <v>0</v>
      </c>
      <c r="D38" s="48">
        <f t="shared" ca="1" si="2"/>
        <v>5</v>
      </c>
      <c r="E38" s="48" t="str">
        <f t="shared" ca="1" si="3"/>
        <v>all pass</v>
      </c>
    </row>
    <row r="39" spans="1:5" x14ac:dyDescent="0.5">
      <c r="A39" s="48" t="s">
        <v>2977</v>
      </c>
      <c r="B39" s="54">
        <f ca="1">COUNTIF(smallest!$A:$BZ,"PASS")</f>
        <v>3</v>
      </c>
      <c r="C39" s="56">
        <f ca="1">COUNTIF(smallest!$A:$BZ,"FAIL")</f>
        <v>0</v>
      </c>
      <c r="D39" s="48">
        <f t="shared" ca="1" si="2"/>
        <v>3</v>
      </c>
      <c r="E39" s="48" t="str">
        <f t="shared" ca="1" si="3"/>
        <v>all pass</v>
      </c>
    </row>
    <row r="40" spans="1:5" x14ac:dyDescent="0.5">
      <c r="A40" s="48" t="s">
        <v>2978</v>
      </c>
      <c r="B40" s="54">
        <f ca="1">COUNTIF(str2arr!$A:$BZ,"PASS")</f>
        <v>3</v>
      </c>
      <c r="C40" s="56">
        <f ca="1">COUNTIF(str2arr!$A:$BZ,"FAIL")</f>
        <v>0</v>
      </c>
      <c r="D40" s="48">
        <f t="shared" ca="1" si="2"/>
        <v>3</v>
      </c>
      <c r="E40" s="48" t="str">
        <f t="shared" ca="1" si="3"/>
        <v>all pass</v>
      </c>
    </row>
    <row r="41" spans="1:5" x14ac:dyDescent="0.5">
      <c r="A41" s="48" t="s">
        <v>2979</v>
      </c>
      <c r="B41" s="54">
        <f ca="1">COUNTIF(str_ad!$A:$BZ,"PASS")</f>
        <v>4</v>
      </c>
      <c r="C41" s="56">
        <f ca="1">COUNTIF(str_ad!$A:$BZ,"FAIL")</f>
        <v>0</v>
      </c>
      <c r="D41" s="48">
        <f t="shared" ca="1" si="2"/>
        <v>4</v>
      </c>
      <c r="E41" s="48" t="str">
        <f t="shared" ca="1" si="3"/>
        <v>all pass</v>
      </c>
    </row>
    <row r="42" spans="1:5" x14ac:dyDescent="0.5">
      <c r="A42" s="48" t="s">
        <v>2980</v>
      </c>
      <c r="B42" s="54">
        <f ca="1">COUNTIF(str_rev!$A:$BZ,"PASS")</f>
        <v>4</v>
      </c>
      <c r="C42" s="56">
        <f ca="1">COUNTIF(str_rev!$A:$BZ,"FAIL")</f>
        <v>0</v>
      </c>
      <c r="D42" s="48">
        <f t="shared" ca="1" si="2"/>
        <v>4</v>
      </c>
      <c r="E42" s="48" t="str">
        <f t="shared" ca="1" si="3"/>
        <v>all pass</v>
      </c>
    </row>
    <row r="43" spans="1:5" x14ac:dyDescent="0.5">
      <c r="A43" s="48" t="s">
        <v>2981</v>
      </c>
      <c r="B43" s="54">
        <f ca="1">COUNTIF(textbetween!$A:$BZ,"PASS")</f>
        <v>5</v>
      </c>
      <c r="C43" s="56">
        <f ca="1">COUNTIF(textbetween!$A:$BZ,"FAIL")</f>
        <v>0</v>
      </c>
      <c r="D43" s="48">
        <f t="shared" ca="1" si="2"/>
        <v>5</v>
      </c>
      <c r="E43" s="48" t="str">
        <f t="shared" ca="1" si="3"/>
        <v>all pass</v>
      </c>
    </row>
    <row r="44" spans="1:5" x14ac:dyDescent="0.5">
      <c r="A44" s="48" t="s">
        <v>2982</v>
      </c>
      <c r="B44" s="54">
        <f ca="1">COUNTIF(transform_array!$A:$BZ,"PASS")</f>
        <v>7</v>
      </c>
      <c r="C44" s="56">
        <f ca="1">COUNTIF(transform_array!$A:$BZ,"FAIL")</f>
        <v>0</v>
      </c>
      <c r="D44" s="48">
        <f t="shared" ca="1" si="2"/>
        <v>7</v>
      </c>
      <c r="E44" s="48" t="str">
        <f t="shared" ca="1" si="3"/>
        <v>all pass</v>
      </c>
    </row>
    <row r="45" spans="1:5" x14ac:dyDescent="0.5">
      <c r="A45" s="48" t="s">
        <v>2983</v>
      </c>
      <c r="B45" s="54">
        <f ca="1">COUNTIF(update_arr!$A:$BZ,"PASS")</f>
        <v>2</v>
      </c>
      <c r="C45" s="56">
        <f ca="1">COUNTIF(update_arr!$A:$BZ,"FAIL")</f>
        <v>0</v>
      </c>
      <c r="D45" s="48">
        <f t="shared" ca="1" si="2"/>
        <v>2</v>
      </c>
      <c r="E45" s="48" t="str">
        <f t="shared" ca="1" si="3"/>
        <v>all pass</v>
      </c>
    </row>
    <row r="46" spans="1:5" x14ac:dyDescent="0.5">
      <c r="A46" s="48" t="s">
        <v>2984</v>
      </c>
      <c r="B46" s="54">
        <f ca="1">COUNTIF(xbyrow!$A:$BZ,"PASS")</f>
        <v>3</v>
      </c>
      <c r="C46" s="56">
        <f ca="1">COUNTIF(xbyrow!$A:$BZ,"FAIL")</f>
        <v>0</v>
      </c>
      <c r="D46" s="48">
        <f t="shared" ca="1" si="2"/>
        <v>3</v>
      </c>
      <c r="E46" s="48" t="str">
        <f t="shared" ca="1" si="3"/>
        <v>all pass</v>
      </c>
    </row>
    <row r="47" spans="1:5" x14ac:dyDescent="0.5">
      <c r="A47" s="48" t="s">
        <v>2985</v>
      </c>
      <c r="B47" s="54">
        <f ca="1">COUNTIF(xcountif!$A:$BZ,"PASS")</f>
        <v>5</v>
      </c>
      <c r="C47" s="56">
        <f ca="1">COUNTIF(xcountif!$A:$BZ,"FAIL")</f>
        <v>0</v>
      </c>
      <c r="D47" s="48">
        <f t="shared" ca="1" si="2"/>
        <v>5</v>
      </c>
      <c r="E47" s="48" t="str">
        <f t="shared" ca="1" si="3"/>
        <v>all pass</v>
      </c>
    </row>
    <row r="48" spans="1:5" x14ac:dyDescent="0.5">
      <c r="A48" s="48" t="s">
        <v>2986</v>
      </c>
      <c r="B48" s="54">
        <f ca="1">COUNTIF(xdec2bin!$A:$BZ,"PASS")</f>
        <v>6</v>
      </c>
      <c r="C48" s="56">
        <f ca="1">COUNTIF(xdec2bin!$A:$BZ,"FAIL")</f>
        <v>0</v>
      </c>
      <c r="D48" s="48">
        <f t="shared" ca="1" si="2"/>
        <v>6</v>
      </c>
      <c r="E48" s="48" t="str">
        <f t="shared" ca="1" si="3"/>
        <v>all pass</v>
      </c>
    </row>
    <row r="49" spans="1:5" x14ac:dyDescent="0.5">
      <c r="A49" s="48" t="s">
        <v>2987</v>
      </c>
      <c r="B49" s="54">
        <f ca="1">COUNTIF(xfilter!$A:$BZ,"PASS")</f>
        <v>6</v>
      </c>
      <c r="C49" s="56">
        <f ca="1">COUNTIF(xfilter!$A:$BZ,"FAIL")</f>
        <v>0</v>
      </c>
      <c r="D49" s="48">
        <f t="shared" ca="1" si="2"/>
        <v>6</v>
      </c>
      <c r="E49" s="48" t="str">
        <f t="shared" ca="1" si="3"/>
        <v>all pass</v>
      </c>
    </row>
    <row r="50" spans="1:5" x14ac:dyDescent="0.5">
      <c r="A50" s="48" t="s">
        <v>2988</v>
      </c>
      <c r="B50" s="54">
        <f ca="1">COUNTIF(xmod!$A:$BZ,"PASS")</f>
        <v>6</v>
      </c>
      <c r="C50" s="56">
        <f ca="1">COUNTIF(xmod!$A:$BZ,"FAIL")</f>
        <v>0</v>
      </c>
      <c r="D50" s="48">
        <f t="shared" ca="1" si="2"/>
        <v>6</v>
      </c>
      <c r="E50" s="48" t="str">
        <f t="shared" ca="1" si="3"/>
        <v>all pass</v>
      </c>
    </row>
    <row r="51" spans="1:5" x14ac:dyDescent="0.5">
      <c r="A51" s="48" t="s">
        <v>2989</v>
      </c>
      <c r="B51" s="54">
        <f ca="1">COUNTIF(xn!$A:$BZ,"PASS")</f>
        <v>5</v>
      </c>
      <c r="C51" s="56">
        <f ca="1">COUNTIF(xn!$A:$BZ,"FAIL")</f>
        <v>0</v>
      </c>
      <c r="D51" s="48">
        <f t="shared" ca="1" si="2"/>
        <v>5</v>
      </c>
      <c r="E51" s="48" t="str">
        <f t="shared" ca="1" si="3"/>
        <v>all pass</v>
      </c>
    </row>
    <row r="52" spans="1:5" x14ac:dyDescent="0.5">
      <c r="A52" s="48" t="s">
        <v>2990</v>
      </c>
      <c r="B52" s="54">
        <f ca="1">COUNTIF(xrank!$A:$BZ,"PASS")</f>
        <v>6</v>
      </c>
      <c r="C52" s="56">
        <f ca="1">COUNTIF(xrank!$A:$BZ,"FAIL")</f>
        <v>0</v>
      </c>
      <c r="D52" s="48">
        <f t="shared" ca="1" si="2"/>
        <v>6</v>
      </c>
      <c r="E52" s="48" t="str">
        <f t="shared" ca="1" si="3"/>
        <v>all pass</v>
      </c>
    </row>
    <row r="53" spans="1:5" x14ac:dyDescent="0.5">
      <c r="A53" s="48" t="s">
        <v>2991</v>
      </c>
      <c r="B53" s="54">
        <f ca="1">COUNTIF(xsequence!$A:$BZ,"PASS")</f>
        <v>6</v>
      </c>
      <c r="C53" s="56">
        <f ca="1">COUNTIF(xsequence!$A:$BZ,"FAIL")</f>
        <v>0</v>
      </c>
      <c r="D53" s="48">
        <f t="shared" ca="1" si="2"/>
        <v>6</v>
      </c>
      <c r="E53" s="48" t="str">
        <f t="shared" ca="1" si="3"/>
        <v>all pass</v>
      </c>
    </row>
    <row r="54" spans="1:5" x14ac:dyDescent="0.5">
      <c r="A54" s="48" t="s">
        <v>2992</v>
      </c>
      <c r="B54" s="54">
        <f ca="1">COUNTIF(xtextsplit!$A:$BZ,"PASS")</f>
        <v>5</v>
      </c>
      <c r="C54" s="56">
        <f ca="1">COUNTIF(xtextsplit!$A:$BZ,"FAIL")</f>
        <v>0</v>
      </c>
      <c r="D54" s="48">
        <f t="shared" ca="1" si="2"/>
        <v>5</v>
      </c>
      <c r="E54" s="48" t="str">
        <f t="shared" ca="1" si="3"/>
        <v>all pass</v>
      </c>
    </row>
    <row r="55" spans="1:5" x14ac:dyDescent="0.5">
      <c r="A55" s="48" t="s">
        <v>2993</v>
      </c>
      <c r="B55" s="54">
        <f ca="1">COUNTIF(xtocol!$A:$BZ,"PASS")</f>
        <v>5</v>
      </c>
      <c r="C55" s="56">
        <f ca="1">COUNTIF(xtocol!$A:$BZ,"FAIL")</f>
        <v>0</v>
      </c>
      <c r="D55" s="48">
        <f t="shared" ca="1" si="2"/>
        <v>5</v>
      </c>
      <c r="E55" s="48" t="str">
        <f t="shared" ca="1" si="3"/>
        <v>all pass</v>
      </c>
    </row>
    <row r="56" spans="1:5" x14ac:dyDescent="0.5">
      <c r="A56" s="47" t="s">
        <v>2994</v>
      </c>
      <c r="B56" s="50">
        <f ca="1">SUM(B5:B55)</f>
        <v>235</v>
      </c>
      <c r="C56" s="52">
        <f ca="1">SUM(C5:C55)</f>
        <v>0</v>
      </c>
      <c r="D56" s="47">
        <f ca="1">SUM(D5:D55)</f>
        <v>235</v>
      </c>
      <c r="E56" s="47" t="str">
        <f ca="1">IF(C56&gt;0,C56&amp;" FAILING","ALL PASS")</f>
        <v>ALL PASS</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3"/>
  <dimension ref="A1:S21"/>
  <sheetViews>
    <sheetView workbookViewId="0">
      <selection activeCell="B2" sqref="B2:R2"/>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7" t="s">
        <v>0</v>
      </c>
      <c r="B1" s="68" t="str" cm="1">
        <f t="array" aca="1" ref="B1" ca="1">_xlfn.LET(_xlpm.fn, CELL("filename",$A$1), _xlpm.nm, MID(_xlpm.fn, FIND("]", _xlpm.fn) + 1, 255), _xlfn.XLOOKUP(_xlpm.nm &amp; "(*", Lamb!$A$2:$A$1000, Lamb!$A$2:$A$1000, "", 2))</f>
        <v>addr_lookup(arr, address)</v>
      </c>
      <c r="C1" s="64"/>
      <c r="D1" s="64"/>
      <c r="E1" s="64"/>
      <c r="F1" s="65"/>
      <c r="H1" s="47" t="s">
        <v>2</v>
      </c>
      <c r="I1" s="63" t="str" cm="1">
        <f t="array" aca="1" ref="I1" ca="1">_xlfn.LET(_xlpm.fn, CELL("filename",$A$1), _xlpm.nm, MID(_xlpm.fn, FIND("]", _xlpm.fn) + 1, 255), _xlfn.XLOOKUP(_xlpm.nm &amp; "(*", Lamb!$A$2:$A$1000, Lamb!$D$2:$D$1000, "", 2))</f>
        <v>Non-volatile alternative to INDIRECT: returns the value(s) at one or more addresses inside a range.
Arguments:
  rng     - source range to read from.
  addr_ad - a numeric address, an A1 string ("C2"), a range string ("B2:D4"), or an array of addresses (coerced with num_ad).
Returns:
  The value at the address. A range string returns the overlapping rectangle; an array returns an array of values. "" when a cell is out of bounds or the range does not overlap.
Example:
  addr_lookup(Sheet1!B2:D4, "C2") ; addr_lookup(grid, 3000004)</v>
      </c>
      <c r="J1" s="64"/>
      <c r="K1" s="64"/>
      <c r="L1" s="64"/>
      <c r="M1" s="64"/>
      <c r="N1" s="64"/>
      <c r="O1" s="64"/>
      <c r="P1" s="64"/>
      <c r="Q1" s="64"/>
      <c r="R1" s="65"/>
    </row>
    <row r="2" spans="1:19" ht="409" customHeight="1" x14ac:dyDescent="0.5">
      <c r="A2" s="47" t="s">
        <v>4</v>
      </c>
      <c r="B2" s="66" t="str" cm="1">
        <f t="array" aca="1" ref="B2" ca="1">_xlfn.LET(_xlpm.fn, CELL("filename",$A$1), _xlpm.nm, MID(_xlpm.fn, FIND("]", _xlpm.fn) + 1, 255), _xlfn.XLOOKUP(_xlpm.nm &amp; "(*", Lamb!$A$2:$A$1000, Lamb!$C$2:$C$1000, "", 2))</f>
        <v>=LAMBDA(arr, address,
  LET(
    start_row, ROW(INDEX(arr, 1, 1)),
    start_col, COLUMN(INDEX(arr, 1, 1)),
    n_rows, ROWS(arr),
    n_cols, COLUMNS(arr),
    get_cell, LAMBDA(one,
      IFERROR(
        LET(
          num, num_ad(one),
          abs_row, INT(num / 1000000),
          abs_col, MOD(num, 1000000),
          rel_row, abs_row - start_row + 1,
          rel_col, abs_col - start_col + 1,
          IF(OR(rel_row &lt; 1, rel_row &gt; n_rows, rel_col &lt; 1, rel_col &gt; n_cols), "", INDEX(arr, rel_row, rel_col))
        ), "")),
    get_rect, LAMBDA(range_txt,
      IFERROR(
        LET(
          parts, TEXTSPLIT(UPPER(SUBSTITUTE(range_txt, "$", "")), ":"),
          first_num, num_ad(INDEX(parts, 1)),
          last_num, num_ad(INDEX(parts, 2)),
          f_r, INT(first_num / 1000000), f_c, MOD(first_num, 1000000),
          l_r, INT(last_num / 1000000), l_c, MOD(last_num, 1000000),
          i_top, MAX(start_row, MIN(f_r, l_r)),
          i_bot, MIN(start_row + n_rows - 1, MAX(f_r, l_r)),
          i_left, MAX(start_col, MIN(f_c, l_c)),
          i_right, MIN(start_col + n_cols - 1, MAX(f_c, l_c)),
          IF(OR(i_top &gt; i_bot, i_left &gt; i_right), "",
            TAKE(DROP(arr, i_top - start_row, i_left - start_col), i_bot - i_top + 1, i_right - i_left + 1))
        ), "")),
    IF(AND(ROWS(address) = 1, COLUMNS(address) = 1),
      IF(AND(ISTEXT(address), ISNUMBER(SEARCH(":", address))), get_rect(address), get_cell(address)),
      MAP(address, get_cell))
  )
)</v>
      </c>
      <c r="C2" s="67"/>
      <c r="D2" s="67"/>
      <c r="E2" s="67"/>
      <c r="F2" s="67"/>
      <c r="G2" s="67"/>
      <c r="H2" s="67"/>
      <c r="I2" s="67"/>
      <c r="J2" s="67"/>
      <c r="K2" s="67"/>
      <c r="L2" s="67"/>
      <c r="M2" s="67"/>
      <c r="N2" s="67"/>
      <c r="O2" s="67"/>
      <c r="P2" s="67"/>
      <c r="Q2" s="67"/>
      <c r="R2" s="67"/>
    </row>
    <row r="4" spans="1:19" x14ac:dyDescent="0.5">
      <c r="A4" s="47" t="s">
        <v>2995</v>
      </c>
      <c r="S4" s="47" t="str">
        <f>COUNTIF(S11:S30,"PASS")&amp;" / 5 PASS"</f>
        <v>5 / 5 PASS</v>
      </c>
    </row>
    <row r="5" spans="1:19" x14ac:dyDescent="0.5">
      <c r="B5" s="47" t="s">
        <v>8</v>
      </c>
      <c r="M5" s="50" t="s">
        <v>10</v>
      </c>
      <c r="P5" s="51" t="s">
        <v>11</v>
      </c>
      <c r="S5" s="52" t="s">
        <v>12</v>
      </c>
    </row>
    <row r="6" spans="1:19" x14ac:dyDescent="0.5">
      <c r="D6" s="47" t="s">
        <v>2996</v>
      </c>
      <c r="K6" s="47" t="s">
        <v>2997</v>
      </c>
    </row>
    <row r="7" spans="1:19" x14ac:dyDescent="0.5">
      <c r="D7" s="53">
        <v>10</v>
      </c>
      <c r="E7" s="53">
        <v>20</v>
      </c>
      <c r="F7" s="53">
        <v>30</v>
      </c>
      <c r="K7" s="53" t="s">
        <v>2998</v>
      </c>
    </row>
    <row r="8" spans="1:19" x14ac:dyDescent="0.5">
      <c r="D8" s="53">
        <v>40</v>
      </c>
      <c r="E8" s="53">
        <v>50</v>
      </c>
      <c r="F8" s="53">
        <v>60</v>
      </c>
      <c r="K8" s="53" t="s">
        <v>2999</v>
      </c>
    </row>
    <row r="9" spans="1:19" x14ac:dyDescent="0.5">
      <c r="D9" s="53">
        <v>70</v>
      </c>
      <c r="E9" s="53">
        <v>80</v>
      </c>
      <c r="F9" s="53">
        <v>90</v>
      </c>
    </row>
    <row r="11" spans="1:19" x14ac:dyDescent="0.5">
      <c r="B11" s="49" t="s">
        <v>3000</v>
      </c>
      <c r="M11" s="54">
        <v>50</v>
      </c>
      <c r="P11" s="55" cm="1">
        <f t="array" ref="P11">addr_lookup(D7:F9,"E8")</f>
        <v>50</v>
      </c>
      <c r="S11" s="56" t="str">
        <f>IF(P11=M11,"PASS","FAIL")</f>
        <v>PASS</v>
      </c>
    </row>
    <row r="13" spans="1:19" x14ac:dyDescent="0.5">
      <c r="B13" s="49" t="s">
        <v>3001</v>
      </c>
      <c r="M13" s="54">
        <v>50</v>
      </c>
      <c r="P13" s="55" cm="1">
        <f t="array" ref="P13">addr_lookup(D7:F9,8000005)</f>
        <v>50</v>
      </c>
      <c r="S13" s="56" t="str">
        <f>IF(P13=M13,"PASS","FAIL")</f>
        <v>PASS</v>
      </c>
    </row>
    <row r="15" spans="1:19" x14ac:dyDescent="0.5">
      <c r="B15" s="49" t="s">
        <v>3002</v>
      </c>
      <c r="M15" s="54">
        <v>10</v>
      </c>
      <c r="N15" s="54">
        <v>20</v>
      </c>
      <c r="P15" s="55" cm="1">
        <f t="array" ref="P15:Q16">addr_lookup(D7:F9,"D7:E8")</f>
        <v>10</v>
      </c>
      <c r="Q15" s="55">
        <v>20</v>
      </c>
      <c r="S15" s="56" t="str" cm="1">
        <f t="array" ref="S15">IF(AND(M15:N16=P15:Q16),"PASS","FAIL")</f>
        <v>PASS</v>
      </c>
    </row>
    <row r="16" spans="1:19" x14ac:dyDescent="0.5">
      <c r="M16" s="54">
        <v>40</v>
      </c>
      <c r="N16" s="54">
        <v>50</v>
      </c>
      <c r="P16" s="55">
        <v>40</v>
      </c>
      <c r="Q16" s="55">
        <v>50</v>
      </c>
    </row>
    <row r="18" spans="2:19" x14ac:dyDescent="0.5">
      <c r="B18" s="49" t="s">
        <v>3003</v>
      </c>
      <c r="M18" s="54">
        <v>10</v>
      </c>
      <c r="P18" s="55" cm="1">
        <f t="array" ref="P18:P19">addr_lookup(D7:F9,K7:K8)</f>
        <v>10</v>
      </c>
      <c r="S18" s="56" t="str" cm="1">
        <f t="array" ref="S18">IF(AND(M18:M19=P18:P19),"PASS","FAIL")</f>
        <v>PASS</v>
      </c>
    </row>
    <row r="19" spans="2:19" x14ac:dyDescent="0.5">
      <c r="M19" s="54">
        <v>90</v>
      </c>
      <c r="P19" s="55">
        <v>90</v>
      </c>
    </row>
    <row r="21" spans="2:19" x14ac:dyDescent="0.5">
      <c r="B21" s="49" t="s">
        <v>3004</v>
      </c>
      <c r="M21" s="54"/>
      <c r="P21" s="55" t="str" cm="1">
        <f t="array" ref="P21">addr_lookup(D7:F9,"Z99")</f>
        <v/>
      </c>
      <c r="S21" s="56" t="str">
        <f>IF(P21=M21,"PASS","FAIL")</f>
        <v>PASS</v>
      </c>
    </row>
  </sheetData>
  <mergeCells count="3">
    <mergeCell ref="I1:R1"/>
    <mergeCell ref="B2:R2"/>
    <mergeCell ref="B1:F1"/>
  </mergeCell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4"/>
  <dimension ref="A1:R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arrow(str)</v>
      </c>
      <c r="C1" s="64"/>
      <c r="D1" s="64"/>
      <c r="E1" s="64"/>
      <c r="F1" s="65"/>
      <c r="H1" s="47" t="s">
        <v>2</v>
      </c>
      <c r="I1" s="63"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=LAMBDA(str, IFNA(XLOOKUP(TRUE, EXACT(str, Prep!$V$13:$ALY$13), Prep!$V$14:$ALY$14), ""))</v>
      </c>
      <c r="C2" s="67"/>
      <c r="D2" s="67"/>
      <c r="E2" s="67"/>
      <c r="F2" s="67"/>
      <c r="G2" s="67"/>
      <c r="H2" s="67"/>
      <c r="I2" s="67"/>
      <c r="J2" s="67"/>
      <c r="K2" s="67"/>
      <c r="L2" s="67"/>
      <c r="M2" s="67"/>
      <c r="N2" s="67"/>
      <c r="O2" s="67"/>
      <c r="P2" s="67"/>
      <c r="Q2" s="67"/>
      <c r="R2" s="67"/>
    </row>
    <row r="4" spans="1:18" x14ac:dyDescent="0.5">
      <c r="A4" s="47" t="s">
        <v>3005</v>
      </c>
      <c r="J4" s="47" t="str">
        <f>COUNTIF(J6:J18,"PASS")&amp;" / 7 PASS"</f>
        <v>7 / 7 PASS</v>
      </c>
    </row>
    <row r="5" spans="1:18" x14ac:dyDescent="0.5">
      <c r="A5" s="47" t="s">
        <v>7</v>
      </c>
      <c r="B5" s="47" t="s">
        <v>8</v>
      </c>
      <c r="D5" s="47" t="s">
        <v>9</v>
      </c>
      <c r="F5" s="50" t="s">
        <v>10</v>
      </c>
      <c r="H5" s="51" t="s">
        <v>11</v>
      </c>
      <c r="J5" s="52" t="s">
        <v>12</v>
      </c>
    </row>
    <row r="6" spans="1:18" x14ac:dyDescent="0.5">
      <c r="A6" s="48">
        <v>1</v>
      </c>
      <c r="B6" s="49" t="s">
        <v>3006</v>
      </c>
      <c r="D6" s="53" t="s">
        <v>162</v>
      </c>
      <c r="F6" s="54" t="s">
        <v>163</v>
      </c>
      <c r="H6" s="55" t="str" cm="1">
        <f t="array" ref="H6">arrow(D6)</f>
        <v>↑</v>
      </c>
      <c r="J6" s="56" t="str">
        <f>IF(H6=F6,"PASS","FAIL")</f>
        <v>PASS</v>
      </c>
    </row>
    <row r="8" spans="1:18" x14ac:dyDescent="0.5">
      <c r="A8" s="48">
        <v>2</v>
      </c>
      <c r="B8" s="49" t="s">
        <v>3007</v>
      </c>
      <c r="D8" s="53" t="s">
        <v>440</v>
      </c>
      <c r="F8" s="54" t="s">
        <v>437</v>
      </c>
      <c r="H8" s="55" t="str" cm="1">
        <f t="array" ref="H8">arrow(D8)</f>
        <v>↙</v>
      </c>
      <c r="J8" s="56" t="str">
        <f>IF(H8=F8,"PASS","FAIL")</f>
        <v>PASS</v>
      </c>
    </row>
    <row r="10" spans="1:18" x14ac:dyDescent="0.5">
      <c r="A10" s="48">
        <v>3</v>
      </c>
      <c r="B10" s="49" t="s">
        <v>3008</v>
      </c>
      <c r="D10" s="53" t="s">
        <v>262</v>
      </c>
      <c r="F10" s="54" t="s">
        <v>257</v>
      </c>
      <c r="H10" s="55" t="str" cm="1">
        <f t="array" ref="H10">arrow(D10)</f>
        <v>↗</v>
      </c>
      <c r="J10" s="56" t="str">
        <f>IF(H10=F10,"PASS","FAIL")</f>
        <v>PASS</v>
      </c>
    </row>
    <row r="12" spans="1:18" x14ac:dyDescent="0.5">
      <c r="A12" s="48">
        <v>4</v>
      </c>
      <c r="B12" s="49" t="s">
        <v>3009</v>
      </c>
      <c r="D12" s="53" t="s">
        <v>244</v>
      </c>
      <c r="F12" s="54" t="s">
        <v>163</v>
      </c>
      <c r="H12" s="55" t="str" cm="1">
        <f t="array" ref="H12">arrow(D12)</f>
        <v>↑</v>
      </c>
      <c r="J12" s="56" t="str">
        <f>IF(H12=F12,"PASS","FAIL")</f>
        <v>PASS</v>
      </c>
    </row>
    <row r="14" spans="1:18" x14ac:dyDescent="0.5">
      <c r="A14" s="48">
        <v>5</v>
      </c>
      <c r="B14" s="49" t="s">
        <v>3010</v>
      </c>
      <c r="D14" s="53" t="s">
        <v>235</v>
      </c>
      <c r="F14" s="54" t="s">
        <v>163</v>
      </c>
      <c r="H14" s="55" t="str" cm="1">
        <f t="array" ref="H14">arrow(D14)</f>
        <v>↑</v>
      </c>
      <c r="J14" s="56" t="str">
        <f>IF(H14=F14,"PASS","FAIL")</f>
        <v>PASS</v>
      </c>
    </row>
    <row r="16" spans="1:18" x14ac:dyDescent="0.5">
      <c r="A16" s="48">
        <v>6</v>
      </c>
      <c r="B16" s="49" t="s">
        <v>3011</v>
      </c>
      <c r="D16" s="53" t="s">
        <v>252</v>
      </c>
      <c r="F16" s="54" t="s">
        <v>163</v>
      </c>
      <c r="H16" s="55" t="str" cm="1">
        <f t="array" ref="H16">arrow(D16)</f>
        <v>↑</v>
      </c>
      <c r="J16" s="56" t="str">
        <f>IF(H16=F16,"PASS","FAIL")</f>
        <v>PASS</v>
      </c>
    </row>
    <row r="18" spans="1:10" x14ac:dyDescent="0.5">
      <c r="A18" s="48">
        <v>7</v>
      </c>
      <c r="B18" s="49" t="s">
        <v>3377</v>
      </c>
      <c r="D18" s="53" t="s">
        <v>3378</v>
      </c>
      <c r="F18" s="54" t="str">
        <f>""</f>
        <v/>
      </c>
      <c r="H18" s="55" t="str">
        <f>arrow(D18)</f>
        <v/>
      </c>
      <c r="J18" s="56" t="str">
        <f>IF(H18=F18,"PASS","FAIL")</f>
        <v>PASS</v>
      </c>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5"/>
  <dimension ref="A1:R14"/>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94" customHeight="1" x14ac:dyDescent="0.5">
      <c r="A1" s="47" t="s">
        <v>0</v>
      </c>
      <c r="B1" s="68" t="str" cm="1">
        <f t="array" aca="1" ref="B1" ca="1">_xlfn.LET(_xlpm.fn, CELL("filename",$A$1), _xlpm.nm, MID(_xlpm.fn, FIND("]", _xlpm.fn) + 1, 255), _xlfn.XLOOKUP(_xlpm.nm &amp; "(*", Lamb!$A$2:$A$1000, Lamb!$A$2:$A$1000, "", 2))</f>
        <v>arrow_move(start_ad, arrow, [steps], [board_rng], [push_mode])</v>
      </c>
      <c r="C1" s="64"/>
      <c r="D1" s="64"/>
      <c r="E1" s="64"/>
      <c r="F1" s="65"/>
      <c r="H1" s="47" t="s">
        <v>2</v>
      </c>
      <c r="I1" s="63"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arrow.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d_row, SWITCH(arrow, "←", 0, "↖", -1, "↗", -1, "→", 0, "↙", 1, "↓", 1, "↘", 1, "↑", -1),
    d_col, SWITCH(arrow,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67"/>
      <c r="D2" s="67"/>
      <c r="E2" s="67"/>
      <c r="F2" s="67"/>
      <c r="G2" s="67"/>
      <c r="H2" s="67"/>
      <c r="I2" s="67"/>
      <c r="J2" s="67"/>
      <c r="K2" s="67"/>
      <c r="L2" s="67"/>
      <c r="M2" s="67"/>
      <c r="N2" s="67"/>
      <c r="O2" s="67"/>
      <c r="P2" s="67"/>
      <c r="Q2" s="67"/>
      <c r="R2" s="67"/>
    </row>
    <row r="4" spans="1:18" x14ac:dyDescent="0.5">
      <c r="A4" s="47" t="s">
        <v>3012</v>
      </c>
      <c r="P4" s="47" t="str">
        <f>COUNTIF(P6:P16,"PASS")&amp;" / 5 PASS"</f>
        <v>5 / 5 PASS</v>
      </c>
    </row>
    <row r="5" spans="1:18" x14ac:dyDescent="0.5">
      <c r="A5" s="47" t="s">
        <v>7</v>
      </c>
      <c r="B5" s="47" t="s">
        <v>8</v>
      </c>
      <c r="D5" s="47" t="s">
        <v>9</v>
      </c>
      <c r="L5" s="50" t="s">
        <v>10</v>
      </c>
      <c r="N5" s="51" t="s">
        <v>11</v>
      </c>
      <c r="P5" s="52" t="s">
        <v>12</v>
      </c>
    </row>
    <row r="6" spans="1:18" x14ac:dyDescent="0.5">
      <c r="A6" s="48">
        <v>1</v>
      </c>
      <c r="B6" s="49" t="s">
        <v>3013</v>
      </c>
      <c r="D6" s="53" t="s">
        <v>3014</v>
      </c>
      <c r="F6" s="53" t="s">
        <v>195</v>
      </c>
      <c r="H6" s="53">
        <v>3</v>
      </c>
      <c r="L6" s="54">
        <v>1000004</v>
      </c>
      <c r="N6" s="55" cm="1">
        <f t="array" ref="N6">arrow_move(D6,F6,H6)</f>
        <v>1000004</v>
      </c>
      <c r="P6" s="56" t="str">
        <f>IF(N6=L6,"PASS","FAIL")</f>
        <v>PASS</v>
      </c>
    </row>
    <row r="8" spans="1:18" x14ac:dyDescent="0.5">
      <c r="A8" s="48">
        <v>2</v>
      </c>
      <c r="B8" s="49" t="s">
        <v>3015</v>
      </c>
      <c r="D8" s="53" t="s">
        <v>3014</v>
      </c>
      <c r="F8" s="53" t="s">
        <v>184</v>
      </c>
      <c r="H8" s="53">
        <v>2</v>
      </c>
      <c r="L8" s="54">
        <v>3000001</v>
      </c>
      <c r="N8" s="55" cm="1">
        <f t="array" ref="N8">arrow_move(D8,F8,H8)</f>
        <v>3000001</v>
      </c>
      <c r="P8" s="56" t="str">
        <f>IF(N8=L8,"PASS","FAIL")</f>
        <v>PASS</v>
      </c>
    </row>
    <row r="10" spans="1:18" x14ac:dyDescent="0.5">
      <c r="A10" s="48">
        <v>3</v>
      </c>
      <c r="B10" s="49" t="s">
        <v>3016</v>
      </c>
      <c r="D10" s="53" t="s">
        <v>3017</v>
      </c>
      <c r="F10" s="53" t="s">
        <v>163</v>
      </c>
      <c r="H10" s="53">
        <v>5</v>
      </c>
      <c r="L10" s="54">
        <v>1000001</v>
      </c>
      <c r="N10" s="55" cm="1">
        <f t="array" ref="N10">arrow_move(D10,F10,H10)</f>
        <v>1000001</v>
      </c>
      <c r="P10" s="56" t="str">
        <f>IF(N10=L10,"PASS","FAIL")</f>
        <v>PASS</v>
      </c>
    </row>
    <row r="12" spans="1:18" x14ac:dyDescent="0.5">
      <c r="A12" s="48">
        <v>4</v>
      </c>
      <c r="B12" s="49" t="s">
        <v>3018</v>
      </c>
      <c r="D12" s="53" t="s">
        <v>3017</v>
      </c>
      <c r="F12" s="53" t="s">
        <v>163</v>
      </c>
      <c r="H12" s="53">
        <v>5</v>
      </c>
      <c r="J12" s="53">
        <v>0</v>
      </c>
      <c r="L12" s="54">
        <v>3000001</v>
      </c>
      <c r="N12" s="55" cm="1">
        <f t="array" ref="N12">arrow_move(D12,F12,H12,,J12)</f>
        <v>3000001</v>
      </c>
      <c r="P12" s="56" t="str">
        <f>IF(N12=L12,"PASS","FAIL")</f>
        <v>PASS</v>
      </c>
    </row>
    <row r="14" spans="1:18" x14ac:dyDescent="0.5">
      <c r="A14" s="48">
        <v>5</v>
      </c>
      <c r="B14" s="49" t="s">
        <v>3019</v>
      </c>
      <c r="D14" s="53" t="s">
        <v>3017</v>
      </c>
      <c r="F14" s="53" t="s">
        <v>163</v>
      </c>
      <c r="H14" s="53">
        <v>5</v>
      </c>
      <c r="J14" s="53">
        <v>-1</v>
      </c>
      <c r="L14" s="54" t="s">
        <v>3020</v>
      </c>
      <c r="N14" s="55" t="str" cm="1">
        <f t="array" ref="N14">arrow_move(D14,F14,H14,,J14)</f>
        <v>oob</v>
      </c>
      <c r="P14" s="56" t="str">
        <f>IF(N14=L14,"PASS","FAIL")</f>
        <v>PASS</v>
      </c>
    </row>
  </sheetData>
  <mergeCells count="3">
    <mergeCell ref="I1:R1"/>
    <mergeCell ref="B2:R2"/>
    <mergeCell ref="B1:F1"/>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6"/>
  <dimension ref="A1:R27"/>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8" ht="210" customHeight="1" x14ac:dyDescent="0.5">
      <c r="A1" s="47" t="s">
        <v>0</v>
      </c>
      <c r="B1" s="68" t="str" cm="1">
        <f t="array" aca="1" ref="B1" ca="1">_xlfn.LET(_xlpm.fn, CELL("filename",$A$1), _xlpm.nm, MID(_xlpm.fn, FIND("]", _xlpm.fn) + 1, 255), _xlfn.XLOOKUP(_xlpm.nm &amp; "(*", Lamb!$A$2:$A$1000, Lamb!$A$2:$A$1000, "", 2))</f>
        <v>arrow_trip(rng, start_ad, dir, [stopper])</v>
      </c>
      <c r="C1" s="64"/>
      <c r="D1" s="64"/>
      <c r="E1" s="64"/>
      <c r="F1" s="65"/>
      <c r="H1" s="47" t="s">
        <v>2</v>
      </c>
      <c r="I1" s="63"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arrow.
  [stopper] - a value that halts the trip when encountered (inclusive).
Returns:
  A 2-column array: NUMERIC addresses in column 1 and their values in column 2, starting at the start cell. Returns "X" if the start is outside rng, or "" if dir is not a recognized arrow.</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addr_lookup(rng, a),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67"/>
      <c r="D2" s="67"/>
      <c r="E2" s="67"/>
      <c r="F2" s="67"/>
      <c r="G2" s="67"/>
      <c r="H2" s="67"/>
      <c r="I2" s="67"/>
      <c r="J2" s="67"/>
      <c r="K2" s="67"/>
      <c r="L2" s="67"/>
      <c r="M2" s="67"/>
      <c r="N2" s="67"/>
      <c r="O2" s="67"/>
      <c r="P2" s="67"/>
      <c r="Q2" s="67"/>
      <c r="R2" s="67"/>
    </row>
    <row r="4" spans="1:18" x14ac:dyDescent="0.5">
      <c r="A4" s="47" t="s">
        <v>3021</v>
      </c>
      <c r="P4" s="47" t="str">
        <f>COUNTIF(P9:P30,"PASS")&amp;" / 5 PASS"</f>
        <v>5 / 5 PASS</v>
      </c>
    </row>
    <row r="5" spans="1:18" x14ac:dyDescent="0.5">
      <c r="B5" s="47" t="s">
        <v>8</v>
      </c>
      <c r="J5" s="50" t="s">
        <v>3022</v>
      </c>
      <c r="K5" s="50" t="s">
        <v>3023</v>
      </c>
      <c r="M5" s="51" t="s">
        <v>3024</v>
      </c>
      <c r="N5" s="51" t="s">
        <v>3023</v>
      </c>
      <c r="P5" s="52" t="s">
        <v>12</v>
      </c>
    </row>
    <row r="6" spans="1:18" x14ac:dyDescent="0.5">
      <c r="B6" s="47" t="s">
        <v>3025</v>
      </c>
    </row>
    <row r="7" spans="1:18" x14ac:dyDescent="0.5">
      <c r="D7" s="53" t="s">
        <v>3026</v>
      </c>
      <c r="E7" s="53" t="s">
        <v>3027</v>
      </c>
      <c r="F7" s="53" t="s">
        <v>2634</v>
      </c>
      <c r="G7" s="53" t="s">
        <v>3028</v>
      </c>
      <c r="H7" s="53" t="s">
        <v>3029</v>
      </c>
    </row>
    <row r="9" spans="1:18" x14ac:dyDescent="0.5">
      <c r="B9" s="49" t="s">
        <v>3030</v>
      </c>
      <c r="J9" s="54">
        <v>7000004</v>
      </c>
      <c r="K9" s="54" t="s">
        <v>3026</v>
      </c>
      <c r="M9" s="55" cm="1">
        <f t="array" ref="M9:N13">arrow_trip(D7:H7,"D7","→")</f>
        <v>7000004</v>
      </c>
      <c r="N9" s="55" t="str">
        <v>a</v>
      </c>
      <c r="P9" s="56" t="str" cm="1">
        <f t="array" ref="P9">IF(AND(J9:K13=M9:N13),"PASS","FAIL")</f>
        <v>PASS</v>
      </c>
    </row>
    <row r="10" spans="1:18" x14ac:dyDescent="0.5">
      <c r="J10" s="54">
        <v>7000005</v>
      </c>
      <c r="K10" s="54" t="s">
        <v>3027</v>
      </c>
      <c r="M10" s="55">
        <v>7000005</v>
      </c>
      <c r="N10" s="55" t="str">
        <v>b</v>
      </c>
    </row>
    <row r="11" spans="1:18" x14ac:dyDescent="0.5">
      <c r="J11" s="54">
        <v>7000006</v>
      </c>
      <c r="K11" s="54" t="s">
        <v>2634</v>
      </c>
      <c r="M11" s="55">
        <v>7000006</v>
      </c>
      <c r="N11" s="55" t="str">
        <v>X</v>
      </c>
    </row>
    <row r="12" spans="1:18" x14ac:dyDescent="0.5">
      <c r="J12" s="54">
        <v>7000007</v>
      </c>
      <c r="K12" s="54" t="s">
        <v>3028</v>
      </c>
      <c r="M12" s="55">
        <v>7000007</v>
      </c>
      <c r="N12" s="55" t="str">
        <v>d</v>
      </c>
    </row>
    <row r="13" spans="1:18" x14ac:dyDescent="0.5">
      <c r="J13" s="54">
        <v>7000008</v>
      </c>
      <c r="K13" s="54" t="s">
        <v>3029</v>
      </c>
      <c r="M13" s="55">
        <v>7000008</v>
      </c>
      <c r="N13" s="55" t="str">
        <v>e</v>
      </c>
    </row>
    <row r="15" spans="1:18" x14ac:dyDescent="0.5">
      <c r="B15" s="49" t="s">
        <v>3031</v>
      </c>
      <c r="J15" s="54">
        <v>7000004</v>
      </c>
      <c r="K15" s="54" t="s">
        <v>3026</v>
      </c>
      <c r="M15" s="55" cm="1">
        <f t="array" ref="M15:N17">arrow_trip(D7:H7,"D7","→","X")</f>
        <v>7000004</v>
      </c>
      <c r="N15" s="55" t="str">
        <v>a</v>
      </c>
      <c r="P15" s="56" t="str" cm="1">
        <f t="array" ref="P15">IF(AND(J15:K17=M15:N17),"PASS","FAIL")</f>
        <v>PASS</v>
      </c>
    </row>
    <row r="16" spans="1:18" x14ac:dyDescent="0.5">
      <c r="J16" s="54">
        <v>7000005</v>
      </c>
      <c r="K16" s="54" t="s">
        <v>3027</v>
      </c>
      <c r="M16" s="55">
        <v>7000005</v>
      </c>
      <c r="N16" s="55" t="str">
        <v>b</v>
      </c>
    </row>
    <row r="17" spans="2:16" x14ac:dyDescent="0.5">
      <c r="J17" s="54">
        <v>7000006</v>
      </c>
      <c r="K17" s="54" t="s">
        <v>2634</v>
      </c>
      <c r="M17" s="55">
        <v>7000006</v>
      </c>
      <c r="N17" s="55" t="str">
        <v>X</v>
      </c>
    </row>
    <row r="19" spans="2:16" x14ac:dyDescent="0.5">
      <c r="B19" s="49" t="s">
        <v>3032</v>
      </c>
      <c r="J19" s="54">
        <v>7000004</v>
      </c>
      <c r="K19" s="54" t="s">
        <v>3026</v>
      </c>
      <c r="M19" s="55" cm="1">
        <f t="array" ref="M19:N23">arrow_trip(D7:H7,"D7","→","Z")</f>
        <v>7000004</v>
      </c>
      <c r="N19" s="55" t="str">
        <v>a</v>
      </c>
      <c r="P19" s="56" t="str" cm="1">
        <f t="array" ref="P19">IF(AND(J19:K23=M19:N23),"PASS","FAIL")</f>
        <v>PASS</v>
      </c>
    </row>
    <row r="20" spans="2:16" x14ac:dyDescent="0.5">
      <c r="J20" s="54">
        <v>7000005</v>
      </c>
      <c r="K20" s="54" t="s">
        <v>3027</v>
      </c>
      <c r="M20" s="55">
        <v>7000005</v>
      </c>
      <c r="N20" s="55" t="str">
        <v>b</v>
      </c>
    </row>
    <row r="21" spans="2:16" x14ac:dyDescent="0.5">
      <c r="J21" s="54">
        <v>7000006</v>
      </c>
      <c r="K21" s="54" t="s">
        <v>2634</v>
      </c>
      <c r="M21" s="55">
        <v>7000006</v>
      </c>
      <c r="N21" s="55" t="str">
        <v>X</v>
      </c>
    </row>
    <row r="22" spans="2:16" x14ac:dyDescent="0.5">
      <c r="J22" s="54">
        <v>7000007</v>
      </c>
      <c r="K22" s="54" t="s">
        <v>3028</v>
      </c>
      <c r="M22" s="55">
        <v>7000007</v>
      </c>
      <c r="N22" s="55" t="str">
        <v>d</v>
      </c>
    </row>
    <row r="23" spans="2:16" x14ac:dyDescent="0.5">
      <c r="J23" s="54">
        <v>7000008</v>
      </c>
      <c r="K23" s="54" t="s">
        <v>3029</v>
      </c>
      <c r="M23" s="55">
        <v>7000008</v>
      </c>
      <c r="N23" s="55" t="str">
        <v>e</v>
      </c>
    </row>
    <row r="25" spans="2:16" x14ac:dyDescent="0.5">
      <c r="B25" s="49" t="s">
        <v>3382</v>
      </c>
      <c r="J25" s="54" t="s">
        <v>2634</v>
      </c>
      <c r="M25" s="55" t="str">
        <f>arrow_trip(D7:H7,"D6","→")</f>
        <v>X</v>
      </c>
      <c r="P25" s="56" t="str">
        <f>IF(M25="X","PASS","FAIL")</f>
        <v>PASS</v>
      </c>
    </row>
    <row r="27" spans="2:16" x14ac:dyDescent="0.5">
      <c r="B27" s="49" t="s">
        <v>3383</v>
      </c>
      <c r="J27" s="54" t="str">
        <f>""</f>
        <v/>
      </c>
      <c r="M27" s="55" t="str">
        <f>arrow_trip(D7:H7,"D7","Z")</f>
        <v/>
      </c>
      <c r="P27" s="56" t="str">
        <f>IF(M27="","PASS","FAIL")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7"/>
  <dimension ref="A1:R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biggest(check, return)</v>
      </c>
      <c r="C1" s="64"/>
      <c r="D1" s="64"/>
      <c r="E1" s="64"/>
      <c r="F1" s="65"/>
      <c r="H1" s="47" t="s">
        <v>2</v>
      </c>
      <c r="I1" s="63"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=LAMBDA(check, return, IFNA(XLOOKUP(MAX(check), check, return), ""))</v>
      </c>
      <c r="C2" s="67"/>
      <c r="D2" s="67"/>
      <c r="E2" s="67"/>
      <c r="F2" s="67"/>
      <c r="G2" s="67"/>
      <c r="H2" s="67"/>
      <c r="I2" s="67"/>
      <c r="J2" s="67"/>
      <c r="K2" s="67"/>
      <c r="L2" s="67"/>
      <c r="M2" s="67"/>
      <c r="N2" s="67"/>
      <c r="O2" s="67"/>
      <c r="P2" s="67"/>
      <c r="Q2" s="67"/>
      <c r="R2" s="67"/>
    </row>
    <row r="4" spans="1:18" x14ac:dyDescent="0.5">
      <c r="A4" s="47" t="s">
        <v>3033</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3034</v>
      </c>
      <c r="D6" s="53">
        <v>30</v>
      </c>
      <c r="F6" s="53" t="s">
        <v>3026</v>
      </c>
      <c r="H6" s="54" t="s">
        <v>3027</v>
      </c>
      <c r="J6" s="55" t="str" cm="1">
        <f t="array" ref="J6">biggest(D6:D8,F6:F8)</f>
        <v>b</v>
      </c>
      <c r="L6" s="56" t="str">
        <f>IF(J6=H6,"PASS","FAIL")</f>
        <v>PASS</v>
      </c>
    </row>
    <row r="7" spans="1:18" x14ac:dyDescent="0.5">
      <c r="A7" s="57"/>
      <c r="B7" s="57"/>
      <c r="D7" s="53">
        <v>70</v>
      </c>
      <c r="F7" s="53" t="s">
        <v>3027</v>
      </c>
    </row>
    <row r="8" spans="1:18" x14ac:dyDescent="0.5">
      <c r="A8" s="57"/>
      <c r="B8" s="57"/>
      <c r="D8" s="53">
        <v>50</v>
      </c>
      <c r="F8" s="53" t="s">
        <v>3035</v>
      </c>
    </row>
    <row r="10" spans="1:18" x14ac:dyDescent="0.5">
      <c r="A10" s="48">
        <v>2</v>
      </c>
      <c r="B10" s="49" t="s">
        <v>3036</v>
      </c>
      <c r="D10" s="53">
        <v>5</v>
      </c>
      <c r="F10" s="53" t="s">
        <v>3037</v>
      </c>
      <c r="H10" s="54" t="s">
        <v>3038</v>
      </c>
      <c r="J10" s="55" t="str" cm="1">
        <f t="array" ref="J10">biggest(D10:D13,F10:F13)</f>
        <v>q</v>
      </c>
      <c r="L10" s="56" t="str">
        <f>IF(J10=H10,"PASS","FAIL")</f>
        <v>PASS</v>
      </c>
    </row>
    <row r="11" spans="1:18" x14ac:dyDescent="0.5">
      <c r="A11" s="57"/>
      <c r="B11" s="57"/>
      <c r="D11" s="53">
        <v>9</v>
      </c>
      <c r="F11" s="53" t="s">
        <v>3038</v>
      </c>
    </row>
    <row r="12" spans="1:18" x14ac:dyDescent="0.5">
      <c r="A12" s="57"/>
      <c r="B12" s="57"/>
      <c r="D12" s="53">
        <v>9</v>
      </c>
      <c r="F12" s="53" t="s">
        <v>3039</v>
      </c>
    </row>
    <row r="13" spans="1:18" x14ac:dyDescent="0.5">
      <c r="A13" s="57"/>
      <c r="B13" s="57"/>
      <c r="D13" s="53">
        <v>2</v>
      </c>
      <c r="F13" s="53" t="s">
        <v>3040</v>
      </c>
    </row>
    <row r="15" spans="1:18" x14ac:dyDescent="0.5">
      <c r="A15" s="48">
        <v>3</v>
      </c>
      <c r="B15" s="49" t="s">
        <v>3384</v>
      </c>
      <c r="D15" s="53" t="s">
        <v>3046</v>
      </c>
      <c r="F15" s="53" t="s">
        <v>3385</v>
      </c>
      <c r="H15" s="54" t="str">
        <f>""</f>
        <v/>
      </c>
      <c r="J15" s="55" t="str">
        <f>biggest(D15,F15)</f>
        <v/>
      </c>
      <c r="L15" s="56" t="str">
        <f>IF(J15=H15,"PASS","FAIL")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8"/>
  <dimension ref="A1:R19"/>
  <sheetViews>
    <sheetView zoomScale="130" zoomScaleNormal="130"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clamp(num_or_arr, [bottom], [top])</v>
      </c>
      <c r="C1" s="64"/>
      <c r="D1" s="64"/>
      <c r="E1" s="64"/>
      <c r="F1" s="65"/>
      <c r="H1" s="47" t="s">
        <v>2</v>
      </c>
      <c r="I1" s="84"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67"/>
      <c r="D2" s="67"/>
      <c r="E2" s="67"/>
      <c r="F2" s="67"/>
      <c r="G2" s="67"/>
      <c r="H2" s="67"/>
      <c r="I2" s="67"/>
      <c r="J2" s="67"/>
      <c r="K2" s="67"/>
      <c r="L2" s="67"/>
      <c r="M2" s="67"/>
      <c r="N2" s="67"/>
      <c r="O2" s="67"/>
      <c r="P2" s="67"/>
      <c r="Q2" s="67"/>
      <c r="R2" s="67"/>
    </row>
    <row r="4" spans="1:18" x14ac:dyDescent="0.5">
      <c r="A4" s="47" t="s">
        <v>3041</v>
      </c>
      <c r="N4" s="47" t="str">
        <f>COUNTIF(N6:N21,"PASS")&amp;" / 5 PASS"</f>
        <v>5 / 5 PASS</v>
      </c>
    </row>
    <row r="5" spans="1:18" x14ac:dyDescent="0.5">
      <c r="A5" s="47" t="s">
        <v>7</v>
      </c>
      <c r="B5" s="47" t="s">
        <v>8</v>
      </c>
      <c r="D5" s="47" t="s">
        <v>9</v>
      </c>
      <c r="J5" s="50" t="s">
        <v>10</v>
      </c>
      <c r="L5" s="51" t="s">
        <v>11</v>
      </c>
      <c r="N5" s="52" t="s">
        <v>12</v>
      </c>
    </row>
    <row r="6" spans="1:18" x14ac:dyDescent="0.5">
      <c r="A6" s="48">
        <v>1</v>
      </c>
      <c r="B6" s="49" t="s">
        <v>3042</v>
      </c>
      <c r="D6" s="53">
        <v>5</v>
      </c>
      <c r="F6" s="53">
        <v>0</v>
      </c>
      <c r="H6" s="53">
        <v>100</v>
      </c>
      <c r="J6" s="54">
        <v>5</v>
      </c>
      <c r="L6" s="55" cm="1">
        <f t="array" ref="L6:L8">clamp(D6:D8,F6,H6)</f>
        <v>5</v>
      </c>
      <c r="N6" s="56" t="str" cm="1">
        <f t="array" ref="N6">IF(AND(J6:J8=L6:L8),"PASS","FAIL")</f>
        <v>PASS</v>
      </c>
    </row>
    <row r="7" spans="1:18" x14ac:dyDescent="0.5">
      <c r="A7" s="57"/>
      <c r="B7" s="57"/>
      <c r="D7" s="53">
        <v>-3</v>
      </c>
      <c r="J7" s="54">
        <v>0</v>
      </c>
      <c r="L7" s="55">
        <v>0</v>
      </c>
    </row>
    <row r="8" spans="1:18" x14ac:dyDescent="0.5">
      <c r="A8" s="57"/>
      <c r="B8" s="57"/>
      <c r="D8" s="53">
        <v>120</v>
      </c>
      <c r="J8" s="54">
        <v>100</v>
      </c>
      <c r="L8" s="55">
        <v>100</v>
      </c>
    </row>
    <row r="10" spans="1:18" x14ac:dyDescent="0.5">
      <c r="A10" s="48">
        <v>2</v>
      </c>
      <c r="B10" s="49" t="s">
        <v>3043</v>
      </c>
      <c r="D10" s="53">
        <v>150</v>
      </c>
      <c r="F10" s="53">
        <v>100</v>
      </c>
      <c r="J10" s="54">
        <v>100</v>
      </c>
      <c r="L10" s="55" cm="1">
        <f t="array" ref="L10">clamp(D10,,F10)</f>
        <v>100</v>
      </c>
      <c r="N10" s="56" t="str">
        <f>IF(L10=J10,"PASS","FAIL")</f>
        <v>PASS</v>
      </c>
    </row>
    <row r="12" spans="1:18" x14ac:dyDescent="0.5">
      <c r="A12" s="48">
        <v>3</v>
      </c>
      <c r="B12" s="49" t="s">
        <v>3044</v>
      </c>
      <c r="D12" s="53">
        <v>-5</v>
      </c>
      <c r="F12" s="53">
        <v>0</v>
      </c>
      <c r="J12" s="54">
        <v>0</v>
      </c>
      <c r="L12" s="55" cm="1">
        <f t="array" ref="L12">clamp(D12,F12)</f>
        <v>0</v>
      </c>
      <c r="N12" s="56" t="str">
        <f>IF(L12=J12,"PASS","FAIL")</f>
        <v>PASS</v>
      </c>
    </row>
    <row r="14" spans="1:18" x14ac:dyDescent="0.5">
      <c r="A14" s="48">
        <v>4</v>
      </c>
      <c r="B14" s="49" t="s">
        <v>3045</v>
      </c>
      <c r="D14" s="53">
        <v>5</v>
      </c>
      <c r="F14" s="53">
        <v>0</v>
      </c>
      <c r="H14" s="53">
        <v>10</v>
      </c>
      <c r="J14" s="54">
        <v>5</v>
      </c>
      <c r="L14" s="55" cm="1">
        <f t="array" ref="L14:L17">clamp(D14:D17,F14,H14)</f>
        <v>5</v>
      </c>
      <c r="N14" s="56" t="str" cm="1">
        <f t="array" ref="N14">IF(AND(J14:J17=L14:L17),"PASS","FAIL")</f>
        <v>PASS</v>
      </c>
    </row>
    <row r="15" spans="1:18" x14ac:dyDescent="0.5">
      <c r="A15" s="57"/>
      <c r="B15" s="57"/>
      <c r="D15" s="53" t="s">
        <v>3046</v>
      </c>
      <c r="J15" s="54"/>
      <c r="L15" s="55" t="str">
        <v/>
      </c>
    </row>
    <row r="16" spans="1:18" x14ac:dyDescent="0.5">
      <c r="A16" s="57"/>
      <c r="B16" s="57"/>
      <c r="D16" s="53"/>
      <c r="J16" s="54"/>
      <c r="L16" s="55" t="str">
        <v/>
      </c>
    </row>
    <row r="17" spans="1:14" x14ac:dyDescent="0.5">
      <c r="A17" s="57"/>
      <c r="B17" s="57"/>
      <c r="D17" s="53">
        <v>8</v>
      </c>
      <c r="J17" s="54">
        <v>8</v>
      </c>
      <c r="L17" s="55">
        <v>8</v>
      </c>
    </row>
    <row r="19" spans="1:14" x14ac:dyDescent="0.5">
      <c r="A19" s="48">
        <v>5</v>
      </c>
      <c r="B19" s="49" t="s">
        <v>3047</v>
      </c>
      <c r="D19" s="53" t="e">
        <f>NA()</f>
        <v>#N/A</v>
      </c>
      <c r="F19" s="53">
        <v>0</v>
      </c>
      <c r="H19" s="53">
        <v>10</v>
      </c>
      <c r="J19" s="54" t="e">
        <v>#N/A</v>
      </c>
      <c r="L19" s="55" t="e" cm="1">
        <f t="array" ref="L19">clamp(D19,F19,H19)</f>
        <v>#N/A</v>
      </c>
      <c r="N19" s="56" t="str">
        <f>IF(ISNA(L19),"PASS","FAIL")</f>
        <v>PASS</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9"/>
  <dimension ref="A1:R18"/>
  <sheetViews>
    <sheetView topLeftCell="A2"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count_substring(str, sub, [case_sensitive])</v>
      </c>
      <c r="C1" s="64"/>
      <c r="D1" s="64"/>
      <c r="E1" s="64"/>
      <c r="F1" s="65"/>
      <c r="H1" s="47" t="s">
        <v>2</v>
      </c>
      <c r="I1" s="63"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67"/>
      <c r="D2" s="67"/>
      <c r="E2" s="67"/>
      <c r="F2" s="67"/>
      <c r="G2" s="67"/>
      <c r="H2" s="67"/>
      <c r="I2" s="67"/>
      <c r="J2" s="67"/>
      <c r="K2" s="67"/>
      <c r="L2" s="67"/>
      <c r="M2" s="67"/>
      <c r="N2" s="67"/>
      <c r="O2" s="67"/>
      <c r="P2" s="67"/>
      <c r="Q2" s="67"/>
      <c r="R2" s="67"/>
    </row>
    <row r="4" spans="1:18" x14ac:dyDescent="0.5">
      <c r="A4" s="47" t="s">
        <v>3048</v>
      </c>
      <c r="N4" s="47" t="str">
        <f>COUNTIF(N6:N20,"PASS")&amp;" / 6 PASS"</f>
        <v>6 / 6 PASS</v>
      </c>
    </row>
    <row r="5" spans="1:18" x14ac:dyDescent="0.5">
      <c r="A5" s="47" t="s">
        <v>7</v>
      </c>
      <c r="B5" s="47" t="s">
        <v>8</v>
      </c>
      <c r="D5" s="47" t="s">
        <v>9</v>
      </c>
      <c r="J5" s="50" t="s">
        <v>10</v>
      </c>
      <c r="L5" s="51" t="s">
        <v>11</v>
      </c>
      <c r="N5" s="52" t="s">
        <v>12</v>
      </c>
    </row>
    <row r="6" spans="1:18" x14ac:dyDescent="0.5">
      <c r="A6" s="48">
        <v>1</v>
      </c>
      <c r="B6" s="49" t="s">
        <v>3049</v>
      </c>
      <c r="D6" s="53" t="s">
        <v>3050</v>
      </c>
      <c r="F6" s="53" t="s">
        <v>3026</v>
      </c>
      <c r="J6" s="54">
        <v>3</v>
      </c>
      <c r="L6" s="55" cm="1">
        <f t="array" ref="L6">count_substring(D6,F6)</f>
        <v>3</v>
      </c>
      <c r="N6" s="56" t="str">
        <f>IF(L6=J6,"PASS","FAIL")</f>
        <v>PASS</v>
      </c>
    </row>
    <row r="8" spans="1:18" x14ac:dyDescent="0.5">
      <c r="A8" s="48">
        <v>2</v>
      </c>
      <c r="B8" s="49" t="s">
        <v>3051</v>
      </c>
      <c r="D8" s="53" t="s">
        <v>3050</v>
      </c>
      <c r="F8" s="53" t="s">
        <v>3052</v>
      </c>
      <c r="J8" s="54">
        <v>2</v>
      </c>
      <c r="L8" s="55" cm="1">
        <f t="array" ref="L8">count_substring(D8,F8)</f>
        <v>2</v>
      </c>
      <c r="N8" s="56" t="str">
        <f>IF(L8=J8,"PASS","FAIL")</f>
        <v>PASS</v>
      </c>
    </row>
    <row r="10" spans="1:18" x14ac:dyDescent="0.5">
      <c r="A10" s="48">
        <v>3</v>
      </c>
      <c r="B10" s="49" t="s">
        <v>3053</v>
      </c>
      <c r="D10" s="53" t="s">
        <v>3054</v>
      </c>
      <c r="F10" s="53" t="s">
        <v>3026</v>
      </c>
      <c r="H10" s="53">
        <v>1</v>
      </c>
      <c r="J10" s="54">
        <v>2</v>
      </c>
      <c r="L10" s="55" cm="1">
        <f t="array" ref="L10">count_substring(D10,F10,H10)</f>
        <v>2</v>
      </c>
      <c r="N10" s="56" t="str">
        <f>IF(L10=J10,"PASS","FAIL")</f>
        <v>PASS</v>
      </c>
    </row>
    <row r="12" spans="1:18" x14ac:dyDescent="0.5">
      <c r="A12" s="48">
        <v>4</v>
      </c>
      <c r="B12" s="49" t="s">
        <v>3055</v>
      </c>
      <c r="D12" s="53" t="s">
        <v>3054</v>
      </c>
      <c r="F12" s="53" t="s">
        <v>3026</v>
      </c>
      <c r="J12" s="54">
        <v>4</v>
      </c>
      <c r="L12" s="55" cm="1">
        <f t="array" ref="L12">count_substring(D12,F12)</f>
        <v>4</v>
      </c>
      <c r="N12" s="56" t="str">
        <f>IF(L12=J12,"PASS","FAIL")</f>
        <v>PASS</v>
      </c>
    </row>
    <row r="14" spans="1:18" x14ac:dyDescent="0.5">
      <c r="A14" s="48">
        <v>5</v>
      </c>
      <c r="B14" s="49" t="s">
        <v>3056</v>
      </c>
      <c r="D14" s="53" t="s">
        <v>3050</v>
      </c>
      <c r="F14" s="53" t="s">
        <v>3026</v>
      </c>
      <c r="J14" s="54">
        <v>3</v>
      </c>
      <c r="L14" s="55" cm="1">
        <f t="array" ref="L14:L15">count_substring(D14,F14:F15)</f>
        <v>3</v>
      </c>
      <c r="N14" s="56" t="str" cm="1">
        <f t="array" ref="N14">IF(AND(J14:J15=L14:L15),"PASS","FAIL")</f>
        <v>PASS</v>
      </c>
    </row>
    <row r="15" spans="1:18" x14ac:dyDescent="0.5">
      <c r="A15" s="57"/>
      <c r="B15" s="57"/>
      <c r="F15" s="53" t="s">
        <v>3057</v>
      </c>
      <c r="J15" s="54">
        <v>2</v>
      </c>
      <c r="L15" s="55">
        <v>2</v>
      </c>
    </row>
    <row r="17" spans="1:14" x14ac:dyDescent="0.5">
      <c r="A17" s="48">
        <v>6</v>
      </c>
      <c r="B17" s="49" t="s">
        <v>3058</v>
      </c>
      <c r="D17" s="53" t="s">
        <v>3050</v>
      </c>
      <c r="F17" s="53" t="s">
        <v>3026</v>
      </c>
      <c r="J17" s="54">
        <v>3</v>
      </c>
      <c r="L17" s="55" cm="1">
        <f t="array" ref="L17:L18">count_substring(D17:D18,F17)</f>
        <v>3</v>
      </c>
      <c r="N17" s="56" t="str" cm="1">
        <f t="array" ref="N17">IF(AND(J17:J18=L17:L18),"PASS","FAIL")</f>
        <v>PASS</v>
      </c>
    </row>
    <row r="18" spans="1:14" x14ac:dyDescent="0.5">
      <c r="A18" s="57"/>
      <c r="B18" s="57"/>
      <c r="D18" s="53" t="s">
        <v>3059</v>
      </c>
      <c r="J18" s="54">
        <v>1</v>
      </c>
      <c r="L18" s="55">
        <v>1</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7" t="s">
        <v>0</v>
      </c>
      <c r="B1" s="68" t="str" cm="1">
        <f t="array" aca="1" ref="B1" ca="1">_xlfn.LET(_xlpm.fn, CELL("filename",$A$1), _xlpm.nm, MID(_xlpm.fn, FIND("]", _xlpm.fn) + 1, 255), _xlfn.XLOOKUP(_xlpm.nm &amp; "(*", Lamb!$A$2:$A$1000, Lamb!$A$2:$A$1000, "", 2))</f>
        <v>ctotal(arr)</v>
      </c>
      <c r="C1" s="64"/>
      <c r="D1" s="64"/>
      <c r="E1" s="64"/>
      <c r="F1" s="65"/>
      <c r="H1" s="47" t="s">
        <v>2</v>
      </c>
      <c r="I1" s="63"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64"/>
      <c r="K1" s="64"/>
      <c r="L1" s="64"/>
      <c r="M1" s="64"/>
      <c r="N1" s="64"/>
      <c r="O1" s="64"/>
      <c r="P1" s="64"/>
      <c r="Q1" s="64"/>
      <c r="R1" s="65"/>
    </row>
    <row r="2" spans="1:19" ht="21" customHeight="1" x14ac:dyDescent="0.5">
      <c r="A2" s="47" t="s">
        <v>4</v>
      </c>
      <c r="B2" s="66" t="str" cm="1">
        <f t="array" aca="1" ref="B2" ca="1">_xlfn.LET(_xlpm.fn, CELL("filename",$A$1), _xlpm.nm, MID(_xlpm.fn, FIND("]", _xlpm.fn) + 1, 255), _xlfn.XLOOKUP(_xlpm.nm &amp; "(*", Lamb!$A$2:$A$1000, Lamb!$C$2:$C$1000, "", 2))</f>
        <v>=LAMBDA(arr, SCAN(0, arr, LAMBDA(a, b, a + b)))</v>
      </c>
      <c r="C2" s="67"/>
      <c r="D2" s="67"/>
      <c r="E2" s="67"/>
      <c r="F2" s="67"/>
      <c r="G2" s="67"/>
      <c r="H2" s="67"/>
      <c r="I2" s="67"/>
      <c r="J2" s="67"/>
      <c r="K2" s="67"/>
      <c r="L2" s="67"/>
      <c r="M2" s="67"/>
      <c r="N2" s="67"/>
      <c r="O2" s="67"/>
      <c r="P2" s="67"/>
      <c r="Q2" s="67"/>
      <c r="R2" s="67"/>
    </row>
    <row r="4" spans="1:19" x14ac:dyDescent="0.5">
      <c r="A4" s="47" t="s">
        <v>3060</v>
      </c>
      <c r="S4" s="47" t="str">
        <f>COUNTIF(S6:S20,"PASS")&amp;" / 4 PASS"</f>
        <v>4 / 4 PASS</v>
      </c>
    </row>
    <row r="5" spans="1:19" x14ac:dyDescent="0.5">
      <c r="A5" s="47" t="s">
        <v>7</v>
      </c>
      <c r="B5" s="47" t="s">
        <v>8</v>
      </c>
      <c r="D5" s="47" t="s">
        <v>9</v>
      </c>
      <c r="I5" s="50" t="s">
        <v>10</v>
      </c>
      <c r="N5" s="51" t="s">
        <v>11</v>
      </c>
      <c r="S5" s="52" t="s">
        <v>12</v>
      </c>
    </row>
    <row r="6" spans="1:19" x14ac:dyDescent="0.5">
      <c r="A6" s="48">
        <v>1</v>
      </c>
      <c r="B6" s="49" t="s">
        <v>3061</v>
      </c>
      <c r="D6" s="53">
        <v>1</v>
      </c>
      <c r="I6" s="54">
        <v>1</v>
      </c>
      <c r="N6" s="55" cm="1">
        <f t="array" ref="N6:N8">ctotal(D6:D8)</f>
        <v>1</v>
      </c>
      <c r="S6" s="56" t="str" cm="1">
        <f t="array" ref="S6">IF(AND(I6:I8=N6:N8),"PASS","FAIL")</f>
        <v>PASS</v>
      </c>
    </row>
    <row r="7" spans="1:19" x14ac:dyDescent="0.5">
      <c r="A7" s="57"/>
      <c r="B7" s="57"/>
      <c r="D7" s="53">
        <v>2</v>
      </c>
      <c r="I7" s="54">
        <v>3</v>
      </c>
      <c r="N7" s="55">
        <v>3</v>
      </c>
    </row>
    <row r="8" spans="1:19" x14ac:dyDescent="0.5">
      <c r="A8" s="57"/>
      <c r="B8" s="57"/>
      <c r="D8" s="53">
        <v>3</v>
      </c>
      <c r="I8" s="54">
        <v>6</v>
      </c>
      <c r="N8" s="55">
        <v>6</v>
      </c>
    </row>
    <row r="10" spans="1:19" x14ac:dyDescent="0.5">
      <c r="A10" s="48">
        <v>2</v>
      </c>
      <c r="B10" s="49" t="s">
        <v>3062</v>
      </c>
      <c r="D10" s="53">
        <v>5</v>
      </c>
      <c r="I10" s="54">
        <v>5</v>
      </c>
      <c r="N10" s="55" cm="1">
        <f t="array" ref="N10:N12">ctotal(D10:D12)</f>
        <v>5</v>
      </c>
      <c r="S10" s="56" t="str" cm="1">
        <f t="array" ref="S10">IF(AND(I10:I12=N10:N12),"PASS","FAIL")</f>
        <v>PASS</v>
      </c>
    </row>
    <row r="11" spans="1:19" x14ac:dyDescent="0.5">
      <c r="A11" s="57"/>
      <c r="B11" s="57"/>
      <c r="D11" s="53">
        <v>-2</v>
      </c>
      <c r="I11" s="54">
        <v>3</v>
      </c>
      <c r="N11" s="55">
        <v>3</v>
      </c>
    </row>
    <row r="12" spans="1:19" x14ac:dyDescent="0.5">
      <c r="A12" s="57"/>
      <c r="B12" s="57"/>
      <c r="D12" s="53">
        <v>10</v>
      </c>
      <c r="I12" s="54">
        <v>13</v>
      </c>
      <c r="N12" s="55">
        <v>13</v>
      </c>
    </row>
    <row r="14" spans="1:19" x14ac:dyDescent="0.5">
      <c r="A14" s="48">
        <v>3</v>
      </c>
      <c r="B14" s="49" t="s">
        <v>3063</v>
      </c>
      <c r="D14" s="53">
        <v>1</v>
      </c>
      <c r="I14" s="54">
        <v>1</v>
      </c>
      <c r="N14" s="55" cm="1">
        <f t="array" ref="N14:N16">ctotal(D14:D16)</f>
        <v>1</v>
      </c>
      <c r="S14" s="56" t="str" cm="1">
        <f t="array" ref="S14">IF(AND(I14:I16=N14:N16),"PASS","FAIL")</f>
        <v>PASS</v>
      </c>
    </row>
    <row r="15" spans="1:19" x14ac:dyDescent="0.5">
      <c r="A15" s="57"/>
      <c r="B15" s="57"/>
      <c r="D15" s="53"/>
      <c r="I15" s="54">
        <v>1</v>
      </c>
      <c r="N15" s="55">
        <v>1</v>
      </c>
    </row>
    <row r="16" spans="1:19" x14ac:dyDescent="0.5">
      <c r="A16" s="57"/>
      <c r="B16" s="57"/>
      <c r="D16" s="53">
        <v>3</v>
      </c>
      <c r="I16" s="54">
        <v>4</v>
      </c>
      <c r="N16" s="55">
        <v>4</v>
      </c>
    </row>
    <row r="18" spans="1:19" x14ac:dyDescent="0.5">
      <c r="A18" s="48">
        <v>4</v>
      </c>
      <c r="B18" s="49" t="s">
        <v>3064</v>
      </c>
      <c r="D18" s="53">
        <v>1</v>
      </c>
      <c r="E18" s="53">
        <v>2</v>
      </c>
      <c r="F18" s="53">
        <v>3</v>
      </c>
      <c r="G18" s="53">
        <v>4</v>
      </c>
      <c r="I18" s="54">
        <v>1</v>
      </c>
      <c r="J18" s="54">
        <v>3</v>
      </c>
      <c r="K18" s="54">
        <v>6</v>
      </c>
      <c r="L18" s="54">
        <v>10</v>
      </c>
      <c r="N18" s="55" cm="1">
        <f t="array" ref="N18:Q18">ctotal(D18:G18)</f>
        <v>1</v>
      </c>
      <c r="O18" s="55">
        <v>3</v>
      </c>
      <c r="P18" s="55">
        <v>6</v>
      </c>
      <c r="Q18" s="55">
        <v>10</v>
      </c>
      <c r="S18" s="56" t="str" cm="1">
        <f t="array" ref="S18">IF(AND(I18:L18=N18:Q18),"PASS","FAIL")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1"/>
  <dimension ref="A1:R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68" t="str" cm="1">
        <f t="array" aca="1" ref="B1" ca="1">_xlfn.LET(_xlpm.fn, CELL("filename",$A$1), _xlpm.nm, MID(_xlpm.fn, FIND("]", _xlpm.fn) + 1, 255), _xlfn.XLOOKUP(_xlpm.nm &amp; "(*", Lamb!$A$2:$A$1000, Lamb!$A$2:$A$1000, "", 2))</f>
        <v>cycles(outer_n, inner_n)</v>
      </c>
      <c r="C1" s="64"/>
      <c r="D1" s="64"/>
      <c r="E1" s="64"/>
      <c r="F1" s="65"/>
      <c r="H1" s="47" t="s">
        <v>2</v>
      </c>
      <c r="I1" s="63"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64"/>
      <c r="K1" s="64"/>
      <c r="L1" s="64"/>
      <c r="M1" s="64"/>
      <c r="N1" s="64"/>
      <c r="O1" s="64"/>
      <c r="P1" s="64"/>
      <c r="Q1" s="64"/>
      <c r="R1" s="65"/>
    </row>
    <row r="2" spans="1:18" ht="84" customHeight="1" x14ac:dyDescent="0.5">
      <c r="A2" s="47" t="s">
        <v>4</v>
      </c>
      <c r="B2" s="66" t="str" cm="1">
        <f t="array" aca="1" ref="B2" ca="1">_xlfn.LET(_xlpm.fn, CELL("filename",$A$1), _xlpm.nm, MID(_xlpm.fn, FIND("]", _xlpm.fn) + 1, 255), _xlfn.XLOOKUP(_xlpm.nm &amp; "(*", Lamb!$A$2:$A$1000, Lamb!$C$2:$C$1000, "", 2))</f>
        <v>=LAMBDA(outer_n, inner_n, LET(
   seq, SEQUENCE(outer_n * inner_n, 1, 0),
   HSTACK(INT(seq / inner_n) + 1, MOD(seq, inner_n) + 1)
))</v>
      </c>
      <c r="C2" s="67"/>
      <c r="D2" s="67"/>
      <c r="E2" s="67"/>
      <c r="F2" s="67"/>
      <c r="G2" s="67"/>
      <c r="H2" s="67"/>
      <c r="I2" s="67"/>
      <c r="J2" s="67"/>
      <c r="K2" s="67"/>
      <c r="L2" s="67"/>
      <c r="M2" s="67"/>
      <c r="N2" s="67"/>
      <c r="O2" s="67"/>
      <c r="P2" s="67"/>
      <c r="Q2" s="67"/>
      <c r="R2" s="67"/>
    </row>
    <row r="4" spans="1:18" x14ac:dyDescent="0.5">
      <c r="A4" s="47" t="s">
        <v>3065</v>
      </c>
      <c r="N4" s="47" t="str">
        <f>COUNTIF(N6:N20,"PASS")&amp;" / 2 PASS"</f>
        <v>2 / 2 PASS</v>
      </c>
    </row>
    <row r="5" spans="1:18" x14ac:dyDescent="0.5">
      <c r="A5" s="47" t="s">
        <v>7</v>
      </c>
      <c r="B5" s="47" t="s">
        <v>8</v>
      </c>
      <c r="D5" s="47" t="s">
        <v>9</v>
      </c>
      <c r="H5" s="50" t="s">
        <v>10</v>
      </c>
      <c r="K5" s="51" t="s">
        <v>11</v>
      </c>
      <c r="N5" s="52" t="s">
        <v>12</v>
      </c>
    </row>
    <row r="6" spans="1:18" x14ac:dyDescent="0.5">
      <c r="A6" s="48">
        <v>1</v>
      </c>
      <c r="B6" s="49" t="s">
        <v>3066</v>
      </c>
      <c r="D6" s="53">
        <v>3</v>
      </c>
      <c r="F6" s="53">
        <v>2</v>
      </c>
      <c r="H6" s="54">
        <v>1</v>
      </c>
      <c r="I6" s="54">
        <v>1</v>
      </c>
      <c r="K6" s="55" cm="1">
        <f t="array" ref="K6:L11">cycles(D6,F6)</f>
        <v>1</v>
      </c>
      <c r="L6" s="55">
        <v>1</v>
      </c>
      <c r="N6" s="56" t="str" cm="1">
        <f t="array" ref="N6">IF(AND(H6:I11=K6:L11),"PASS","FAIL")</f>
        <v>PASS</v>
      </c>
    </row>
    <row r="7" spans="1:18" x14ac:dyDescent="0.5">
      <c r="A7" s="57"/>
      <c r="B7" s="57"/>
      <c r="H7" s="54">
        <v>1</v>
      </c>
      <c r="I7" s="54">
        <v>2</v>
      </c>
      <c r="K7" s="55">
        <v>1</v>
      </c>
      <c r="L7" s="55">
        <v>2</v>
      </c>
    </row>
    <row r="8" spans="1:18" x14ac:dyDescent="0.5">
      <c r="A8" s="57"/>
      <c r="B8" s="57"/>
      <c r="H8" s="54">
        <v>2</v>
      </c>
      <c r="I8" s="54">
        <v>1</v>
      </c>
      <c r="K8" s="55">
        <v>2</v>
      </c>
      <c r="L8" s="55">
        <v>1</v>
      </c>
    </row>
    <row r="9" spans="1:18" x14ac:dyDescent="0.5">
      <c r="A9" s="57"/>
      <c r="B9" s="57"/>
      <c r="H9" s="54">
        <v>2</v>
      </c>
      <c r="I9" s="54">
        <v>2</v>
      </c>
      <c r="K9" s="55">
        <v>2</v>
      </c>
      <c r="L9" s="55">
        <v>2</v>
      </c>
    </row>
    <row r="10" spans="1:18" x14ac:dyDescent="0.5">
      <c r="A10" s="57"/>
      <c r="B10" s="57"/>
      <c r="H10" s="54">
        <v>3</v>
      </c>
      <c r="I10" s="54">
        <v>1</v>
      </c>
      <c r="K10" s="55">
        <v>3</v>
      </c>
      <c r="L10" s="55">
        <v>1</v>
      </c>
    </row>
    <row r="11" spans="1:18" x14ac:dyDescent="0.5">
      <c r="A11" s="57"/>
      <c r="B11" s="57"/>
      <c r="H11" s="54">
        <v>3</v>
      </c>
      <c r="I11" s="54">
        <v>2</v>
      </c>
      <c r="K11" s="55">
        <v>3</v>
      </c>
      <c r="L11" s="55">
        <v>2</v>
      </c>
    </row>
    <row r="13" spans="1:18" x14ac:dyDescent="0.5">
      <c r="A13" s="48">
        <v>2</v>
      </c>
      <c r="B13" s="49" t="s">
        <v>3067</v>
      </c>
      <c r="D13" s="53">
        <v>2</v>
      </c>
      <c r="F13" s="53">
        <v>3</v>
      </c>
      <c r="H13" s="54">
        <v>1</v>
      </c>
      <c r="I13" s="54">
        <v>1</v>
      </c>
      <c r="K13" s="55" cm="1">
        <f t="array" ref="K13:L18">cycles(D13,F13)</f>
        <v>1</v>
      </c>
      <c r="L13" s="55">
        <v>1</v>
      </c>
      <c r="N13" s="56" t="str" cm="1">
        <f t="array" ref="N13">IF(AND(H13:I18=K13:L18),"PASS","FAIL")</f>
        <v>PASS</v>
      </c>
    </row>
    <row r="14" spans="1:18" x14ac:dyDescent="0.5">
      <c r="A14" s="57"/>
      <c r="B14" s="57"/>
      <c r="H14" s="54">
        <v>1</v>
      </c>
      <c r="I14" s="54">
        <v>2</v>
      </c>
      <c r="K14" s="55">
        <v>1</v>
      </c>
      <c r="L14" s="55">
        <v>2</v>
      </c>
    </row>
    <row r="15" spans="1:18" x14ac:dyDescent="0.5">
      <c r="A15" s="57"/>
      <c r="B15" s="57"/>
      <c r="H15" s="54">
        <v>1</v>
      </c>
      <c r="I15" s="54">
        <v>3</v>
      </c>
      <c r="K15" s="55">
        <v>1</v>
      </c>
      <c r="L15" s="55">
        <v>3</v>
      </c>
    </row>
    <row r="16" spans="1:18" x14ac:dyDescent="0.5">
      <c r="A16" s="57"/>
      <c r="B16" s="57"/>
      <c r="H16" s="54">
        <v>2</v>
      </c>
      <c r="I16" s="54">
        <v>1</v>
      </c>
      <c r="K16" s="55">
        <v>2</v>
      </c>
      <c r="L16" s="55">
        <v>1</v>
      </c>
    </row>
    <row r="17" spans="1:12" x14ac:dyDescent="0.5">
      <c r="A17" s="57"/>
      <c r="B17" s="57"/>
      <c r="H17" s="54">
        <v>2</v>
      </c>
      <c r="I17" s="54">
        <v>2</v>
      </c>
      <c r="K17" s="55">
        <v>2</v>
      </c>
      <c r="L17" s="55">
        <v>2</v>
      </c>
    </row>
    <row r="18" spans="1:12" x14ac:dyDescent="0.5">
      <c r="A18" s="57"/>
      <c r="B18" s="57"/>
      <c r="H18" s="54">
        <v>2</v>
      </c>
      <c r="I18" s="54">
        <v>3</v>
      </c>
      <c r="K18" s="55">
        <v>2</v>
      </c>
      <c r="L18" s="55">
        <v>3</v>
      </c>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2"/>
  <dimension ref="A1:R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die_pips(st)</v>
      </c>
      <c r="C1" s="64"/>
      <c r="D1" s="64"/>
      <c r="E1" s="64"/>
      <c r="F1" s="65"/>
      <c r="H1" s="47" t="s">
        <v>2</v>
      </c>
      <c r="I1" s="63"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64"/>
      <c r="K1" s="64"/>
      <c r="L1" s="64"/>
      <c r="M1" s="64"/>
      <c r="N1" s="64"/>
      <c r="O1" s="64"/>
      <c r="P1" s="64"/>
      <c r="Q1" s="64"/>
      <c r="R1" s="65"/>
    </row>
    <row r="2" spans="1:18" ht="315" customHeight="1" x14ac:dyDescent="0.5">
      <c r="A2" s="47" t="s">
        <v>4</v>
      </c>
      <c r="B2" s="66"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67"/>
      <c r="D2" s="67"/>
      <c r="E2" s="67"/>
      <c r="F2" s="67"/>
      <c r="G2" s="67"/>
      <c r="H2" s="67"/>
      <c r="I2" s="67"/>
      <c r="J2" s="67"/>
      <c r="K2" s="67"/>
      <c r="L2" s="67"/>
      <c r="M2" s="67"/>
      <c r="N2" s="67"/>
      <c r="O2" s="67"/>
      <c r="P2" s="67"/>
      <c r="Q2" s="67"/>
      <c r="R2" s="67"/>
    </row>
    <row r="4" spans="1:18" x14ac:dyDescent="0.5">
      <c r="A4" s="47" t="s">
        <v>3068</v>
      </c>
      <c r="J4" s="47" t="str">
        <f>COUNTIF(J6:J16,"PASS")&amp;" / 5 PASS"</f>
        <v>5 / 5 PASS</v>
      </c>
    </row>
    <row r="5" spans="1:18" x14ac:dyDescent="0.5">
      <c r="A5" s="47" t="s">
        <v>7</v>
      </c>
      <c r="B5" s="47" t="s">
        <v>8</v>
      </c>
      <c r="D5" s="47" t="s">
        <v>9</v>
      </c>
      <c r="F5" s="50" t="s">
        <v>10</v>
      </c>
      <c r="H5" s="51" t="s">
        <v>11</v>
      </c>
      <c r="J5" s="52" t="s">
        <v>12</v>
      </c>
    </row>
    <row r="6" spans="1:18" x14ac:dyDescent="0.5">
      <c r="A6" s="48">
        <v>1</v>
      </c>
      <c r="B6" s="49" t="s">
        <v>3069</v>
      </c>
      <c r="D6" s="53" t="s">
        <v>3070</v>
      </c>
      <c r="F6" s="54">
        <v>5</v>
      </c>
      <c r="H6" s="55" cm="1">
        <f t="array" ref="H6">die_pips(D6)</f>
        <v>5</v>
      </c>
      <c r="J6" s="56" t="str">
        <f>IF(H6=F6,"PASS","FAIL")</f>
        <v>PASS</v>
      </c>
    </row>
    <row r="8" spans="1:18" x14ac:dyDescent="0.5">
      <c r="A8" s="48">
        <v>2</v>
      </c>
      <c r="B8" s="49" t="s">
        <v>3071</v>
      </c>
      <c r="D8" s="53" t="s">
        <v>3072</v>
      </c>
      <c r="F8" s="54">
        <v>2</v>
      </c>
      <c r="H8" s="55" cm="1">
        <f t="array" ref="H8">die_pips(D8)</f>
        <v>2</v>
      </c>
      <c r="J8" s="56" t="str">
        <f>IF(H8=F8,"PASS","FAIL")</f>
        <v>PASS</v>
      </c>
    </row>
    <row r="10" spans="1:18" x14ac:dyDescent="0.5">
      <c r="A10" s="48">
        <v>3</v>
      </c>
      <c r="B10" s="49" t="s">
        <v>3073</v>
      </c>
      <c r="D10" s="53" t="s">
        <v>3074</v>
      </c>
      <c r="F10" s="54">
        <v>1</v>
      </c>
      <c r="H10" s="55" cm="1">
        <f t="array" ref="H10:H11">die_pips(D10)</f>
        <v>1</v>
      </c>
      <c r="J10" s="56" t="str" cm="1">
        <f t="array" ref="J10">IF(AND(F10:F11=H10:H11),"PASS","FAIL")</f>
        <v>PASS</v>
      </c>
    </row>
    <row r="11" spans="1:18" x14ac:dyDescent="0.5">
      <c r="A11" s="57"/>
      <c r="B11" s="57"/>
      <c r="F11" s="54">
        <v>6</v>
      </c>
      <c r="H11" s="55">
        <v>6</v>
      </c>
    </row>
    <row r="13" spans="1:18" x14ac:dyDescent="0.5">
      <c r="A13" s="48">
        <v>4</v>
      </c>
      <c r="B13" s="49" t="s">
        <v>3075</v>
      </c>
      <c r="D13" s="53" t="s">
        <v>3076</v>
      </c>
      <c r="F13" s="54">
        <v>3</v>
      </c>
      <c r="H13" s="55" cm="1">
        <f t="array" ref="H13:H14">die_pips(D13:D14)</f>
        <v>3</v>
      </c>
      <c r="J13" s="56" t="str" cm="1">
        <f t="array" ref="J13">IF(AND(F13:F14=H13:H14),"PASS","FAIL")</f>
        <v>PASS</v>
      </c>
    </row>
    <row r="14" spans="1:18" x14ac:dyDescent="0.5">
      <c r="A14" s="57"/>
      <c r="B14" s="57"/>
      <c r="D14" s="53" t="s">
        <v>3070</v>
      </c>
      <c r="F14" s="54">
        <v>5</v>
      </c>
      <c r="H14" s="55">
        <v>5</v>
      </c>
    </row>
    <row r="16" spans="1:18" x14ac:dyDescent="0.5">
      <c r="A16" s="48">
        <v>5</v>
      </c>
      <c r="B16" s="49" t="s">
        <v>3386</v>
      </c>
      <c r="D16" s="53" t="s">
        <v>140</v>
      </c>
      <c r="F16" s="54" t="str">
        <f>""</f>
        <v/>
      </c>
      <c r="H16" s="55" t="str">
        <f>die_pips(D16)</f>
        <v/>
      </c>
      <c r="J16" s="56" t="str">
        <f>IF(H16=F16,"PASS","FAIL")</f>
        <v>PASS</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3"/>
  <dimension ref="A1:R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8" ht="273" customHeight="1" x14ac:dyDescent="0.5">
      <c r="A1" s="47" t="s">
        <v>0</v>
      </c>
      <c r="B1" s="68" t="str" cm="1">
        <f t="array" aca="1" ref="B1" ca="1">_xlfn.LET(_xlpm.fn, CELL("filename",$A$1), _xlpm.nm, MID(_xlpm.fn, FIND("]", _xlpm.fn) + 1, 255), _xlfn.XLOOKUP(_xlpm.nm &amp; "(*", Lamb!$A$2:$A$1000, Lamb!$A$2:$A$1000, "", 2))</f>
        <v>dist(start_ad, end_ad, [diag_allowed], [print_components])</v>
      </c>
      <c r="C1" s="64"/>
      <c r="D1" s="64"/>
      <c r="E1" s="64"/>
      <c r="F1" s="65"/>
      <c r="H1" s="47" t="s">
        <v>2</v>
      </c>
      <c r="I1" s="63"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67"/>
      <c r="D2" s="67"/>
      <c r="E2" s="67"/>
      <c r="F2" s="67"/>
      <c r="G2" s="67"/>
      <c r="H2" s="67"/>
      <c r="I2" s="67"/>
      <c r="J2" s="67"/>
      <c r="K2" s="67"/>
      <c r="L2" s="67"/>
      <c r="M2" s="67"/>
      <c r="N2" s="67"/>
      <c r="O2" s="67"/>
      <c r="P2" s="67"/>
      <c r="Q2" s="67"/>
      <c r="R2" s="67"/>
    </row>
    <row r="4" spans="1:18" x14ac:dyDescent="0.5">
      <c r="A4" s="47" t="s">
        <v>3077</v>
      </c>
      <c r="P4" s="47" t="str">
        <f>COUNTIF(P6:P33,"PASS")&amp;" / 7 PASS"</f>
        <v>7 / 7 PASS</v>
      </c>
    </row>
    <row r="5" spans="1:18" x14ac:dyDescent="0.5">
      <c r="A5" s="47" t="s">
        <v>7</v>
      </c>
      <c r="B5" s="47" t="s">
        <v>8</v>
      </c>
      <c r="D5" s="47" t="s">
        <v>9</v>
      </c>
      <c r="L5" s="50" t="s">
        <v>10</v>
      </c>
      <c r="N5" s="51" t="s">
        <v>11</v>
      </c>
      <c r="P5" s="52" t="s">
        <v>12</v>
      </c>
    </row>
    <row r="6" spans="1:18" x14ac:dyDescent="0.5">
      <c r="A6" s="48">
        <v>1</v>
      </c>
      <c r="B6" s="49" t="s">
        <v>3078</v>
      </c>
      <c r="D6" s="53" t="s">
        <v>3014</v>
      </c>
      <c r="F6" s="53" t="s">
        <v>3079</v>
      </c>
      <c r="L6" s="54">
        <v>2</v>
      </c>
      <c r="N6" s="55" cm="1">
        <f t="array" ref="N6">dist(D6,F6)</f>
        <v>2</v>
      </c>
      <c r="P6" s="56" t="str">
        <f>IF(N6=L6,"PASS","FAIL")</f>
        <v>PASS</v>
      </c>
    </row>
    <row r="8" spans="1:18" x14ac:dyDescent="0.5">
      <c r="A8" s="48">
        <v>2</v>
      </c>
      <c r="B8" s="49" t="s">
        <v>3080</v>
      </c>
      <c r="D8" s="53" t="s">
        <v>3014</v>
      </c>
      <c r="F8" s="53" t="s">
        <v>3079</v>
      </c>
      <c r="H8" s="53">
        <v>0</v>
      </c>
      <c r="L8" s="54">
        <v>4</v>
      </c>
      <c r="N8" s="55" cm="1">
        <f t="array" ref="N8">dist(D8,F8,H8)</f>
        <v>4</v>
      </c>
      <c r="P8" s="56" t="str">
        <f>IF(N8=L8,"PASS","FAIL")</f>
        <v>PASS</v>
      </c>
    </row>
    <row r="10" spans="1:18" x14ac:dyDescent="0.5">
      <c r="A10" s="48">
        <v>3</v>
      </c>
      <c r="B10" s="49" t="s">
        <v>3081</v>
      </c>
      <c r="D10" s="53" t="s">
        <v>3014</v>
      </c>
      <c r="F10" s="53" t="s">
        <v>3079</v>
      </c>
      <c r="H10" s="53">
        <v>-1</v>
      </c>
      <c r="L10" s="54">
        <v>2.8284271247461898</v>
      </c>
      <c r="N10" s="55" cm="1">
        <f t="array" ref="N10">dist(D10,F10,H10)</f>
        <v>2.8284271247461903</v>
      </c>
      <c r="P10" s="56" t="str">
        <f>IF(ABS(N10-L10)&lt;0.000000001,"PASS","FAIL")</f>
        <v>PASS</v>
      </c>
    </row>
    <row r="12" spans="1:18" x14ac:dyDescent="0.5">
      <c r="A12" s="48">
        <v>4</v>
      </c>
      <c r="B12" s="49" t="s">
        <v>3082</v>
      </c>
      <c r="D12" s="53" t="s">
        <v>3014</v>
      </c>
      <c r="F12" s="53" t="s">
        <v>3083</v>
      </c>
      <c r="L12" s="54">
        <v>3</v>
      </c>
      <c r="N12" s="55" cm="1">
        <f t="array" ref="N12">dist(D12,F12)</f>
        <v>3</v>
      </c>
      <c r="P12" s="56" t="str">
        <f>IF(N12=L12,"PASS","FAIL")</f>
        <v>PASS</v>
      </c>
    </row>
    <row r="14" spans="1:18" x14ac:dyDescent="0.5">
      <c r="A14" s="48">
        <v>5</v>
      </c>
      <c r="B14" s="49" t="s">
        <v>3084</v>
      </c>
      <c r="D14" s="53" t="s">
        <v>3014</v>
      </c>
      <c r="F14" s="53" t="s">
        <v>3079</v>
      </c>
      <c r="H14" s="53">
        <v>1</v>
      </c>
      <c r="J14" s="53">
        <v>1</v>
      </c>
      <c r="L14" s="54" t="s">
        <v>377</v>
      </c>
      <c r="N14" s="55" t="str" cm="1">
        <f t="array" ref="N14:N19">dist(D14,F14,H14,J14)</f>
        <v>↘</v>
      </c>
      <c r="P14" s="56" t="str" cm="1">
        <f t="array" ref="P14">IF(AND(L14:L19=N14:N19),"PASS","FAIL")</f>
        <v>PASS</v>
      </c>
    </row>
    <row r="15" spans="1:18" x14ac:dyDescent="0.5">
      <c r="A15" s="57"/>
      <c r="B15" s="57"/>
      <c r="L15" s="54">
        <v>2</v>
      </c>
      <c r="N15" s="55">
        <v>2</v>
      </c>
    </row>
    <row r="16" spans="1:18" x14ac:dyDescent="0.5">
      <c r="A16" s="57"/>
      <c r="B16" s="57"/>
      <c r="L16" s="54"/>
      <c r="N16" s="55" t="str">
        <v/>
      </c>
    </row>
    <row r="17" spans="1:16" x14ac:dyDescent="0.5">
      <c r="A17" s="57"/>
      <c r="B17" s="57"/>
      <c r="L17" s="54">
        <v>0</v>
      </c>
      <c r="N17" s="55">
        <v>0</v>
      </c>
    </row>
    <row r="18" spans="1:16" x14ac:dyDescent="0.5">
      <c r="A18" s="57"/>
      <c r="B18" s="57"/>
      <c r="L18" s="54"/>
      <c r="N18" s="55" t="str">
        <v/>
      </c>
    </row>
    <row r="19" spans="1:16" x14ac:dyDescent="0.5">
      <c r="A19" s="57"/>
      <c r="B19" s="57"/>
      <c r="L19" s="54">
        <v>0</v>
      </c>
      <c r="N19" s="55">
        <v>0</v>
      </c>
    </row>
    <row r="21" spans="1:16" x14ac:dyDescent="0.5">
      <c r="A21" s="48">
        <v>6</v>
      </c>
      <c r="B21" s="49" t="s">
        <v>3085</v>
      </c>
      <c r="D21" s="53" t="s">
        <v>3014</v>
      </c>
      <c r="F21" s="53" t="s">
        <v>3086</v>
      </c>
      <c r="H21" s="53">
        <v>1</v>
      </c>
      <c r="J21" s="53">
        <v>1</v>
      </c>
      <c r="L21" s="54" t="s">
        <v>377</v>
      </c>
      <c r="N21" s="55" t="str" cm="1">
        <f t="array" ref="N21:N26">dist(D21,F21,H21,J21)</f>
        <v>↘</v>
      </c>
      <c r="P21" s="56" t="str" cm="1">
        <f t="array" ref="P21">IF(AND(L21:L26=N21:N26),"PASS","FAIL")</f>
        <v>PASS</v>
      </c>
    </row>
    <row r="22" spans="1:16" x14ac:dyDescent="0.5">
      <c r="A22" s="57"/>
      <c r="B22" s="57"/>
      <c r="L22" s="54">
        <v>2</v>
      </c>
      <c r="N22" s="55">
        <v>2</v>
      </c>
    </row>
    <row r="23" spans="1:16" x14ac:dyDescent="0.5">
      <c r="A23" s="57"/>
      <c r="B23" s="57"/>
      <c r="L23" s="54" t="s">
        <v>184</v>
      </c>
      <c r="N23" s="55" t="str">
        <v>↓</v>
      </c>
    </row>
    <row r="24" spans="1:16" x14ac:dyDescent="0.5">
      <c r="A24" s="57"/>
      <c r="B24" s="57"/>
      <c r="L24" s="54">
        <v>1</v>
      </c>
      <c r="N24" s="55">
        <v>1</v>
      </c>
    </row>
    <row r="25" spans="1:16" x14ac:dyDescent="0.5">
      <c r="A25" s="57"/>
      <c r="B25" s="57"/>
      <c r="L25" s="54"/>
      <c r="N25" s="55" t="str">
        <v/>
      </c>
    </row>
    <row r="26" spans="1:16" x14ac:dyDescent="0.5">
      <c r="A26" s="57"/>
      <c r="B26" s="57"/>
      <c r="L26" s="54">
        <v>0</v>
      </c>
      <c r="N26" s="55">
        <v>0</v>
      </c>
    </row>
    <row r="28" spans="1:16" x14ac:dyDescent="0.5">
      <c r="A28" s="48">
        <v>7</v>
      </c>
      <c r="B28" s="49" t="s">
        <v>3087</v>
      </c>
      <c r="D28" s="53" t="s">
        <v>3014</v>
      </c>
      <c r="F28" s="53" t="s">
        <v>3079</v>
      </c>
      <c r="H28" s="53">
        <v>0</v>
      </c>
      <c r="J28" s="53">
        <v>1</v>
      </c>
      <c r="L28" s="54" t="s">
        <v>184</v>
      </c>
      <c r="N28" s="55" t="str" cm="1">
        <f t="array" ref="N28:N31">dist(D28,F28,H28,J28)</f>
        <v>↓</v>
      </c>
      <c r="P28" s="56" t="str" cm="1">
        <f t="array" ref="P28">IF(AND(L28:L31=N28:N31),"PASS","FAIL")</f>
        <v>PASS</v>
      </c>
    </row>
    <row r="29" spans="1:16" x14ac:dyDescent="0.5">
      <c r="A29" s="57"/>
      <c r="B29" s="57"/>
      <c r="L29" s="54">
        <v>2</v>
      </c>
      <c r="N29" s="55">
        <v>2</v>
      </c>
    </row>
    <row r="30" spans="1:16" x14ac:dyDescent="0.5">
      <c r="A30" s="57"/>
      <c r="B30" s="57"/>
      <c r="L30" s="54" t="s">
        <v>195</v>
      </c>
      <c r="N30" s="55" t="str">
        <v>→</v>
      </c>
    </row>
    <row r="31" spans="1:16" x14ac:dyDescent="0.5">
      <c r="A31" s="57"/>
      <c r="B31" s="57"/>
      <c r="L31" s="54">
        <v>2</v>
      </c>
      <c r="N31" s="55">
        <v>2</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4"/>
  <dimension ref="A1:R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exists(arr, value)</v>
      </c>
      <c r="C1" s="64"/>
      <c r="D1" s="64"/>
      <c r="E1" s="64"/>
      <c r="F1" s="65"/>
      <c r="H1" s="47" t="s">
        <v>2</v>
      </c>
      <c r="I1" s="63"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=LAMBDA(Arr, Val, IF(ISNUMBER(XMATCH(Val, TOCOL(Arr), 0)), 1, 0))</v>
      </c>
      <c r="C2" s="67"/>
      <c r="D2" s="67"/>
      <c r="E2" s="67"/>
      <c r="F2" s="67"/>
      <c r="G2" s="67"/>
      <c r="H2" s="67"/>
      <c r="I2" s="67"/>
      <c r="J2" s="67"/>
      <c r="K2" s="67"/>
      <c r="L2" s="67"/>
      <c r="M2" s="67"/>
      <c r="N2" s="67"/>
      <c r="O2" s="67"/>
      <c r="P2" s="67"/>
      <c r="Q2" s="67"/>
      <c r="R2" s="67"/>
    </row>
    <row r="4" spans="1:18" x14ac:dyDescent="0.5">
      <c r="A4" s="47" t="s">
        <v>3088</v>
      </c>
      <c r="L4" s="47" t="str">
        <f>COUNTIF(L6:L22,"PASS")&amp;" / 4 PASS"</f>
        <v>4 / 4 PASS</v>
      </c>
    </row>
    <row r="5" spans="1:18" x14ac:dyDescent="0.5">
      <c r="A5" s="47" t="s">
        <v>7</v>
      </c>
      <c r="B5" s="47" t="s">
        <v>8</v>
      </c>
      <c r="D5" s="47" t="s">
        <v>9</v>
      </c>
      <c r="H5" s="50" t="s">
        <v>10</v>
      </c>
      <c r="J5" s="51" t="s">
        <v>11</v>
      </c>
      <c r="L5" s="52" t="s">
        <v>12</v>
      </c>
    </row>
    <row r="6" spans="1:18" x14ac:dyDescent="0.5">
      <c r="A6" s="48">
        <v>1</v>
      </c>
      <c r="B6" s="49" t="s">
        <v>3089</v>
      </c>
      <c r="D6" s="53">
        <v>1</v>
      </c>
      <c r="F6" s="53">
        <v>2</v>
      </c>
      <c r="H6" s="54">
        <v>1</v>
      </c>
      <c r="J6" s="55" cm="1">
        <f t="array" ref="J6">exists(D6:D8,F6)</f>
        <v>1</v>
      </c>
      <c r="L6" s="56" t="str">
        <f>IF(J6=H6,"PASS","FAIL")</f>
        <v>PASS</v>
      </c>
    </row>
    <row r="7" spans="1:18" x14ac:dyDescent="0.5">
      <c r="A7" s="57"/>
      <c r="B7" s="57"/>
      <c r="D7" s="53">
        <v>2</v>
      </c>
    </row>
    <row r="8" spans="1:18" x14ac:dyDescent="0.5">
      <c r="A8" s="57"/>
      <c r="B8" s="57"/>
      <c r="D8" s="53">
        <v>3</v>
      </c>
    </row>
    <row r="10" spans="1:18" x14ac:dyDescent="0.5">
      <c r="A10" s="48">
        <v>2</v>
      </c>
      <c r="B10" s="49" t="s">
        <v>3090</v>
      </c>
      <c r="D10" s="53" t="s">
        <v>3026</v>
      </c>
      <c r="F10" s="53" t="s">
        <v>3046</v>
      </c>
      <c r="H10" s="54">
        <v>0</v>
      </c>
      <c r="J10" s="55" cm="1">
        <f t="array" ref="J10">exists(D10:D12,F10)</f>
        <v>0</v>
      </c>
      <c r="L10" s="56" t="str">
        <f>IF(J10=H10,"PASS","FAIL")</f>
        <v>PASS</v>
      </c>
    </row>
    <row r="11" spans="1:18" x14ac:dyDescent="0.5">
      <c r="A11" s="57"/>
      <c r="B11" s="57"/>
      <c r="D11" s="53" t="s">
        <v>3027</v>
      </c>
    </row>
    <row r="12" spans="1:18" x14ac:dyDescent="0.5">
      <c r="A12" s="57"/>
      <c r="B12" s="57"/>
      <c r="D12" s="53" t="s">
        <v>3035</v>
      </c>
    </row>
    <row r="14" spans="1:18" x14ac:dyDescent="0.5">
      <c r="A14" s="48">
        <v>3</v>
      </c>
      <c r="B14" s="49" t="s">
        <v>3091</v>
      </c>
      <c r="D14" s="53">
        <v>1</v>
      </c>
      <c r="F14" s="53">
        <v>2</v>
      </c>
      <c r="H14" s="54">
        <v>1</v>
      </c>
      <c r="J14" s="55" cm="1">
        <f t="array" ref="J14:J15">exists(D14:D16,F14:F15)</f>
        <v>1</v>
      </c>
      <c r="L14" s="56" t="str" cm="1">
        <f t="array" ref="L14">IF(AND(H14:H15=J14:J15),"PASS","FAIL")</f>
        <v>PASS</v>
      </c>
    </row>
    <row r="15" spans="1:18" x14ac:dyDescent="0.5">
      <c r="A15" s="57"/>
      <c r="B15" s="57"/>
      <c r="D15" s="53">
        <v>2</v>
      </c>
      <c r="F15" s="53">
        <v>9</v>
      </c>
      <c r="H15" s="54">
        <v>0</v>
      </c>
      <c r="J15" s="55">
        <v>0</v>
      </c>
    </row>
    <row r="16" spans="1:18" x14ac:dyDescent="0.5">
      <c r="A16" s="57"/>
      <c r="B16" s="57"/>
      <c r="D16" s="53">
        <v>3</v>
      </c>
    </row>
    <row r="18" spans="1:12" x14ac:dyDescent="0.5">
      <c r="A18" s="48">
        <v>4</v>
      </c>
      <c r="B18" s="49" t="s">
        <v>3092</v>
      </c>
      <c r="D18" s="53" t="s">
        <v>3026</v>
      </c>
      <c r="F18" s="53" t="s">
        <v>3026</v>
      </c>
      <c r="H18" s="54">
        <v>1</v>
      </c>
      <c r="J18" s="55" cm="1">
        <f t="array" ref="J18:J19">exists(D18:D20,F18:F19)</f>
        <v>1</v>
      </c>
      <c r="L18" s="56" t="str" cm="1">
        <f t="array" ref="L18">IF(AND(H18:H19=J18:J19),"PASS","FAIL")</f>
        <v>PASS</v>
      </c>
    </row>
    <row r="19" spans="1:12" x14ac:dyDescent="0.5">
      <c r="A19" s="57"/>
      <c r="B19" s="57"/>
      <c r="D19" s="53" t="s">
        <v>3027</v>
      </c>
      <c r="F19" s="53" t="s">
        <v>3093</v>
      </c>
      <c r="H19" s="54">
        <v>0</v>
      </c>
      <c r="J19" s="55">
        <v>0</v>
      </c>
    </row>
    <row r="20" spans="1:12" x14ac:dyDescent="0.5">
      <c r="A20" s="57"/>
      <c r="B20" s="57"/>
      <c r="D20" s="53" t="s">
        <v>3035</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dimension ref="A1:R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8" ht="231" customHeight="1" x14ac:dyDescent="0.5">
      <c r="A1" s="47" t="s">
        <v>0</v>
      </c>
      <c r="B1" s="68" t="str" cm="1">
        <f t="array" aca="1" ref="B1" ca="1">_xlfn.LET(_xlpm.fn, CELL("filename",$A$1), _xlpm.nm, MID(_xlpm.fn, FIND("]", _xlpm.fn) + 1, 255), _xlfn.XLOOKUP(_xlpm.nm &amp; "(*", Lamb!$A$2:$A$1000, Lamb!$A$2:$A$1000, "", 2))</f>
        <v>freq_table(array, [min_freq])</v>
      </c>
      <c r="C1" s="64"/>
      <c r="D1" s="64"/>
      <c r="E1" s="64"/>
      <c r="F1" s="65"/>
      <c r="H1" s="47" t="s">
        <v>2</v>
      </c>
      <c r="I1" s="63"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64"/>
      <c r="K1" s="64"/>
      <c r="L1" s="64"/>
      <c r="M1" s="64"/>
      <c r="N1" s="64"/>
      <c r="O1" s="64"/>
      <c r="P1" s="64"/>
      <c r="Q1" s="64"/>
      <c r="R1" s="65"/>
    </row>
    <row r="2" spans="1:18" ht="189" customHeight="1" x14ac:dyDescent="0.5">
      <c r="A2" s="47" t="s">
        <v>4</v>
      </c>
      <c r="B2" s="66"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67"/>
      <c r="D2" s="67"/>
      <c r="E2" s="67"/>
      <c r="F2" s="67"/>
      <c r="G2" s="67"/>
      <c r="H2" s="67"/>
      <c r="I2" s="67"/>
      <c r="J2" s="67"/>
      <c r="K2" s="67"/>
      <c r="L2" s="67"/>
      <c r="M2" s="67"/>
      <c r="N2" s="67"/>
      <c r="O2" s="67"/>
      <c r="P2" s="67"/>
      <c r="Q2" s="67"/>
      <c r="R2" s="67"/>
    </row>
    <row r="4" spans="1:18" x14ac:dyDescent="0.5">
      <c r="A4" s="47" t="s">
        <v>3094</v>
      </c>
      <c r="N4" s="47" t="str">
        <f>COUNTIF(N6:N33,"PASS")&amp;" / 5 PASS"</f>
        <v>5 / 5 PASS</v>
      </c>
    </row>
    <row r="5" spans="1:18" x14ac:dyDescent="0.5">
      <c r="A5" s="47" t="s">
        <v>7</v>
      </c>
      <c r="B5" s="47" t="s">
        <v>8</v>
      </c>
      <c r="D5" s="47" t="s">
        <v>9</v>
      </c>
      <c r="H5" s="50" t="s">
        <v>10</v>
      </c>
      <c r="K5" s="51" t="s">
        <v>11</v>
      </c>
      <c r="N5" s="52" t="s">
        <v>12</v>
      </c>
    </row>
    <row r="6" spans="1:18" x14ac:dyDescent="0.5">
      <c r="A6" s="48">
        <v>1</v>
      </c>
      <c r="B6" s="49" t="s">
        <v>3095</v>
      </c>
      <c r="D6" s="53">
        <v>1</v>
      </c>
      <c r="H6" s="54">
        <v>1</v>
      </c>
      <c r="I6" s="54">
        <v>2</v>
      </c>
      <c r="K6" s="55" cm="1">
        <f t="array" ref="K6:L7">freq_table(D6:D8)</f>
        <v>1</v>
      </c>
      <c r="L6" s="55">
        <v>2</v>
      </c>
      <c r="N6" s="56" t="str" cm="1">
        <f t="array" ref="N6">IF(AND(H6:I7=K6:L7),"PASS","FAIL")</f>
        <v>PASS</v>
      </c>
    </row>
    <row r="7" spans="1:18" x14ac:dyDescent="0.5">
      <c r="A7" s="57"/>
      <c r="B7" s="57"/>
      <c r="D7" s="53">
        <v>1</v>
      </c>
      <c r="H7" s="54">
        <v>2</v>
      </c>
      <c r="I7" s="54">
        <v>1</v>
      </c>
      <c r="K7" s="55">
        <v>2</v>
      </c>
      <c r="L7" s="55">
        <v>1</v>
      </c>
    </row>
    <row r="8" spans="1:18" x14ac:dyDescent="0.5">
      <c r="A8" s="57"/>
      <c r="B8" s="57"/>
      <c r="D8" s="53">
        <v>2</v>
      </c>
    </row>
    <row r="10" spans="1:18" x14ac:dyDescent="0.5">
      <c r="A10" s="48">
        <v>2</v>
      </c>
      <c r="B10" s="49" t="s">
        <v>3096</v>
      </c>
      <c r="D10" s="53" t="s">
        <v>3026</v>
      </c>
      <c r="H10" s="54" t="s">
        <v>3026</v>
      </c>
      <c r="I10" s="54">
        <v>3</v>
      </c>
      <c r="K10" s="55" t="str" cm="1">
        <f t="array" ref="K10:L12">freq_table(D10:D15)</f>
        <v>a</v>
      </c>
      <c r="L10" s="55">
        <v>3</v>
      </c>
      <c r="N10" s="56" t="str" cm="1">
        <f t="array" ref="N10">IF(AND(H10:I12=K10:L12),"PASS","FAIL")</f>
        <v>PASS</v>
      </c>
    </row>
    <row r="11" spans="1:18" x14ac:dyDescent="0.5">
      <c r="A11" s="57"/>
      <c r="B11" s="57"/>
      <c r="D11" s="53" t="s">
        <v>3026</v>
      </c>
      <c r="H11" s="54" t="s">
        <v>3027</v>
      </c>
      <c r="I11" s="54">
        <v>2</v>
      </c>
      <c r="K11" s="55" t="str">
        <v>b</v>
      </c>
      <c r="L11" s="55">
        <v>2</v>
      </c>
    </row>
    <row r="12" spans="1:18" x14ac:dyDescent="0.5">
      <c r="A12" s="57"/>
      <c r="B12" s="57"/>
      <c r="D12" s="53" t="s">
        <v>3026</v>
      </c>
      <c r="H12" s="54" t="s">
        <v>3035</v>
      </c>
      <c r="I12" s="54">
        <v>1</v>
      </c>
      <c r="K12" s="55" t="str">
        <v>c</v>
      </c>
      <c r="L12" s="55">
        <v>1</v>
      </c>
    </row>
    <row r="13" spans="1:18" x14ac:dyDescent="0.5">
      <c r="A13" s="57"/>
      <c r="B13" s="57"/>
      <c r="D13" s="53" t="s">
        <v>3027</v>
      </c>
    </row>
    <row r="14" spans="1:18" x14ac:dyDescent="0.5">
      <c r="A14" s="57"/>
      <c r="B14" s="57"/>
      <c r="D14" s="53" t="s">
        <v>3027</v>
      </c>
    </row>
    <row r="15" spans="1:18" x14ac:dyDescent="0.5">
      <c r="A15" s="57"/>
      <c r="B15" s="57"/>
      <c r="D15" s="53" t="s">
        <v>3035</v>
      </c>
    </row>
    <row r="17" spans="1:14" x14ac:dyDescent="0.5">
      <c r="A17" s="48">
        <v>3</v>
      </c>
      <c r="B17" s="49" t="s">
        <v>3097</v>
      </c>
      <c r="D17" s="53">
        <v>1</v>
      </c>
      <c r="H17" s="54">
        <v>1</v>
      </c>
      <c r="I17" s="54">
        <v>2</v>
      </c>
      <c r="K17" s="55" cm="1">
        <f t="array" ref="K17:L18">freq_table(D17:D20)</f>
        <v>1</v>
      </c>
      <c r="L17" s="55">
        <v>2</v>
      </c>
      <c r="N17" s="56" t="str" cm="1">
        <f t="array" ref="N17">IF(AND(H17:I18=K17:L18),"PASS","FAIL")</f>
        <v>PASS</v>
      </c>
    </row>
    <row r="18" spans="1:14" x14ac:dyDescent="0.5">
      <c r="A18" s="57"/>
      <c r="B18" s="57"/>
      <c r="D18" s="53">
        <v>1</v>
      </c>
      <c r="H18" s="54">
        <v>2</v>
      </c>
      <c r="I18" s="54">
        <v>1</v>
      </c>
      <c r="K18" s="55">
        <v>2</v>
      </c>
      <c r="L18" s="55">
        <v>1</v>
      </c>
    </row>
    <row r="19" spans="1:14" x14ac:dyDescent="0.5">
      <c r="A19" s="57"/>
      <c r="B19" s="57"/>
      <c r="D19" s="53"/>
    </row>
    <row r="20" spans="1:14" x14ac:dyDescent="0.5">
      <c r="A20" s="57"/>
      <c r="B20" s="57"/>
      <c r="D20" s="53">
        <v>2</v>
      </c>
    </row>
    <row r="22" spans="1:14" x14ac:dyDescent="0.5">
      <c r="A22" s="48">
        <v>4</v>
      </c>
      <c r="B22" s="49" t="s">
        <v>3098</v>
      </c>
      <c r="D22" s="53">
        <v>1</v>
      </c>
      <c r="F22" s="53">
        <v>2</v>
      </c>
      <c r="H22" s="54">
        <v>3</v>
      </c>
      <c r="I22" s="54">
        <v>3</v>
      </c>
      <c r="K22" s="55" cm="1">
        <f t="array" ref="K22:L23">freq_table(D22:D27,F22)</f>
        <v>3</v>
      </c>
      <c r="L22" s="55">
        <v>3</v>
      </c>
      <c r="N22" s="56" t="str" cm="1">
        <f t="array" ref="N22">IF(AND(H22:I23=K22:L23),"PASS","FAIL")</f>
        <v>PASS</v>
      </c>
    </row>
    <row r="23" spans="1:14" x14ac:dyDescent="0.5">
      <c r="A23" s="57"/>
      <c r="B23" s="57"/>
      <c r="D23" s="53">
        <v>1</v>
      </c>
      <c r="H23" s="54">
        <v>1</v>
      </c>
      <c r="I23" s="54">
        <v>2</v>
      </c>
      <c r="K23" s="55">
        <v>1</v>
      </c>
      <c r="L23" s="55">
        <v>2</v>
      </c>
    </row>
    <row r="24" spans="1:14" x14ac:dyDescent="0.5">
      <c r="A24" s="57"/>
      <c r="B24" s="57"/>
      <c r="D24" s="53">
        <v>2</v>
      </c>
    </row>
    <row r="25" spans="1:14" x14ac:dyDescent="0.5">
      <c r="A25" s="57"/>
      <c r="B25" s="57"/>
      <c r="D25" s="53">
        <v>3</v>
      </c>
    </row>
    <row r="26" spans="1:14" x14ac:dyDescent="0.5">
      <c r="A26" s="57"/>
      <c r="B26" s="57"/>
      <c r="D26" s="53">
        <v>3</v>
      </c>
    </row>
    <row r="27" spans="1:14" x14ac:dyDescent="0.5">
      <c r="A27" s="57"/>
      <c r="B27" s="57"/>
      <c r="D27" s="53">
        <v>3</v>
      </c>
    </row>
    <row r="29" spans="1:14" x14ac:dyDescent="0.5">
      <c r="A29" s="48">
        <v>5</v>
      </c>
      <c r="B29" s="49" t="s">
        <v>3099</v>
      </c>
      <c r="D29" s="53">
        <v>1</v>
      </c>
      <c r="H29" s="54" t="e">
        <v>#N/A</v>
      </c>
      <c r="K29" s="55" t="e" cm="1">
        <f t="array" ref="K29">freq_table(D29:D31)</f>
        <v>#N/A</v>
      </c>
      <c r="N29" s="56" t="str">
        <f>IF(ISNA(K29),"PASS","FAIL")</f>
        <v>PASS</v>
      </c>
    </row>
    <row r="30" spans="1:14" x14ac:dyDescent="0.5">
      <c r="A30" s="57"/>
      <c r="B30" s="57"/>
      <c r="D30" s="53">
        <v>1</v>
      </c>
    </row>
    <row r="31" spans="1:14" x14ac:dyDescent="0.5">
      <c r="A31" s="57"/>
      <c r="B31" s="57"/>
      <c r="D31" s="53" t="e">
        <f>NA()</f>
        <v>#N/A</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66"/>
  <dimension ref="A1:R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is_unique(arr)</v>
      </c>
      <c r="C1" s="64"/>
      <c r="D1" s="64"/>
      <c r="E1" s="64"/>
      <c r="F1" s="65"/>
      <c r="H1" s="47" t="s">
        <v>2</v>
      </c>
      <c r="I1" s="63"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str2arr to check a string character by character.</v>
      </c>
      <c r="J1" s="64"/>
      <c r="K1" s="64"/>
      <c r="L1" s="64"/>
      <c r="M1" s="64"/>
      <c r="N1" s="64"/>
      <c r="O1" s="64"/>
      <c r="P1" s="64"/>
      <c r="Q1" s="64"/>
      <c r="R1" s="65"/>
    </row>
    <row r="2" spans="1:18" ht="168" customHeight="1" x14ac:dyDescent="0.5">
      <c r="A2" s="47" t="s">
        <v>4</v>
      </c>
      <c r="B2" s="66"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67"/>
      <c r="D2" s="67"/>
      <c r="E2" s="67"/>
      <c r="F2" s="67"/>
      <c r="G2" s="67"/>
      <c r="H2" s="67"/>
      <c r="I2" s="67"/>
      <c r="J2" s="67"/>
      <c r="K2" s="67"/>
      <c r="L2" s="67"/>
      <c r="M2" s="67"/>
      <c r="N2" s="67"/>
      <c r="O2" s="67"/>
      <c r="P2" s="67"/>
      <c r="Q2" s="67"/>
      <c r="R2" s="67"/>
    </row>
    <row r="4" spans="1:18" x14ac:dyDescent="0.5">
      <c r="A4" s="47" t="s">
        <v>3100</v>
      </c>
      <c r="J4" s="47" t="str">
        <f>COUNTIF(J6:J22,"PASS")&amp;" / 4 PASS"</f>
        <v>4 / 4 PASS</v>
      </c>
    </row>
    <row r="5" spans="1:18" x14ac:dyDescent="0.5">
      <c r="A5" s="47" t="s">
        <v>7</v>
      </c>
      <c r="B5" s="47" t="s">
        <v>8</v>
      </c>
      <c r="D5" s="47" t="s">
        <v>9</v>
      </c>
      <c r="F5" s="50" t="s">
        <v>10</v>
      </c>
      <c r="H5" s="51" t="s">
        <v>11</v>
      </c>
      <c r="J5" s="52" t="s">
        <v>12</v>
      </c>
    </row>
    <row r="6" spans="1:18" x14ac:dyDescent="0.5">
      <c r="A6" s="48">
        <v>1</v>
      </c>
      <c r="B6" s="49" t="s">
        <v>3061</v>
      </c>
      <c r="D6" s="53">
        <v>1</v>
      </c>
      <c r="F6" s="54">
        <v>1</v>
      </c>
      <c r="H6" s="55" cm="1">
        <f t="array" ref="H6">is_unique(D6:D8)</f>
        <v>1</v>
      </c>
      <c r="J6" s="56" t="str">
        <f>IF(H6=F6,"PASS","FAIL")</f>
        <v>PASS</v>
      </c>
    </row>
    <row r="7" spans="1:18" x14ac:dyDescent="0.5">
      <c r="A7" s="57"/>
      <c r="B7" s="57"/>
      <c r="D7" s="53">
        <v>2</v>
      </c>
    </row>
    <row r="8" spans="1:18" x14ac:dyDescent="0.5">
      <c r="A8" s="57"/>
      <c r="B8" s="57"/>
      <c r="D8" s="53">
        <v>3</v>
      </c>
    </row>
    <row r="10" spans="1:18" x14ac:dyDescent="0.5">
      <c r="A10" s="48">
        <v>2</v>
      </c>
      <c r="B10" s="49" t="s">
        <v>3101</v>
      </c>
      <c r="D10" s="53">
        <v>1</v>
      </c>
      <c r="F10" s="54">
        <v>0</v>
      </c>
      <c r="H10" s="55" cm="1">
        <f t="array" ref="H10">is_unique(D10:D12)</f>
        <v>0</v>
      </c>
      <c r="J10" s="56" t="str">
        <f>IF(H10=F10,"PASS","FAIL")</f>
        <v>PASS</v>
      </c>
    </row>
    <row r="11" spans="1:18" x14ac:dyDescent="0.5">
      <c r="A11" s="57"/>
      <c r="B11" s="57"/>
      <c r="D11" s="53">
        <v>2</v>
      </c>
    </row>
    <row r="12" spans="1:18" x14ac:dyDescent="0.5">
      <c r="A12" s="57"/>
      <c r="B12" s="57"/>
      <c r="D12" s="53">
        <v>2</v>
      </c>
    </row>
    <row r="14" spans="1:18" x14ac:dyDescent="0.5">
      <c r="A14" s="48">
        <v>3</v>
      </c>
      <c r="B14" s="49" t="s">
        <v>3102</v>
      </c>
      <c r="D14" s="53" t="s">
        <v>3026</v>
      </c>
      <c r="F14" s="54">
        <v>0</v>
      </c>
      <c r="H14" s="55" cm="1">
        <f t="array" ref="H14">is_unique(D14:D15)</f>
        <v>0</v>
      </c>
      <c r="J14" s="56" t="str">
        <f>IF(H14=F14,"PASS","FAIL")</f>
        <v>PASS</v>
      </c>
    </row>
    <row r="15" spans="1:18" x14ac:dyDescent="0.5">
      <c r="A15" s="57"/>
      <c r="B15" s="57"/>
      <c r="D15" s="53" t="s">
        <v>140</v>
      </c>
    </row>
    <row r="17" spans="1:10" x14ac:dyDescent="0.5">
      <c r="A17" s="48">
        <v>4</v>
      </c>
      <c r="B17" s="49" t="s">
        <v>3103</v>
      </c>
      <c r="D17" s="53">
        <v>1</v>
      </c>
      <c r="F17" s="54">
        <v>1</v>
      </c>
      <c r="H17" s="55" cm="1">
        <f t="array" ref="H17">is_unique(D17:D20)</f>
        <v>1</v>
      </c>
      <c r="J17" s="56" t="str">
        <f>IF(H17=F17,"PASS","FAIL")</f>
        <v>PASS</v>
      </c>
    </row>
    <row r="18" spans="1:10" x14ac:dyDescent="0.5">
      <c r="A18" s="57"/>
      <c r="B18" s="57"/>
      <c r="D18" s="53"/>
    </row>
    <row r="19" spans="1:10" x14ac:dyDescent="0.5">
      <c r="A19" s="57"/>
      <c r="B19" s="57"/>
      <c r="D19" s="53">
        <v>2</v>
      </c>
    </row>
    <row r="20" spans="1:10" x14ac:dyDescent="0.5">
      <c r="A20" s="57"/>
      <c r="B20" s="57"/>
      <c r="D20" s="53">
        <v>3</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67"/>
  <dimension ref="A1:R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8" t="str" cm="1">
        <f t="array" aca="1" ref="B1" ca="1">_xlfn.LET(_xlpm.fn, CELL("filename",$A$1), _xlpm.nm, MID(_xlpm.fn, FIND("]", _xlpm.fn) + 1, 255), _xlfn.XLOOKUP(_xlpm.nm &amp; "(*", Lamb!$A$2:$A$1000, Lamb!$A$2:$A$1000, "", 2))</f>
        <v>knight_moves(start_ad, end_ad)</v>
      </c>
      <c r="C1" s="64"/>
      <c r="D1" s="64"/>
      <c r="E1" s="64"/>
      <c r="F1" s="65"/>
      <c r="H1" s="47" t="s">
        <v>2</v>
      </c>
      <c r="I1" s="63"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64"/>
      <c r="K1" s="64"/>
      <c r="L1" s="64"/>
      <c r="M1" s="64"/>
      <c r="N1" s="64"/>
      <c r="O1" s="64"/>
      <c r="P1" s="64"/>
      <c r="Q1" s="64"/>
      <c r="R1" s="65"/>
    </row>
    <row r="2" spans="1:18" ht="315" customHeight="1" x14ac:dyDescent="0.5">
      <c r="A2" s="47" t="s">
        <v>4</v>
      </c>
      <c r="B2" s="66"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67"/>
      <c r="D2" s="67"/>
      <c r="E2" s="67"/>
      <c r="F2" s="67"/>
      <c r="G2" s="67"/>
      <c r="H2" s="67"/>
      <c r="I2" s="67"/>
      <c r="J2" s="67"/>
      <c r="K2" s="67"/>
      <c r="L2" s="67"/>
      <c r="M2" s="67"/>
      <c r="N2" s="67"/>
      <c r="O2" s="67"/>
      <c r="P2" s="67"/>
      <c r="Q2" s="67"/>
      <c r="R2" s="67"/>
    </row>
    <row r="4" spans="1:18" x14ac:dyDescent="0.5">
      <c r="A4" s="47" t="s">
        <v>3104</v>
      </c>
      <c r="L4" s="47" t="str">
        <f>COUNTIF(L6:L20,"PASS")&amp;" / 7 PASS"</f>
        <v>7 / 7 PASS</v>
      </c>
    </row>
    <row r="5" spans="1:18" x14ac:dyDescent="0.5">
      <c r="A5" s="47" t="s">
        <v>7</v>
      </c>
      <c r="B5" s="47" t="s">
        <v>8</v>
      </c>
      <c r="D5" s="47" t="s">
        <v>9</v>
      </c>
      <c r="H5" s="50" t="s">
        <v>10</v>
      </c>
      <c r="J5" s="51" t="s">
        <v>11</v>
      </c>
      <c r="L5" s="52" t="s">
        <v>12</v>
      </c>
    </row>
    <row r="6" spans="1:18" x14ac:dyDescent="0.5">
      <c r="A6" s="48">
        <v>1</v>
      </c>
      <c r="B6" s="49" t="s">
        <v>3105</v>
      </c>
      <c r="D6" s="53" t="s">
        <v>3014</v>
      </c>
      <c r="F6" s="53" t="s">
        <v>3106</v>
      </c>
      <c r="H6" s="54">
        <v>1</v>
      </c>
      <c r="J6" s="55" cm="1">
        <f t="array" ref="J6">knight_moves(D6,F6)</f>
        <v>1</v>
      </c>
      <c r="L6" s="56" t="str">
        <f>IF(J6=H6,"PASS","FAIL")</f>
        <v>PASS</v>
      </c>
    </row>
    <row r="8" spans="1:18" x14ac:dyDescent="0.5">
      <c r="A8" s="48">
        <v>2</v>
      </c>
      <c r="B8" s="49" t="s">
        <v>3107</v>
      </c>
      <c r="D8" s="53" t="s">
        <v>3014</v>
      </c>
      <c r="F8" s="53" t="s">
        <v>3079</v>
      </c>
      <c r="H8" s="54">
        <v>4</v>
      </c>
      <c r="J8" s="55" cm="1">
        <f t="array" ref="J8">knight_moves(D8,F8)</f>
        <v>4</v>
      </c>
      <c r="L8" s="56" t="str">
        <f>IF(J8=H8,"PASS","FAIL")</f>
        <v>PASS</v>
      </c>
    </row>
    <row r="10" spans="1:18" x14ac:dyDescent="0.5">
      <c r="A10" s="48">
        <v>3</v>
      </c>
      <c r="B10" s="49" t="s">
        <v>3108</v>
      </c>
      <c r="D10" s="53" t="s">
        <v>3014</v>
      </c>
      <c r="F10" s="53" t="s">
        <v>3014</v>
      </c>
      <c r="H10" s="54">
        <v>0</v>
      </c>
      <c r="J10" s="55" cm="1">
        <f t="array" ref="J10">knight_moves(D10,F10)</f>
        <v>0</v>
      </c>
      <c r="L10" s="56" t="str">
        <f>IF(J10=H10,"PASS","FAIL")</f>
        <v>PASS</v>
      </c>
    </row>
    <row r="12" spans="1:18" x14ac:dyDescent="0.5">
      <c r="A12" s="48">
        <v>4</v>
      </c>
      <c r="B12" s="49" t="s">
        <v>3109</v>
      </c>
      <c r="D12" s="53" t="s">
        <v>3014</v>
      </c>
      <c r="F12" s="53" t="s">
        <v>3110</v>
      </c>
      <c r="H12" s="54">
        <v>3</v>
      </c>
      <c r="J12" s="55" cm="1">
        <f t="array" ref="J12">knight_moves(D12,F12)</f>
        <v>3</v>
      </c>
      <c r="L12" s="56" t="str">
        <f>IF(J12=H12,"PASS","FAIL")</f>
        <v>PASS</v>
      </c>
    </row>
    <row r="14" spans="1:18" x14ac:dyDescent="0.5">
      <c r="A14" s="48">
        <v>5</v>
      </c>
      <c r="B14" s="49" t="s">
        <v>3111</v>
      </c>
      <c r="D14" s="53" t="s">
        <v>3014</v>
      </c>
      <c r="F14" s="53" t="s">
        <v>3112</v>
      </c>
      <c r="H14" s="54">
        <v>6</v>
      </c>
      <c r="J14" s="55" cm="1">
        <f t="array" ref="J14">knight_moves(D14,F14)</f>
        <v>6</v>
      </c>
      <c r="L14" s="56" t="str">
        <f>IF(J14=H14,"PASS","FAIL")</f>
        <v>PASS</v>
      </c>
    </row>
    <row r="16" spans="1:18" x14ac:dyDescent="0.5">
      <c r="A16" s="48">
        <v>6</v>
      </c>
      <c r="B16" s="49" t="s">
        <v>3113</v>
      </c>
      <c r="D16" s="53">
        <v>1000001</v>
      </c>
      <c r="F16" s="53">
        <v>8000008</v>
      </c>
      <c r="H16" s="54">
        <v>6</v>
      </c>
      <c r="J16" s="55" cm="1">
        <f t="array" ref="J16">knight_moves(D16,F16)</f>
        <v>6</v>
      </c>
      <c r="L16" s="56" t="str">
        <f>IF(J16=H16,"PASS","FAIL")</f>
        <v>PASS</v>
      </c>
    </row>
    <row r="18" spans="1:12" x14ac:dyDescent="0.5">
      <c r="A18" s="48">
        <v>7</v>
      </c>
      <c r="B18" s="49" t="s">
        <v>3114</v>
      </c>
      <c r="D18" s="53">
        <v>1000001</v>
      </c>
      <c r="F18" s="53" t="s">
        <v>3079</v>
      </c>
      <c r="H18" s="54">
        <v>4</v>
      </c>
      <c r="J18" s="55" cm="1">
        <f t="array" ref="J18">knight_moves(D18,F18)</f>
        <v>4</v>
      </c>
      <c r="L18" s="56" t="str">
        <f>IF(J18=H18,"PASS","FAIL")</f>
        <v>PASS</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8"/>
  <dimension ref="A1:R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label_lookup(arr,row_label,column_label)</v>
      </c>
      <c r="C1" s="64"/>
      <c r="D1" s="64"/>
      <c r="E1" s="64"/>
      <c r="F1" s="65"/>
      <c r="H1" s="47" t="s">
        <v>2</v>
      </c>
      <c r="I1" s="63"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64"/>
      <c r="K1" s="64"/>
      <c r="L1" s="64"/>
      <c r="M1" s="64"/>
      <c r="N1" s="64"/>
      <c r="O1" s="64"/>
      <c r="P1" s="64"/>
      <c r="Q1" s="64"/>
      <c r="R1" s="65"/>
    </row>
    <row r="2" spans="1:18" ht="147" customHeight="1" x14ac:dyDescent="0.5">
      <c r="A2" s="47" t="s">
        <v>4</v>
      </c>
      <c r="B2" s="66"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67"/>
      <c r="D2" s="67"/>
      <c r="E2" s="67"/>
      <c r="F2" s="67"/>
      <c r="G2" s="67"/>
      <c r="H2" s="67"/>
      <c r="I2" s="67"/>
      <c r="J2" s="67"/>
      <c r="K2" s="67"/>
      <c r="L2" s="67"/>
      <c r="M2" s="67"/>
      <c r="N2" s="67"/>
      <c r="O2" s="67"/>
      <c r="P2" s="67"/>
      <c r="Q2" s="67"/>
      <c r="R2" s="67"/>
    </row>
    <row r="4" spans="1:18" x14ac:dyDescent="0.5">
      <c r="A4" s="47" t="s">
        <v>3115</v>
      </c>
      <c r="N4" s="47" t="str">
        <f>COUNTIF(N11:N20,"PASS")&amp;" / 4 PASS"</f>
        <v>4 / 4 PASS</v>
      </c>
    </row>
    <row r="5" spans="1:18" x14ac:dyDescent="0.5">
      <c r="B5" s="47" t="s">
        <v>8</v>
      </c>
      <c r="J5" s="50" t="s">
        <v>10</v>
      </c>
      <c r="L5" s="51" t="s">
        <v>11</v>
      </c>
      <c r="N5" s="52" t="s">
        <v>12</v>
      </c>
    </row>
    <row r="6" spans="1:18" x14ac:dyDescent="0.5">
      <c r="D6" s="47" t="s">
        <v>3116</v>
      </c>
    </row>
    <row r="7" spans="1:18" x14ac:dyDescent="0.5">
      <c r="D7" s="53"/>
      <c r="E7" s="53" t="s">
        <v>3117</v>
      </c>
      <c r="F7" s="53" t="s">
        <v>3118</v>
      </c>
      <c r="G7" s="53" t="s">
        <v>3119</v>
      </c>
    </row>
    <row r="8" spans="1:18" x14ac:dyDescent="0.5">
      <c r="D8" s="53" t="s">
        <v>140</v>
      </c>
      <c r="E8" s="53">
        <v>1</v>
      </c>
      <c r="F8" s="53">
        <v>2</v>
      </c>
      <c r="G8" s="53">
        <v>3</v>
      </c>
    </row>
    <row r="9" spans="1:18" x14ac:dyDescent="0.5">
      <c r="D9" s="53" t="s">
        <v>147</v>
      </c>
      <c r="E9" s="53">
        <v>4</v>
      </c>
      <c r="F9" s="53">
        <v>5</v>
      </c>
      <c r="G9" s="53">
        <v>6</v>
      </c>
    </row>
    <row r="11" spans="1:18" x14ac:dyDescent="0.5">
      <c r="B11" s="48" t="s">
        <v>3120</v>
      </c>
      <c r="J11" s="54">
        <v>5</v>
      </c>
      <c r="L11" s="55" cm="1">
        <f t="array" ref="L11">label_lookup(D7:G9,"B","Tue")</f>
        <v>5</v>
      </c>
      <c r="N11" s="56" t="str">
        <f>IF(L11=J11,"PASS","FAIL")</f>
        <v>PASS</v>
      </c>
    </row>
    <row r="13" spans="1:18" x14ac:dyDescent="0.5">
      <c r="B13" s="48" t="s">
        <v>3121</v>
      </c>
      <c r="J13" s="54">
        <v>3</v>
      </c>
      <c r="L13" s="55" cm="1">
        <f t="array" ref="L13">label_lookup(D7:G9,"A","Wed")</f>
        <v>3</v>
      </c>
      <c r="N13" s="56" t="str">
        <f>IF(L13=J13,"PASS","FAIL")</f>
        <v>PASS</v>
      </c>
    </row>
    <row r="15" spans="1:18" x14ac:dyDescent="0.5">
      <c r="B15" s="48" t="s">
        <v>3122</v>
      </c>
      <c r="J15" s="54">
        <v>4</v>
      </c>
      <c r="L15" s="55" cm="1">
        <f t="array" ref="L15">label_lookup(D7:G9,"B","Mon")</f>
        <v>4</v>
      </c>
      <c r="N15" s="56" t="str">
        <f>IF(L15=J15,"PASS","FAIL")</f>
        <v>PASS</v>
      </c>
    </row>
    <row r="17" spans="2:14" x14ac:dyDescent="0.5">
      <c r="B17" s="48" t="s">
        <v>3387</v>
      </c>
      <c r="J17" s="54" t="str">
        <f>""</f>
        <v/>
      </c>
      <c r="L17" s="55" t="str">
        <f>label_lookup(D7:G9,"ZZ","Mon")</f>
        <v/>
      </c>
      <c r="N17" s="56" t="str">
        <f>IF(L17=J17,"PASS","FAIL")</f>
        <v>PASS</v>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8" ht="252" customHeight="1" x14ac:dyDescent="0.5">
      <c r="A1" s="47" t="s">
        <v>0</v>
      </c>
      <c r="B1" s="68" t="str" cm="1">
        <f t="array" aca="1" ref="B1" ca="1">_xlfn.LET(_xlpm.fn, CELL("filename",$A$1), _xlpm.nm, MID(_xlpm.fn, FIND("]", _xlpm.fn) + 1, 255), _xlfn.XLOOKUP(_xlpm.nm &amp; "(*", Lamb!$A$2:$A$1000, Lamb!$A$2:$A$1000, "", 2))</f>
        <v>load_array(input_string,[col_delimiter],[row_delimiter])</v>
      </c>
      <c r="C1" s="64"/>
      <c r="D1" s="64"/>
      <c r="E1" s="64"/>
      <c r="F1" s="65"/>
      <c r="H1" s="47" t="s">
        <v>2</v>
      </c>
      <c r="I1" s="63"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64"/>
      <c r="K1" s="64"/>
      <c r="L1" s="64"/>
      <c r="M1" s="64"/>
      <c r="N1" s="64"/>
      <c r="O1" s="64"/>
      <c r="P1" s="64"/>
      <c r="Q1" s="64"/>
      <c r="R1" s="65"/>
    </row>
    <row r="2" spans="1:18" ht="294" customHeight="1" x14ac:dyDescent="0.5">
      <c r="A2" s="47" t="s">
        <v>4</v>
      </c>
      <c r="B2" s="66"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67"/>
      <c r="D2" s="67"/>
      <c r="E2" s="67"/>
      <c r="F2" s="67"/>
      <c r="G2" s="67"/>
      <c r="H2" s="67"/>
      <c r="I2" s="67"/>
      <c r="J2" s="67"/>
      <c r="K2" s="67"/>
      <c r="L2" s="67"/>
      <c r="M2" s="67"/>
      <c r="N2" s="67"/>
      <c r="O2" s="67"/>
      <c r="P2" s="67"/>
      <c r="Q2" s="67"/>
      <c r="R2" s="67"/>
    </row>
    <row r="4" spans="1:18" x14ac:dyDescent="0.5">
      <c r="A4" s="47" t="s">
        <v>3123</v>
      </c>
      <c r="P4" s="47" t="str">
        <f>COUNTIF(P6:P15,"PASS")&amp;" / 3 PASS"</f>
        <v>3 / 3 PASS</v>
      </c>
    </row>
    <row r="5" spans="1:18" x14ac:dyDescent="0.5">
      <c r="A5" s="47" t="s">
        <v>7</v>
      </c>
      <c r="B5" s="47" t="s">
        <v>8</v>
      </c>
      <c r="D5" s="47" t="s">
        <v>9</v>
      </c>
      <c r="J5" s="50" t="s">
        <v>10</v>
      </c>
      <c r="M5" s="51" t="s">
        <v>11</v>
      </c>
      <c r="P5" s="52" t="s">
        <v>12</v>
      </c>
    </row>
    <row r="6" spans="1:18" x14ac:dyDescent="0.5">
      <c r="A6" s="48">
        <v>1</v>
      </c>
      <c r="B6" s="49" t="s">
        <v>3124</v>
      </c>
      <c r="D6" s="53" t="s">
        <v>3124</v>
      </c>
      <c r="J6" s="54">
        <v>1</v>
      </c>
      <c r="K6" s="54">
        <v>2</v>
      </c>
      <c r="M6" s="55" cm="1">
        <f t="array" ref="M6:N7">load_array(D6)</f>
        <v>1</v>
      </c>
      <c r="N6" s="55">
        <v>2</v>
      </c>
      <c r="P6" s="56" t="str" cm="1">
        <f t="array" ref="P6">IF(AND(J6:K7=M6:N7),"PASS","FAIL")</f>
        <v>PASS</v>
      </c>
    </row>
    <row r="7" spans="1:18" x14ac:dyDescent="0.5">
      <c r="A7" s="57"/>
      <c r="B7" s="57"/>
      <c r="J7" s="54">
        <v>3</v>
      </c>
      <c r="K7" s="54">
        <v>4</v>
      </c>
      <c r="M7" s="55">
        <v>3</v>
      </c>
      <c r="N7" s="55">
        <v>4</v>
      </c>
    </row>
    <row r="9" spans="1:18" x14ac:dyDescent="0.5">
      <c r="A9" s="48">
        <v>2</v>
      </c>
      <c r="B9" s="49" t="s">
        <v>3125</v>
      </c>
      <c r="D9" s="53" t="s">
        <v>3125</v>
      </c>
      <c r="J9" s="54" t="s">
        <v>3026</v>
      </c>
      <c r="K9" s="54" t="s">
        <v>3027</v>
      </c>
      <c r="M9" s="55" t="str" cm="1">
        <f t="array" ref="M9:N10">load_array(D9)</f>
        <v>a</v>
      </c>
      <c r="N9" s="55" t="str">
        <v>b</v>
      </c>
      <c r="P9" s="56" t="str" cm="1">
        <f t="array" ref="P9">IF(AND(J9:K10=M9:N10),"PASS","FAIL")</f>
        <v>PASS</v>
      </c>
    </row>
    <row r="10" spans="1:18" x14ac:dyDescent="0.5">
      <c r="A10" s="57"/>
      <c r="B10" s="57"/>
      <c r="J10" s="54" t="s">
        <v>3035</v>
      </c>
      <c r="K10" s="54" t="s">
        <v>3028</v>
      </c>
      <c r="M10" s="55" t="str">
        <v>c</v>
      </c>
      <c r="N10" s="55" t="str">
        <v>d</v>
      </c>
    </row>
    <row r="12" spans="1:18" x14ac:dyDescent="0.5">
      <c r="A12" s="48">
        <v>3</v>
      </c>
      <c r="B12" s="49" t="s">
        <v>3126</v>
      </c>
      <c r="D12" s="53" t="s">
        <v>3127</v>
      </c>
      <c r="F12" s="53" t="s">
        <v>3128</v>
      </c>
      <c r="H12" s="53" t="s">
        <v>3129</v>
      </c>
      <c r="J12" s="54">
        <v>1</v>
      </c>
      <c r="K12" s="54">
        <v>2</v>
      </c>
      <c r="M12" s="55" cm="1">
        <f t="array" ref="M12:N13">load_array(D12,F12,H12)</f>
        <v>1</v>
      </c>
      <c r="N12" s="55">
        <v>2</v>
      </c>
      <c r="P12" s="56" t="str" cm="1">
        <f t="array" ref="P12">IF(AND(J12:K13=M12:N13),"PASS","FAIL")</f>
        <v>PASS</v>
      </c>
    </row>
    <row r="13" spans="1:18" x14ac:dyDescent="0.5">
      <c r="A13" s="57"/>
      <c r="B13" s="57"/>
      <c r="J13" s="54">
        <v>3</v>
      </c>
      <c r="K13" s="54">
        <v>4</v>
      </c>
      <c r="M13" s="55">
        <v>3</v>
      </c>
      <c r="N13" s="55">
        <v>4</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0"/>
  <dimension ref="A1:R17"/>
  <sheetViews>
    <sheetView tabSelected="1" workbookViewId="0"/>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8" ht="294" customHeight="1" x14ac:dyDescent="0.5">
      <c r="A1" s="47" t="s">
        <v>0</v>
      </c>
      <c r="B1" s="68" t="str" cm="1">
        <f t="array" aca="1" ref="B1" ca="1">_xlfn.LET(_xlpm.fn, CELL("filename",$A$1), _xlpm.nm, MID(_xlpm.fn, FIND("]", _xlpm.fn) + 1, 255), _xlfn.XLOOKUP(_xlpm.nm &amp; "(*", Lamb!$A$2:$A$1000, Lamb!$A$2:$A$1000, "", 2))</f>
        <v>neighbors_count(arr, val, dist, [diag_allowed], [self_count])</v>
      </c>
      <c r="C1" s="64"/>
      <c r="D1" s="64"/>
      <c r="E1" s="64"/>
      <c r="F1" s="65"/>
      <c r="H1" s="47" t="s">
        <v>2</v>
      </c>
      <c r="I1" s="63"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67"/>
      <c r="D2" s="67"/>
      <c r="E2" s="67"/>
      <c r="F2" s="67"/>
      <c r="G2" s="67"/>
      <c r="H2" s="67"/>
      <c r="I2" s="67"/>
      <c r="J2" s="67"/>
      <c r="K2" s="67"/>
      <c r="L2" s="67"/>
      <c r="M2" s="67"/>
      <c r="N2" s="67"/>
      <c r="O2" s="67"/>
      <c r="P2" s="67"/>
      <c r="Q2" s="67"/>
      <c r="R2" s="67"/>
    </row>
    <row r="4" spans="1:18" x14ac:dyDescent="0.5">
      <c r="A4" s="47" t="s">
        <v>3130</v>
      </c>
      <c r="Q4" s="47" t="str">
        <f>COUNTIF(Q7:Q20,"PASS")&amp;" / 3 PASS"</f>
        <v>3 / 3 PASS</v>
      </c>
    </row>
    <row r="5" spans="1:18" x14ac:dyDescent="0.5">
      <c r="B5" s="47" t="s">
        <v>8</v>
      </c>
      <c r="D5" s="47" t="s">
        <v>3131</v>
      </c>
      <c r="I5" s="50" t="s">
        <v>10</v>
      </c>
      <c r="M5" s="51" t="s">
        <v>11</v>
      </c>
      <c r="Q5" s="52" t="s">
        <v>12</v>
      </c>
    </row>
    <row r="6" spans="1:18" x14ac:dyDescent="0.5">
      <c r="B6" s="47" t="s">
        <v>3132</v>
      </c>
    </row>
    <row r="7" spans="1:18" x14ac:dyDescent="0.5">
      <c r="B7" s="49" t="s">
        <v>3133</v>
      </c>
      <c r="D7" s="53">
        <v>1</v>
      </c>
      <c r="E7" s="53">
        <v>1</v>
      </c>
      <c r="F7" s="53">
        <v>0</v>
      </c>
      <c r="I7" s="54">
        <v>3</v>
      </c>
      <c r="J7" s="54">
        <v>4</v>
      </c>
      <c r="K7" s="54">
        <v>3</v>
      </c>
      <c r="M7" s="55" cm="1">
        <f t="array" ref="M7:O9">neighbors_count(D7:F9,1,1)</f>
        <v>3</v>
      </c>
      <c r="N7" s="55">
        <v>4</v>
      </c>
      <c r="O7" s="55">
        <v>3</v>
      </c>
      <c r="Q7" s="56" t="str" cm="1">
        <f t="array" ref="Q7">IF(AND(I7:K9=M7:O9),"PASS","FAIL")</f>
        <v>PASS</v>
      </c>
    </row>
    <row r="8" spans="1:18" x14ac:dyDescent="0.5">
      <c r="D8" s="53">
        <v>0</v>
      </c>
      <c r="E8" s="53">
        <v>1</v>
      </c>
      <c r="F8" s="53">
        <v>1</v>
      </c>
      <c r="I8" s="54">
        <v>4</v>
      </c>
      <c r="J8" s="54">
        <v>6</v>
      </c>
      <c r="K8" s="54">
        <v>4</v>
      </c>
      <c r="M8" s="55">
        <v>4</v>
      </c>
      <c r="N8" s="55">
        <v>6</v>
      </c>
      <c r="O8" s="55">
        <v>4</v>
      </c>
    </row>
    <row r="9" spans="1:18" x14ac:dyDescent="0.5">
      <c r="D9" s="53">
        <v>1</v>
      </c>
      <c r="E9" s="53">
        <v>0</v>
      </c>
      <c r="F9" s="53">
        <v>1</v>
      </c>
      <c r="I9" s="54">
        <v>2</v>
      </c>
      <c r="J9" s="54">
        <v>4</v>
      </c>
      <c r="K9" s="54">
        <v>3</v>
      </c>
      <c r="M9" s="55">
        <v>2</v>
      </c>
      <c r="N9" s="55">
        <v>4</v>
      </c>
      <c r="O9" s="55">
        <v>3</v>
      </c>
    </row>
    <row r="11" spans="1:18" x14ac:dyDescent="0.5">
      <c r="B11" s="49" t="s">
        <v>3134</v>
      </c>
      <c r="I11" s="54">
        <v>2</v>
      </c>
      <c r="J11" s="54">
        <v>3</v>
      </c>
      <c r="K11" s="54">
        <v>3</v>
      </c>
      <c r="M11" s="55" cm="1">
        <f t="array" ref="M11:O13">neighbors_count(D7:F9,1,1,,0)</f>
        <v>2</v>
      </c>
      <c r="N11" s="55">
        <v>3</v>
      </c>
      <c r="O11" s="55">
        <v>3</v>
      </c>
      <c r="Q11" s="56" t="str" cm="1">
        <f t="array" ref="Q11">IF(AND(I11:K13=M11:O13),"PASS","FAIL")</f>
        <v>PASS</v>
      </c>
    </row>
    <row r="12" spans="1:18" x14ac:dyDescent="0.5">
      <c r="I12" s="54">
        <v>4</v>
      </c>
      <c r="J12" s="54">
        <v>5</v>
      </c>
      <c r="K12" s="54">
        <v>3</v>
      </c>
      <c r="M12" s="55">
        <v>4</v>
      </c>
      <c r="N12" s="55">
        <v>5</v>
      </c>
      <c r="O12" s="55">
        <v>3</v>
      </c>
    </row>
    <row r="13" spans="1:18" x14ac:dyDescent="0.5">
      <c r="I13" s="54">
        <v>1</v>
      </c>
      <c r="J13" s="54">
        <v>4</v>
      </c>
      <c r="K13" s="54">
        <v>2</v>
      </c>
      <c r="M13" s="55">
        <v>1</v>
      </c>
      <c r="N13" s="55">
        <v>4</v>
      </c>
      <c r="O13" s="55">
        <v>2</v>
      </c>
    </row>
    <row r="15" spans="1:18" x14ac:dyDescent="0.5">
      <c r="B15" s="49" t="s">
        <v>3135</v>
      </c>
      <c r="I15" s="54">
        <v>2</v>
      </c>
      <c r="J15" s="54">
        <v>3</v>
      </c>
      <c r="K15" s="54">
        <v>2</v>
      </c>
      <c r="M15" s="55" cm="1">
        <f t="array" ref="M15:O17">neighbors_count(D7:F9,1,1,0)</f>
        <v>2</v>
      </c>
      <c r="N15" s="55">
        <v>3</v>
      </c>
      <c r="O15" s="55">
        <v>2</v>
      </c>
      <c r="Q15" s="56" t="str" cm="1">
        <f t="array" ref="Q15">IF(AND(I15:K17=M15:O17),"PASS","FAIL")</f>
        <v>PASS</v>
      </c>
    </row>
    <row r="16" spans="1:18" x14ac:dyDescent="0.5">
      <c r="I16" s="54">
        <v>3</v>
      </c>
      <c r="J16" s="54">
        <v>3</v>
      </c>
      <c r="K16" s="54">
        <v>3</v>
      </c>
      <c r="M16" s="55">
        <v>3</v>
      </c>
      <c r="N16" s="55">
        <v>3</v>
      </c>
      <c r="O16" s="55">
        <v>3</v>
      </c>
    </row>
    <row r="17" spans="9:15" x14ac:dyDescent="0.5">
      <c r="I17" s="54">
        <v>1</v>
      </c>
      <c r="J17" s="54">
        <v>3</v>
      </c>
      <c r="K17" s="54">
        <v>2</v>
      </c>
      <c r="M17" s="55">
        <v>1</v>
      </c>
      <c r="N17" s="55">
        <v>3</v>
      </c>
      <c r="O17" s="55">
        <v>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1"/>
  <dimension ref="A1:R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68" t="str" cm="1">
        <f t="array" aca="1" ref="B1" ca="1">_xlfn.LET(_xlpm.fn, CELL("filename",$A$1), _xlpm.nm, MID(_xlpm.fn, FIND("]", _xlpm.fn) + 1, 255), _xlfn.XLOOKUP(_xlpm.nm &amp; "(*", Lamb!$A$2:$A$1000, Lamb!$A$2:$A$1000, "", 2))</f>
        <v>neighbors_list(center_ad, [size], [boundary_rng], [diag_allowed])</v>
      </c>
      <c r="C1" s="64"/>
      <c r="D1" s="64"/>
      <c r="E1" s="64"/>
      <c r="F1" s="65"/>
      <c r="H1" s="47" t="s">
        <v>2</v>
      </c>
      <c r="I1" s="63"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67"/>
      <c r="D2" s="67"/>
      <c r="E2" s="67"/>
      <c r="F2" s="67"/>
      <c r="G2" s="67"/>
      <c r="H2" s="67"/>
      <c r="I2" s="67"/>
      <c r="J2" s="67"/>
      <c r="K2" s="67"/>
      <c r="L2" s="67"/>
      <c r="M2" s="67"/>
      <c r="N2" s="67"/>
      <c r="O2" s="67"/>
      <c r="P2" s="67"/>
      <c r="Q2" s="67"/>
      <c r="R2" s="67"/>
    </row>
    <row r="4" spans="1:18" x14ac:dyDescent="0.5">
      <c r="A4" s="47" t="s">
        <v>3136</v>
      </c>
      <c r="L4" s="47" t="str">
        <f>COUNTIF(L6:L43,"PASS")&amp;" / 5 PASS"</f>
        <v>5 / 5 PASS</v>
      </c>
    </row>
    <row r="5" spans="1:18" x14ac:dyDescent="0.5">
      <c r="A5" s="47" t="s">
        <v>7</v>
      </c>
      <c r="B5" s="47" t="s">
        <v>8</v>
      </c>
      <c r="D5" s="47" t="s">
        <v>9</v>
      </c>
      <c r="H5" s="50" t="s">
        <v>10</v>
      </c>
      <c r="J5" s="51" t="s">
        <v>11</v>
      </c>
      <c r="L5" s="52" t="s">
        <v>12</v>
      </c>
    </row>
    <row r="6" spans="1:18" x14ac:dyDescent="0.5">
      <c r="A6" s="48">
        <v>1</v>
      </c>
      <c r="B6" s="49" t="s">
        <v>3137</v>
      </c>
      <c r="D6" s="53" t="s">
        <v>3138</v>
      </c>
      <c r="F6" s="53">
        <v>0</v>
      </c>
      <c r="H6" s="54" t="s">
        <v>3110</v>
      </c>
      <c r="J6" s="55" t="str" cm="1">
        <f t="array" ref="J6:J9">neighbors_list(D6,,,F6)</f>
        <v>B1</v>
      </c>
      <c r="L6" s="56" t="str" cm="1">
        <f t="array" ref="L6">IF(AND(H6:H9=J6:J9),"PASS","FAIL")</f>
        <v>PASS</v>
      </c>
    </row>
    <row r="7" spans="1:18" x14ac:dyDescent="0.5">
      <c r="A7" s="57"/>
      <c r="B7" s="57"/>
      <c r="H7" s="54" t="s">
        <v>3139</v>
      </c>
      <c r="J7" s="55" t="str">
        <v>A2</v>
      </c>
    </row>
    <row r="8" spans="1:18" x14ac:dyDescent="0.5">
      <c r="A8" s="57"/>
      <c r="B8" s="57"/>
      <c r="H8" s="54" t="s">
        <v>3140</v>
      </c>
      <c r="J8" s="55" t="str">
        <v>C2</v>
      </c>
    </row>
    <row r="9" spans="1:18" x14ac:dyDescent="0.5">
      <c r="A9" s="57"/>
      <c r="B9" s="57"/>
      <c r="H9" s="54" t="s">
        <v>3106</v>
      </c>
      <c r="J9" s="55" t="str">
        <v>B3</v>
      </c>
    </row>
    <row r="11" spans="1:18" x14ac:dyDescent="0.5">
      <c r="A11" s="48">
        <v>2</v>
      </c>
      <c r="B11" s="49" t="s">
        <v>3141</v>
      </c>
      <c r="D11" s="53" t="s">
        <v>3138</v>
      </c>
      <c r="H11" s="54" t="s">
        <v>3014</v>
      </c>
      <c r="J11" s="55" t="str" cm="1">
        <f t="array" ref="J11:J18">neighbors_list(D11)</f>
        <v>A1</v>
      </c>
      <c r="L11" s="56" t="str" cm="1">
        <f t="array" ref="L11">IF(AND(H11:H18=J11:J18),"PASS","FAIL")</f>
        <v>PASS</v>
      </c>
    </row>
    <row r="12" spans="1:18" x14ac:dyDescent="0.5">
      <c r="A12" s="57"/>
      <c r="B12" s="57"/>
      <c r="H12" s="54" t="s">
        <v>3110</v>
      </c>
      <c r="J12" s="55" t="str">
        <v>B1</v>
      </c>
    </row>
    <row r="13" spans="1:18" x14ac:dyDescent="0.5">
      <c r="A13" s="57"/>
      <c r="B13" s="57"/>
      <c r="H13" s="54" t="s">
        <v>3142</v>
      </c>
      <c r="J13" s="55" t="str">
        <v>C1</v>
      </c>
    </row>
    <row r="14" spans="1:18" x14ac:dyDescent="0.5">
      <c r="A14" s="57"/>
      <c r="B14" s="57"/>
      <c r="H14" s="54" t="s">
        <v>3139</v>
      </c>
      <c r="J14" s="55" t="str">
        <v>A2</v>
      </c>
    </row>
    <row r="15" spans="1:18" x14ac:dyDescent="0.5">
      <c r="A15" s="57"/>
      <c r="B15" s="57"/>
      <c r="H15" s="54" t="s">
        <v>3140</v>
      </c>
      <c r="J15" s="55" t="str">
        <v>C2</v>
      </c>
    </row>
    <row r="16" spans="1:18" x14ac:dyDescent="0.5">
      <c r="A16" s="57"/>
      <c r="B16" s="57"/>
      <c r="H16" s="54" t="s">
        <v>3017</v>
      </c>
      <c r="J16" s="55" t="str">
        <v>A3</v>
      </c>
    </row>
    <row r="17" spans="1:12" x14ac:dyDescent="0.5">
      <c r="A17" s="57"/>
      <c r="B17" s="57"/>
      <c r="H17" s="54" t="s">
        <v>3106</v>
      </c>
      <c r="J17" s="55" t="str">
        <v>B3</v>
      </c>
    </row>
    <row r="18" spans="1:12" x14ac:dyDescent="0.5">
      <c r="A18" s="57"/>
      <c r="B18" s="57"/>
      <c r="H18" s="54" t="s">
        <v>3079</v>
      </c>
      <c r="J18" s="55" t="str">
        <v>C3</v>
      </c>
    </row>
    <row r="20" spans="1:12" x14ac:dyDescent="0.5">
      <c r="A20" s="48">
        <v>3</v>
      </c>
      <c r="B20" s="49" t="s">
        <v>3143</v>
      </c>
      <c r="D20" s="53">
        <v>2000002</v>
      </c>
      <c r="H20" s="54" t="s">
        <v>3014</v>
      </c>
      <c r="J20" s="55" t="str" cm="1">
        <f t="array" ref="J20:J27">neighbors_list(D20)</f>
        <v>A1</v>
      </c>
      <c r="L20" s="56" t="str" cm="1">
        <f t="array" ref="L20">IF(AND(H20:H27=J20:J27),"PASS","FAIL")</f>
        <v>PASS</v>
      </c>
    </row>
    <row r="21" spans="1:12" x14ac:dyDescent="0.5">
      <c r="A21" s="57"/>
      <c r="B21" s="57"/>
      <c r="H21" s="54" t="s">
        <v>3110</v>
      </c>
      <c r="J21" s="55" t="str">
        <v>B1</v>
      </c>
    </row>
    <row r="22" spans="1:12" x14ac:dyDescent="0.5">
      <c r="A22" s="57"/>
      <c r="B22" s="57"/>
      <c r="H22" s="54" t="s">
        <v>3142</v>
      </c>
      <c r="J22" s="55" t="str">
        <v>C1</v>
      </c>
    </row>
    <row r="23" spans="1:12" x14ac:dyDescent="0.5">
      <c r="A23" s="57"/>
      <c r="B23" s="57"/>
      <c r="H23" s="54" t="s">
        <v>3139</v>
      </c>
      <c r="J23" s="55" t="str">
        <v>A2</v>
      </c>
    </row>
    <row r="24" spans="1:12" x14ac:dyDescent="0.5">
      <c r="A24" s="57"/>
      <c r="B24" s="57"/>
      <c r="H24" s="54" t="s">
        <v>3140</v>
      </c>
      <c r="J24" s="55" t="str">
        <v>C2</v>
      </c>
    </row>
    <row r="25" spans="1:12" x14ac:dyDescent="0.5">
      <c r="A25" s="57"/>
      <c r="B25" s="57"/>
      <c r="H25" s="54" t="s">
        <v>3017</v>
      </c>
      <c r="J25" s="55" t="str">
        <v>A3</v>
      </c>
    </row>
    <row r="26" spans="1:12" x14ac:dyDescent="0.5">
      <c r="A26" s="57"/>
      <c r="B26" s="57"/>
      <c r="H26" s="54" t="s">
        <v>3106</v>
      </c>
      <c r="J26" s="55" t="str">
        <v>B3</v>
      </c>
    </row>
    <row r="27" spans="1:12" x14ac:dyDescent="0.5">
      <c r="A27" s="57"/>
      <c r="B27" s="57"/>
      <c r="H27" s="54" t="s">
        <v>3079</v>
      </c>
      <c r="J27" s="55" t="str">
        <v>C3</v>
      </c>
    </row>
    <row r="29" spans="1:12" x14ac:dyDescent="0.5">
      <c r="A29" s="48">
        <v>4</v>
      </c>
      <c r="B29" s="49" t="s">
        <v>3144</v>
      </c>
      <c r="D29" s="53">
        <v>2000002</v>
      </c>
      <c r="F29" s="53">
        <v>0</v>
      </c>
      <c r="H29" s="54" t="s">
        <v>3110</v>
      </c>
      <c r="J29" s="55" t="str" cm="1">
        <f t="array" ref="J29:J32">neighbors_list(D29,,,F29)</f>
        <v>B1</v>
      </c>
      <c r="L29" s="56" t="str" cm="1">
        <f t="array" ref="L29">IF(AND(H29:H32=J29:J32),"PASS","FAIL")</f>
        <v>PASS</v>
      </c>
    </row>
    <row r="30" spans="1:12" x14ac:dyDescent="0.5">
      <c r="A30" s="57"/>
      <c r="B30" s="57"/>
      <c r="H30" s="54" t="s">
        <v>3139</v>
      </c>
      <c r="J30" s="55" t="str">
        <v>A2</v>
      </c>
    </row>
    <row r="31" spans="1:12" x14ac:dyDescent="0.5">
      <c r="A31" s="57"/>
      <c r="B31" s="57"/>
      <c r="H31" s="54" t="s">
        <v>3140</v>
      </c>
      <c r="J31" s="55" t="str">
        <v>C2</v>
      </c>
    </row>
    <row r="32" spans="1:12" x14ac:dyDescent="0.5">
      <c r="A32" s="57"/>
      <c r="B32" s="57"/>
      <c r="H32" s="54" t="s">
        <v>3106</v>
      </c>
      <c r="J32" s="55" t="str">
        <v>B3</v>
      </c>
    </row>
    <row r="34" spans="1:12" x14ac:dyDescent="0.5">
      <c r="A34" s="48">
        <v>5</v>
      </c>
      <c r="B34" s="49" t="s">
        <v>3145</v>
      </c>
      <c r="D34" s="53">
        <v>3000003</v>
      </c>
      <c r="H34" s="54" t="s">
        <v>3138</v>
      </c>
      <c r="J34" s="55" t="str" cm="1">
        <f t="array" ref="J34:J41">neighbors_list(D34)</f>
        <v>B2</v>
      </c>
      <c r="L34" s="56" t="str" cm="1">
        <f t="array" ref="L34">IF(AND(H34:H41=J34:J41),"PASS","FAIL")</f>
        <v>PASS</v>
      </c>
    </row>
    <row r="35" spans="1:12" x14ac:dyDescent="0.5">
      <c r="A35" s="57"/>
      <c r="B35" s="57"/>
      <c r="H35" s="54" t="s">
        <v>3140</v>
      </c>
      <c r="J35" s="55" t="str">
        <v>C2</v>
      </c>
    </row>
    <row r="36" spans="1:12" x14ac:dyDescent="0.5">
      <c r="A36" s="57"/>
      <c r="B36" s="57"/>
      <c r="H36" s="54" t="s">
        <v>3083</v>
      </c>
      <c r="J36" s="55" t="str">
        <v>D2</v>
      </c>
    </row>
    <row r="37" spans="1:12" x14ac:dyDescent="0.5">
      <c r="A37" s="57"/>
      <c r="B37" s="57"/>
      <c r="H37" s="54" t="s">
        <v>3106</v>
      </c>
      <c r="J37" s="55" t="str">
        <v>B3</v>
      </c>
    </row>
    <row r="38" spans="1:12" x14ac:dyDescent="0.5">
      <c r="A38" s="57"/>
      <c r="B38" s="57"/>
      <c r="H38" s="54" t="s">
        <v>3146</v>
      </c>
      <c r="J38" s="55" t="str">
        <v>D3</v>
      </c>
    </row>
    <row r="39" spans="1:12" x14ac:dyDescent="0.5">
      <c r="A39" s="57"/>
      <c r="B39" s="57"/>
      <c r="H39" s="54" t="s">
        <v>3147</v>
      </c>
      <c r="J39" s="55" t="str">
        <v>B4</v>
      </c>
    </row>
    <row r="40" spans="1:12" x14ac:dyDescent="0.5">
      <c r="A40" s="57"/>
      <c r="B40" s="57"/>
      <c r="H40" s="54" t="s">
        <v>3086</v>
      </c>
      <c r="J40" s="55" t="str">
        <v>C4</v>
      </c>
    </row>
    <row r="41" spans="1:12" x14ac:dyDescent="0.5">
      <c r="A41" s="57"/>
      <c r="B41" s="57"/>
      <c r="H41" s="54" t="s">
        <v>3148</v>
      </c>
      <c r="J41" s="55" t="str">
        <v>D4</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72"/>
  <dimension ref="A1:R17"/>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52" customHeight="1" x14ac:dyDescent="0.5">
      <c r="A1" s="47" t="s">
        <v>0</v>
      </c>
      <c r="B1" s="68" t="str" cm="1">
        <f t="array" aca="1" ref="B1" ca="1">_xlfn.LET(_xlpm.fn, CELL("filename",$A$1), _xlpm.nm, MID(_xlpm.fn, FIND("]", _xlpm.fn) + 1, 255), _xlfn.XLOOKUP(_xlpm.nm &amp; "(*", Lamb!$A$2:$A$1000, Lamb!$A$2:$A$1000, "", 2))</f>
        <v>num_ad(arr)</v>
      </c>
      <c r="C1" s="64"/>
      <c r="D1" s="64"/>
      <c r="E1" s="64"/>
      <c r="F1" s="65"/>
      <c r="H1" s="47" t="s">
        <v>2</v>
      </c>
      <c r="I1" s="63" t="str" cm="1">
        <f t="array" aca="1" ref="I1" ca="1">_xlfn.LET(_xlpm.fn, CELL("filename",$A$1), _xlpm.nm, MID(_xlpm.fn, FIND("]", _xlpm.fn) + 1, 255), _xlfn.XLOOKUP(_xlpm.nm &amp; "(*", Lamb!$A$2:$A$1000, Lamb!$D$2:$D$1000, "", 2))</f>
        <v>Converts A1 string addresses to numeric addresses (1e6 * row + col), element-wise.
Only a valid A1 string address is converted; everything else - numbers (already numeric), non-address text, range strings, errors - is returned unchanged. Safe to run at a boundary to coerce mixed inputs to numeric, and idempotent.
Arguments:
  arr - a value or array. Strings are tested after stripping $ and any Sheet! prefix and upper-casing; must match ^[A-Z]{1,3}[0-9]+$ with col &lt;= 16384 and row &lt;= 1048576.
Returns:
  Same shape as arr, each valid string address replaced by its numeric address; all else unchanged. A single cell returns a scalar.
Example:
  num_ad("D3") -&gt; 3000004 ; num_ad(3000004) -&gt; 3000004 ; num_ad("hi") -&gt; "hi"</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=LAMBDA(arr,
  LET(
    to_num, LAMBDA(one,
      IFERROR(
        IF(NOT(ISTEXT(one)), one,
          LET(
            s, UPPER(SUBSTITUTE(IFERROR(TEXTAFTER(one, "!"), one), "$", "")),
            IF(NOT(REGEXTEST(s, "^[A-Z]{1,3}[0-9]+$")), one,
              LET(
                letters, REGEXEXTRACT(s, "[A-Z]+"),
                row_num, VALUE(REGEXEXTRACT(s, "[0-9]+")),
                nlet, LEN(letters),
                seq, SEQUENCE(nlet),
                col, SUM((CODE(MID(letters, seq, 1)) - 64) * 26 ^ (nlet - seq)),
                IF(OR(col &gt; 16384, row_num &gt; 1048576), one, 1000000 * row_num + col)))
          )),
        one)),
    IF(ROWS(arr) * COLUMNS(arr) = 1, to_num(arr), MAP(arr, to_num))
  )
)</v>
      </c>
      <c r="C2" s="67"/>
      <c r="D2" s="67"/>
      <c r="E2" s="67"/>
      <c r="F2" s="67"/>
      <c r="G2" s="67"/>
      <c r="H2" s="67"/>
      <c r="I2" s="67"/>
      <c r="J2" s="67"/>
      <c r="K2" s="67"/>
      <c r="L2" s="67"/>
      <c r="M2" s="67"/>
      <c r="N2" s="67"/>
      <c r="O2" s="67"/>
      <c r="P2" s="67"/>
      <c r="Q2" s="67"/>
      <c r="R2" s="67"/>
    </row>
    <row r="4" spans="1:18" x14ac:dyDescent="0.5">
      <c r="A4" s="47" t="s">
        <v>3149</v>
      </c>
      <c r="J4" s="47" t="str">
        <f>COUNTIF(J6:J19,"PASS")&amp;" / 6 PASS"</f>
        <v>6 / 6 PASS</v>
      </c>
    </row>
    <row r="5" spans="1:18" x14ac:dyDescent="0.5">
      <c r="A5" s="47" t="s">
        <v>7</v>
      </c>
      <c r="B5" s="47" t="s">
        <v>8</v>
      </c>
      <c r="D5" s="47" t="s">
        <v>9</v>
      </c>
      <c r="F5" s="50" t="s">
        <v>10</v>
      </c>
      <c r="H5" s="51" t="s">
        <v>11</v>
      </c>
      <c r="J5" s="52" t="s">
        <v>12</v>
      </c>
    </row>
    <row r="6" spans="1:18" x14ac:dyDescent="0.5">
      <c r="A6" s="48">
        <v>1</v>
      </c>
      <c r="B6" s="49" t="s">
        <v>3150</v>
      </c>
      <c r="D6" s="53" t="s">
        <v>3146</v>
      </c>
      <c r="F6" s="54">
        <v>3000004</v>
      </c>
      <c r="H6" s="55" cm="1">
        <f t="array" ref="H6">num_ad(D6)</f>
        <v>3000004</v>
      </c>
      <c r="J6" s="56" t="str">
        <f>IF(H6=F6,"PASS","FAIL")</f>
        <v>PASS</v>
      </c>
    </row>
    <row r="8" spans="1:18" x14ac:dyDescent="0.5">
      <c r="A8" s="48">
        <v>2</v>
      </c>
      <c r="B8" s="49" t="s">
        <v>3151</v>
      </c>
      <c r="D8" s="53">
        <v>3000004</v>
      </c>
      <c r="F8" s="54">
        <v>3000004</v>
      </c>
      <c r="H8" s="55" cm="1">
        <f t="array" ref="H8">num_ad(D8)</f>
        <v>3000004</v>
      </c>
      <c r="J8" s="56" t="str">
        <f>IF(H8=F8,"PASS","FAIL")</f>
        <v>PASS</v>
      </c>
    </row>
    <row r="10" spans="1:18" x14ac:dyDescent="0.5">
      <c r="A10" s="48">
        <v>3</v>
      </c>
      <c r="B10" s="49" t="s">
        <v>3152</v>
      </c>
      <c r="D10" s="53" t="s">
        <v>3153</v>
      </c>
      <c r="F10" s="54" t="s">
        <v>3153</v>
      </c>
      <c r="H10" s="55" t="str" cm="1">
        <f t="array" ref="H10">num_ad(D10)</f>
        <v>hi</v>
      </c>
      <c r="J10" s="56" t="str">
        <f>IF(H10=F10,"PASS","FAIL")</f>
        <v>PASS</v>
      </c>
    </row>
    <row r="12" spans="1:18" x14ac:dyDescent="0.5">
      <c r="A12" s="48">
        <v>4</v>
      </c>
      <c r="B12" s="49" t="s">
        <v>3154</v>
      </c>
      <c r="D12" s="53" t="s">
        <v>3155</v>
      </c>
      <c r="F12" s="54">
        <v>2000002</v>
      </c>
      <c r="H12" s="55" cm="1">
        <f t="array" ref="H12">num_ad(D12)</f>
        <v>2000002</v>
      </c>
      <c r="J12" s="56" t="str">
        <f>IF(H12=F12,"PASS","FAIL")</f>
        <v>PASS</v>
      </c>
    </row>
    <row r="14" spans="1:18" x14ac:dyDescent="0.5">
      <c r="A14" s="48">
        <v>5</v>
      </c>
      <c r="B14" s="49" t="s">
        <v>3156</v>
      </c>
      <c r="D14" s="53" t="s">
        <v>3157</v>
      </c>
      <c r="F14" s="54" t="s">
        <v>3157</v>
      </c>
      <c r="H14" s="55" t="str" cm="1">
        <f t="array" ref="H14">num_ad(D14)</f>
        <v>B2:D4</v>
      </c>
      <c r="J14" s="56" t="str">
        <f>IF(H14=F14,"PASS","FAIL")</f>
        <v>PASS</v>
      </c>
    </row>
    <row r="16" spans="1:18" x14ac:dyDescent="0.5">
      <c r="A16" s="48">
        <v>6</v>
      </c>
      <c r="B16" s="49" t="s">
        <v>3158</v>
      </c>
      <c r="D16" s="53" t="s">
        <v>3014</v>
      </c>
      <c r="F16" s="54">
        <v>1000001</v>
      </c>
      <c r="H16" s="55" cm="1">
        <f t="array" ref="H16:H17">num_ad(D16:D17)</f>
        <v>1000001</v>
      </c>
      <c r="J16" s="56" t="str" cm="1">
        <f t="array" ref="J16">IF(AND(F16:F17=H16:H17),"PASS","FAIL")</f>
        <v>PASS</v>
      </c>
    </row>
    <row r="17" spans="1:8" x14ac:dyDescent="0.5">
      <c r="A17" s="57"/>
      <c r="B17" s="57"/>
      <c r="D17" s="53" t="s">
        <v>3138</v>
      </c>
      <c r="F17" s="54">
        <v>2000002</v>
      </c>
      <c r="H17" s="55">
        <v>2000002</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73"/>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offset_letter(st, offset)</v>
      </c>
      <c r="C1" s="64"/>
      <c r="D1" s="64"/>
      <c r="E1" s="64"/>
      <c r="F1" s="65"/>
      <c r="H1" s="47" t="s">
        <v>2</v>
      </c>
      <c r="I1" s="63"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67"/>
      <c r="D2" s="67"/>
      <c r="E2" s="67"/>
      <c r="F2" s="67"/>
      <c r="G2" s="67"/>
      <c r="H2" s="67"/>
      <c r="I2" s="67"/>
      <c r="J2" s="67"/>
      <c r="K2" s="67"/>
      <c r="L2" s="67"/>
      <c r="M2" s="67"/>
      <c r="N2" s="67"/>
      <c r="O2" s="67"/>
      <c r="P2" s="67"/>
      <c r="Q2" s="67"/>
      <c r="R2" s="67"/>
    </row>
    <row r="4" spans="1:18" x14ac:dyDescent="0.5">
      <c r="A4" s="47" t="s">
        <v>3159</v>
      </c>
      <c r="L4" s="47" t="str">
        <f>COUNTIF(L6:L19,"PASS")&amp;" / 6 PASS"</f>
        <v>6 / 6 PASS</v>
      </c>
    </row>
    <row r="5" spans="1:18" x14ac:dyDescent="0.5">
      <c r="A5" s="47" t="s">
        <v>7</v>
      </c>
      <c r="B5" s="47" t="s">
        <v>8</v>
      </c>
      <c r="D5" s="47" t="s">
        <v>9</v>
      </c>
      <c r="H5" s="50" t="s">
        <v>10</v>
      </c>
      <c r="J5" s="51" t="s">
        <v>11</v>
      </c>
      <c r="L5" s="52" t="s">
        <v>12</v>
      </c>
    </row>
    <row r="6" spans="1:18" x14ac:dyDescent="0.5">
      <c r="A6" s="48">
        <v>1</v>
      </c>
      <c r="B6" s="49" t="s">
        <v>3160</v>
      </c>
      <c r="D6" s="53" t="s">
        <v>3161</v>
      </c>
      <c r="F6" s="53">
        <v>2</v>
      </c>
      <c r="H6" s="54" t="s">
        <v>3162</v>
      </c>
      <c r="J6" s="55" t="str" cm="1">
        <f t="array" ref="J6">offset_letter(D6,F6)</f>
        <v>zab</v>
      </c>
      <c r="L6" s="56" t="str">
        <f>IF(J6=H6,"PASS","FAIL")</f>
        <v>PASS</v>
      </c>
    </row>
    <row r="8" spans="1:18" x14ac:dyDescent="0.5">
      <c r="A8" s="48">
        <v>2</v>
      </c>
      <c r="B8" s="49" t="s">
        <v>3163</v>
      </c>
      <c r="D8" s="53" t="s">
        <v>3164</v>
      </c>
      <c r="F8" s="53">
        <v>1</v>
      </c>
      <c r="H8" s="54" t="s">
        <v>3165</v>
      </c>
      <c r="J8" s="55" t="str" cm="1">
        <f t="array" ref="J8">offset_letter(D8,F8)</f>
        <v>bcd</v>
      </c>
      <c r="L8" s="56" t="str">
        <f>IF(J8=H8,"PASS","FAIL")</f>
        <v>PASS</v>
      </c>
    </row>
    <row r="10" spans="1:18" x14ac:dyDescent="0.5">
      <c r="A10" s="48">
        <v>3</v>
      </c>
      <c r="B10" s="49" t="s">
        <v>3166</v>
      </c>
      <c r="D10" s="53" t="s">
        <v>3167</v>
      </c>
      <c r="F10" s="53">
        <v>1</v>
      </c>
      <c r="H10" s="54" t="s">
        <v>3168</v>
      </c>
      <c r="J10" s="55" t="str" cm="1">
        <f t="array" ref="J10">offset_letter(D10,F10)</f>
        <v>Ifmmp</v>
      </c>
      <c r="L10" s="56" t="str">
        <f>IF(J10=H10,"PASS","FAIL")</f>
        <v>PASS</v>
      </c>
    </row>
    <row r="12" spans="1:18" x14ac:dyDescent="0.5">
      <c r="A12" s="48">
        <v>4</v>
      </c>
      <c r="B12" s="49" t="s">
        <v>3169</v>
      </c>
      <c r="D12" s="53" t="s">
        <v>3170</v>
      </c>
      <c r="F12" s="53">
        <v>1</v>
      </c>
      <c r="H12" s="54" t="s">
        <v>3171</v>
      </c>
      <c r="J12" s="55" t="str" cm="1">
        <f t="array" ref="J12">offset_letter(D12,F12)</f>
        <v>b1c</v>
      </c>
      <c r="L12" s="56" t="str">
        <f>IF(J12=H12,"PASS","FAIL")</f>
        <v>PASS</v>
      </c>
    </row>
    <row r="14" spans="1:18" x14ac:dyDescent="0.5">
      <c r="A14" s="48">
        <v>5</v>
      </c>
      <c r="B14" s="49" t="s">
        <v>3172</v>
      </c>
      <c r="D14" s="53" t="s">
        <v>3165</v>
      </c>
      <c r="F14" s="53">
        <v>-1</v>
      </c>
      <c r="H14" s="54" t="s">
        <v>3164</v>
      </c>
      <c r="J14" s="55" t="str" cm="1">
        <f t="array" ref="J14">offset_letter(D14,F14)</f>
        <v>abc</v>
      </c>
      <c r="L14" s="56" t="str">
        <f>IF(J14=H14,"PASS","FAIL")</f>
        <v>PASS</v>
      </c>
    </row>
    <row r="16" spans="1:18" x14ac:dyDescent="0.5">
      <c r="A16" s="48">
        <v>6</v>
      </c>
      <c r="B16" s="49" t="s">
        <v>3173</v>
      </c>
      <c r="D16" s="53" t="s">
        <v>3164</v>
      </c>
      <c r="F16" s="53">
        <v>1</v>
      </c>
      <c r="H16" s="54" t="s">
        <v>3165</v>
      </c>
      <c r="J16" s="55" t="str" cm="1">
        <f t="array" ref="J16:J17">offset_letter(D16:D17,F16)</f>
        <v>bcd</v>
      </c>
      <c r="L16" s="56" t="str" cm="1">
        <f t="array" ref="L16">IF(AND(H16:H17=J16:J17),"PASS","FAIL")</f>
        <v>PASS</v>
      </c>
    </row>
    <row r="17" spans="1:10" x14ac:dyDescent="0.5">
      <c r="A17" s="57"/>
      <c r="B17" s="57"/>
      <c r="D17" s="53" t="s">
        <v>3174</v>
      </c>
      <c r="H17" s="54" t="s">
        <v>3175</v>
      </c>
      <c r="J17" s="55" t="str">
        <v>YZA</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7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only_letters(st)</v>
      </c>
      <c r="C1" s="64"/>
      <c r="D1" s="64"/>
      <c r="E1" s="64"/>
      <c r="F1" s="65"/>
      <c r="H1" s="47" t="s">
        <v>2</v>
      </c>
      <c r="I1" s="63"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64"/>
      <c r="K1" s="64"/>
      <c r="L1" s="64"/>
      <c r="M1" s="64"/>
      <c r="N1" s="64"/>
      <c r="O1" s="64"/>
      <c r="P1" s="64"/>
      <c r="Q1" s="64"/>
      <c r="R1" s="65"/>
    </row>
    <row r="2" spans="1:18" ht="84" customHeight="1" x14ac:dyDescent="0.5">
      <c r="A2" s="47" t="s">
        <v>4</v>
      </c>
      <c r="B2" s="66" t="str" cm="1">
        <f t="array" aca="1" ref="B2" ca="1">_xlfn.LET(_xlpm.fn, CELL("filename",$A$1), _xlpm.nm, MID(_xlpm.fn, FIND("]", _xlpm.fn) + 1, 255), _xlfn.XLOOKUP(_xlpm.nm &amp; "(*", Lamb!$A$2:$A$1000, Lamb!$C$2:$C$1000, "", 2))</f>
        <v>=LAMBDA(arr, LET(
   f, LAMBDA(x, IFERROR(CONCAT(REGEXEXTRACT(x, "[a-z]", 1, 1)), "")),
   IF(ROWS(arr) * COLUMNS(arr) = 1, f(arr), MAP(arr, f))
))</v>
      </c>
      <c r="C2" s="67"/>
      <c r="D2" s="67"/>
      <c r="E2" s="67"/>
      <c r="F2" s="67"/>
      <c r="G2" s="67"/>
      <c r="H2" s="67"/>
      <c r="I2" s="67"/>
      <c r="J2" s="67"/>
      <c r="K2" s="67"/>
      <c r="L2" s="67"/>
      <c r="M2" s="67"/>
      <c r="N2" s="67"/>
      <c r="O2" s="67"/>
      <c r="P2" s="67"/>
      <c r="Q2" s="67"/>
      <c r="R2" s="67"/>
    </row>
    <row r="4" spans="1:18" x14ac:dyDescent="0.5">
      <c r="A4" s="47" t="s">
        <v>3176</v>
      </c>
      <c r="J4" s="47" t="str">
        <f>COUNTIF(J6:J17,"PASS")&amp;" / 5 PASS"</f>
        <v>5 / 5 PASS</v>
      </c>
    </row>
    <row r="5" spans="1:18" x14ac:dyDescent="0.5">
      <c r="A5" s="47" t="s">
        <v>7</v>
      </c>
      <c r="B5" s="47" t="s">
        <v>8</v>
      </c>
      <c r="D5" s="47" t="s">
        <v>9</v>
      </c>
      <c r="F5" s="50" t="s">
        <v>10</v>
      </c>
      <c r="H5" s="51" t="s">
        <v>11</v>
      </c>
      <c r="J5" s="52" t="s">
        <v>12</v>
      </c>
    </row>
    <row r="6" spans="1:18" x14ac:dyDescent="0.5">
      <c r="A6" s="48">
        <v>1</v>
      </c>
      <c r="B6" s="49" t="s">
        <v>3177</v>
      </c>
      <c r="D6" s="53" t="s">
        <v>3178</v>
      </c>
      <c r="F6" s="54" t="s">
        <v>3179</v>
      </c>
      <c r="H6" s="55" t="str" cm="1">
        <f t="array" ref="H6">only_letters(D6)</f>
        <v>aBc</v>
      </c>
      <c r="J6" s="56" t="str">
        <f>IF(H6=F6,"PASS","FAIL")</f>
        <v>PASS</v>
      </c>
    </row>
    <row r="8" spans="1:18" x14ac:dyDescent="0.5">
      <c r="A8" s="48">
        <v>2</v>
      </c>
      <c r="B8" s="49" t="s">
        <v>3180</v>
      </c>
      <c r="D8" s="53" t="s">
        <v>3167</v>
      </c>
      <c r="F8" s="54" t="s">
        <v>3167</v>
      </c>
      <c r="H8" s="55" t="str" cm="1">
        <f t="array" ref="H8">only_letters(D8)</f>
        <v>Hello</v>
      </c>
      <c r="J8" s="56" t="str">
        <f>IF(H8=F8,"PASS","FAIL")</f>
        <v>PASS</v>
      </c>
    </row>
    <row r="10" spans="1:18" x14ac:dyDescent="0.5">
      <c r="A10" s="48">
        <v>3</v>
      </c>
      <c r="B10" s="49" t="s">
        <v>3181</v>
      </c>
      <c r="D10" s="53" t="s">
        <v>3182</v>
      </c>
      <c r="F10" s="54" t="s">
        <v>3183</v>
      </c>
      <c r="H10" s="55" t="str" cm="1">
        <f t="array" ref="H10">only_letters(D10)</f>
        <v>XYz</v>
      </c>
      <c r="J10" s="56" t="str">
        <f>IF(H10=F10,"PASS","FAIL")</f>
        <v>PASS</v>
      </c>
    </row>
    <row r="12" spans="1:18" x14ac:dyDescent="0.5">
      <c r="A12" s="48">
        <v>4</v>
      </c>
      <c r="B12" s="49" t="s">
        <v>3184</v>
      </c>
      <c r="D12" s="53" t="s">
        <v>3185</v>
      </c>
      <c r="F12" s="54"/>
      <c r="H12" s="55" t="str" cm="1">
        <f t="array" ref="H12">only_letters(D12)</f>
        <v/>
      </c>
      <c r="J12" s="56" t="str">
        <f>IF(H12=F12,"PASS","FAIL")</f>
        <v>PASS</v>
      </c>
    </row>
    <row r="14" spans="1:18" x14ac:dyDescent="0.5">
      <c r="A14" s="48">
        <v>5</v>
      </c>
      <c r="B14" s="49" t="s">
        <v>3186</v>
      </c>
      <c r="D14" s="53" t="s">
        <v>3170</v>
      </c>
      <c r="F14" s="54" t="s">
        <v>3187</v>
      </c>
      <c r="H14" s="55" t="str" cm="1">
        <f t="array" ref="H14:H15">only_letters(D14:D15)</f>
        <v>ab</v>
      </c>
      <c r="J14" s="56" t="str" cm="1">
        <f t="array" ref="J14">IF(AND(F14:F15=H14:H15),"PASS","FAIL")</f>
        <v>PASS</v>
      </c>
    </row>
    <row r="15" spans="1:18" x14ac:dyDescent="0.5">
      <c r="A15" s="57"/>
      <c r="B15" s="57"/>
      <c r="D15" s="53" t="s">
        <v>3188</v>
      </c>
      <c r="F15" s="54" t="s">
        <v>3189</v>
      </c>
      <c r="H15" s="55" t="str">
        <v>Cd</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75"/>
  <dimension ref="A1:R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only_numbers(st)</v>
      </c>
      <c r="C1" s="64"/>
      <c r="D1" s="64"/>
      <c r="E1" s="64"/>
      <c r="F1" s="65"/>
      <c r="H1" s="47" t="s">
        <v>2</v>
      </c>
      <c r="I1" s="63"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64"/>
      <c r="K1" s="64"/>
      <c r="L1" s="64"/>
      <c r="M1" s="64"/>
      <c r="N1" s="64"/>
      <c r="O1" s="64"/>
      <c r="P1" s="64"/>
      <c r="Q1" s="64"/>
      <c r="R1" s="65"/>
    </row>
    <row r="2" spans="1:18" ht="84" customHeight="1" x14ac:dyDescent="0.5">
      <c r="A2" s="47" t="s">
        <v>4</v>
      </c>
      <c r="B2" s="66" t="str" cm="1">
        <f t="array" aca="1" ref="B2" ca="1">_xlfn.LET(_xlpm.fn, CELL("filename",$A$1), _xlpm.nm, MID(_xlpm.fn, FIND("]", _xlpm.fn) + 1, 255), _xlfn.XLOOKUP(_xlpm.nm &amp; "(*", Lamb!$A$2:$A$1000, Lamb!$C$2:$C$1000, "", 2))</f>
        <v>=LAMBDA(txt, LET(
   matches, IFERROR(--REGEXEXTRACT(txt, "-?\d+(?:\.\d+)?", 1), ""),
   IF(ROWS(matches) * COLUMNS(matches) = 1, INDEX(matches, 1), matches)
))</v>
      </c>
      <c r="C2" s="67"/>
      <c r="D2" s="67"/>
      <c r="E2" s="67"/>
      <c r="F2" s="67"/>
      <c r="G2" s="67"/>
      <c r="H2" s="67"/>
      <c r="I2" s="67"/>
      <c r="J2" s="67"/>
      <c r="K2" s="67"/>
      <c r="L2" s="67"/>
      <c r="M2" s="67"/>
      <c r="N2" s="67"/>
      <c r="O2" s="67"/>
      <c r="P2" s="67"/>
      <c r="Q2" s="67"/>
      <c r="R2" s="67"/>
    </row>
    <row r="4" spans="1:18" x14ac:dyDescent="0.5">
      <c r="A4" s="47" t="s">
        <v>3190</v>
      </c>
      <c r="J4" s="47" t="str">
        <f>COUNTIF(J6:J19,"PASS")&amp;" / 5 PASS"</f>
        <v>5 / 5 PASS</v>
      </c>
    </row>
    <row r="5" spans="1:18" x14ac:dyDescent="0.5">
      <c r="A5" s="47" t="s">
        <v>7</v>
      </c>
      <c r="B5" s="47" t="s">
        <v>8</v>
      </c>
      <c r="D5" s="47" t="s">
        <v>9</v>
      </c>
      <c r="F5" s="50" t="s">
        <v>10</v>
      </c>
      <c r="H5" s="51" t="s">
        <v>11</v>
      </c>
      <c r="J5" s="52" t="s">
        <v>12</v>
      </c>
    </row>
    <row r="6" spans="1:18" x14ac:dyDescent="0.5">
      <c r="A6" s="48">
        <v>1</v>
      </c>
      <c r="B6" s="49" t="s">
        <v>3191</v>
      </c>
      <c r="D6" s="53" t="s">
        <v>3192</v>
      </c>
      <c r="F6" s="54">
        <v>10</v>
      </c>
      <c r="H6" s="55" cm="1">
        <f t="array" ref="H6">only_numbers(D6)</f>
        <v>10</v>
      </c>
      <c r="J6" s="56" t="str">
        <f>IF(H6=F6,"PASS","FAIL")</f>
        <v>PASS</v>
      </c>
    </row>
    <row r="8" spans="1:18" x14ac:dyDescent="0.5">
      <c r="A8" s="48">
        <v>2</v>
      </c>
      <c r="B8" s="49" t="s">
        <v>3193</v>
      </c>
      <c r="D8" s="53" t="s">
        <v>3194</v>
      </c>
      <c r="F8" s="54">
        <v>3.5</v>
      </c>
      <c r="H8" s="55" cm="1">
        <f t="array" ref="H8">only_numbers(D8)</f>
        <v>3.5</v>
      </c>
      <c r="J8" s="56" t="str">
        <f>IF(H8=F8,"PASS","FAIL")</f>
        <v>PASS</v>
      </c>
    </row>
    <row r="10" spans="1:18" x14ac:dyDescent="0.5">
      <c r="A10" s="48">
        <v>3</v>
      </c>
      <c r="B10" s="49" t="s">
        <v>3195</v>
      </c>
      <c r="D10" s="53" t="s">
        <v>3164</v>
      </c>
      <c r="H10" s="55" t="str" cm="1">
        <f t="array" ref="H10">only_numbers(D10)</f>
        <v/>
      </c>
      <c r="J10" s="56" t="str" cm="1">
        <f t="array" ref="J10">IF(AND(F9:F10=H9:H10),"PASS","FAIL")</f>
        <v>PASS</v>
      </c>
    </row>
    <row r="12" spans="1:18" x14ac:dyDescent="0.5">
      <c r="A12" s="48">
        <v>4</v>
      </c>
      <c r="B12" s="49" t="s">
        <v>3196</v>
      </c>
      <c r="D12" s="53" t="s">
        <v>3197</v>
      </c>
      <c r="F12" s="54">
        <v>1</v>
      </c>
      <c r="H12" s="55" cm="1">
        <f t="array" ref="H12:H14">_xlfn.TOCOL(only_numbers(D12))</f>
        <v>1</v>
      </c>
      <c r="J12" s="56" t="str" cm="1">
        <f t="array" ref="J12">IF(AND(F12:F14=H12:H14),"PASS","FAIL")</f>
        <v>PASS</v>
      </c>
    </row>
    <row r="13" spans="1:18" x14ac:dyDescent="0.5">
      <c r="A13" s="57"/>
      <c r="B13" s="57"/>
      <c r="F13" s="54">
        <v>2</v>
      </c>
      <c r="H13" s="55">
        <v>2</v>
      </c>
    </row>
    <row r="14" spans="1:18" x14ac:dyDescent="0.5">
      <c r="A14" s="57"/>
      <c r="B14" s="57"/>
      <c r="F14" s="54">
        <v>3</v>
      </c>
      <c r="H14" s="55">
        <v>3</v>
      </c>
    </row>
    <row r="16" spans="1:18" x14ac:dyDescent="0.5">
      <c r="A16" s="48">
        <v>5</v>
      </c>
      <c r="B16" s="49" t="s">
        <v>3198</v>
      </c>
      <c r="D16" s="53" t="s">
        <v>3198</v>
      </c>
      <c r="F16" s="54">
        <v>-5</v>
      </c>
      <c r="H16" s="55" cm="1">
        <f t="array" ref="H16:H17">_xlfn.TOCOL(only_numbers(D16))</f>
        <v>-5</v>
      </c>
      <c r="J16" s="56" t="str" cm="1">
        <f t="array" ref="J16">IF(AND(F16:F17=H16:H17),"PASS","FAIL")</f>
        <v>PASS</v>
      </c>
    </row>
    <row r="17" spans="1:8" x14ac:dyDescent="0.5">
      <c r="A17" s="57"/>
      <c r="B17" s="57"/>
      <c r="F17" s="54">
        <v>12</v>
      </c>
      <c r="H17" s="55">
        <v>12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6"/>
  <dimension ref="A1:R18"/>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52" customHeight="1" x14ac:dyDescent="0.5">
      <c r="A1" s="47" t="s">
        <v>0</v>
      </c>
      <c r="B1" s="68" t="str" cm="1">
        <f t="array" aca="1" ref="B1" ca="1">_xlfn.LET(_xlpm.fn, CELL("filename",$A$1), _xlpm.nm, MID(_xlpm.fn, FIND("]", _xlpm.fn) + 1, 255), _xlfn.XLOOKUP(_xlpm.nm &amp; "(*", Lamb!$A$2:$A$1000, Lamb!$A$2:$A$1000, "", 2))</f>
        <v>range2ad(range, [str])</v>
      </c>
      <c r="C1" s="64"/>
      <c r="D1" s="64"/>
      <c r="E1" s="64"/>
      <c r="F1" s="65"/>
      <c r="H1" s="47" t="s">
        <v>2</v>
      </c>
      <c r="I1" s="63" t="str" cm="1">
        <f t="array" aca="1" ref="I1" ca="1">_xlfn.LET(_xlpm.fn, CELL("filename",$A$1), _xlpm.nm, MID(_xlpm.fn, FIND("]", _xlpm.fn) + 1, 255), _xlfn.XLOOKUP(_xlpm.nm &amp; "(*", Lamb!$A$2:$A$1000, Lamb!$D$2:$D$1000, "", 2))</f>
        <v>Turns a range reference string into an array of the cell addresses it covers, in the same rows-by-columns shape.
Arguments:
  range  - a range as text, e.g. "B4:AA43" (a single cell like "D3" is allowed). $ and case are ignored.
  [str]  - 0 (default) returns numeric addresses (1e6*row + col); 1 returns A1 string addresses.
Returns:
  A 2D array of addresses matching the range's shape.
Example:
  range2ad("B2:C3")     -&gt; {2000002,2000003; 3000002,3000003}
  range2ad("B2:C3", 1)  -&gt; {"B2","C2"; "B3","C3"}</v>
      </c>
      <c r="J1" s="64"/>
      <c r="K1" s="64"/>
      <c r="L1" s="64"/>
      <c r="M1" s="64"/>
      <c r="N1" s="64"/>
      <c r="O1" s="64"/>
      <c r="P1" s="64"/>
      <c r="Q1" s="64"/>
      <c r="R1" s="65"/>
    </row>
    <row r="2" spans="1:18" ht="357" customHeight="1" x14ac:dyDescent="0.5">
      <c r="A2" s="47" t="s">
        <v>4</v>
      </c>
      <c r="B2" s="66" t="str" cm="1">
        <f t="array" aca="1" ref="B2" ca="1">_xlfn.LET(_xlpm.fn, CELL("filename",$A$1), _xlpm.nm, MID(_xlpm.fn, FIND("]", _xlpm.fn) + 1, 255), _xlfn.XLOOKUP(_xlpm.nm &amp; "(*", Lamb!$A$2:$A$1000, Lamb!$C$2:$C$1000, "", 2))</f>
        <v>=LAMBDA(range, [str], LET(
   as_str, IF(ISOMITTED(str), 0, str),
   stripped, UPPER(SUBSTITUTE(range, "$", "")),
   parts, TEXTSPLIT(stripped, ":"),
   first_ad, num_ad(INDEX(parts, 1)),
   last_ad, num_ad(IF(COLUMNS(parts) &gt; 1, INDEX(parts, 2), INDEX(parts, 1))),
   first_row, INT(first_ad / 1000000),
   first_col, MOD(first_ad, 1000000),
   last_row, INT(last_ad / 1000000),
   last_col, MOD(last_ad, 1000000),
   top, MIN(first_row, last_row),
   lft, MIN(first_col, last_col),
   n_rows, ABS(last_row - first_row) + 1,
   n_cols, ABS(last_col - first_col) + 1,
   nums, MAKEARRAY(n_rows, n_cols, LAMBDA(i, j, 1000000 * (top + i - 1) + (lft + j - 1))),
   IF(as_str, str_ad(nums), nums)
))</v>
      </c>
      <c r="C2" s="67"/>
      <c r="D2" s="67"/>
      <c r="E2" s="67"/>
      <c r="F2" s="67"/>
      <c r="G2" s="67"/>
      <c r="H2" s="67"/>
      <c r="I2" s="67"/>
      <c r="J2" s="67"/>
      <c r="K2" s="67"/>
      <c r="L2" s="67"/>
      <c r="M2" s="67"/>
      <c r="N2" s="67"/>
      <c r="O2" s="67"/>
      <c r="P2" s="67"/>
      <c r="Q2" s="67"/>
      <c r="R2" s="67"/>
    </row>
    <row r="4" spans="1:18" x14ac:dyDescent="0.5">
      <c r="A4" s="47" t="s">
        <v>3199</v>
      </c>
      <c r="P4" s="47" t="str">
        <f>COUNTIF(P6:P20,"PASS")&amp;" / 5 PASS"</f>
        <v>5 / 5 PASS</v>
      </c>
    </row>
    <row r="5" spans="1:18" x14ac:dyDescent="0.5">
      <c r="A5" s="47" t="s">
        <v>7</v>
      </c>
      <c r="B5" s="47" t="s">
        <v>8</v>
      </c>
      <c r="D5" s="47" t="s">
        <v>9</v>
      </c>
      <c r="H5" s="50" t="s">
        <v>10</v>
      </c>
      <c r="L5" s="51" t="s">
        <v>11</v>
      </c>
      <c r="P5" s="52" t="s">
        <v>12</v>
      </c>
    </row>
    <row r="6" spans="1:18" x14ac:dyDescent="0.5">
      <c r="A6" s="48">
        <v>1</v>
      </c>
      <c r="B6" s="49" t="s">
        <v>3200</v>
      </c>
      <c r="D6" s="53" t="s">
        <v>3201</v>
      </c>
      <c r="H6" s="54">
        <v>2000002</v>
      </c>
      <c r="I6" s="54">
        <v>2000003</v>
      </c>
      <c r="L6" s="55" cm="1">
        <f t="array" ref="L6:M7">range2ad(D6)</f>
        <v>2000002</v>
      </c>
      <c r="M6" s="55">
        <v>2000003</v>
      </c>
      <c r="P6" s="56" t="str" cm="1">
        <f t="array" ref="P6">IF(AND(H6:I7=L6:M7),"PASS","FAIL")</f>
        <v>PASS</v>
      </c>
    </row>
    <row r="7" spans="1:18" x14ac:dyDescent="0.5">
      <c r="A7" s="57"/>
      <c r="B7" s="57"/>
      <c r="H7" s="54">
        <v>3000002</v>
      </c>
      <c r="I7" s="54">
        <v>3000003</v>
      </c>
      <c r="L7" s="55">
        <v>3000002</v>
      </c>
      <c r="M7" s="55">
        <v>3000003</v>
      </c>
    </row>
    <row r="9" spans="1:18" x14ac:dyDescent="0.5">
      <c r="A9" s="48">
        <v>2</v>
      </c>
      <c r="B9" s="49" t="s">
        <v>3202</v>
      </c>
      <c r="D9" s="53" t="s">
        <v>3201</v>
      </c>
      <c r="F9" s="53">
        <v>1</v>
      </c>
      <c r="H9" s="54" t="s">
        <v>3138</v>
      </c>
      <c r="I9" s="54" t="s">
        <v>3140</v>
      </c>
      <c r="L9" s="55" t="str" cm="1">
        <f t="array" ref="L9:M10">range2ad(D9,F9)</f>
        <v>B2</v>
      </c>
      <c r="M9" s="55" t="str">
        <v>C2</v>
      </c>
      <c r="P9" s="56" t="str" cm="1">
        <f t="array" ref="P9">IF(AND(H9:I10=L9:M10),"PASS","FAIL")</f>
        <v>PASS</v>
      </c>
    </row>
    <row r="10" spans="1:18" x14ac:dyDescent="0.5">
      <c r="A10" s="57"/>
      <c r="B10" s="57"/>
      <c r="H10" s="54" t="s">
        <v>3106</v>
      </c>
      <c r="I10" s="54" t="s">
        <v>3079</v>
      </c>
      <c r="L10" s="55" t="str">
        <v>B3</v>
      </c>
      <c r="M10" s="55" t="str">
        <v>C3</v>
      </c>
    </row>
    <row r="12" spans="1:18" x14ac:dyDescent="0.5">
      <c r="A12" s="48">
        <v>3</v>
      </c>
      <c r="B12" s="49" t="s">
        <v>3203</v>
      </c>
      <c r="D12" s="53" t="s">
        <v>3204</v>
      </c>
      <c r="H12" s="54">
        <v>1000001</v>
      </c>
      <c r="L12" s="55" cm="1">
        <f t="array" ref="L12:L14">range2ad(D12)</f>
        <v>1000001</v>
      </c>
      <c r="P12" s="56" t="str" cm="1">
        <f t="array" ref="P12">IF(AND(H12:H14=L12:L14),"PASS","FAIL")</f>
        <v>PASS</v>
      </c>
    </row>
    <row r="13" spans="1:18" x14ac:dyDescent="0.5">
      <c r="A13" s="57"/>
      <c r="B13" s="57"/>
      <c r="H13" s="54">
        <v>2000001</v>
      </c>
      <c r="L13" s="55">
        <v>2000001</v>
      </c>
    </row>
    <row r="14" spans="1:18" x14ac:dyDescent="0.5">
      <c r="A14" s="57"/>
      <c r="B14" s="57"/>
      <c r="H14" s="54">
        <v>3000001</v>
      </c>
      <c r="L14" s="55">
        <v>3000001</v>
      </c>
    </row>
    <row r="16" spans="1:18" x14ac:dyDescent="0.5">
      <c r="A16" s="48">
        <v>4</v>
      </c>
      <c r="B16" s="49" t="s">
        <v>3205</v>
      </c>
      <c r="D16" s="53" t="s">
        <v>3206</v>
      </c>
      <c r="F16" s="53">
        <v>1</v>
      </c>
      <c r="H16" s="54" t="s">
        <v>3014</v>
      </c>
      <c r="I16" s="54" t="s">
        <v>3110</v>
      </c>
      <c r="J16" s="54" t="s">
        <v>3142</v>
      </c>
      <c r="L16" s="55" t="str" cm="1">
        <f t="array" ref="L16:N16">range2ad(D16,F16)</f>
        <v>A1</v>
      </c>
      <c r="M16" s="55" t="str">
        <v>B1</v>
      </c>
      <c r="N16" s="55" t="str">
        <v>C1</v>
      </c>
      <c r="P16" s="56" t="str" cm="1">
        <f t="array" ref="P16">IF(AND(H16:J16=L16:N16),"PASS","FAIL")</f>
        <v>PASS</v>
      </c>
    </row>
    <row r="18" spans="1:16" x14ac:dyDescent="0.5">
      <c r="A18" s="48">
        <v>5</v>
      </c>
      <c r="B18" s="49" t="s">
        <v>3207</v>
      </c>
      <c r="D18" s="53" t="s">
        <v>3146</v>
      </c>
      <c r="H18" s="54">
        <v>3000004</v>
      </c>
      <c r="L18" s="55" cm="1">
        <f t="array" ref="L18">range2ad(D18)</f>
        <v>3000004</v>
      </c>
      <c r="P18" s="56" t="str">
        <f>IF(L18=H18,"PASS","FAIL")</f>
        <v>PASS</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77"/>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rev(arr)</v>
      </c>
      <c r="C1" s="64"/>
      <c r="D1" s="64"/>
      <c r="E1" s="64"/>
      <c r="F1" s="65"/>
      <c r="H1" s="47" t="s">
        <v>2</v>
      </c>
      <c r="I1" s="63"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=LAMBDA(arr, xtocol(arr, 0, , arrow("L") &amp; arrow("U")))</v>
      </c>
      <c r="C2" s="67"/>
      <c r="D2" s="67"/>
      <c r="E2" s="67"/>
      <c r="F2" s="67"/>
      <c r="G2" s="67"/>
      <c r="H2" s="67"/>
      <c r="I2" s="67"/>
      <c r="J2" s="67"/>
      <c r="K2" s="67"/>
      <c r="L2" s="67"/>
      <c r="M2" s="67"/>
      <c r="N2" s="67"/>
      <c r="O2" s="67"/>
      <c r="P2" s="67"/>
      <c r="Q2" s="67"/>
      <c r="R2" s="67"/>
    </row>
    <row r="4" spans="1:18" x14ac:dyDescent="0.5">
      <c r="A4" s="47" t="s">
        <v>3208</v>
      </c>
      <c r="J4" s="47" t="str">
        <f>COUNTIF(J6:J18,"PASS")&amp;" / 3 PASS"</f>
        <v>3 / 3 PASS</v>
      </c>
    </row>
    <row r="5" spans="1:18" x14ac:dyDescent="0.5">
      <c r="A5" s="47" t="s">
        <v>7</v>
      </c>
      <c r="B5" s="47" t="s">
        <v>8</v>
      </c>
      <c r="D5" s="47" t="s">
        <v>9</v>
      </c>
      <c r="F5" s="50" t="s">
        <v>10</v>
      </c>
      <c r="H5" s="51" t="s">
        <v>11</v>
      </c>
      <c r="J5" s="52" t="s">
        <v>12</v>
      </c>
    </row>
    <row r="6" spans="1:18" x14ac:dyDescent="0.5">
      <c r="A6" s="48">
        <v>1</v>
      </c>
      <c r="B6" s="49" t="s">
        <v>3061</v>
      </c>
      <c r="D6" s="53">
        <v>1</v>
      </c>
      <c r="F6" s="54">
        <v>3</v>
      </c>
      <c r="H6" s="55" cm="1">
        <f t="array" ref="H6:H8">rev(D6:D8)</f>
        <v>3</v>
      </c>
      <c r="J6" s="56" t="str" cm="1">
        <f t="array" ref="J6">IF(AND(F6:F8=H6:H8),"PASS","FAIL")</f>
        <v>PASS</v>
      </c>
    </row>
    <row r="7" spans="1:18" x14ac:dyDescent="0.5">
      <c r="A7" s="57"/>
      <c r="B7" s="57"/>
      <c r="D7" s="53">
        <v>2</v>
      </c>
      <c r="F7" s="54">
        <v>2</v>
      </c>
      <c r="H7" s="55">
        <v>2</v>
      </c>
    </row>
    <row r="8" spans="1:18" x14ac:dyDescent="0.5">
      <c r="A8" s="57"/>
      <c r="B8" s="57"/>
      <c r="D8" s="53">
        <v>3</v>
      </c>
      <c r="F8" s="54">
        <v>1</v>
      </c>
      <c r="H8" s="55">
        <v>1</v>
      </c>
    </row>
    <row r="10" spans="1:18" x14ac:dyDescent="0.5">
      <c r="A10" s="48">
        <v>2</v>
      </c>
      <c r="B10" s="49" t="s">
        <v>3209</v>
      </c>
      <c r="D10" s="53" t="s">
        <v>3026</v>
      </c>
      <c r="F10" s="54" t="s">
        <v>3035</v>
      </c>
      <c r="H10" s="55" t="str" cm="1">
        <f t="array" ref="H10:H12">rev(D10:D12)</f>
        <v>c</v>
      </c>
      <c r="J10" s="56" t="str" cm="1">
        <f t="array" ref="J10">IF(AND(F10:F12=H10:H12),"PASS","FAIL")</f>
        <v>PASS</v>
      </c>
    </row>
    <row r="11" spans="1:18" x14ac:dyDescent="0.5">
      <c r="A11" s="57"/>
      <c r="B11" s="57"/>
      <c r="D11" s="53" t="s">
        <v>3027</v>
      </c>
      <c r="F11" s="54" t="s">
        <v>3027</v>
      </c>
      <c r="H11" s="55" t="str">
        <v>b</v>
      </c>
    </row>
    <row r="12" spans="1:18" x14ac:dyDescent="0.5">
      <c r="A12" s="57"/>
      <c r="B12" s="57"/>
      <c r="D12" s="53" t="s">
        <v>3035</v>
      </c>
      <c r="F12" s="54" t="s">
        <v>3026</v>
      </c>
      <c r="H12" s="55" t="str">
        <v>a</v>
      </c>
    </row>
    <row r="14" spans="1:18" x14ac:dyDescent="0.5">
      <c r="A14" s="48">
        <v>3</v>
      </c>
      <c r="B14" s="49" t="s">
        <v>3210</v>
      </c>
      <c r="D14" s="53">
        <v>1</v>
      </c>
      <c r="F14" s="54">
        <v>3</v>
      </c>
      <c r="H14" s="55" cm="1">
        <f t="array" ref="H14:H15">rev(D14:D16)</f>
        <v>3</v>
      </c>
      <c r="J14" s="56" t="str" cm="1">
        <f t="array" ref="J14">IF(AND(F14:F15=H14:H15),"PASS","FAIL")</f>
        <v>PASS</v>
      </c>
    </row>
    <row r="15" spans="1:18" x14ac:dyDescent="0.5">
      <c r="A15" s="57"/>
      <c r="B15" s="57"/>
      <c r="D15" s="53"/>
      <c r="F15" s="54">
        <v>1</v>
      </c>
      <c r="H15" s="55">
        <v>1</v>
      </c>
    </row>
    <row r="16" spans="1:18" x14ac:dyDescent="0.5">
      <c r="A16" s="57"/>
      <c r="B16" s="57"/>
      <c r="D16" s="53">
        <v>3</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7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rotate_arrow(arrow, steps, [clockwise])</v>
      </c>
      <c r="C1" s="64"/>
      <c r="D1" s="64"/>
      <c r="E1" s="64"/>
      <c r="F1" s="65"/>
      <c r="H1" s="47" t="s">
        <v>2</v>
      </c>
      <c r="I1" s="63" t="str" cm="1">
        <f t="array" aca="1" ref="I1" ca="1">_xlfn.LET(_xlpm.fn, CELL("filename",$A$1), _xlpm.nm, MID(_xlpm.fn, FIND("]", _xlpm.fn) + 1, 255), _xlfn.XLOOKUP(_xlpm.nm &amp; "(*", Lamb!$A$2:$A$1000, Lamb!$D$2:$D$1000, "", 2))</f>
        <v>Rotates an arrow around the eight compass directions.
Arguments:
  arrow       - the arrow to rotate (↑↗→↘↓↙←↖).
  steps       - number of 45-degree turns.
  [clockwise] - 1 = clockwise (default), 0 = counter-clockwise.
Returns:
  The rotated arrow, or "" if arrow is not one of ↑↗→↘↓↙←↖.
Example:
  rotate_arrow("→", 1)  -&gt;  "↘"</v>
      </c>
      <c r="J1" s="64"/>
      <c r="K1" s="64"/>
      <c r="L1" s="64"/>
      <c r="M1" s="64"/>
      <c r="N1" s="64"/>
      <c r="O1" s="64"/>
      <c r="P1" s="64"/>
      <c r="Q1" s="64"/>
      <c r="R1" s="65"/>
    </row>
    <row r="2" spans="1:18" ht="168" customHeight="1" x14ac:dyDescent="0.5">
      <c r="A2" s="47" t="s">
        <v>4</v>
      </c>
      <c r="B2" s="66" t="str" cm="1">
        <f t="array" aca="1" ref="B2" ca="1">_xlfn.LET(_xlpm.fn, CELL("filename",$A$1), _xlpm.nm, MID(_xlpm.fn, FIND("]", _xlpm.fn) + 1, 255), _xlfn.XLOOKUP(_xlpm.nm &amp; "(*", Lamb!$A$2:$A$1000, Lamb!$C$2:$C$1000, "", 2))</f>
        <v>=LAMBDA(arrow, steps, [dir], LET(
   arrows, "↑↗→↘↓↙←↖",
   arrow_list, MID(arrows, SEQUENCE(8), 1),
   i, XMATCH(arrow, arrow_list),
   s, IF(ISOMITTED(dir), steps, IF(dir = "ccw", -steps, steps)),
   n, MOD(i - 1 + s, 8) + 1,
   IFNA(MID(arrows, n, 1), "")
))</v>
      </c>
      <c r="C2" s="67"/>
      <c r="D2" s="67"/>
      <c r="E2" s="67"/>
      <c r="F2" s="67"/>
      <c r="G2" s="67"/>
      <c r="H2" s="67"/>
      <c r="I2" s="67"/>
      <c r="J2" s="67"/>
      <c r="K2" s="67"/>
      <c r="L2" s="67"/>
      <c r="M2" s="67"/>
      <c r="N2" s="67"/>
      <c r="O2" s="67"/>
      <c r="P2" s="67"/>
      <c r="Q2" s="67"/>
      <c r="R2" s="67"/>
    </row>
    <row r="4" spans="1:18" x14ac:dyDescent="0.5">
      <c r="A4" s="47" t="s">
        <v>3211</v>
      </c>
      <c r="N4" s="47" t="str">
        <f>COUNTIF(N6:N16,"PASS")&amp;" / 6 PASS"</f>
        <v>6 / 6 PASS</v>
      </c>
    </row>
    <row r="5" spans="1:18" x14ac:dyDescent="0.5">
      <c r="A5" s="47" t="s">
        <v>7</v>
      </c>
      <c r="B5" s="47" t="s">
        <v>8</v>
      </c>
      <c r="D5" s="47" t="s">
        <v>9</v>
      </c>
      <c r="J5" s="50" t="s">
        <v>10</v>
      </c>
      <c r="L5" s="51" t="s">
        <v>11</v>
      </c>
      <c r="N5" s="52" t="s">
        <v>12</v>
      </c>
    </row>
    <row r="6" spans="1:18" x14ac:dyDescent="0.5">
      <c r="A6" s="48">
        <v>1</v>
      </c>
      <c r="B6" s="49" t="s">
        <v>3212</v>
      </c>
      <c r="D6" s="53" t="s">
        <v>195</v>
      </c>
      <c r="F6" s="53">
        <v>1</v>
      </c>
      <c r="J6" s="54" t="s">
        <v>377</v>
      </c>
      <c r="L6" s="55" t="str" cm="1">
        <f t="array" ref="L6">rotate_arrow(D6,F6)</f>
        <v>↘</v>
      </c>
      <c r="N6" s="56" t="str">
        <f>IF(L6=J6,"PASS","FAIL")</f>
        <v>PASS</v>
      </c>
    </row>
    <row r="8" spans="1:18" x14ac:dyDescent="0.5">
      <c r="A8" s="48">
        <v>2</v>
      </c>
      <c r="B8" s="49" t="s">
        <v>3213</v>
      </c>
      <c r="D8" s="53" t="s">
        <v>163</v>
      </c>
      <c r="F8" s="53">
        <v>2</v>
      </c>
      <c r="J8" s="54" t="s">
        <v>195</v>
      </c>
      <c r="L8" s="55" t="str" cm="1">
        <f t="array" ref="L8">rotate_arrow(D8,F8)</f>
        <v>→</v>
      </c>
      <c r="N8" s="56" t="str">
        <f>IF(L8=J8,"PASS","FAIL")</f>
        <v>PASS</v>
      </c>
    </row>
    <row r="10" spans="1:18" x14ac:dyDescent="0.5">
      <c r="A10" s="48">
        <v>3</v>
      </c>
      <c r="B10" s="49" t="s">
        <v>3214</v>
      </c>
      <c r="D10" s="53" t="s">
        <v>163</v>
      </c>
      <c r="F10" s="53">
        <v>1</v>
      </c>
      <c r="H10" s="53" t="s">
        <v>3215</v>
      </c>
      <c r="J10" s="54" t="s">
        <v>525</v>
      </c>
      <c r="L10" s="55" t="str" cm="1">
        <f t="array" ref="L10">rotate_arrow(D10,F10,H10)</f>
        <v>↖</v>
      </c>
      <c r="N10" s="56" t="str">
        <f>IF(L10=J10,"PASS","FAIL")</f>
        <v>PASS</v>
      </c>
    </row>
    <row r="12" spans="1:18" x14ac:dyDescent="0.5">
      <c r="A12" s="48">
        <v>4</v>
      </c>
      <c r="B12" s="49" t="s">
        <v>3216</v>
      </c>
      <c r="D12" s="53" t="s">
        <v>163</v>
      </c>
      <c r="F12" s="53">
        <v>4</v>
      </c>
      <c r="J12" s="54" t="s">
        <v>184</v>
      </c>
      <c r="L12" s="55" t="str" cm="1">
        <f t="array" ref="L12">rotate_arrow(D12,F12)</f>
        <v>↓</v>
      </c>
      <c r="N12" s="56" t="str">
        <f>IF(L12=J12,"PASS","FAIL")</f>
        <v>PASS</v>
      </c>
    </row>
    <row r="14" spans="1:18" x14ac:dyDescent="0.5">
      <c r="A14" s="48">
        <v>5</v>
      </c>
      <c r="B14" s="49" t="s">
        <v>3217</v>
      </c>
      <c r="D14" s="53" t="s">
        <v>195</v>
      </c>
      <c r="F14" s="53">
        <v>1</v>
      </c>
      <c r="H14" s="53" t="s">
        <v>3215</v>
      </c>
      <c r="J14" s="54" t="s">
        <v>257</v>
      </c>
      <c r="L14" s="55" t="str" cm="1">
        <f t="array" ref="L14">rotate_arrow(D14,F14,H14)</f>
        <v>↗</v>
      </c>
      <c r="N14" s="56" t="str">
        <f>IF(L14=J14,"PASS","FAIL")</f>
        <v>PASS</v>
      </c>
    </row>
    <row r="16" spans="1:18" x14ac:dyDescent="0.5">
      <c r="A16" s="48">
        <v>6</v>
      </c>
      <c r="B16" s="49" t="s">
        <v>3388</v>
      </c>
      <c r="D16" s="53" t="s">
        <v>2636</v>
      </c>
      <c r="F16" s="53">
        <v>1</v>
      </c>
      <c r="J16" s="54" t="str">
        <f>""</f>
        <v/>
      </c>
      <c r="L16" s="55" t="str">
        <f>rotate_arrow(D16,F16)</f>
        <v/>
      </c>
      <c r="N16" s="56" t="str">
        <f>IF(L16=J16,"PASS","FAIL")</f>
        <v>PASS</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79"/>
  <dimension ref="A1:R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8" ht="231" customHeight="1" x14ac:dyDescent="0.5">
      <c r="A1" s="47" t="s">
        <v>0</v>
      </c>
      <c r="B1" s="68" t="str" cm="1">
        <f t="array" aca="1" ref="B1" ca="1">_xlfn.LET(_xlpm.fn, CELL("filename",$A$1), _xlpm.nm, MID(_xlpm.fn, FIND("]", _xlpm.fn) + 1, 255), _xlfn.XLOOKUP(_xlpm.nm &amp; "(*", Lamb!$A$2:$A$1000, Lamb!$A$2:$A$1000, "", 2))</f>
        <v>route_cost(cost_map, start_ref, [diag_allowed])</v>
      </c>
      <c r="C1" s="64"/>
      <c r="D1" s="64"/>
      <c r="E1" s="64"/>
      <c r="F1" s="65"/>
      <c r="H1" s="47" t="s">
        <v>2</v>
      </c>
      <c r="I1" s="63"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67"/>
      <c r="D2" s="67"/>
      <c r="E2" s="67"/>
      <c r="F2" s="67"/>
      <c r="G2" s="67"/>
      <c r="H2" s="67"/>
      <c r="I2" s="67"/>
      <c r="J2" s="67"/>
      <c r="K2" s="67"/>
      <c r="L2" s="67"/>
      <c r="M2" s="67"/>
      <c r="N2" s="67"/>
      <c r="O2" s="67"/>
      <c r="P2" s="67"/>
      <c r="Q2" s="67"/>
      <c r="R2" s="67"/>
    </row>
    <row r="4" spans="1:18" x14ac:dyDescent="0.5">
      <c r="A4" s="47" t="s">
        <v>3218</v>
      </c>
      <c r="O4" s="47" t="str">
        <f>COUNTIF(O11:O30,"PASS")&amp;" / 5 PASS"</f>
        <v>5 / 5 PASS</v>
      </c>
    </row>
    <row r="5" spans="1:18" x14ac:dyDescent="0.5">
      <c r="B5" s="47" t="s">
        <v>8</v>
      </c>
      <c r="I5" s="50" t="s">
        <v>10</v>
      </c>
      <c r="L5" s="51" t="s">
        <v>11</v>
      </c>
      <c r="O5" s="52" t="s">
        <v>12</v>
      </c>
    </row>
    <row r="6" spans="1:18" x14ac:dyDescent="0.5">
      <c r="D6" s="47" t="s">
        <v>3219</v>
      </c>
    </row>
    <row r="7" spans="1:18" x14ac:dyDescent="0.5">
      <c r="D7" s="53">
        <v>1</v>
      </c>
      <c r="E7" s="53">
        <v>1</v>
      </c>
    </row>
    <row r="8" spans="1:18" x14ac:dyDescent="0.5">
      <c r="D8" s="53">
        <v>1</v>
      </c>
      <c r="E8" s="53">
        <v>1</v>
      </c>
    </row>
    <row r="11" spans="1:18" x14ac:dyDescent="0.5">
      <c r="B11" s="49" t="s">
        <v>3220</v>
      </c>
      <c r="I11" s="54">
        <v>0</v>
      </c>
      <c r="J11" s="54">
        <v>1</v>
      </c>
      <c r="L11" s="55" cm="1">
        <f t="array" ref="L11:M12">route_cost(D7:E8,{1,1},0)</f>
        <v>0</v>
      </c>
      <c r="M11" s="55">
        <v>1</v>
      </c>
      <c r="O11" s="56" t="str" cm="1">
        <f t="array" ref="O11">IF(AND(I11:J12=L11:M12),"PASS","FAIL")</f>
        <v>PASS</v>
      </c>
    </row>
    <row r="12" spans="1:18" x14ac:dyDescent="0.5">
      <c r="I12" s="54">
        <v>1</v>
      </c>
      <c r="J12" s="54">
        <v>2</v>
      </c>
      <c r="L12" s="55">
        <v>1</v>
      </c>
      <c r="M12" s="55">
        <v>2</v>
      </c>
    </row>
    <row r="14" spans="1:18" x14ac:dyDescent="0.5">
      <c r="B14" s="49" t="s">
        <v>3221</v>
      </c>
      <c r="I14" s="54">
        <v>0</v>
      </c>
      <c r="J14" s="54">
        <v>1</v>
      </c>
      <c r="L14" s="55" cm="1">
        <f t="array" ref="L14:M15">route_cost(D7:E8,"D7",0)</f>
        <v>0</v>
      </c>
      <c r="M14" s="55">
        <v>1</v>
      </c>
      <c r="O14" s="56" t="str" cm="1">
        <f t="array" ref="O14">IF(AND(I14:J15=L14:M15),"PASS","FAIL")</f>
        <v>PASS</v>
      </c>
    </row>
    <row r="15" spans="1:18" x14ac:dyDescent="0.5">
      <c r="I15" s="54">
        <v>1</v>
      </c>
      <c r="J15" s="54">
        <v>2</v>
      </c>
      <c r="L15" s="55">
        <v>1</v>
      </c>
      <c r="M15" s="55">
        <v>2</v>
      </c>
    </row>
    <row r="17" spans="2:15" x14ac:dyDescent="0.5">
      <c r="B17" s="49" t="s">
        <v>3222</v>
      </c>
      <c r="I17" s="54">
        <v>0</v>
      </c>
      <c r="J17" s="54">
        <v>1</v>
      </c>
      <c r="L17" s="55" cm="1">
        <f t="array" ref="L17:M18">route_cost(D7:E8,7000004,0)</f>
        <v>0</v>
      </c>
      <c r="M17" s="55">
        <v>1</v>
      </c>
      <c r="O17" s="56" t="str" cm="1">
        <f t="array" ref="O17">IF(AND(I17:J18=L17:M18),"PASS","FAIL")</f>
        <v>PASS</v>
      </c>
    </row>
    <row r="18" spans="2:15" x14ac:dyDescent="0.5">
      <c r="I18" s="54">
        <v>1</v>
      </c>
      <c r="J18" s="54">
        <v>2</v>
      </c>
      <c r="L18" s="55">
        <v>1</v>
      </c>
      <c r="M18" s="55">
        <v>2</v>
      </c>
    </row>
    <row r="20" spans="2:15" x14ac:dyDescent="0.5">
      <c r="B20" s="49" t="s">
        <v>3223</v>
      </c>
      <c r="I20" s="54">
        <v>0</v>
      </c>
      <c r="J20" s="54">
        <v>1</v>
      </c>
      <c r="L20" s="55" cm="1">
        <f t="array" ref="L20:M21">route_cost(D7:E8,{1,1},1)</f>
        <v>0</v>
      </c>
      <c r="M20" s="55">
        <v>1</v>
      </c>
      <c r="O20" s="56" t="str" cm="1">
        <f t="array" ref="O20">IF(AND(I20:J21=L20:M21),"PASS","FAIL")</f>
        <v>PASS</v>
      </c>
    </row>
    <row r="21" spans="2:15" x14ac:dyDescent="0.5">
      <c r="I21" s="54">
        <v>1</v>
      </c>
      <c r="J21" s="54">
        <v>1</v>
      </c>
      <c r="L21" s="55">
        <v>1</v>
      </c>
      <c r="M21" s="55">
        <v>1</v>
      </c>
    </row>
    <row r="23" spans="2:15" x14ac:dyDescent="0.5">
      <c r="B23" s="49" t="s">
        <v>3389</v>
      </c>
      <c r="I23" s="54" t="s">
        <v>2634</v>
      </c>
      <c r="L23" s="55" t="str">
        <f>route_cost(D7:E8,{9,9})</f>
        <v>X</v>
      </c>
      <c r="O23" s="56" t="str">
        <f>IF(L23=I23,"PASS","FAIL")</f>
        <v>PASS</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80"/>
  <dimension ref="A1:R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8" ht="252" customHeight="1" x14ac:dyDescent="0.5">
      <c r="A1" s="47" t="s">
        <v>0</v>
      </c>
      <c r="B1" s="68" t="str" cm="1">
        <f t="array" aca="1" ref="B1" ca="1">_xlfn.LET(_xlpm.fn, CELL("filename",$A$1), _xlpm.nm, MID(_xlpm.fn, FIND("]", _xlpm.fn) + 1, 255), _xlfn.XLOOKUP(_xlpm.nm &amp; "(*", Lamb!$A$2:$A$1000, Lamb!$A$2:$A$1000, "", 2))</f>
        <v>save_array(input_array,[col_delimiter],[row_delimiter])</v>
      </c>
      <c r="C1" s="64"/>
      <c r="D1" s="64"/>
      <c r="E1" s="64"/>
      <c r="F1" s="65"/>
      <c r="H1" s="47" t="s">
        <v>2</v>
      </c>
      <c r="I1" s="63"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64"/>
      <c r="K1" s="64"/>
      <c r="L1" s="64"/>
      <c r="M1" s="64"/>
      <c r="N1" s="64"/>
      <c r="O1" s="64"/>
      <c r="P1" s="64"/>
      <c r="Q1" s="64"/>
      <c r="R1" s="65"/>
    </row>
    <row r="2" spans="1:18" ht="189" customHeight="1" x14ac:dyDescent="0.5">
      <c r="A2" s="47" t="s">
        <v>4</v>
      </c>
      <c r="B2" s="66"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67"/>
      <c r="D2" s="67"/>
      <c r="E2" s="67"/>
      <c r="F2" s="67"/>
      <c r="G2" s="67"/>
      <c r="H2" s="67"/>
      <c r="I2" s="67"/>
      <c r="J2" s="67"/>
      <c r="K2" s="67"/>
      <c r="L2" s="67"/>
      <c r="M2" s="67"/>
      <c r="N2" s="67"/>
      <c r="O2" s="67"/>
      <c r="P2" s="67"/>
      <c r="Q2" s="67"/>
      <c r="R2" s="67"/>
    </row>
    <row r="4" spans="1:18" x14ac:dyDescent="0.5">
      <c r="A4" s="47" t="s">
        <v>3224</v>
      </c>
      <c r="O4" s="47" t="str">
        <f>COUNTIF(O6:O14,"PASS")&amp;" / 3 PASS"</f>
        <v>3 / 3 PASS</v>
      </c>
    </row>
    <row r="5" spans="1:18" x14ac:dyDescent="0.5">
      <c r="A5" s="47" t="s">
        <v>7</v>
      </c>
      <c r="B5" s="47" t="s">
        <v>8</v>
      </c>
      <c r="D5" s="47" t="s">
        <v>9</v>
      </c>
      <c r="K5" s="50" t="s">
        <v>10</v>
      </c>
      <c r="M5" s="51" t="s">
        <v>11</v>
      </c>
      <c r="O5" s="52" t="s">
        <v>12</v>
      </c>
    </row>
    <row r="6" spans="1:18" x14ac:dyDescent="0.5">
      <c r="A6" s="48">
        <v>1</v>
      </c>
      <c r="B6" s="49" t="s">
        <v>3225</v>
      </c>
      <c r="D6" s="53">
        <v>1</v>
      </c>
      <c r="E6" s="53">
        <v>2</v>
      </c>
      <c r="K6" s="54" t="s">
        <v>3124</v>
      </c>
      <c r="M6" s="55" t="str" cm="1">
        <f t="array" ref="M6">save_array(D6:E7)</f>
        <v>1|2;3|4</v>
      </c>
      <c r="O6" s="56" t="str">
        <f>IF(M6=K6,"PASS","FAIL")</f>
        <v>PASS</v>
      </c>
    </row>
    <row r="7" spans="1:18" x14ac:dyDescent="0.5">
      <c r="A7" s="57"/>
      <c r="B7" s="57"/>
      <c r="D7" s="53">
        <v>3</v>
      </c>
      <c r="E7" s="53">
        <v>4</v>
      </c>
    </row>
    <row r="9" spans="1:18" x14ac:dyDescent="0.5">
      <c r="A9" s="48">
        <v>2</v>
      </c>
      <c r="B9" s="49" t="s">
        <v>3226</v>
      </c>
      <c r="D9" s="53" t="s">
        <v>3026</v>
      </c>
      <c r="E9" s="53" t="s">
        <v>3027</v>
      </c>
      <c r="K9" s="54" t="s">
        <v>3227</v>
      </c>
      <c r="M9" s="55" t="str" cm="1">
        <f t="array" ref="M9">save_array(D9:E9)</f>
        <v>a|b</v>
      </c>
      <c r="O9" s="56" t="str">
        <f>IF(M9=K9,"PASS","FAIL")</f>
        <v>PASS</v>
      </c>
    </row>
    <row r="11" spans="1:18" x14ac:dyDescent="0.5">
      <c r="A11" s="48">
        <v>3</v>
      </c>
      <c r="B11" s="49" t="s">
        <v>3126</v>
      </c>
      <c r="D11" s="53">
        <v>1</v>
      </c>
      <c r="E11" s="53">
        <v>2</v>
      </c>
      <c r="G11" s="53" t="s">
        <v>3128</v>
      </c>
      <c r="I11" s="53" t="s">
        <v>3129</v>
      </c>
      <c r="K11" s="54" t="s">
        <v>3127</v>
      </c>
      <c r="M11" s="55" t="str" cm="1">
        <f t="array" ref="M11">save_array(D11:E12,G11,I11)</f>
        <v>1,2/3,4</v>
      </c>
      <c r="O11" s="56" t="str">
        <f>IF(M11=K11,"PASS","FAIL")</f>
        <v>PASS</v>
      </c>
    </row>
    <row r="12" spans="1:18" x14ac:dyDescent="0.5">
      <c r="A12" s="57"/>
      <c r="B12" s="57"/>
      <c r="D12" s="53">
        <v>3</v>
      </c>
      <c r="E12" s="53">
        <v>4</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81"/>
  <dimension ref="A1:R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315" customHeight="1" x14ac:dyDescent="0.5">
      <c r="A1" s="47" t="s">
        <v>0</v>
      </c>
      <c r="B1" s="68" t="str" cm="1">
        <f t="array" aca="1" ref="B1" ca="1">_xlfn.LET(_xlpm.fn, CELL("filename",$A$1), _xlpm.nm, MID(_xlpm.fn, FIND("]", _xlpm.fn) + 1, 255), _xlfn.XLOOKUP(_xlpm.nm &amp; "(*", Lamb!$A$2:$A$1000, Lamb!$A$2:$A$1000, "", 2))</f>
        <v>selections(arr, n, [order_matters], [repeats_allowed], [countdown_mode], [clean_inputs])</v>
      </c>
      <c r="C1" s="64"/>
      <c r="D1" s="64"/>
      <c r="E1" s="64"/>
      <c r="F1" s="65"/>
      <c r="H1" s="47" t="s">
        <v>2</v>
      </c>
      <c r="I1" s="63"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67"/>
      <c r="D2" s="67"/>
      <c r="E2" s="67"/>
      <c r="F2" s="67"/>
      <c r="G2" s="67"/>
      <c r="H2" s="67"/>
      <c r="I2" s="67"/>
      <c r="J2" s="67"/>
      <c r="K2" s="67"/>
      <c r="L2" s="67"/>
      <c r="M2" s="67"/>
      <c r="N2" s="67"/>
      <c r="O2" s="67"/>
      <c r="P2" s="67"/>
      <c r="Q2" s="67"/>
      <c r="R2" s="67"/>
    </row>
    <row r="4" spans="1:18" x14ac:dyDescent="0.5">
      <c r="A4" s="47" t="s">
        <v>3228</v>
      </c>
      <c r="R4" s="47" t="str">
        <f>COUNTIF(R6:R28,"PASS")&amp;" / 4 PASS"</f>
        <v>4 / 4 PASS</v>
      </c>
    </row>
    <row r="5" spans="1:18" x14ac:dyDescent="0.5">
      <c r="A5" s="47" t="s">
        <v>7</v>
      </c>
      <c r="B5" s="47" t="s">
        <v>8</v>
      </c>
      <c r="D5" s="47" t="s">
        <v>9</v>
      </c>
      <c r="L5" s="50" t="s">
        <v>10</v>
      </c>
      <c r="O5" s="51" t="s">
        <v>11</v>
      </c>
      <c r="R5" s="52" t="s">
        <v>12</v>
      </c>
    </row>
    <row r="6" spans="1:18" x14ac:dyDescent="0.5">
      <c r="A6" s="48">
        <v>1</v>
      </c>
      <c r="B6" s="49" t="s">
        <v>3229</v>
      </c>
      <c r="D6" s="53" t="s">
        <v>3026</v>
      </c>
      <c r="F6" s="53">
        <v>2</v>
      </c>
      <c r="L6" s="54" t="s">
        <v>3026</v>
      </c>
      <c r="M6" s="54" t="s">
        <v>3027</v>
      </c>
      <c r="O6" s="55" t="str" cm="1">
        <f t="array" ref="O6:P8">selections(D6:D8,F6)</f>
        <v>a</v>
      </c>
      <c r="P6" s="55" t="str">
        <v>b</v>
      </c>
      <c r="R6" s="56" t="str" cm="1">
        <f t="array" ref="R6">IF(AND(L6:M8=O6:P8),"PASS","FAIL")</f>
        <v>PASS</v>
      </c>
    </row>
    <row r="7" spans="1:18" x14ac:dyDescent="0.5">
      <c r="A7" s="57"/>
      <c r="B7" s="57"/>
      <c r="D7" s="53" t="s">
        <v>3027</v>
      </c>
      <c r="L7" s="54" t="s">
        <v>3026</v>
      </c>
      <c r="M7" s="54" t="s">
        <v>3035</v>
      </c>
      <c r="O7" s="55" t="str">
        <v>a</v>
      </c>
      <c r="P7" s="55" t="str">
        <v>c</v>
      </c>
    </row>
    <row r="8" spans="1:18" x14ac:dyDescent="0.5">
      <c r="A8" s="57"/>
      <c r="B8" s="57"/>
      <c r="D8" s="53" t="s">
        <v>3035</v>
      </c>
      <c r="L8" s="54" t="s">
        <v>3027</v>
      </c>
      <c r="M8" s="54" t="s">
        <v>3035</v>
      </c>
      <c r="O8" s="55" t="str">
        <v>b</v>
      </c>
      <c r="P8" s="55" t="str">
        <v>c</v>
      </c>
    </row>
    <row r="10" spans="1:18" x14ac:dyDescent="0.5">
      <c r="A10" s="48">
        <v>2</v>
      </c>
      <c r="B10" s="49" t="s">
        <v>3230</v>
      </c>
      <c r="D10" s="53">
        <v>1</v>
      </c>
      <c r="F10" s="53">
        <v>2</v>
      </c>
      <c r="L10" s="54">
        <v>1</v>
      </c>
      <c r="M10" s="54">
        <v>2</v>
      </c>
      <c r="O10" s="55" cm="1">
        <f t="array" ref="O10:P15">selections(D10:D13,F10)</f>
        <v>1</v>
      </c>
      <c r="P10" s="55">
        <v>2</v>
      </c>
      <c r="R10" s="56" t="str" cm="1">
        <f t="array" ref="R10">IF(AND(L10:M15=O10:P15),"PASS","FAIL")</f>
        <v>PASS</v>
      </c>
    </row>
    <row r="11" spans="1:18" x14ac:dyDescent="0.5">
      <c r="A11" s="57"/>
      <c r="B11" s="57"/>
      <c r="D11" s="53">
        <v>2</v>
      </c>
      <c r="L11" s="54">
        <v>1</v>
      </c>
      <c r="M11" s="54">
        <v>3</v>
      </c>
      <c r="O11" s="55">
        <v>1</v>
      </c>
      <c r="P11" s="55">
        <v>3</v>
      </c>
    </row>
    <row r="12" spans="1:18" x14ac:dyDescent="0.5">
      <c r="A12" s="57"/>
      <c r="B12" s="57"/>
      <c r="D12" s="53">
        <v>3</v>
      </c>
      <c r="L12" s="54">
        <v>1</v>
      </c>
      <c r="M12" s="54">
        <v>4</v>
      </c>
      <c r="O12" s="55">
        <v>1</v>
      </c>
      <c r="P12" s="55">
        <v>4</v>
      </c>
    </row>
    <row r="13" spans="1:18" x14ac:dyDescent="0.5">
      <c r="A13" s="57"/>
      <c r="B13" s="57"/>
      <c r="D13" s="53">
        <v>4</v>
      </c>
      <c r="L13" s="54">
        <v>2</v>
      </c>
      <c r="M13" s="54">
        <v>3</v>
      </c>
      <c r="O13" s="55">
        <v>2</v>
      </c>
      <c r="P13" s="55">
        <v>3</v>
      </c>
    </row>
    <row r="14" spans="1:18" x14ac:dyDescent="0.5">
      <c r="A14" s="57"/>
      <c r="B14" s="57"/>
      <c r="L14" s="54">
        <v>2</v>
      </c>
      <c r="M14" s="54">
        <v>4</v>
      </c>
      <c r="O14" s="55">
        <v>2</v>
      </c>
      <c r="P14" s="55">
        <v>4</v>
      </c>
    </row>
    <row r="15" spans="1:18" x14ac:dyDescent="0.5">
      <c r="A15" s="57"/>
      <c r="B15" s="57"/>
      <c r="L15" s="54">
        <v>3</v>
      </c>
      <c r="M15" s="54">
        <v>4</v>
      </c>
      <c r="O15" s="55">
        <v>3</v>
      </c>
      <c r="P15" s="55">
        <v>4</v>
      </c>
    </row>
    <row r="17" spans="1:18" x14ac:dyDescent="0.5">
      <c r="A17" s="48">
        <v>3</v>
      </c>
      <c r="B17" s="49" t="s">
        <v>3231</v>
      </c>
      <c r="D17" s="53" t="s">
        <v>3026</v>
      </c>
      <c r="F17" s="53">
        <v>2</v>
      </c>
      <c r="H17" s="53">
        <v>1</v>
      </c>
      <c r="L17" s="54" t="s">
        <v>3026</v>
      </c>
      <c r="M17" s="54" t="s">
        <v>3027</v>
      </c>
      <c r="O17" s="55" t="str" cm="1">
        <f t="array" ref="O17:P22">selections(D17:D19,F17,H17)</f>
        <v>a</v>
      </c>
      <c r="P17" s="55" t="str">
        <v>b</v>
      </c>
      <c r="R17" s="56" t="str" cm="1">
        <f t="array" ref="R17">IF(AND(L17:M22=O17:P22),"PASS","FAIL")</f>
        <v>PASS</v>
      </c>
    </row>
    <row r="18" spans="1:18" x14ac:dyDescent="0.5">
      <c r="A18" s="57"/>
      <c r="B18" s="57"/>
      <c r="D18" s="53" t="s">
        <v>3027</v>
      </c>
      <c r="L18" s="54" t="s">
        <v>3026</v>
      </c>
      <c r="M18" s="54" t="s">
        <v>3035</v>
      </c>
      <c r="O18" s="55" t="str">
        <v>a</v>
      </c>
      <c r="P18" s="55" t="str">
        <v>c</v>
      </c>
    </row>
    <row r="19" spans="1:18" x14ac:dyDescent="0.5">
      <c r="A19" s="57"/>
      <c r="B19" s="57"/>
      <c r="D19" s="53" t="s">
        <v>3035</v>
      </c>
      <c r="L19" s="54" t="s">
        <v>3027</v>
      </c>
      <c r="M19" s="54" t="s">
        <v>3026</v>
      </c>
      <c r="O19" s="55" t="str">
        <v>b</v>
      </c>
      <c r="P19" s="55" t="str">
        <v>a</v>
      </c>
    </row>
    <row r="20" spans="1:18" x14ac:dyDescent="0.5">
      <c r="A20" s="57"/>
      <c r="B20" s="57"/>
      <c r="L20" s="54" t="s">
        <v>3027</v>
      </c>
      <c r="M20" s="54" t="s">
        <v>3035</v>
      </c>
      <c r="O20" s="55" t="str">
        <v>b</v>
      </c>
      <c r="P20" s="55" t="str">
        <v>c</v>
      </c>
    </row>
    <row r="21" spans="1:18" x14ac:dyDescent="0.5">
      <c r="A21" s="57"/>
      <c r="B21" s="57"/>
      <c r="L21" s="54" t="s">
        <v>3035</v>
      </c>
      <c r="M21" s="54" t="s">
        <v>3026</v>
      </c>
      <c r="O21" s="55" t="str">
        <v>c</v>
      </c>
      <c r="P21" s="55" t="str">
        <v>a</v>
      </c>
    </row>
    <row r="22" spans="1:18" x14ac:dyDescent="0.5">
      <c r="A22" s="57"/>
      <c r="B22" s="57"/>
      <c r="L22" s="54" t="s">
        <v>3035</v>
      </c>
      <c r="M22" s="54" t="s">
        <v>3027</v>
      </c>
      <c r="O22" s="55" t="str">
        <v>c</v>
      </c>
      <c r="P22" s="55" t="str">
        <v>b</v>
      </c>
    </row>
    <row r="24" spans="1:18" x14ac:dyDescent="0.5">
      <c r="A24" s="48">
        <v>4</v>
      </c>
      <c r="B24" s="49" t="s">
        <v>3232</v>
      </c>
      <c r="D24" s="53" t="s">
        <v>3026</v>
      </c>
      <c r="F24" s="53">
        <v>2</v>
      </c>
      <c r="H24" s="53">
        <v>0</v>
      </c>
      <c r="J24" s="53">
        <v>1</v>
      </c>
      <c r="L24" s="54" t="s">
        <v>3026</v>
      </c>
      <c r="M24" s="54" t="s">
        <v>3026</v>
      </c>
      <c r="O24" s="55" t="str" cm="1">
        <f t="array" ref="O24:P26">selections(D24:D25,F24,H24,J24)</f>
        <v>a</v>
      </c>
      <c r="P24" s="55" t="str">
        <v>a</v>
      </c>
      <c r="R24" s="56" t="str" cm="1">
        <f t="array" ref="R24">IF(AND(L24:M26=O24:P26),"PASS","FAIL")</f>
        <v>PASS</v>
      </c>
    </row>
    <row r="25" spans="1:18" x14ac:dyDescent="0.5">
      <c r="A25" s="57"/>
      <c r="B25" s="57"/>
      <c r="D25" s="53" t="s">
        <v>3027</v>
      </c>
      <c r="L25" s="54" t="s">
        <v>3026</v>
      </c>
      <c r="M25" s="54" t="s">
        <v>3027</v>
      </c>
      <c r="O25" s="55" t="str">
        <v>a</v>
      </c>
      <c r="P25" s="55" t="str">
        <v>b</v>
      </c>
    </row>
    <row r="26" spans="1:18" x14ac:dyDescent="0.5">
      <c r="A26" s="57"/>
      <c r="B26" s="57"/>
      <c r="L26" s="54" t="s">
        <v>3027</v>
      </c>
      <c r="M26" s="54" t="s">
        <v>3027</v>
      </c>
      <c r="O26" s="55" t="str">
        <v>b</v>
      </c>
      <c r="P26" s="55" t="str">
        <v>b</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82"/>
  <dimension ref="A1:R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68" t="str" cm="1">
        <f t="array" aca="1" ref="B1" ca="1">_xlfn.LET(_xlpm.fn, CELL("filename",$A$1), _xlpm.nm, MID(_xlpm.fn, FIND("]", _xlpm.fn) + 1, 255), _xlfn.XLOOKUP(_xlpm.nm &amp; "(*", Lamb!$A$2:$A$1000, Lamb!$A$2:$A$1000, "", 2))</f>
        <v>set(rng, [as_row])</v>
      </c>
      <c r="C1" s="64"/>
      <c r="D1" s="64"/>
      <c r="E1" s="64"/>
      <c r="F1" s="65"/>
      <c r="H1" s="47" t="s">
        <v>2</v>
      </c>
      <c r="I1" s="63"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64"/>
      <c r="K1" s="64"/>
      <c r="L1" s="64"/>
      <c r="M1" s="64"/>
      <c r="N1" s="64"/>
      <c r="O1" s="64"/>
      <c r="P1" s="64"/>
      <c r="Q1" s="64"/>
      <c r="R1" s="65"/>
    </row>
    <row r="2" spans="1:18" ht="231" customHeight="1" x14ac:dyDescent="0.5">
      <c r="A2" s="47" t="s">
        <v>4</v>
      </c>
      <c r="B2" s="66"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67"/>
      <c r="D2" s="67"/>
      <c r="E2" s="67"/>
      <c r="F2" s="67"/>
      <c r="G2" s="67"/>
      <c r="H2" s="67"/>
      <c r="I2" s="67"/>
      <c r="J2" s="67"/>
      <c r="K2" s="67"/>
      <c r="L2" s="67"/>
      <c r="M2" s="67"/>
      <c r="N2" s="67"/>
      <c r="O2" s="67"/>
      <c r="P2" s="67"/>
      <c r="Q2" s="67"/>
      <c r="R2" s="67"/>
    </row>
    <row r="4" spans="1:18" x14ac:dyDescent="0.5">
      <c r="A4" s="47" t="s">
        <v>3233</v>
      </c>
      <c r="P4" s="47" t="str">
        <f>COUNTIF(P6:P25,"PASS")&amp;" / 4 PASS"</f>
        <v>4 / 4 PASS</v>
      </c>
    </row>
    <row r="5" spans="1:18" x14ac:dyDescent="0.5">
      <c r="A5" s="47" t="s">
        <v>7</v>
      </c>
      <c r="B5" s="47" t="s">
        <v>8</v>
      </c>
      <c r="D5" s="47" t="s">
        <v>9</v>
      </c>
      <c r="H5" s="50" t="s">
        <v>10</v>
      </c>
      <c r="L5" s="51" t="s">
        <v>11</v>
      </c>
      <c r="P5" s="52" t="s">
        <v>12</v>
      </c>
    </row>
    <row r="6" spans="1:18" x14ac:dyDescent="0.5">
      <c r="A6" s="48">
        <v>1</v>
      </c>
      <c r="B6" s="49" t="s">
        <v>3234</v>
      </c>
      <c r="D6" s="53">
        <v>3</v>
      </c>
      <c r="H6" s="54">
        <v>1</v>
      </c>
      <c r="L6" s="55" cm="1">
        <f t="array" ref="L6:L8">set(D6:D9)</f>
        <v>1</v>
      </c>
      <c r="P6" s="56" t="str" cm="1">
        <f t="array" ref="P6">IF(AND(H6:H8=L6:L8),"PASS","FAIL")</f>
        <v>PASS</v>
      </c>
    </row>
    <row r="7" spans="1:18" x14ac:dyDescent="0.5">
      <c r="A7" s="57"/>
      <c r="B7" s="57"/>
      <c r="D7" s="53">
        <v>1</v>
      </c>
      <c r="H7" s="54">
        <v>2</v>
      </c>
      <c r="L7" s="55">
        <v>2</v>
      </c>
    </row>
    <row r="8" spans="1:18" x14ac:dyDescent="0.5">
      <c r="A8" s="57"/>
      <c r="B8" s="57"/>
      <c r="D8" s="53">
        <v>2</v>
      </c>
      <c r="H8" s="54">
        <v>3</v>
      </c>
      <c r="L8" s="55">
        <v>3</v>
      </c>
    </row>
    <row r="9" spans="1:18" x14ac:dyDescent="0.5">
      <c r="A9" s="57"/>
      <c r="B9" s="57"/>
      <c r="D9" s="53">
        <v>1</v>
      </c>
    </row>
    <row r="11" spans="1:18" x14ac:dyDescent="0.5">
      <c r="A11" s="48">
        <v>2</v>
      </c>
      <c r="B11" s="49" t="s">
        <v>3235</v>
      </c>
      <c r="D11" s="53" t="s">
        <v>3035</v>
      </c>
      <c r="H11" s="54" t="s">
        <v>3026</v>
      </c>
      <c r="L11" s="55" t="str" cm="1">
        <f t="array" ref="L11:L13">set(D11:D14)</f>
        <v>a</v>
      </c>
      <c r="P11" s="56" t="str" cm="1">
        <f t="array" ref="P11">IF(AND(H11:H13=L11:L13),"PASS","FAIL")</f>
        <v>PASS</v>
      </c>
    </row>
    <row r="12" spans="1:18" x14ac:dyDescent="0.5">
      <c r="A12" s="57"/>
      <c r="B12" s="57"/>
      <c r="D12" s="53" t="s">
        <v>3026</v>
      </c>
      <c r="H12" s="54" t="s">
        <v>3027</v>
      </c>
      <c r="L12" s="55" t="str">
        <v>b</v>
      </c>
    </row>
    <row r="13" spans="1:18" x14ac:dyDescent="0.5">
      <c r="A13" s="57"/>
      <c r="B13" s="57"/>
      <c r="D13" s="53" t="s">
        <v>3027</v>
      </c>
      <c r="H13" s="54" t="s">
        <v>3035</v>
      </c>
      <c r="L13" s="55" t="str">
        <v>c</v>
      </c>
    </row>
    <row r="14" spans="1:18" x14ac:dyDescent="0.5">
      <c r="A14" s="57"/>
      <c r="B14" s="57"/>
      <c r="D14" s="53" t="s">
        <v>3026</v>
      </c>
    </row>
    <row r="16" spans="1:18" x14ac:dyDescent="0.5">
      <c r="A16" s="48">
        <v>3</v>
      </c>
      <c r="B16" s="49" t="s">
        <v>3236</v>
      </c>
      <c r="D16" s="53">
        <v>3</v>
      </c>
      <c r="H16" s="54">
        <v>1</v>
      </c>
      <c r="L16" s="55" cm="1">
        <f t="array" ref="L16:L18">set(D16:D19)</f>
        <v>1</v>
      </c>
      <c r="P16" s="56" t="str" cm="1">
        <f t="array" ref="P16">IF(AND(H16:H18=L16:L18),"PASS","FAIL")</f>
        <v>PASS</v>
      </c>
    </row>
    <row r="17" spans="1:16" x14ac:dyDescent="0.5">
      <c r="A17" s="57"/>
      <c r="B17" s="57"/>
      <c r="D17" s="53"/>
      <c r="H17" s="54">
        <v>2</v>
      </c>
      <c r="L17" s="55">
        <v>2</v>
      </c>
    </row>
    <row r="18" spans="1:16" x14ac:dyDescent="0.5">
      <c r="A18" s="57"/>
      <c r="B18" s="57"/>
      <c r="D18" s="53">
        <v>1</v>
      </c>
      <c r="H18" s="54">
        <v>3</v>
      </c>
      <c r="L18" s="55">
        <v>3</v>
      </c>
    </row>
    <row r="19" spans="1:16" x14ac:dyDescent="0.5">
      <c r="A19" s="57"/>
      <c r="B19" s="57"/>
      <c r="D19" s="53">
        <v>2</v>
      </c>
    </row>
    <row r="21" spans="1:16" x14ac:dyDescent="0.5">
      <c r="A21" s="48">
        <v>4</v>
      </c>
      <c r="B21" s="49" t="s">
        <v>3237</v>
      </c>
      <c r="D21" s="53">
        <v>3</v>
      </c>
      <c r="F21" s="53">
        <v>1</v>
      </c>
      <c r="H21" s="54">
        <v>1</v>
      </c>
      <c r="I21" s="54">
        <v>2</v>
      </c>
      <c r="J21" s="54">
        <v>3</v>
      </c>
      <c r="L21" s="55" cm="1">
        <f t="array" ref="L21:N21">set(D21:D23,F21)</f>
        <v>1</v>
      </c>
      <c r="M21" s="55">
        <v>2</v>
      </c>
      <c r="N21" s="55">
        <v>3</v>
      </c>
      <c r="P21" s="56" t="str" cm="1">
        <f t="array" ref="P21">IF(AND(H21:J21=L21:N21),"PASS","FAIL")</f>
        <v>PASS</v>
      </c>
    </row>
    <row r="22" spans="1:16" x14ac:dyDescent="0.5">
      <c r="A22" s="57"/>
      <c r="B22" s="57"/>
      <c r="D22" s="53">
        <v>1</v>
      </c>
    </row>
    <row r="23" spans="1:16" x14ac:dyDescent="0.5">
      <c r="A23" s="57"/>
      <c r="B23" s="57"/>
      <c r="D23" s="53">
        <v>2</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3"/>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8" t="str" cm="1">
        <f t="array" aca="1" ref="B1" ca="1">_xlfn.LET(_xlpm.fn, CELL("filename",$A$1), _xlpm.nm, MID(_xlpm.fn, FIND("]", _xlpm.fn) + 1, 255), _xlfn.XLOOKUP(_xlpm.nm &amp; "(*", Lamb!$A$2:$A$1000, Lamb!$A$2:$A$1000, "", 2))</f>
        <v>set_d(a, b, [as_row])</v>
      </c>
      <c r="C1" s="64"/>
      <c r="D1" s="64"/>
      <c r="E1" s="64"/>
      <c r="F1" s="65"/>
      <c r="H1" s="47" t="s">
        <v>2</v>
      </c>
      <c r="I1" s="63"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64"/>
      <c r="K1" s="64"/>
      <c r="L1" s="64"/>
      <c r="M1" s="64"/>
      <c r="N1" s="64"/>
      <c r="O1" s="64"/>
      <c r="P1" s="64"/>
      <c r="Q1" s="64"/>
      <c r="R1" s="65"/>
    </row>
    <row r="2" spans="1:18" ht="231" customHeight="1" x14ac:dyDescent="0.5">
      <c r="A2" s="47" t="s">
        <v>4</v>
      </c>
      <c r="B2" s="66"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67"/>
      <c r="D2" s="67"/>
      <c r="E2" s="67"/>
      <c r="F2" s="67"/>
      <c r="G2" s="67"/>
      <c r="H2" s="67"/>
      <c r="I2" s="67"/>
      <c r="J2" s="67"/>
      <c r="K2" s="67"/>
      <c r="L2" s="67"/>
      <c r="M2" s="67"/>
      <c r="N2" s="67"/>
      <c r="O2" s="67"/>
      <c r="P2" s="67"/>
      <c r="Q2" s="67"/>
      <c r="R2" s="67"/>
    </row>
    <row r="4" spans="1:18" x14ac:dyDescent="0.5">
      <c r="A4" s="47" t="s">
        <v>3238</v>
      </c>
      <c r="L4" s="47" t="str">
        <f>COUNTIF(L6:L15,"PASS")&amp;" / 2 PASS"</f>
        <v>2 / 2 PASS</v>
      </c>
    </row>
    <row r="5" spans="1:18" x14ac:dyDescent="0.5">
      <c r="A5" s="47" t="s">
        <v>7</v>
      </c>
      <c r="B5" s="47" t="s">
        <v>8</v>
      </c>
      <c r="D5" s="47" t="s">
        <v>9</v>
      </c>
      <c r="H5" s="50" t="s">
        <v>10</v>
      </c>
      <c r="J5" s="51" t="s">
        <v>11</v>
      </c>
      <c r="L5" s="52" t="s">
        <v>12</v>
      </c>
    </row>
    <row r="6" spans="1:18" x14ac:dyDescent="0.5">
      <c r="A6" s="48">
        <v>1</v>
      </c>
      <c r="B6" s="49" t="s">
        <v>3239</v>
      </c>
      <c r="D6" s="53">
        <v>1</v>
      </c>
      <c r="F6" s="53">
        <v>2</v>
      </c>
      <c r="H6" s="54">
        <v>1</v>
      </c>
      <c r="J6" s="55" cm="1">
        <f t="array" ref="J6:J7">set_d(D6:D8,F6)</f>
        <v>1</v>
      </c>
      <c r="L6" s="56" t="str" cm="1">
        <f t="array" ref="L6">IF(AND(H6:H7=J6:J7),"PASS","FAIL")</f>
        <v>PASS</v>
      </c>
    </row>
    <row r="7" spans="1:18" x14ac:dyDescent="0.5">
      <c r="A7" s="57"/>
      <c r="B7" s="57"/>
      <c r="D7" s="53">
        <v>2</v>
      </c>
      <c r="H7" s="54">
        <v>3</v>
      </c>
      <c r="J7" s="55">
        <v>3</v>
      </c>
    </row>
    <row r="8" spans="1:18" x14ac:dyDescent="0.5">
      <c r="A8" s="57"/>
      <c r="B8" s="57"/>
      <c r="D8" s="53">
        <v>3</v>
      </c>
    </row>
    <row r="10" spans="1:18" x14ac:dyDescent="0.5">
      <c r="A10" s="48">
        <v>2</v>
      </c>
      <c r="B10" s="49" t="s">
        <v>3240</v>
      </c>
      <c r="D10" s="53" t="s">
        <v>3026</v>
      </c>
      <c r="F10" s="53" t="s">
        <v>3027</v>
      </c>
      <c r="H10" s="54" t="s">
        <v>3026</v>
      </c>
      <c r="J10" s="55" t="str" cm="1">
        <f t="array" ref="J10:J11">set_d(D10:D13,F10:F11)</f>
        <v>a</v>
      </c>
      <c r="L10" s="56" t="str" cm="1">
        <f t="array" ref="L10">IF(AND(H10:H11=J10:J11),"PASS","FAIL")</f>
        <v>PASS</v>
      </c>
    </row>
    <row r="11" spans="1:18" x14ac:dyDescent="0.5">
      <c r="A11" s="57"/>
      <c r="B11" s="57"/>
      <c r="D11" s="53" t="s">
        <v>3027</v>
      </c>
      <c r="F11" s="53" t="s">
        <v>3028</v>
      </c>
      <c r="H11" s="54" t="s">
        <v>3035</v>
      </c>
      <c r="J11" s="55" t="str">
        <v>c</v>
      </c>
    </row>
    <row r="12" spans="1:18" x14ac:dyDescent="0.5">
      <c r="A12" s="57"/>
      <c r="B12" s="57"/>
      <c r="D12" s="53" t="s">
        <v>3035</v>
      </c>
    </row>
    <row r="13" spans="1:18" x14ac:dyDescent="0.5">
      <c r="A13" s="57"/>
      <c r="B13" s="57"/>
      <c r="D13" s="53" t="s">
        <v>3028</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4"/>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52" customHeight="1" x14ac:dyDescent="0.5">
      <c r="A1" s="47" t="s">
        <v>0</v>
      </c>
      <c r="B1" s="68" t="str" cm="1">
        <f t="array" aca="1" ref="B1" ca="1">_xlfn.LET(_xlpm.fn, CELL("filename",$A$1), _xlpm.nm, MID(_xlpm.fn, FIND("]", _xlpm.fn) + 1, 255), _xlfn.XLOOKUP(_xlpm.nm &amp; "(*", Lamb!$A$2:$A$1000, Lamb!$A$2:$A$1000, "", 2))</f>
        <v>set_i(a, b, [as_row])</v>
      </c>
      <c r="C1" s="64"/>
      <c r="D1" s="64"/>
      <c r="E1" s="64"/>
      <c r="F1" s="65"/>
      <c r="H1" s="47" t="s">
        <v>2</v>
      </c>
      <c r="I1" s="63"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64"/>
      <c r="K1" s="64"/>
      <c r="L1" s="64"/>
      <c r="M1" s="64"/>
      <c r="N1" s="64"/>
      <c r="O1" s="64"/>
      <c r="P1" s="64"/>
      <c r="Q1" s="64"/>
      <c r="R1" s="65"/>
    </row>
    <row r="2" spans="1:18" ht="231" customHeight="1" x14ac:dyDescent="0.5">
      <c r="A2" s="47" t="s">
        <v>4</v>
      </c>
      <c r="B2" s="66"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67"/>
      <c r="D2" s="67"/>
      <c r="E2" s="67"/>
      <c r="F2" s="67"/>
      <c r="G2" s="67"/>
      <c r="H2" s="67"/>
      <c r="I2" s="67"/>
      <c r="J2" s="67"/>
      <c r="K2" s="67"/>
      <c r="L2" s="67"/>
      <c r="M2" s="67"/>
      <c r="N2" s="67"/>
      <c r="O2" s="67"/>
      <c r="P2" s="67"/>
      <c r="Q2" s="67"/>
      <c r="R2" s="67"/>
    </row>
    <row r="4" spans="1:18" x14ac:dyDescent="0.5">
      <c r="A4" s="47" t="s">
        <v>3241</v>
      </c>
      <c r="L4" s="47" t="str">
        <f>COUNTIF(L6:L17,"PASS")&amp;" / 3 PASS"</f>
        <v>3 / 3 PASS</v>
      </c>
    </row>
    <row r="5" spans="1:18" x14ac:dyDescent="0.5">
      <c r="A5" s="47" t="s">
        <v>7</v>
      </c>
      <c r="B5" s="47" t="s">
        <v>8</v>
      </c>
      <c r="D5" s="47" t="s">
        <v>9</v>
      </c>
      <c r="H5" s="50" t="s">
        <v>10</v>
      </c>
      <c r="J5" s="51" t="s">
        <v>11</v>
      </c>
      <c r="L5" s="52" t="s">
        <v>12</v>
      </c>
    </row>
    <row r="6" spans="1:18" x14ac:dyDescent="0.5">
      <c r="A6" s="48">
        <v>1</v>
      </c>
      <c r="B6" s="49" t="s">
        <v>3242</v>
      </c>
      <c r="D6" s="53">
        <v>1</v>
      </c>
      <c r="F6" s="53">
        <v>2</v>
      </c>
      <c r="H6" s="54">
        <v>2</v>
      </c>
      <c r="J6" s="55" cm="1">
        <f t="array" ref="J6:J7">set_i(D6:D8,F6:F8)</f>
        <v>2</v>
      </c>
      <c r="L6" s="56" t="str" cm="1">
        <f t="array" ref="L6">IF(AND(H6:H7=J6:J7),"PASS","FAIL")</f>
        <v>PASS</v>
      </c>
    </row>
    <row r="7" spans="1:18" x14ac:dyDescent="0.5">
      <c r="A7" s="57"/>
      <c r="B7" s="57"/>
      <c r="D7" s="53">
        <v>2</v>
      </c>
      <c r="F7" s="53">
        <v>3</v>
      </c>
      <c r="H7" s="54">
        <v>3</v>
      </c>
      <c r="J7" s="55">
        <v>3</v>
      </c>
    </row>
    <row r="8" spans="1:18" x14ac:dyDescent="0.5">
      <c r="A8" s="57"/>
      <c r="B8" s="57"/>
      <c r="D8" s="53">
        <v>3</v>
      </c>
      <c r="F8" s="53">
        <v>4</v>
      </c>
    </row>
    <row r="10" spans="1:18" x14ac:dyDescent="0.5">
      <c r="A10" s="48">
        <v>2</v>
      </c>
      <c r="B10" s="49" t="s">
        <v>3243</v>
      </c>
      <c r="D10" s="53" t="s">
        <v>3026</v>
      </c>
      <c r="F10" s="53" t="s">
        <v>3027</v>
      </c>
      <c r="H10" s="54" t="s">
        <v>3027</v>
      </c>
      <c r="J10" s="55" t="str" cm="1">
        <f t="array" ref="J10:J11">set_i(D10:D12,F10:F11)</f>
        <v>b</v>
      </c>
      <c r="L10" s="56" t="str" cm="1">
        <f t="array" ref="L10">IF(AND(H10:H11=J10:J11),"PASS","FAIL")</f>
        <v>PASS</v>
      </c>
    </row>
    <row r="11" spans="1:18" x14ac:dyDescent="0.5">
      <c r="A11" s="57"/>
      <c r="B11" s="57"/>
      <c r="D11" s="53" t="s">
        <v>3027</v>
      </c>
      <c r="F11" s="53" t="s">
        <v>3035</v>
      </c>
      <c r="H11" s="54" t="s">
        <v>3035</v>
      </c>
      <c r="J11" s="55" t="str">
        <v>c</v>
      </c>
    </row>
    <row r="12" spans="1:18" x14ac:dyDescent="0.5">
      <c r="A12" s="57"/>
      <c r="B12" s="57"/>
      <c r="D12" s="53" t="s">
        <v>3035</v>
      </c>
    </row>
    <row r="14" spans="1:18" x14ac:dyDescent="0.5">
      <c r="A14" s="48">
        <v>3</v>
      </c>
      <c r="B14" s="49" t="s">
        <v>3244</v>
      </c>
      <c r="D14" s="53">
        <v>1</v>
      </c>
      <c r="F14" s="53">
        <v>3</v>
      </c>
      <c r="H14" s="54"/>
      <c r="J14" s="55" t="str" cm="1">
        <f t="array" ref="J14">IFERROR(set_i(D14:D15,F14:F15),"")</f>
        <v/>
      </c>
      <c r="L14" s="56" t="str">
        <f>IF(J14=H14,"PASS","FAIL")</f>
        <v>PASS</v>
      </c>
    </row>
    <row r="15" spans="1:18" x14ac:dyDescent="0.5">
      <c r="A15" s="57"/>
      <c r="B15" s="57"/>
      <c r="D15" s="53">
        <v>2</v>
      </c>
      <c r="F15" s="53">
        <v>4</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5"/>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68" t="str" cm="1">
        <f t="array" aca="1" ref="B1" ca="1">_xlfn.LET(_xlpm.fn, CELL("filename",$A$1), _xlpm.nm, MID(_xlpm.fn, FIND("]", _xlpm.fn) + 1, 255), _xlfn.XLOOKUP(_xlpm.nm &amp; "(*", Lamb!$A$2:$A$1000, Lamb!$A$2:$A$1000, "", 2))</f>
        <v>set_u(a, b, [as_row])</v>
      </c>
      <c r="C1" s="64"/>
      <c r="D1" s="64"/>
      <c r="E1" s="64"/>
      <c r="F1" s="65"/>
      <c r="H1" s="47" t="s">
        <v>2</v>
      </c>
      <c r="I1" s="63"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64"/>
      <c r="K1" s="64"/>
      <c r="L1" s="64"/>
      <c r="M1" s="64"/>
      <c r="N1" s="64"/>
      <c r="O1" s="64"/>
      <c r="P1" s="64"/>
      <c r="Q1" s="64"/>
      <c r="R1" s="65"/>
    </row>
    <row r="2" spans="1:18" ht="63" customHeight="1" x14ac:dyDescent="0.5">
      <c r="A2" s="47" t="s">
        <v>4</v>
      </c>
      <c r="B2" s="66" t="str" cm="1">
        <f t="array" aca="1" ref="B2" ca="1">_xlfn.LET(_xlpm.fn, CELL("filename",$A$1), _xlpm.nm, MID(_xlpm.fn, FIND("]", _xlpm.fn) + 1, 255), _xlfn.XLOOKUP(_xlpm.nm &amp; "(*", Lamb!$A$2:$A$1000, Lamb!$C$2:$C$1000, "", 2))</f>
        <v>=LAMBDA(val_a, val_b, [as_row],
   set(VSTACK(val_a, val_b), IF(ISOMITTED(as_row), 0, as_row))
)</v>
      </c>
      <c r="C2" s="67"/>
      <c r="D2" s="67"/>
      <c r="E2" s="67"/>
      <c r="F2" s="67"/>
      <c r="G2" s="67"/>
      <c r="H2" s="67"/>
      <c r="I2" s="67"/>
      <c r="J2" s="67"/>
      <c r="K2" s="67"/>
      <c r="L2" s="67"/>
      <c r="M2" s="67"/>
      <c r="N2" s="67"/>
      <c r="O2" s="67"/>
      <c r="P2" s="67"/>
      <c r="Q2" s="67"/>
      <c r="R2" s="67"/>
    </row>
    <row r="4" spans="1:18" x14ac:dyDescent="0.5">
      <c r="A4" s="47" t="s">
        <v>3245</v>
      </c>
      <c r="R4" s="47" t="str">
        <f>COUNTIF(R6:R18,"PASS")&amp;" / 3 PASS"</f>
        <v>3 / 3 PASS</v>
      </c>
    </row>
    <row r="5" spans="1:18" x14ac:dyDescent="0.5">
      <c r="A5" s="47" t="s">
        <v>7</v>
      </c>
      <c r="B5" s="47" t="s">
        <v>8</v>
      </c>
      <c r="D5" s="47" t="s">
        <v>9</v>
      </c>
      <c r="J5" s="50" t="s">
        <v>10</v>
      </c>
      <c r="N5" s="51" t="s">
        <v>11</v>
      </c>
      <c r="R5" s="52" t="s">
        <v>12</v>
      </c>
    </row>
    <row r="6" spans="1:18" x14ac:dyDescent="0.5">
      <c r="A6" s="48">
        <v>1</v>
      </c>
      <c r="B6" s="49" t="s">
        <v>3246</v>
      </c>
      <c r="D6" s="53">
        <v>1</v>
      </c>
      <c r="F6" s="53">
        <v>2</v>
      </c>
      <c r="J6" s="54">
        <v>1</v>
      </c>
      <c r="N6" s="55" cm="1">
        <f t="array" ref="N6:N8">set_u(D6:D7,F6:F7)</f>
        <v>1</v>
      </c>
      <c r="R6" s="56" t="str" cm="1">
        <f t="array" ref="R6">IF(AND(J6:J8=N6:N8),"PASS","FAIL")</f>
        <v>PASS</v>
      </c>
    </row>
    <row r="7" spans="1:18" x14ac:dyDescent="0.5">
      <c r="A7" s="57"/>
      <c r="B7" s="57"/>
      <c r="D7" s="53">
        <v>2</v>
      </c>
      <c r="F7" s="53">
        <v>3</v>
      </c>
      <c r="J7" s="54">
        <v>2</v>
      </c>
      <c r="N7" s="55">
        <v>2</v>
      </c>
    </row>
    <row r="8" spans="1:18" x14ac:dyDescent="0.5">
      <c r="A8" s="57"/>
      <c r="B8" s="57"/>
      <c r="J8" s="54">
        <v>3</v>
      </c>
      <c r="N8" s="55">
        <v>3</v>
      </c>
    </row>
    <row r="10" spans="1:18" x14ac:dyDescent="0.5">
      <c r="A10" s="48">
        <v>2</v>
      </c>
      <c r="B10" s="49" t="s">
        <v>3247</v>
      </c>
      <c r="D10" s="53" t="s">
        <v>3026</v>
      </c>
      <c r="F10" s="53" t="s">
        <v>3027</v>
      </c>
      <c r="J10" s="54" t="s">
        <v>3026</v>
      </c>
      <c r="N10" s="55" t="str" cm="1">
        <f t="array" ref="N10:N13">set_u(D10:D11,F10:F12)</f>
        <v>a</v>
      </c>
      <c r="R10" s="56" t="str" cm="1">
        <f t="array" ref="R10">IF(AND(J10:J13=N10:N13),"PASS","FAIL")</f>
        <v>PASS</v>
      </c>
    </row>
    <row r="11" spans="1:18" x14ac:dyDescent="0.5">
      <c r="A11" s="57"/>
      <c r="B11" s="57"/>
      <c r="D11" s="53" t="s">
        <v>3027</v>
      </c>
      <c r="F11" s="53" t="s">
        <v>3035</v>
      </c>
      <c r="J11" s="54" t="s">
        <v>3027</v>
      </c>
      <c r="N11" s="55" t="str">
        <v>b</v>
      </c>
    </row>
    <row r="12" spans="1:18" x14ac:dyDescent="0.5">
      <c r="A12" s="57"/>
      <c r="B12" s="57"/>
      <c r="F12" s="53" t="s">
        <v>3028</v>
      </c>
      <c r="J12" s="54" t="s">
        <v>3035</v>
      </c>
      <c r="N12" s="55" t="str">
        <v>c</v>
      </c>
    </row>
    <row r="13" spans="1:18" x14ac:dyDescent="0.5">
      <c r="A13" s="57"/>
      <c r="B13" s="57"/>
      <c r="J13" s="54" t="s">
        <v>3028</v>
      </c>
      <c r="N13" s="55" t="str">
        <v>d</v>
      </c>
    </row>
    <row r="15" spans="1:18" x14ac:dyDescent="0.5">
      <c r="A15" s="48">
        <v>3</v>
      </c>
      <c r="B15" s="49" t="s">
        <v>3248</v>
      </c>
      <c r="D15" s="53">
        <v>1</v>
      </c>
      <c r="F15" s="53">
        <v>2</v>
      </c>
      <c r="H15" s="53">
        <v>1</v>
      </c>
      <c r="J15" s="54">
        <v>1</v>
      </c>
      <c r="K15" s="54">
        <v>2</v>
      </c>
      <c r="L15" s="54">
        <v>3</v>
      </c>
      <c r="N15" s="55" cm="1">
        <f t="array" ref="N15:P15">set_u(D15:D16,F15,H15)</f>
        <v>1</v>
      </c>
      <c r="O15" s="55">
        <v>2</v>
      </c>
      <c r="P15" s="55">
        <v>3</v>
      </c>
      <c r="R15" s="56" t="str" cm="1">
        <f t="array" ref="R15">IF(AND(J15:L15=N15:P15),"PASS","FAIL")</f>
        <v>PASS</v>
      </c>
    </row>
    <row r="16" spans="1:18" x14ac:dyDescent="0.5">
      <c r="A16" s="57"/>
      <c r="B16" s="57"/>
      <c r="D16" s="53">
        <v>3</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86"/>
  <dimension ref="A1:R21"/>
  <sheetViews>
    <sheetView workbookViewId="0"/>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8" ht="273" customHeight="1" x14ac:dyDescent="0.5">
      <c r="A1" s="47" t="s">
        <v>0</v>
      </c>
      <c r="B1" s="68" t="str" cm="1">
        <f t="array" aca="1" ref="B1" ca="1">_xlfn.LET(_xlpm.fn, CELL("filename",$A$1), _xlpm.nm, MID(_xlpm.fn, FIND("]", _xlpm.fn) + 1, 255), _xlfn.XLOOKUP(_xlpm.nm &amp; "(*", Lamb!$A$2:$A$1000, Lamb!$A$2:$A$1000, "", 2))</f>
        <v>shift_arr(arr, dir, [steps], [fill])</v>
      </c>
      <c r="C1" s="64"/>
      <c r="D1" s="64"/>
      <c r="E1" s="64"/>
      <c r="F1" s="65"/>
      <c r="H1" s="47" t="s">
        <v>2</v>
      </c>
      <c r="I1" s="63" t="str" cm="1">
        <f t="array" aca="1" ref="I1" ca="1">_xlfn.LET(_xlpm.fn, CELL("filename",$A$1), _xlpm.nm, MID(_xlpm.fn, FIND("]", _xlpm.fn) + 1, 255), _xlfn.XLOOKUP(_xlpm.nm &amp; "(*", Lamb!$A$2:$A$1000, Lamb!$D$2:$D$1000, "", 2))</f>
        <v>Shifts the contents of an array in a direction.
Arguments:
  arr     - the array to shift (1D or 2D).
  dir     - direction arrow.
  [steps] - number of cells to shift (default 1).
  [fill]  - value to place in vacated cells; if omitted, contents wrap around.
Returns:
  The shifted array, same shape as arr, or "" if dir is not a recognized direction.
Example:
  shift_arr(grid, "→", 1)</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=LAMBDA(arr, dir, [steps], [fill], LET(
   s, IF(ISOMITTED(steps), 1, steps),
   wrap_mode, IF(ISOMITTED(fill), TRUE, fill = "wrap"),
   num_rows, ROWS(arr),
   num_cols, COLUMNS(arr),
   dir_list, {"U", "D", "L", "R", "UL", "UR", "DL", "DR", "↑", "↓", "←", "→", "↖", "↗", "↙", "↘", "⇑", "⇓", "⇐", "⇒", "⇖", "⇗", "⇙", "⇘"},
   delta_r, CHOOSE(
      XMATCH(dir, dir_list),
      -1,
      1,
      0,
      0,
      -1,
      -1,
      1,
      1,
      -1,
      1,
      0,
      0,
      -1,
      -1,
      1,
      1,
      -1,
      1,
      0,
      0,
      -1,
      -1,
      1,
      1
   ),
   delta_c, CHOOSE(
      XMATCH(dir,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67"/>
      <c r="D2" s="67"/>
      <c r="E2" s="67"/>
      <c r="F2" s="67"/>
      <c r="G2" s="67"/>
      <c r="H2" s="67"/>
      <c r="I2" s="67"/>
      <c r="J2" s="67"/>
      <c r="K2" s="67"/>
      <c r="L2" s="67"/>
      <c r="M2" s="67"/>
      <c r="N2" s="67"/>
      <c r="O2" s="67"/>
      <c r="P2" s="67"/>
      <c r="Q2" s="67"/>
      <c r="R2" s="67"/>
    </row>
    <row r="4" spans="1:18" x14ac:dyDescent="0.5">
      <c r="A4" s="47" t="s">
        <v>3249</v>
      </c>
      <c r="R4" s="47" t="str">
        <f>COUNTIF(R6:R21,"PASS")&amp;" / 5 PASS"</f>
        <v>5 / 5 PASS</v>
      </c>
    </row>
    <row r="5" spans="1:18" x14ac:dyDescent="0.5">
      <c r="A5" s="47" t="s">
        <v>7</v>
      </c>
      <c r="B5" s="47" t="s">
        <v>8</v>
      </c>
      <c r="D5" s="47" t="s">
        <v>9</v>
      </c>
      <c r="L5" s="50" t="s">
        <v>10</v>
      </c>
      <c r="O5" s="51" t="s">
        <v>11</v>
      </c>
      <c r="R5" s="52" t="s">
        <v>12</v>
      </c>
    </row>
    <row r="6" spans="1:18" x14ac:dyDescent="0.5">
      <c r="A6" s="48">
        <v>1</v>
      </c>
      <c r="B6" s="49" t="s">
        <v>3250</v>
      </c>
      <c r="D6" s="53">
        <v>1</v>
      </c>
      <c r="F6" s="53" t="s">
        <v>160</v>
      </c>
      <c r="L6" s="54">
        <v>3</v>
      </c>
      <c r="O6" s="55" cm="1">
        <f t="array" ref="O6:O8">shift_arr(D6:D8,F6)</f>
        <v>3</v>
      </c>
      <c r="R6" s="56" t="str" cm="1">
        <f t="array" ref="R6">IF(AND(L6:L8=O6:O8),"PASS","FAIL")</f>
        <v>PASS</v>
      </c>
    </row>
    <row r="7" spans="1:18" x14ac:dyDescent="0.5">
      <c r="A7" s="57"/>
      <c r="B7" s="57"/>
      <c r="D7" s="53">
        <v>2</v>
      </c>
      <c r="L7" s="54">
        <v>1</v>
      </c>
      <c r="O7" s="55">
        <v>1</v>
      </c>
    </row>
    <row r="8" spans="1:18" x14ac:dyDescent="0.5">
      <c r="A8" s="57"/>
      <c r="B8" s="57"/>
      <c r="D8" s="53">
        <v>3</v>
      </c>
      <c r="L8" s="54">
        <v>2</v>
      </c>
      <c r="O8" s="55">
        <v>2</v>
      </c>
    </row>
    <row r="10" spans="1:18" x14ac:dyDescent="0.5">
      <c r="A10" s="48">
        <v>2</v>
      </c>
      <c r="B10" s="49" t="s">
        <v>3251</v>
      </c>
      <c r="D10" s="53">
        <v>1</v>
      </c>
      <c r="F10" s="53" t="s">
        <v>162</v>
      </c>
      <c r="L10" s="54">
        <v>2</v>
      </c>
      <c r="O10" s="55" cm="1">
        <f t="array" ref="O10:O12">shift_arr(D10:D12,F10)</f>
        <v>2</v>
      </c>
      <c r="R10" s="56" t="str" cm="1">
        <f t="array" ref="R10">IF(AND(L10:L12=O10:O12),"PASS","FAIL")</f>
        <v>PASS</v>
      </c>
    </row>
    <row r="11" spans="1:18" x14ac:dyDescent="0.5">
      <c r="A11" s="57"/>
      <c r="B11" s="57"/>
      <c r="D11" s="53">
        <v>2</v>
      </c>
      <c r="L11" s="54">
        <v>3</v>
      </c>
      <c r="O11" s="55">
        <v>3</v>
      </c>
    </row>
    <row r="12" spans="1:18" x14ac:dyDescent="0.5">
      <c r="A12" s="57"/>
      <c r="B12" s="57"/>
      <c r="D12" s="53">
        <v>3</v>
      </c>
      <c r="L12" s="54">
        <v>1</v>
      </c>
      <c r="O12" s="55">
        <v>1</v>
      </c>
    </row>
    <row r="14" spans="1:18" x14ac:dyDescent="0.5">
      <c r="A14" s="48">
        <v>3</v>
      </c>
      <c r="B14" s="49" t="s">
        <v>3252</v>
      </c>
      <c r="D14" s="53">
        <v>1</v>
      </c>
      <c r="F14" s="53" t="s">
        <v>160</v>
      </c>
      <c r="H14" s="53">
        <v>1</v>
      </c>
      <c r="J14" s="53">
        <v>0</v>
      </c>
      <c r="L14" s="54">
        <v>0</v>
      </c>
      <c r="O14" s="55" cm="1">
        <f t="array" ref="O14:O16">shift_arr(D14:D16,F14,H14,J14)</f>
        <v>0</v>
      </c>
      <c r="R14" s="56" t="str" cm="1">
        <f t="array" ref="R14">IF(AND(L14:L16=O14:O16),"PASS","FAIL")</f>
        <v>PASS</v>
      </c>
    </row>
    <row r="15" spans="1:18" x14ac:dyDescent="0.5">
      <c r="A15" s="57"/>
      <c r="B15" s="57"/>
      <c r="D15" s="53">
        <v>2</v>
      </c>
      <c r="L15" s="54">
        <v>1</v>
      </c>
      <c r="O15" s="55">
        <v>1</v>
      </c>
    </row>
    <row r="16" spans="1:18" x14ac:dyDescent="0.5">
      <c r="A16" s="57"/>
      <c r="B16" s="57"/>
      <c r="D16" s="53">
        <v>3</v>
      </c>
      <c r="L16" s="54">
        <v>2</v>
      </c>
      <c r="O16" s="55">
        <v>2</v>
      </c>
    </row>
    <row r="18" spans="1:18" x14ac:dyDescent="0.5">
      <c r="A18" s="48">
        <v>4</v>
      </c>
      <c r="B18" s="49" t="s">
        <v>3253</v>
      </c>
      <c r="D18" s="53">
        <v>1</v>
      </c>
      <c r="E18" s="53">
        <v>2</v>
      </c>
      <c r="G18" s="53" t="s">
        <v>194</v>
      </c>
      <c r="L18" s="54">
        <v>2</v>
      </c>
      <c r="M18" s="54">
        <v>1</v>
      </c>
      <c r="O18" s="55" cm="1">
        <f t="array" ref="O18:P19">shift_arr(D18:E19,G18)</f>
        <v>2</v>
      </c>
      <c r="P18" s="55">
        <v>1</v>
      </c>
      <c r="R18" s="56" t="str" cm="1">
        <f t="array" ref="R18">IF(AND(L18:M19=O18:P19),"PASS","FAIL")</f>
        <v>PASS</v>
      </c>
    </row>
    <row r="19" spans="1:18" x14ac:dyDescent="0.5">
      <c r="A19" s="57"/>
      <c r="B19" s="57"/>
      <c r="D19" s="53">
        <v>3</v>
      </c>
      <c r="E19" s="53">
        <v>4</v>
      </c>
      <c r="L19" s="54">
        <v>4</v>
      </c>
      <c r="M19" s="54">
        <v>3</v>
      </c>
      <c r="O19" s="55">
        <v>4</v>
      </c>
      <c r="P19" s="55">
        <v>3</v>
      </c>
    </row>
    <row r="21" spans="1:18" x14ac:dyDescent="0.5">
      <c r="A21" s="48">
        <v>5</v>
      </c>
      <c r="B21" s="49" t="s">
        <v>3383</v>
      </c>
      <c r="D21" s="53">
        <v>1</v>
      </c>
      <c r="F21" s="53" t="s">
        <v>3378</v>
      </c>
      <c r="L21" s="54" t="str">
        <f>""</f>
        <v/>
      </c>
      <c r="O21" s="55" t="str">
        <f>shift_arr(D21,F21)</f>
        <v/>
      </c>
      <c r="R21" s="56" t="str">
        <f>IF(O21=L21,"PASS","FAIL")</f>
        <v>PASS</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87"/>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smallest(check, return)</v>
      </c>
      <c r="C1" s="64"/>
      <c r="D1" s="64"/>
      <c r="E1" s="64"/>
      <c r="F1" s="65"/>
      <c r="H1" s="47" t="s">
        <v>2</v>
      </c>
      <c r="I1" s="63"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=LAMBDA(check, return, IFNA(XLOOKUP(MIN(check), check, return), ""))</v>
      </c>
      <c r="C2" s="67"/>
      <c r="D2" s="67"/>
      <c r="E2" s="67"/>
      <c r="F2" s="67"/>
      <c r="G2" s="67"/>
      <c r="H2" s="67"/>
      <c r="I2" s="67"/>
      <c r="J2" s="67"/>
      <c r="K2" s="67"/>
      <c r="L2" s="67"/>
      <c r="M2" s="67"/>
      <c r="N2" s="67"/>
      <c r="O2" s="67"/>
      <c r="P2" s="67"/>
      <c r="Q2" s="67"/>
      <c r="R2" s="67"/>
    </row>
    <row r="4" spans="1:18" x14ac:dyDescent="0.5">
      <c r="A4" s="47" t="s">
        <v>3254</v>
      </c>
      <c r="L4" s="47" t="str">
        <f>COUNTIF(L6:L15,"PASS")&amp;" / 3 PASS"</f>
        <v>3 / 3 PASS</v>
      </c>
    </row>
    <row r="5" spans="1:18" x14ac:dyDescent="0.5">
      <c r="A5" s="47" t="s">
        <v>7</v>
      </c>
      <c r="B5" s="47" t="s">
        <v>8</v>
      </c>
      <c r="D5" s="47" t="s">
        <v>9</v>
      </c>
      <c r="H5" s="50" t="s">
        <v>10</v>
      </c>
      <c r="J5" s="51" t="s">
        <v>11</v>
      </c>
      <c r="L5" s="52" t="s">
        <v>12</v>
      </c>
    </row>
    <row r="6" spans="1:18" x14ac:dyDescent="0.5">
      <c r="A6" s="48">
        <v>1</v>
      </c>
      <c r="B6" s="49" t="s">
        <v>3255</v>
      </c>
      <c r="D6" s="53">
        <v>30</v>
      </c>
      <c r="F6" s="53" t="s">
        <v>3026</v>
      </c>
      <c r="H6" s="54" t="s">
        <v>3026</v>
      </c>
      <c r="J6" s="55" t="str" cm="1">
        <f t="array" ref="J6">smallest(D6:D8,F6:F8)</f>
        <v>a</v>
      </c>
      <c r="L6" s="56" t="str">
        <f>IF(J6=H6,"PASS","FAIL")</f>
        <v>PASS</v>
      </c>
    </row>
    <row r="7" spans="1:18" x14ac:dyDescent="0.5">
      <c r="A7" s="57"/>
      <c r="B7" s="57"/>
      <c r="D7" s="53">
        <v>70</v>
      </c>
      <c r="F7" s="53" t="s">
        <v>3027</v>
      </c>
    </row>
    <row r="8" spans="1:18" x14ac:dyDescent="0.5">
      <c r="A8" s="57"/>
      <c r="B8" s="57"/>
      <c r="D8" s="53">
        <v>50</v>
      </c>
      <c r="F8" s="53" t="s">
        <v>3035</v>
      </c>
    </row>
    <row r="10" spans="1:18" x14ac:dyDescent="0.5">
      <c r="A10" s="48">
        <v>2</v>
      </c>
      <c r="B10" s="49" t="s">
        <v>3256</v>
      </c>
      <c r="D10" s="53">
        <v>5</v>
      </c>
      <c r="F10" s="53" t="s">
        <v>3037</v>
      </c>
      <c r="H10" s="54" t="s">
        <v>3039</v>
      </c>
      <c r="J10" s="55" t="str" cm="1">
        <f t="array" ref="J10">smallest(D10:D13,F10:F13)</f>
        <v>r</v>
      </c>
      <c r="L10" s="56" t="str">
        <f>IF(J10=H10,"PASS","FAIL")</f>
        <v>PASS</v>
      </c>
    </row>
    <row r="11" spans="1:18" x14ac:dyDescent="0.5">
      <c r="A11" s="57"/>
      <c r="B11" s="57"/>
      <c r="D11" s="53">
        <v>9</v>
      </c>
      <c r="F11" s="53" t="s">
        <v>3038</v>
      </c>
    </row>
    <row r="12" spans="1:18" x14ac:dyDescent="0.5">
      <c r="A12" s="57"/>
      <c r="B12" s="57"/>
      <c r="D12" s="53">
        <v>2</v>
      </c>
      <c r="F12" s="53" t="s">
        <v>3039</v>
      </c>
    </row>
    <row r="13" spans="1:18" x14ac:dyDescent="0.5">
      <c r="A13" s="57"/>
      <c r="B13" s="57"/>
      <c r="D13" s="53">
        <v>2</v>
      </c>
      <c r="F13" s="53" t="s">
        <v>3040</v>
      </c>
    </row>
    <row r="15" spans="1:18" x14ac:dyDescent="0.5">
      <c r="A15" s="48">
        <v>3</v>
      </c>
      <c r="B15" s="49" t="s">
        <v>3384</v>
      </c>
      <c r="D15" s="53" t="s">
        <v>3046</v>
      </c>
      <c r="F15" s="53" t="s">
        <v>3385</v>
      </c>
      <c r="H15" s="54" t="str">
        <f>""</f>
        <v/>
      </c>
      <c r="J15" s="55" t="str">
        <f>smallest(D15,F15)</f>
        <v/>
      </c>
      <c r="L15" s="56" t="str">
        <f>IF(J15=H15,"PASS","FAIL")</f>
        <v>PASS</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88"/>
  <dimension ref="A1:R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8" ht="231" customHeight="1" x14ac:dyDescent="0.5">
      <c r="A1" s="47" t="s">
        <v>0</v>
      </c>
      <c r="B1" s="68" t="str" cm="1">
        <f t="array" aca="1" ref="B1" ca="1">_xlfn.LET(_xlpm.fn, CELL("filename",$A$1), _xlpm.nm, MID(_xlpm.fn, FIND("]", _xlpm.fn) + 1, 255), _xlfn.XLOOKUP(_xlpm.nm &amp; "(*", Lamb!$A$2:$A$1000, Lamb!$A$2:$A$1000, "", 2))</f>
        <v>str2arr(str_or_array, [as_row])</v>
      </c>
      <c r="C1" s="64"/>
      <c r="D1" s="64"/>
      <c r="E1" s="64"/>
      <c r="F1" s="65"/>
      <c r="H1" s="47" t="s">
        <v>2</v>
      </c>
      <c r="I1" s="63"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str2arr("ab1")  -&gt;  {"a";"b";1}</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67"/>
      <c r="D2" s="67"/>
      <c r="E2" s="67"/>
      <c r="F2" s="67"/>
      <c r="G2" s="67"/>
      <c r="H2" s="67"/>
      <c r="I2" s="67"/>
      <c r="J2" s="67"/>
      <c r="K2" s="67"/>
      <c r="L2" s="67"/>
      <c r="M2" s="67"/>
      <c r="N2" s="67"/>
      <c r="O2" s="67"/>
      <c r="P2" s="67"/>
      <c r="Q2" s="67"/>
      <c r="R2" s="67"/>
    </row>
    <row r="4" spans="1:18" x14ac:dyDescent="0.5">
      <c r="A4" s="47" t="s">
        <v>3257</v>
      </c>
      <c r="P4" s="47" t="str">
        <f>COUNTIF(P6:P16,"PASS")&amp;" / 3 PASS"</f>
        <v>3 / 3 PASS</v>
      </c>
    </row>
    <row r="5" spans="1:18" x14ac:dyDescent="0.5">
      <c r="A5" s="47" t="s">
        <v>7</v>
      </c>
      <c r="B5" s="47" t="s">
        <v>8</v>
      </c>
      <c r="D5" s="47" t="s">
        <v>9</v>
      </c>
      <c r="H5" s="50" t="s">
        <v>10</v>
      </c>
      <c r="L5" s="51" t="s">
        <v>11</v>
      </c>
      <c r="P5" s="52" t="s">
        <v>12</v>
      </c>
    </row>
    <row r="6" spans="1:18" x14ac:dyDescent="0.5">
      <c r="A6" s="48">
        <v>1</v>
      </c>
      <c r="B6" s="49" t="s">
        <v>3258</v>
      </c>
      <c r="D6" s="53" t="s">
        <v>3164</v>
      </c>
      <c r="H6" s="54" t="s">
        <v>3026</v>
      </c>
      <c r="L6" s="55" t="str" cm="1">
        <f t="array" ref="L6:L8">str2arr(D6)</f>
        <v>a</v>
      </c>
      <c r="P6" s="56" t="str" cm="1">
        <f t="array" ref="P6">IF(AND(H6:H8=L6:L8),"PASS","FAIL")</f>
        <v>PASS</v>
      </c>
    </row>
    <row r="7" spans="1:18" x14ac:dyDescent="0.5">
      <c r="A7" s="57"/>
      <c r="B7" s="57"/>
      <c r="H7" s="54" t="s">
        <v>3027</v>
      </c>
      <c r="L7" s="55" t="str">
        <v>b</v>
      </c>
    </row>
    <row r="8" spans="1:18" x14ac:dyDescent="0.5">
      <c r="A8" s="57"/>
      <c r="B8" s="57"/>
      <c r="H8" s="54" t="s">
        <v>3035</v>
      </c>
      <c r="L8" s="55" t="str">
        <v>c</v>
      </c>
    </row>
    <row r="10" spans="1:18" x14ac:dyDescent="0.5">
      <c r="A10" s="48">
        <v>2</v>
      </c>
      <c r="B10" s="49" t="s">
        <v>3259</v>
      </c>
      <c r="D10" s="53" t="s">
        <v>3260</v>
      </c>
      <c r="H10" s="54" t="s">
        <v>3046</v>
      </c>
      <c r="L10" s="55" t="str" cm="1">
        <f t="array" ref="L10:L12">str2arr(D10)</f>
        <v>x</v>
      </c>
      <c r="P10" s="56" t="str" cm="1">
        <f t="array" ref="P10">IF(AND(H10:H12=L10:L12),"PASS","FAIL")</f>
        <v>PASS</v>
      </c>
    </row>
    <row r="11" spans="1:18" x14ac:dyDescent="0.5">
      <c r="A11" s="57"/>
      <c r="B11" s="57"/>
      <c r="H11" s="54">
        <v>1</v>
      </c>
      <c r="L11" s="55">
        <v>1</v>
      </c>
    </row>
    <row r="12" spans="1:18" x14ac:dyDescent="0.5">
      <c r="A12" s="57"/>
      <c r="B12" s="57"/>
      <c r="H12" s="54" t="s">
        <v>3261</v>
      </c>
      <c r="L12" s="55" t="str">
        <v>y</v>
      </c>
    </row>
    <row r="14" spans="1:18" x14ac:dyDescent="0.5">
      <c r="A14" s="48">
        <v>3</v>
      </c>
      <c r="B14" s="49" t="s">
        <v>3262</v>
      </c>
      <c r="D14" s="53" t="s">
        <v>3164</v>
      </c>
      <c r="F14" s="53">
        <v>1</v>
      </c>
      <c r="H14" s="54" t="s">
        <v>3026</v>
      </c>
      <c r="I14" s="54" t="s">
        <v>3027</v>
      </c>
      <c r="J14" s="54" t="s">
        <v>3035</v>
      </c>
      <c r="L14" s="55" t="str" cm="1">
        <f t="array" ref="L14:N14">str2arr(D14,F14)</f>
        <v>a</v>
      </c>
      <c r="M14" s="55" t="str">
        <v>b</v>
      </c>
      <c r="N14" s="55" t="str">
        <v>c</v>
      </c>
      <c r="P14" s="56" t="str" cm="1">
        <f t="array" ref="P14">IF(AND(H14:J14=L14:N14),"PASS","FAIL")</f>
        <v>PASS</v>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89"/>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94" customHeight="1" x14ac:dyDescent="0.5">
      <c r="A1" s="47" t="s">
        <v>0</v>
      </c>
      <c r="B1" s="68" t="str" cm="1">
        <f t="array" aca="1" ref="B1" ca="1">_xlfn.LET(_xlpm.fn, CELL("filename",$A$1), _xlpm.nm, MID(_xlpm.fn, FIND("]", _xlpm.fn) + 1, 255), _xlfn.XLOOKUP(_xlpm.nm &amp; "(*", Lamb!$A$2:$A$1000, Lamb!$A$2:$A$1000, "", 2))</f>
        <v>str_ad(arr)</v>
      </c>
      <c r="C1" s="64"/>
      <c r="D1" s="64"/>
      <c r="E1" s="64"/>
      <c r="F1" s="65"/>
      <c r="H1" s="47" t="s">
        <v>2</v>
      </c>
      <c r="I1" s="63" t="str" cm="1">
        <f t="array" aca="1" ref="I1" ca="1">_xlfn.LET(_xlpm.fn, CELL("filename",$A$1), _xlpm.nm, MID(_xlpm.fn, FIND("]", _xlpm.fn) + 1, 255), _xlfn.XLOOKUP(_xlpm.nm &amp; "(*", Lamb!$A$2:$A$1000, Lamb!$D$2:$D$1000, "", 2))</f>
        <v>Converts numeric addresses (1e6 * row + col) to A1 string addresses, element-wise. Inverse of num_ad.
Only a valid numeric address is converted; strings, non-integers, and out-of-range numbers pass through unchanged.
WARNING: str_ad cannot tell an "address number" from a data number - ANY integer in the valid range (row 1-1048576, col 1-16384) becomes an A1 string. Only apply it to arrays known to hold addresses (e.g. the final answer), never to arbitrary numeric data.
Arguments:
  arr - a value or array. A number is converted when it is an integer with INT(n/1e6) in [1,1048576] and MOD(n,1e6) in [1,16384].
Returns:
  Same shape as arr; each valid numeric address replaced by its relative A1 string. A single cell returns a scalar.
Example:
  str_ad(3000004) -&gt; "D3" ; str_ad("D3") -&gt; "D3" ; str_ad(2000000) -&gt; 2000000</v>
      </c>
      <c r="J1" s="64"/>
      <c r="K1" s="64"/>
      <c r="L1" s="64"/>
      <c r="M1" s="64"/>
      <c r="N1" s="64"/>
      <c r="O1" s="64"/>
      <c r="P1" s="64"/>
      <c r="Q1" s="64"/>
      <c r="R1" s="65"/>
    </row>
    <row r="2" spans="1:18" ht="294" customHeight="1" x14ac:dyDescent="0.5">
      <c r="A2" s="47" t="s">
        <v>4</v>
      </c>
      <c r="B2" s="66" t="str" cm="1">
        <f t="array" aca="1" ref="B2" ca="1">_xlfn.LET(_xlpm.fn, CELL("filename",$A$1), _xlpm.nm, MID(_xlpm.fn, FIND("]", _xlpm.fn) + 1, 255), _xlfn.XLOOKUP(_xlpm.nm &amp; "(*", Lamb!$A$2:$A$1000, Lamb!$C$2:$C$1000, "", 2))</f>
        <v>=LAMBDA(arr,
  LET(
    to_str, LAMBDA(one,
      IFERROR(
        IF(NOT(ISNUMBER(one)), one,
          LET(
            row_num, INT(one / 1000000),
            col, MOD(one, 1000000),
            ok, AND(one = INT(one), row_num &gt;= 1, row_num &lt;= 1048576, col &gt;= 1, col &lt;= 16384),
            IF(ok, ADDRESS(row_num, col, 4), one))),
        one)),
    IF(ROWS(arr) * COLUMNS(arr) = 1, to_str(arr), MAP(arr, to_str))
  )
)</v>
      </c>
      <c r="C2" s="67"/>
      <c r="D2" s="67"/>
      <c r="E2" s="67"/>
      <c r="F2" s="67"/>
      <c r="G2" s="67"/>
      <c r="H2" s="67"/>
      <c r="I2" s="67"/>
      <c r="J2" s="67"/>
      <c r="K2" s="67"/>
      <c r="L2" s="67"/>
      <c r="M2" s="67"/>
      <c r="N2" s="67"/>
      <c r="O2" s="67"/>
      <c r="P2" s="67"/>
      <c r="Q2" s="67"/>
      <c r="R2" s="67"/>
    </row>
    <row r="4" spans="1:18" x14ac:dyDescent="0.5">
      <c r="A4" s="47" t="s">
        <v>3263</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3264</v>
      </c>
      <c r="D6" s="53">
        <v>3000004</v>
      </c>
      <c r="F6" s="54" t="s">
        <v>3146</v>
      </c>
      <c r="H6" s="55" t="str" cm="1">
        <f t="array" ref="H6">str_ad(D6)</f>
        <v>D3</v>
      </c>
      <c r="J6" s="56" t="str">
        <f>IF(H6=F6,"PASS","FAIL")</f>
        <v>PASS</v>
      </c>
    </row>
    <row r="8" spans="1:18" x14ac:dyDescent="0.5">
      <c r="A8" s="48">
        <v>2</v>
      </c>
      <c r="B8" s="49" t="s">
        <v>3265</v>
      </c>
      <c r="D8" s="53" t="s">
        <v>3146</v>
      </c>
      <c r="F8" s="54" t="s">
        <v>3146</v>
      </c>
      <c r="H8" s="55" t="str" cm="1">
        <f t="array" ref="H8">str_ad(D8)</f>
        <v>D3</v>
      </c>
      <c r="J8" s="56" t="str">
        <f>IF(H8=F8,"PASS","FAIL")</f>
        <v>PASS</v>
      </c>
    </row>
    <row r="10" spans="1:18" x14ac:dyDescent="0.5">
      <c r="A10" s="48">
        <v>3</v>
      </c>
      <c r="B10" s="49" t="s">
        <v>3266</v>
      </c>
      <c r="D10" s="53">
        <v>2000000</v>
      </c>
      <c r="F10" s="54">
        <v>2000000</v>
      </c>
      <c r="H10" s="55" cm="1">
        <f t="array" ref="H10">str_ad(D10)</f>
        <v>2000000</v>
      </c>
      <c r="J10" s="56" t="str">
        <f>IF(H10=F10,"PASS","FAIL")</f>
        <v>PASS</v>
      </c>
    </row>
    <row r="12" spans="1:18" x14ac:dyDescent="0.5">
      <c r="A12" s="48">
        <v>4</v>
      </c>
      <c r="B12" s="49" t="s">
        <v>3267</v>
      </c>
      <c r="D12" s="53">
        <v>1000001</v>
      </c>
      <c r="F12" s="54" t="s">
        <v>3014</v>
      </c>
      <c r="H12" s="55" t="str" cm="1">
        <f t="array" ref="H12:H13">str_ad(D12:D13)</f>
        <v>A1</v>
      </c>
      <c r="J12" s="56" t="str" cm="1">
        <f t="array" ref="J12">IF(AND(F12:F13=H12:H13),"PASS","FAIL")</f>
        <v>PASS</v>
      </c>
    </row>
    <row r="13" spans="1:18" x14ac:dyDescent="0.5">
      <c r="A13" s="57"/>
      <c r="B13" s="57"/>
      <c r="D13" s="53">
        <v>2000002</v>
      </c>
      <c r="F13" s="54" t="s">
        <v>3138</v>
      </c>
      <c r="H13" s="55" t="str">
        <v>B2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90"/>
  <dimension ref="A1:R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str_rev(str)</v>
      </c>
      <c r="C1" s="64"/>
      <c r="D1" s="64"/>
      <c r="E1" s="64"/>
      <c r="F1" s="65"/>
      <c r="H1" s="47" t="s">
        <v>2</v>
      </c>
      <c r="I1" s="63"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64"/>
      <c r="K1" s="64"/>
      <c r="L1" s="64"/>
      <c r="M1" s="64"/>
      <c r="N1" s="64"/>
      <c r="O1" s="64"/>
      <c r="P1" s="64"/>
      <c r="Q1" s="64"/>
      <c r="R1" s="65"/>
    </row>
    <row r="2" spans="1:18" ht="210" customHeight="1" x14ac:dyDescent="0.5">
      <c r="A2" s="47" t="s">
        <v>4</v>
      </c>
      <c r="B2" s="66"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67"/>
      <c r="D2" s="67"/>
      <c r="E2" s="67"/>
      <c r="F2" s="67"/>
      <c r="G2" s="67"/>
      <c r="H2" s="67"/>
      <c r="I2" s="67"/>
      <c r="J2" s="67"/>
      <c r="K2" s="67"/>
      <c r="L2" s="67"/>
      <c r="M2" s="67"/>
      <c r="N2" s="67"/>
      <c r="O2" s="67"/>
      <c r="P2" s="67"/>
      <c r="Q2" s="67"/>
      <c r="R2" s="67"/>
    </row>
    <row r="4" spans="1:18" x14ac:dyDescent="0.5">
      <c r="A4" s="47" t="s">
        <v>3268</v>
      </c>
      <c r="J4" s="47" t="str">
        <f>COUNTIF(J6:J15,"PASS")&amp;" / 4 PASS"</f>
        <v>4 / 4 PASS</v>
      </c>
    </row>
    <row r="5" spans="1:18" x14ac:dyDescent="0.5">
      <c r="A5" s="47" t="s">
        <v>7</v>
      </c>
      <c r="B5" s="47" t="s">
        <v>8</v>
      </c>
      <c r="D5" s="47" t="s">
        <v>9</v>
      </c>
      <c r="F5" s="50" t="s">
        <v>10</v>
      </c>
      <c r="H5" s="51" t="s">
        <v>11</v>
      </c>
      <c r="J5" s="52" t="s">
        <v>12</v>
      </c>
    </row>
    <row r="6" spans="1:18" x14ac:dyDescent="0.5">
      <c r="A6" s="48">
        <v>1</v>
      </c>
      <c r="B6" s="49" t="s">
        <v>3164</v>
      </c>
      <c r="D6" s="53" t="s">
        <v>3164</v>
      </c>
      <c r="F6" s="54" t="s">
        <v>3269</v>
      </c>
      <c r="H6" s="55" t="str" cm="1">
        <f t="array" ref="H6">str_rev(D6)</f>
        <v>cba</v>
      </c>
      <c r="J6" s="56" t="str">
        <f>IF(H6=F6,"PASS","FAIL")</f>
        <v>PASS</v>
      </c>
    </row>
    <row r="8" spans="1:18" x14ac:dyDescent="0.5">
      <c r="A8" s="48">
        <v>2</v>
      </c>
      <c r="B8" s="49" t="s">
        <v>3270</v>
      </c>
      <c r="D8" s="53" t="s">
        <v>3270</v>
      </c>
      <c r="F8" s="54" t="s">
        <v>3271</v>
      </c>
      <c r="H8" s="55" t="str" cm="1">
        <f t="array" ref="H8">str_rev(D8)</f>
        <v>olleh</v>
      </c>
      <c r="J8" s="56" t="str">
        <f>IF(H8=F8,"PASS","FAIL")</f>
        <v>PASS</v>
      </c>
    </row>
    <row r="10" spans="1:18" x14ac:dyDescent="0.5">
      <c r="A10" s="48">
        <v>3</v>
      </c>
      <c r="B10" s="49" t="s">
        <v>3272</v>
      </c>
      <c r="D10" s="53" t="s">
        <v>3273</v>
      </c>
      <c r="F10" s="54" t="s">
        <v>3274</v>
      </c>
      <c r="H10" s="55" t="str" cm="1">
        <f t="array" ref="H10">str_rev(D10)</f>
        <v>b1A</v>
      </c>
      <c r="J10" s="56" t="str">
        <f>IF(H10=F10,"PASS","FAIL")</f>
        <v>PASS</v>
      </c>
    </row>
    <row r="12" spans="1:18" x14ac:dyDescent="0.5">
      <c r="A12" s="48">
        <v>4</v>
      </c>
      <c r="B12" s="49" t="s">
        <v>3186</v>
      </c>
      <c r="D12" s="53" t="s">
        <v>3164</v>
      </c>
      <c r="F12" s="54" t="s">
        <v>3269</v>
      </c>
      <c r="H12" s="55" t="str" cm="1">
        <f t="array" ref="H12:H13">str_rev(D12:D13)</f>
        <v>cba</v>
      </c>
      <c r="J12" s="56" t="str" cm="1">
        <f t="array" ref="J12">IF(AND(F12:F13=H12:H13),"PASS","FAIL")</f>
        <v>PASS</v>
      </c>
    </row>
    <row r="13" spans="1:18" x14ac:dyDescent="0.5">
      <c r="A13" s="57"/>
      <c r="B13" s="57"/>
      <c r="D13" s="53" t="s">
        <v>3275</v>
      </c>
      <c r="F13" s="54" t="s">
        <v>3276</v>
      </c>
      <c r="H13" s="55" t="str">
        <v>yx</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91"/>
  <dimension ref="A1:R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textbetween(str_or_arr, prefix, suffix)</v>
      </c>
      <c r="C1" s="64"/>
      <c r="D1" s="64"/>
      <c r="E1" s="64"/>
      <c r="F1" s="65"/>
      <c r="H1" s="47" t="s">
        <v>2</v>
      </c>
      <c r="I1" s="63"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67"/>
      <c r="D2" s="67"/>
      <c r="E2" s="67"/>
      <c r="F2" s="67"/>
      <c r="G2" s="67"/>
      <c r="H2" s="67"/>
      <c r="I2" s="67"/>
      <c r="J2" s="67"/>
      <c r="K2" s="67"/>
      <c r="L2" s="67"/>
      <c r="M2" s="67"/>
      <c r="N2" s="67"/>
      <c r="O2" s="67"/>
      <c r="P2" s="67"/>
      <c r="Q2" s="67"/>
      <c r="R2" s="67"/>
    </row>
    <row r="4" spans="1:18" x14ac:dyDescent="0.5">
      <c r="A4" s="47" t="s">
        <v>3277</v>
      </c>
      <c r="N4" s="47" t="str">
        <f>COUNTIF(N6:N17,"PASS")&amp;" / 5 PASS"</f>
        <v>5 / 5 PASS</v>
      </c>
    </row>
    <row r="5" spans="1:18" x14ac:dyDescent="0.5">
      <c r="A5" s="47" t="s">
        <v>7</v>
      </c>
      <c r="B5" s="47" t="s">
        <v>8</v>
      </c>
      <c r="D5" s="47" t="s">
        <v>9</v>
      </c>
      <c r="J5" s="50" t="s">
        <v>10</v>
      </c>
      <c r="L5" s="51" t="s">
        <v>11</v>
      </c>
      <c r="N5" s="52" t="s">
        <v>12</v>
      </c>
    </row>
    <row r="6" spans="1:18" x14ac:dyDescent="0.5">
      <c r="A6" s="48">
        <v>1</v>
      </c>
      <c r="B6" s="49" t="s">
        <v>3278</v>
      </c>
      <c r="D6" s="53" t="s">
        <v>3279</v>
      </c>
      <c r="F6" s="53" t="s">
        <v>3280</v>
      </c>
      <c r="H6" s="53" t="s">
        <v>3281</v>
      </c>
      <c r="J6" s="54" t="s">
        <v>3046</v>
      </c>
      <c r="L6" s="55" t="str" cm="1">
        <f t="array" ref="L6">textbetween(D6,F6,H6)</f>
        <v>x</v>
      </c>
      <c r="N6" s="56" t="str">
        <f>IF(L6=J6,"PASS","FAIL")</f>
        <v>PASS</v>
      </c>
    </row>
    <row r="8" spans="1:18" x14ac:dyDescent="0.5">
      <c r="A8" s="48">
        <v>2</v>
      </c>
      <c r="B8" s="49" t="s">
        <v>3282</v>
      </c>
      <c r="D8" s="53" t="s">
        <v>3283</v>
      </c>
      <c r="F8" s="53" t="s">
        <v>3284</v>
      </c>
      <c r="H8" s="53" t="s">
        <v>3285</v>
      </c>
      <c r="J8" s="54" t="s">
        <v>3153</v>
      </c>
      <c r="L8" s="55" t="str" cm="1">
        <f t="array" ref="L8">textbetween(D8,F8,H8)</f>
        <v>hi</v>
      </c>
      <c r="N8" s="56" t="str">
        <f>IF(L8=J8,"PASS","FAIL")</f>
        <v>PASS</v>
      </c>
    </row>
    <row r="10" spans="1:18" x14ac:dyDescent="0.5">
      <c r="A10" s="48">
        <v>3</v>
      </c>
      <c r="B10" s="49" t="s">
        <v>3286</v>
      </c>
      <c r="D10" s="53" t="s">
        <v>3287</v>
      </c>
      <c r="F10" s="53" t="s">
        <v>3288</v>
      </c>
      <c r="H10" s="53" t="s">
        <v>3289</v>
      </c>
      <c r="J10" s="54">
        <v>5</v>
      </c>
      <c r="L10" s="55" cm="1">
        <f t="array" ref="L10">textbetween(D10,F10,H10)</f>
        <v>5</v>
      </c>
      <c r="N10" s="56" t="str">
        <f>IF(L10=J10,"PASS","FAIL")</f>
        <v>PASS</v>
      </c>
    </row>
    <row r="12" spans="1:18" x14ac:dyDescent="0.5">
      <c r="A12" s="48">
        <v>4</v>
      </c>
      <c r="B12" s="49" t="s">
        <v>3290</v>
      </c>
      <c r="D12" s="53" t="s">
        <v>3164</v>
      </c>
      <c r="F12" s="53" t="s">
        <v>3280</v>
      </c>
      <c r="H12" s="53" t="s">
        <v>3281</v>
      </c>
      <c r="J12" s="54"/>
      <c r="L12" s="55" t="str" cm="1">
        <f t="array" ref="L12">textbetween(D12,F12,H12)</f>
        <v/>
      </c>
      <c r="N12" s="56" t="str">
        <f>IF(L12=J12,"PASS","FAIL")</f>
        <v>PASS</v>
      </c>
    </row>
    <row r="14" spans="1:18" x14ac:dyDescent="0.5">
      <c r="A14" s="48">
        <v>5</v>
      </c>
      <c r="B14" s="49" t="s">
        <v>3186</v>
      </c>
      <c r="D14" s="53" t="s">
        <v>3291</v>
      </c>
      <c r="F14" s="53" t="s">
        <v>3280</v>
      </c>
      <c r="H14" s="53" t="s">
        <v>3281</v>
      </c>
      <c r="J14" s="54" t="s">
        <v>3026</v>
      </c>
      <c r="L14" s="55" t="str" cm="1">
        <f t="array" ref="L14:L15">textbetween(D14:D15,F14,H14)</f>
        <v>a</v>
      </c>
      <c r="N14" s="56" t="str" cm="1">
        <f t="array" ref="N14">IF(AND(J14:J15=L14:L15),"PASS","FAIL")</f>
        <v>PASS</v>
      </c>
    </row>
    <row r="15" spans="1:18" x14ac:dyDescent="0.5">
      <c r="A15" s="57"/>
      <c r="B15" s="57"/>
      <c r="D15" s="53" t="s">
        <v>3292</v>
      </c>
      <c r="J15" s="54" t="s">
        <v>3293</v>
      </c>
      <c r="L15" s="55" t="str">
        <v>bc</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92"/>
  <dimension ref="A1:R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8" ht="231" customHeight="1" x14ac:dyDescent="0.5">
      <c r="A1" s="47" t="s">
        <v>0</v>
      </c>
      <c r="B1" s="68" t="str" cm="1">
        <f t="array" aca="1" ref="B1" ca="1">_xlfn.LET(_xlpm.fn, CELL("filename",$A$1), _xlpm.nm, MID(_xlpm.fn, FIND("]", _xlpm.fn) + 1, 255), _xlfn.XLOOKUP(_xlpm.nm &amp; "(*", Lamb!$A$2:$A$1000, Lamb!$A$2:$A$1000, "", 2))</f>
        <v>transform_array(arr, dir)</v>
      </c>
      <c r="C1" s="64"/>
      <c r="D1" s="64"/>
      <c r="E1" s="64"/>
      <c r="F1" s="65"/>
      <c r="H1" s="47" t="s">
        <v>2</v>
      </c>
      <c r="I1" s="63"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67"/>
      <c r="D2" s="67"/>
      <c r="E2" s="67"/>
      <c r="F2" s="67"/>
      <c r="G2" s="67"/>
      <c r="H2" s="67"/>
      <c r="I2" s="67"/>
      <c r="J2" s="67"/>
      <c r="K2" s="67"/>
      <c r="L2" s="67"/>
      <c r="M2" s="67"/>
      <c r="N2" s="67"/>
      <c r="O2" s="67"/>
      <c r="P2" s="67"/>
      <c r="Q2" s="67"/>
      <c r="R2" s="67"/>
    </row>
    <row r="4" spans="1:18" x14ac:dyDescent="0.5">
      <c r="A4" s="47" t="s">
        <v>3294</v>
      </c>
      <c r="P4" s="47" t="str">
        <f>COUNTIF(P6:P25,"PASS")&amp;" / 7 PASS"</f>
        <v>7 / 7 PASS</v>
      </c>
    </row>
    <row r="5" spans="1:18" x14ac:dyDescent="0.5">
      <c r="A5" s="47" t="s">
        <v>7</v>
      </c>
      <c r="B5" s="47" t="s">
        <v>8</v>
      </c>
      <c r="D5" s="47" t="s">
        <v>9</v>
      </c>
      <c r="J5" s="50" t="s">
        <v>10</v>
      </c>
      <c r="M5" s="51" t="s">
        <v>11</v>
      </c>
      <c r="P5" s="52" t="s">
        <v>12</v>
      </c>
    </row>
    <row r="6" spans="1:18" x14ac:dyDescent="0.5">
      <c r="A6" s="48">
        <v>1</v>
      </c>
      <c r="B6" s="49" t="s">
        <v>3295</v>
      </c>
      <c r="D6" s="53">
        <v>1</v>
      </c>
      <c r="E6" s="53">
        <v>2</v>
      </c>
      <c r="G6" s="53" t="s">
        <v>541</v>
      </c>
      <c r="J6" s="54">
        <v>2</v>
      </c>
      <c r="K6" s="54">
        <v>1</v>
      </c>
      <c r="M6" s="55" cm="1">
        <f t="array" ref="M6:N7">transform_array(D6:E7,G6)</f>
        <v>2</v>
      </c>
      <c r="N6" s="55">
        <v>1</v>
      </c>
      <c r="P6" s="56" t="str" cm="1">
        <f t="array" ref="P6">IF(AND(J6:K7=M6:N7),"PASS","FAIL")</f>
        <v>PASS</v>
      </c>
    </row>
    <row r="7" spans="1:18" x14ac:dyDescent="0.5">
      <c r="A7" s="57"/>
      <c r="B7" s="57"/>
      <c r="D7" s="53">
        <v>3</v>
      </c>
      <c r="E7" s="53">
        <v>4</v>
      </c>
      <c r="J7" s="54">
        <v>4</v>
      </c>
      <c r="K7" s="54">
        <v>3</v>
      </c>
      <c r="M7" s="55">
        <v>4</v>
      </c>
      <c r="N7" s="55">
        <v>3</v>
      </c>
    </row>
    <row r="9" spans="1:18" x14ac:dyDescent="0.5">
      <c r="A9" s="48">
        <v>2</v>
      </c>
      <c r="B9" s="49" t="s">
        <v>3296</v>
      </c>
      <c r="D9" s="53">
        <v>1</v>
      </c>
      <c r="E9" s="53">
        <v>2</v>
      </c>
      <c r="G9" s="53" t="s">
        <v>558</v>
      </c>
      <c r="J9" s="54">
        <v>3</v>
      </c>
      <c r="K9" s="54">
        <v>4</v>
      </c>
      <c r="M9" s="55" cm="1">
        <f t="array" ref="M9:N10">transform_array(D9:E10,G9)</f>
        <v>3</v>
      </c>
      <c r="N9" s="55">
        <v>4</v>
      </c>
      <c r="P9" s="56" t="str" cm="1">
        <f t="array" ref="P9">IF(AND(J9:K10=M9:N10),"PASS","FAIL")</f>
        <v>PASS</v>
      </c>
    </row>
    <row r="10" spans="1:18" x14ac:dyDescent="0.5">
      <c r="A10" s="57"/>
      <c r="B10" s="57"/>
      <c r="D10" s="53">
        <v>3</v>
      </c>
      <c r="E10" s="53">
        <v>4</v>
      </c>
      <c r="J10" s="54">
        <v>1</v>
      </c>
      <c r="K10" s="54">
        <v>2</v>
      </c>
      <c r="M10" s="55">
        <v>1</v>
      </c>
      <c r="N10" s="55">
        <v>2</v>
      </c>
    </row>
    <row r="12" spans="1:18" x14ac:dyDescent="0.5">
      <c r="A12" s="48">
        <v>3</v>
      </c>
      <c r="B12" s="49" t="s">
        <v>3297</v>
      </c>
      <c r="D12" s="53">
        <v>1</v>
      </c>
      <c r="E12" s="53">
        <v>2</v>
      </c>
      <c r="G12" s="53" t="s">
        <v>567</v>
      </c>
      <c r="J12" s="54">
        <v>3</v>
      </c>
      <c r="K12" s="54">
        <v>1</v>
      </c>
      <c r="M12" s="55" cm="1">
        <f t="array" ref="M12:N13">transform_array(D12:E13,G12)</f>
        <v>3</v>
      </c>
      <c r="N12" s="55">
        <v>1</v>
      </c>
      <c r="P12" s="56" t="str" cm="1">
        <f t="array" ref="P12">IF(AND(J12:K13=M12:N13),"PASS","FAIL")</f>
        <v>PASS</v>
      </c>
    </row>
    <row r="13" spans="1:18" x14ac:dyDescent="0.5">
      <c r="A13" s="57"/>
      <c r="B13" s="57"/>
      <c r="D13" s="53">
        <v>3</v>
      </c>
      <c r="E13" s="53">
        <v>4</v>
      </c>
      <c r="J13" s="54">
        <v>4</v>
      </c>
      <c r="K13" s="54">
        <v>2</v>
      </c>
      <c r="M13" s="55">
        <v>4</v>
      </c>
      <c r="N13" s="55">
        <v>2</v>
      </c>
    </row>
    <row r="15" spans="1:18" x14ac:dyDescent="0.5">
      <c r="A15" s="48">
        <v>4</v>
      </c>
      <c r="B15" s="49" t="s">
        <v>3298</v>
      </c>
      <c r="D15" s="53">
        <v>1</v>
      </c>
      <c r="E15" s="53">
        <v>2</v>
      </c>
      <c r="G15" s="53" t="s">
        <v>576</v>
      </c>
      <c r="J15" s="54">
        <v>2</v>
      </c>
      <c r="K15" s="54">
        <v>4</v>
      </c>
      <c r="M15" s="55" cm="1">
        <f t="array" ref="M15:N16">transform_array(D15:E16,G15)</f>
        <v>2</v>
      </c>
      <c r="N15" s="55">
        <v>4</v>
      </c>
      <c r="P15" s="56" t="str" cm="1">
        <f t="array" ref="P15">IF(AND(J15:K16=M15:N16),"PASS","FAIL")</f>
        <v>PASS</v>
      </c>
    </row>
    <row r="16" spans="1:18" x14ac:dyDescent="0.5">
      <c r="A16" s="57"/>
      <c r="B16" s="57"/>
      <c r="D16" s="53">
        <v>3</v>
      </c>
      <c r="E16" s="53">
        <v>4</v>
      </c>
      <c r="J16" s="54">
        <v>1</v>
      </c>
      <c r="K16" s="54">
        <v>3</v>
      </c>
      <c r="M16" s="55">
        <v>1</v>
      </c>
      <c r="N16" s="55">
        <v>3</v>
      </c>
    </row>
    <row r="18" spans="1:16" x14ac:dyDescent="0.5">
      <c r="A18" s="48">
        <v>5</v>
      </c>
      <c r="B18" s="49" t="s">
        <v>3299</v>
      </c>
      <c r="D18" s="53">
        <v>1</v>
      </c>
      <c r="E18" s="53">
        <v>2</v>
      </c>
      <c r="G18" s="53" t="s">
        <v>3300</v>
      </c>
      <c r="J18" s="54">
        <v>4</v>
      </c>
      <c r="K18" s="54">
        <v>3</v>
      </c>
      <c r="M18" s="55" cm="1">
        <f t="array" ref="M18:N19">transform_array(D18:E19,G18)</f>
        <v>4</v>
      </c>
      <c r="N18" s="55">
        <v>3</v>
      </c>
      <c r="P18" s="56" t="str" cm="1">
        <f t="array" ref="P18">IF(AND(J18:K19=M18:N19),"PASS","FAIL")</f>
        <v>PASS</v>
      </c>
    </row>
    <row r="19" spans="1:16" x14ac:dyDescent="0.5">
      <c r="A19" s="57"/>
      <c r="B19" s="57"/>
      <c r="D19" s="53">
        <v>3</v>
      </c>
      <c r="E19" s="53">
        <v>4</v>
      </c>
      <c r="J19" s="54">
        <v>2</v>
      </c>
      <c r="K19" s="54">
        <v>1</v>
      </c>
      <c r="M19" s="55">
        <v>2</v>
      </c>
      <c r="N19" s="55">
        <v>1</v>
      </c>
    </row>
    <row r="21" spans="1:16" x14ac:dyDescent="0.5">
      <c r="A21" s="48">
        <v>6</v>
      </c>
      <c r="B21" s="49" t="s">
        <v>3301</v>
      </c>
      <c r="D21" s="53">
        <v>1</v>
      </c>
      <c r="E21" s="53">
        <v>2</v>
      </c>
      <c r="F21" s="53">
        <v>3</v>
      </c>
      <c r="H21" s="53" t="s">
        <v>567</v>
      </c>
      <c r="J21" s="54">
        <v>4</v>
      </c>
      <c r="K21" s="54">
        <v>1</v>
      </c>
      <c r="M21" s="55" cm="1">
        <f t="array" ref="M21:N23">transform_array(D21:F22,H21)</f>
        <v>4</v>
      </c>
      <c r="N21" s="55">
        <v>1</v>
      </c>
      <c r="P21" s="56" t="str" cm="1">
        <f t="array" ref="P21">IF(AND(J21:K23=M21:N23),"PASS","FAIL")</f>
        <v>PASS</v>
      </c>
    </row>
    <row r="22" spans="1:16" x14ac:dyDescent="0.5">
      <c r="A22" s="57"/>
      <c r="B22" s="57"/>
      <c r="D22" s="53">
        <v>4</v>
      </c>
      <c r="E22" s="53">
        <v>5</v>
      </c>
      <c r="F22" s="53">
        <v>6</v>
      </c>
      <c r="J22" s="54">
        <v>5</v>
      </c>
      <c r="K22" s="54">
        <v>2</v>
      </c>
      <c r="M22" s="55">
        <v>5</v>
      </c>
      <c r="N22" s="55">
        <v>2</v>
      </c>
    </row>
    <row r="23" spans="1:16" x14ac:dyDescent="0.5">
      <c r="A23" s="57"/>
      <c r="B23" s="57"/>
      <c r="J23" s="54">
        <v>6</v>
      </c>
      <c r="K23" s="54">
        <v>3</v>
      </c>
      <c r="M23" s="55">
        <v>6</v>
      </c>
      <c r="N23" s="55">
        <v>3</v>
      </c>
    </row>
    <row r="25" spans="1:16" x14ac:dyDescent="0.5">
      <c r="A25" s="48">
        <v>7</v>
      </c>
      <c r="B25" s="49" t="s">
        <v>3390</v>
      </c>
      <c r="J25" s="54" t="s">
        <v>3391</v>
      </c>
      <c r="M25" s="55" t="e">
        <f>transform_array({1,2;3,4},"Z")</f>
        <v>#VALUE!</v>
      </c>
      <c r="P25" s="56" t="str">
        <f>IF(ERROR.TYPE(M25)=3,"PASS","FAIL")</f>
        <v>PASS</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7" t="s">
        <v>0</v>
      </c>
      <c r="B1" s="68" t="str" cm="1">
        <f t="array" aca="1" ref="B1" ca="1">_xlfn.LET(_xlpm.fn, CELL("filename",$A$1), _xlpm.nm, MID(_xlpm.fn, FIND("]", _xlpm.fn) + 1, 255), _xlfn.XLOOKUP(_xlpm.nm &amp; "(*", Lamb!$A$2:$A$1000, Lamb!$A$2:$A$1000, "", 2))</f>
        <v>update_arr( array, r, c, value)</v>
      </c>
      <c r="C1" s="64"/>
      <c r="D1" s="64"/>
      <c r="E1" s="64"/>
      <c r="F1" s="65"/>
      <c r="H1" s="47" t="s">
        <v>2</v>
      </c>
      <c r="I1" s="63"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64"/>
      <c r="K1" s="64"/>
      <c r="L1" s="64"/>
      <c r="M1" s="64"/>
      <c r="N1" s="64"/>
      <c r="O1" s="64"/>
      <c r="P1" s="64"/>
      <c r="Q1" s="64"/>
      <c r="R1" s="65"/>
    </row>
    <row r="2" spans="1:22" ht="168" customHeight="1" x14ac:dyDescent="0.5">
      <c r="A2" s="47" t="s">
        <v>4</v>
      </c>
      <c r="B2" s="66" t="str" cm="1">
        <f t="array" aca="1" ref="B2" ca="1">_xlfn.LET(_xlpm.fn, CELL("filename",$A$1), _xlpm.nm, MID(_xlpm.fn, FIND("]", _xlpm.fn) + 1, 255), _xlfn.XLOOKUP(_xlpm.nm &amp; "(*", Lamb!$A$2:$A$1000, Lamb!$C$2:$C$1000, "", 2))</f>
        <v>=LAMBDA(array, r, c, value, LET(
   arr, array,
   MAKEARRAY(
      ROWS(arr),
      COLUMNS(arr),
      LAMBDA(i, j, IF((i = r) * (j = c), value, INDEX(arr, i, j)))
   )
))</v>
      </c>
      <c r="C2" s="67"/>
      <c r="D2" s="67"/>
      <c r="E2" s="67"/>
      <c r="F2" s="67"/>
      <c r="G2" s="67"/>
      <c r="H2" s="67"/>
      <c r="I2" s="67"/>
      <c r="J2" s="67"/>
      <c r="K2" s="67"/>
      <c r="L2" s="67"/>
      <c r="M2" s="67"/>
      <c r="N2" s="67"/>
      <c r="O2" s="67"/>
      <c r="P2" s="67"/>
      <c r="Q2" s="67"/>
      <c r="R2" s="67"/>
    </row>
    <row r="4" spans="1:22" x14ac:dyDescent="0.5">
      <c r="A4" s="47" t="s">
        <v>3302</v>
      </c>
      <c r="V4" s="47" t="str">
        <f>COUNTIF(V6:V11,"PASS")&amp;" / 2 PASS"</f>
        <v>2 / 2 PASS</v>
      </c>
    </row>
    <row r="5" spans="1:22" x14ac:dyDescent="0.5">
      <c r="A5" s="47" t="s">
        <v>7</v>
      </c>
      <c r="B5" s="47" t="s">
        <v>8</v>
      </c>
      <c r="D5" s="47" t="s">
        <v>9</v>
      </c>
      <c r="N5" s="50" t="s">
        <v>10</v>
      </c>
      <c r="R5" s="51" t="s">
        <v>11</v>
      </c>
      <c r="V5" s="52" t="s">
        <v>12</v>
      </c>
    </row>
    <row r="6" spans="1:22" x14ac:dyDescent="0.5">
      <c r="A6" s="48">
        <v>1</v>
      </c>
      <c r="B6" s="49" t="s">
        <v>3303</v>
      </c>
      <c r="D6" s="53">
        <v>1</v>
      </c>
      <c r="E6" s="53">
        <v>2</v>
      </c>
      <c r="G6" s="53">
        <v>2</v>
      </c>
      <c r="I6" s="53">
        <v>1</v>
      </c>
      <c r="K6" s="53">
        <v>9</v>
      </c>
      <c r="N6" s="54">
        <v>1</v>
      </c>
      <c r="O6" s="54">
        <v>2</v>
      </c>
      <c r="R6" s="55" cm="1">
        <f t="array" ref="R6:S7">update_arr(D6:E7,G6,I6,K6)</f>
        <v>1</v>
      </c>
      <c r="S6" s="55">
        <v>2</v>
      </c>
      <c r="V6" s="56" t="str" cm="1">
        <f t="array" ref="V6">IF(AND(N6:O7=R6:S7),"PASS","FAIL")</f>
        <v>PASS</v>
      </c>
    </row>
    <row r="7" spans="1:22" x14ac:dyDescent="0.5">
      <c r="A7" s="57"/>
      <c r="B7" s="57"/>
      <c r="D7" s="53">
        <v>3</v>
      </c>
      <c r="E7" s="53">
        <v>4</v>
      </c>
      <c r="N7" s="54">
        <v>9</v>
      </c>
      <c r="O7" s="54">
        <v>4</v>
      </c>
      <c r="R7" s="55">
        <v>9</v>
      </c>
      <c r="S7" s="55">
        <v>4</v>
      </c>
    </row>
    <row r="9" spans="1:22" x14ac:dyDescent="0.5">
      <c r="A9" s="48">
        <v>2</v>
      </c>
      <c r="B9" s="49" t="s">
        <v>3304</v>
      </c>
      <c r="D9" s="53">
        <v>1</v>
      </c>
      <c r="E9" s="53">
        <v>2</v>
      </c>
      <c r="F9" s="53">
        <v>3</v>
      </c>
      <c r="H9" s="53">
        <v>1</v>
      </c>
      <c r="J9" s="53">
        <v>3</v>
      </c>
      <c r="L9" s="53">
        <v>0</v>
      </c>
      <c r="N9" s="54">
        <v>1</v>
      </c>
      <c r="O9" s="54">
        <v>2</v>
      </c>
      <c r="P9" s="54">
        <v>0</v>
      </c>
      <c r="R9" s="55" cm="1">
        <f t="array" ref="R9:T9">update_arr(D9:F9,H9,J9,L9)</f>
        <v>1</v>
      </c>
      <c r="S9" s="55">
        <v>2</v>
      </c>
      <c r="T9" s="55">
        <v>0</v>
      </c>
      <c r="V9" s="56" t="str" cm="1">
        <f t="array" ref="V9">IF(AND(N9:P9=R9:T9),"PASS","FAIL")</f>
        <v>PASS</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7" t="s">
        <v>0</v>
      </c>
      <c r="B1" s="68" t="str" cm="1">
        <f t="array" aca="1" ref="B1" ca="1">_xlfn.LET(_xlpm.fn, CELL("filename",$A$1), _xlpm.nm, MID(_xlpm.fn, FIND("]", _xlpm.fn) + 1, 255), _xlfn.XLOOKUP(_xlpm.nm &amp; "(*", Lamb!$A$2:$A$1000, Lamb!$A$2:$A$1000, "", 2))</f>
        <v>xbyrow(arr, function)</v>
      </c>
      <c r="C1" s="64"/>
      <c r="D1" s="64"/>
      <c r="E1" s="64"/>
      <c r="F1" s="65"/>
      <c r="H1" s="47" t="s">
        <v>2</v>
      </c>
      <c r="I1" s="63"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64"/>
      <c r="K1" s="64"/>
      <c r="L1" s="64"/>
      <c r="M1" s="64"/>
      <c r="N1" s="64"/>
      <c r="O1" s="64"/>
      <c r="P1" s="64"/>
      <c r="Q1" s="64"/>
      <c r="R1" s="65"/>
    </row>
    <row r="2" spans="1:25" ht="63" customHeight="1" x14ac:dyDescent="0.5">
      <c r="A2" s="47" t="s">
        <v>4</v>
      </c>
      <c r="B2" s="66" t="str" cm="1">
        <f t="array" aca="1" ref="B2" ca="1">_xlfn.LET(_xlpm.fn, CELL("filename",$A$1), _xlpm.nm, MID(_xlpm.fn, FIND("]", _xlpm.fn) + 1, 255), _xlfn.XLOOKUP(_xlpm.nm &amp; "(*", Lamb!$A$2:$A$1000, Lamb!$C$2:$C$1000, "", 2))</f>
        <v>=LAMBDA(arr, function,
  IFNA(z_xbyrow_ix(arr, function, 1, ROWS(arr)), "")
)</v>
      </c>
      <c r="C2" s="67"/>
      <c r="D2" s="67"/>
      <c r="E2" s="67"/>
      <c r="F2" s="67"/>
      <c r="G2" s="67"/>
      <c r="H2" s="67"/>
      <c r="I2" s="67"/>
      <c r="J2" s="67"/>
      <c r="K2" s="67"/>
      <c r="L2" s="67"/>
      <c r="M2" s="67"/>
      <c r="N2" s="67"/>
      <c r="O2" s="67"/>
      <c r="P2" s="67"/>
      <c r="Q2" s="67"/>
      <c r="R2" s="67"/>
    </row>
    <row r="4" spans="1:25" x14ac:dyDescent="0.5">
      <c r="A4" s="47" t="s">
        <v>3305</v>
      </c>
      <c r="Y4" s="47" t="str">
        <f ca="1">COUNTIF(Y6:Y21,"PASS")&amp;" / 4 PASS"</f>
        <v>3 / 4 PASS</v>
      </c>
    </row>
    <row r="5" spans="1:25" x14ac:dyDescent="0.5">
      <c r="A5" s="47" t="s">
        <v>7</v>
      </c>
      <c r="B5" s="47" t="s">
        <v>8</v>
      </c>
      <c r="D5" s="47" t="s">
        <v>9</v>
      </c>
      <c r="G5" s="50" t="s">
        <v>10</v>
      </c>
      <c r="P5" s="51" t="s">
        <v>11</v>
      </c>
      <c r="Y5" s="52" t="s">
        <v>12</v>
      </c>
    </row>
    <row r="6" spans="1:25" x14ac:dyDescent="0.5">
      <c r="A6" s="48">
        <v>1</v>
      </c>
      <c r="B6" s="49" t="s">
        <v>3306</v>
      </c>
      <c r="D6" s="53">
        <v>1</v>
      </c>
      <c r="G6" s="54">
        <v>10</v>
      </c>
      <c r="P6" s="55" cm="1">
        <f t="array" ref="P6:P8">xbyrow(D6:D8, _xlfn.LAMBDA(_xlpm.x, _xlpm.x*10))</f>
        <v>10</v>
      </c>
      <c r="Y6" s="56" t="str" cm="1">
        <f t="array" ref="Y6">IF(AND(G6:G8=P6:P8),"PASS","FAIL")</f>
        <v>PASS</v>
      </c>
    </row>
    <row r="7" spans="1:25" x14ac:dyDescent="0.5">
      <c r="A7" s="57"/>
      <c r="B7" s="57"/>
      <c r="D7" s="53">
        <v>2</v>
      </c>
      <c r="G7" s="54">
        <v>20</v>
      </c>
      <c r="P7" s="55">
        <v>20</v>
      </c>
    </row>
    <row r="8" spans="1:25" x14ac:dyDescent="0.5">
      <c r="A8" s="57"/>
      <c r="B8" s="57"/>
      <c r="D8" s="53">
        <v>3</v>
      </c>
      <c r="G8" s="54">
        <v>30</v>
      </c>
      <c r="P8" s="55">
        <v>30</v>
      </c>
    </row>
    <row r="10" spans="1:25" x14ac:dyDescent="0.5">
      <c r="A10" s="48">
        <v>2</v>
      </c>
      <c r="B10" s="49" t="s">
        <v>3307</v>
      </c>
      <c r="D10" s="53">
        <v>1</v>
      </c>
      <c r="G10" s="54">
        <v>1</v>
      </c>
      <c r="H10" s="54">
        <v>2</v>
      </c>
      <c r="P10" s="55" cm="1">
        <f t="array" ref="P10:Q12">xbyrow(D10:D12, _xlfn.LAMBDA(_xlpm.x, _xlfn.SEQUENCE(1,2,_xlpm.x)))</f>
        <v>1</v>
      </c>
      <c r="Q10" s="55">
        <v>2</v>
      </c>
      <c r="Y10" s="56" t="str" cm="1">
        <f t="array" ref="Y10">IF(AND(G10:H12=P10:Q12),"PASS","FAIL")</f>
        <v>PASS</v>
      </c>
    </row>
    <row r="11" spans="1:25" x14ac:dyDescent="0.5">
      <c r="A11" s="57"/>
      <c r="B11" s="57"/>
      <c r="D11" s="53">
        <v>2</v>
      </c>
      <c r="G11" s="54">
        <v>2</v>
      </c>
      <c r="H11" s="54">
        <v>3</v>
      </c>
      <c r="P11" s="55">
        <v>2</v>
      </c>
      <c r="Q11" s="55">
        <v>3</v>
      </c>
    </row>
    <row r="12" spans="1:25" x14ac:dyDescent="0.5">
      <c r="A12" s="57"/>
      <c r="B12" s="57"/>
      <c r="D12" s="53">
        <v>3</v>
      </c>
      <c r="G12" s="54">
        <v>3</v>
      </c>
      <c r="H12" s="54">
        <v>4</v>
      </c>
      <c r="P12" s="55">
        <v>3</v>
      </c>
      <c r="Q12" s="55">
        <v>4</v>
      </c>
    </row>
    <row r="14" spans="1:25" x14ac:dyDescent="0.5">
      <c r="A14" s="48">
        <v>3</v>
      </c>
      <c r="B14" s="49" t="s">
        <v>3308</v>
      </c>
      <c r="D14" s="53">
        <v>4</v>
      </c>
      <c r="E14" s="53">
        <v>1</v>
      </c>
      <c r="G14" s="54">
        <v>1</v>
      </c>
      <c r="P14" s="55" t="e" cm="1">
        <f t="array" aca="1" ref="P14" ca="1">xbyrow(D14:E16, min)</f>
        <v>#NAME?</v>
      </c>
      <c r="Y14" s="56" t="e" cm="1">
        <f t="array" aca="1" ref="Y14" ca="1">IF(AND(G14:G16=P14:P16),"PASS","FAIL")</f>
        <v>#NAME?</v>
      </c>
    </row>
    <row r="15" spans="1:25" x14ac:dyDescent="0.5">
      <c r="A15" s="57"/>
      <c r="B15" s="57"/>
      <c r="D15" s="53">
        <v>9</v>
      </c>
      <c r="E15" s="53">
        <v>2</v>
      </c>
      <c r="G15" s="54">
        <v>2</v>
      </c>
      <c r="P15" s="55"/>
    </row>
    <row r="16" spans="1:25" x14ac:dyDescent="0.5">
      <c r="A16" s="57"/>
      <c r="B16" s="57"/>
      <c r="D16" s="53">
        <v>7</v>
      </c>
      <c r="E16" s="53">
        <v>5</v>
      </c>
      <c r="G16" s="54">
        <v>5</v>
      </c>
      <c r="P16" s="55"/>
    </row>
    <row r="18" spans="1:25" x14ac:dyDescent="0.5">
      <c r="A18" s="48">
        <v>4</v>
      </c>
      <c r="B18" s="49" t="s">
        <v>3309</v>
      </c>
      <c r="D18" s="53" t="s">
        <v>3138</v>
      </c>
      <c r="G18" s="54" t="s">
        <v>3014</v>
      </c>
      <c r="H18" s="54" t="s">
        <v>3110</v>
      </c>
      <c r="I18" s="54" t="s">
        <v>3142</v>
      </c>
      <c r="J18" s="54" t="s">
        <v>3139</v>
      </c>
      <c r="K18" s="54" t="s">
        <v>3140</v>
      </c>
      <c r="L18" s="54" t="s">
        <v>3017</v>
      </c>
      <c r="M18" s="54" t="s">
        <v>3106</v>
      </c>
      <c r="N18" s="54" t="s">
        <v>3079</v>
      </c>
      <c r="P18" s="55" t="str" cm="1">
        <f t="array" ref="P18:W19">xbyrow(D18:D19, neighbors_list)</f>
        <v>A1</v>
      </c>
      <c r="Q18" s="55" t="str">
        <v>B1</v>
      </c>
      <c r="R18" s="55" t="str">
        <v>C1</v>
      </c>
      <c r="S18" s="55" t="str">
        <v>A2</v>
      </c>
      <c r="T18" s="55" t="str">
        <v>C2</v>
      </c>
      <c r="U18" s="55" t="str">
        <v>A3</v>
      </c>
      <c r="V18" s="55" t="str">
        <v>B3</v>
      </c>
      <c r="W18" s="55" t="str">
        <v>C3</v>
      </c>
      <c r="Y18" s="56" t="str" cm="1">
        <f t="array" ref="Y18">IF(AND(G18:N19=P18:W19),"PASS","FAIL")</f>
        <v>PASS</v>
      </c>
    </row>
    <row r="19" spans="1:25" x14ac:dyDescent="0.5">
      <c r="A19" s="57"/>
      <c r="B19" s="57"/>
      <c r="D19" s="53" t="s">
        <v>3310</v>
      </c>
      <c r="G19" s="54" t="s">
        <v>3311</v>
      </c>
      <c r="H19" s="54" t="s">
        <v>3147</v>
      </c>
      <c r="I19" s="54" t="s">
        <v>3086</v>
      </c>
      <c r="J19" s="54" t="s">
        <v>3312</v>
      </c>
      <c r="K19" s="54" t="s">
        <v>3313</v>
      </c>
      <c r="L19" s="54" t="s">
        <v>3314</v>
      </c>
      <c r="M19" s="54" t="s">
        <v>3315</v>
      </c>
      <c r="N19" s="54" t="s">
        <v>3316</v>
      </c>
      <c r="P19" s="55" t="str">
        <v>A4</v>
      </c>
      <c r="Q19" s="55" t="str">
        <v>B4</v>
      </c>
      <c r="R19" s="55" t="str">
        <v>C4</v>
      </c>
      <c r="S19" s="55" t="str">
        <v>A5</v>
      </c>
      <c r="T19" s="55" t="str">
        <v>C5</v>
      </c>
      <c r="U19" s="55" t="str">
        <v>A6</v>
      </c>
      <c r="V19" s="55" t="str">
        <v>B6</v>
      </c>
      <c r="W19" s="55" t="str">
        <v>C6</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95"/>
  <dimension ref="A1:R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xcountif(arr, criteria)</v>
      </c>
      <c r="C1" s="64"/>
      <c r="D1" s="64"/>
      <c r="E1" s="64"/>
      <c r="F1" s="65"/>
      <c r="H1" s="47" t="s">
        <v>2</v>
      </c>
      <c r="I1" s="63"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64"/>
      <c r="K1" s="64"/>
      <c r="L1" s="64"/>
      <c r="M1" s="64"/>
      <c r="N1" s="64"/>
      <c r="O1" s="64"/>
      <c r="P1" s="64"/>
      <c r="Q1" s="64"/>
      <c r="R1" s="65"/>
    </row>
    <row r="2" spans="1:18" ht="189" customHeight="1" x14ac:dyDescent="0.5">
      <c r="A2" s="47" t="s">
        <v>4</v>
      </c>
      <c r="B2" s="66"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67"/>
      <c r="D2" s="67"/>
      <c r="E2" s="67"/>
      <c r="F2" s="67"/>
      <c r="G2" s="67"/>
      <c r="H2" s="67"/>
      <c r="I2" s="67"/>
      <c r="J2" s="67"/>
      <c r="K2" s="67"/>
      <c r="L2" s="67"/>
      <c r="M2" s="67"/>
      <c r="N2" s="67"/>
      <c r="O2" s="67"/>
      <c r="P2" s="67"/>
      <c r="Q2" s="67"/>
      <c r="R2" s="67"/>
    </row>
    <row r="4" spans="1:18" x14ac:dyDescent="0.5">
      <c r="A4" s="47" t="s">
        <v>3317</v>
      </c>
      <c r="L4" s="47" t="str">
        <f>COUNTIF(L6:L29,"PASS")&amp;" / 5 PASS"</f>
        <v>5 / 5 PASS</v>
      </c>
    </row>
    <row r="5" spans="1:18" x14ac:dyDescent="0.5">
      <c r="A5" s="47" t="s">
        <v>7</v>
      </c>
      <c r="B5" s="47" t="s">
        <v>8</v>
      </c>
      <c r="D5" s="47" t="s">
        <v>9</v>
      </c>
      <c r="H5" s="50" t="s">
        <v>10</v>
      </c>
      <c r="J5" s="51" t="s">
        <v>11</v>
      </c>
      <c r="L5" s="52" t="s">
        <v>12</v>
      </c>
    </row>
    <row r="6" spans="1:18" x14ac:dyDescent="0.5">
      <c r="A6" s="48">
        <v>1</v>
      </c>
      <c r="B6" s="49" t="s">
        <v>3318</v>
      </c>
      <c r="D6" s="53">
        <v>1</v>
      </c>
      <c r="F6" s="53">
        <v>2</v>
      </c>
      <c r="H6" s="54">
        <v>2</v>
      </c>
      <c r="J6" s="55" cm="1">
        <f t="array" ref="J6">xcountif(D6:D9,F6)</f>
        <v>2</v>
      </c>
      <c r="L6" s="56" t="str">
        <f>IF(J6=H6,"PASS","FAIL")</f>
        <v>PASS</v>
      </c>
    </row>
    <row r="7" spans="1:18" x14ac:dyDescent="0.5">
      <c r="A7" s="57"/>
      <c r="B7" s="57"/>
      <c r="D7" s="53">
        <v>2</v>
      </c>
    </row>
    <row r="8" spans="1:18" x14ac:dyDescent="0.5">
      <c r="A8" s="57"/>
      <c r="B8" s="57"/>
      <c r="D8" s="53">
        <v>2</v>
      </c>
    </row>
    <row r="9" spans="1:18" x14ac:dyDescent="0.5">
      <c r="A9" s="57"/>
      <c r="B9" s="57"/>
      <c r="D9" s="53">
        <v>3</v>
      </c>
    </row>
    <row r="11" spans="1:18" x14ac:dyDescent="0.5">
      <c r="A11" s="48">
        <v>2</v>
      </c>
      <c r="B11" s="49" t="s">
        <v>3319</v>
      </c>
      <c r="D11" s="53" t="s">
        <v>3026</v>
      </c>
      <c r="F11" s="53" t="s">
        <v>3026</v>
      </c>
      <c r="H11" s="54">
        <v>2</v>
      </c>
      <c r="J11" s="55" cm="1">
        <f t="array" ref="J11">xcountif(D11:D13,F11)</f>
        <v>2</v>
      </c>
      <c r="L11" s="56" t="str">
        <f>IF(J11=H11,"PASS","FAIL")</f>
        <v>PASS</v>
      </c>
    </row>
    <row r="12" spans="1:18" x14ac:dyDescent="0.5">
      <c r="A12" s="57"/>
      <c r="B12" s="57"/>
      <c r="D12" s="53" t="s">
        <v>3027</v>
      </c>
    </row>
    <row r="13" spans="1:18" x14ac:dyDescent="0.5">
      <c r="A13" s="57"/>
      <c r="B13" s="57"/>
      <c r="D13" s="53" t="s">
        <v>3026</v>
      </c>
    </row>
    <row r="15" spans="1:18" x14ac:dyDescent="0.5">
      <c r="A15" s="48">
        <v>3</v>
      </c>
      <c r="B15" s="49" t="s">
        <v>3320</v>
      </c>
      <c r="D15" s="53">
        <v>1</v>
      </c>
      <c r="F15" s="53">
        <v>2</v>
      </c>
      <c r="H15" s="54">
        <v>2</v>
      </c>
      <c r="J15" s="55" cm="1">
        <f t="array" ref="J15:J16">xcountif(D15:D18,F15:F16)</f>
        <v>2</v>
      </c>
      <c r="L15" s="56" t="str" cm="1">
        <f t="array" ref="L15">IF(AND(H15:H16=J15:J16),"PASS","FAIL")</f>
        <v>PASS</v>
      </c>
    </row>
    <row r="16" spans="1:18" x14ac:dyDescent="0.5">
      <c r="A16" s="57"/>
      <c r="B16" s="57"/>
      <c r="D16" s="53">
        <v>2</v>
      </c>
      <c r="F16" s="53">
        <v>3</v>
      </c>
      <c r="H16" s="54">
        <v>1</v>
      </c>
      <c r="J16" s="55">
        <v>1</v>
      </c>
    </row>
    <row r="17" spans="1:12" x14ac:dyDescent="0.5">
      <c r="A17" s="57"/>
      <c r="B17" s="57"/>
      <c r="D17" s="53">
        <v>2</v>
      </c>
    </row>
    <row r="18" spans="1:12" x14ac:dyDescent="0.5">
      <c r="A18" s="57"/>
      <c r="B18" s="57"/>
      <c r="D18" s="53">
        <v>3</v>
      </c>
    </row>
    <row r="20" spans="1:12" x14ac:dyDescent="0.5">
      <c r="A20" s="48">
        <v>4</v>
      </c>
      <c r="B20" s="49" t="s">
        <v>3321</v>
      </c>
      <c r="D20" s="53">
        <v>1</v>
      </c>
      <c r="F20" s="53">
        <v>0</v>
      </c>
      <c r="H20" s="54">
        <v>2</v>
      </c>
      <c r="J20" s="55" cm="1">
        <f t="array" ref="J20">xcountif(D20:D23,F20)</f>
        <v>2</v>
      </c>
      <c r="L20" s="56" t="str">
        <f>IF(J20=H20,"PASS","FAIL")</f>
        <v>PASS</v>
      </c>
    </row>
    <row r="21" spans="1:12" x14ac:dyDescent="0.5">
      <c r="A21" s="57"/>
      <c r="B21" s="57"/>
      <c r="D21" s="53">
        <v>2</v>
      </c>
    </row>
    <row r="22" spans="1:12" x14ac:dyDescent="0.5">
      <c r="A22" s="57"/>
      <c r="B22" s="57"/>
      <c r="D22" s="53"/>
    </row>
    <row r="23" spans="1:12" x14ac:dyDescent="0.5">
      <c r="A23" s="57"/>
      <c r="B23" s="57"/>
      <c r="D23" s="53">
        <v>0</v>
      </c>
    </row>
    <row r="25" spans="1:12" x14ac:dyDescent="0.5">
      <c r="A25" s="48">
        <v>5</v>
      </c>
      <c r="B25" s="49" t="s">
        <v>3322</v>
      </c>
      <c r="D25" s="53">
        <v>1</v>
      </c>
      <c r="F25" s="53">
        <v>2</v>
      </c>
      <c r="H25" s="54">
        <v>0</v>
      </c>
      <c r="J25" s="55" cm="1">
        <f t="array" ref="J25">xcountif(D25:D27,F25)</f>
        <v>0</v>
      </c>
      <c r="L25" s="56" t="str">
        <f>IF(J25=H25,"PASS","FAIL")</f>
        <v>PASS</v>
      </c>
    </row>
    <row r="26" spans="1:12" x14ac:dyDescent="0.5">
      <c r="A26" s="57"/>
      <c r="B26" s="57"/>
      <c r="D26" s="53">
        <v>2</v>
      </c>
    </row>
    <row r="27" spans="1:12" x14ac:dyDescent="0.5">
      <c r="A27" s="57"/>
      <c r="B27" s="57"/>
      <c r="D27" s="53" t="e">
        <f>NA()</f>
        <v>#N/A</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96"/>
  <dimension ref="A1:R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xdec2bin(number, [places])</v>
      </c>
      <c r="C1" s="64"/>
      <c r="D1" s="64"/>
      <c r="E1" s="64"/>
      <c r="F1" s="65"/>
      <c r="H1" s="47" t="s">
        <v>2</v>
      </c>
      <c r="I1" s="63"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64"/>
      <c r="K1" s="64"/>
      <c r="L1" s="64"/>
      <c r="M1" s="64"/>
      <c r="N1" s="64"/>
      <c r="O1" s="64"/>
      <c r="P1" s="64"/>
      <c r="Q1" s="64"/>
      <c r="R1" s="65"/>
    </row>
    <row r="2" spans="1:18" ht="336" customHeight="1" x14ac:dyDescent="0.5">
      <c r="A2" s="47" t="s">
        <v>4</v>
      </c>
      <c r="B2" s="66"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67"/>
      <c r="D2" s="67"/>
      <c r="E2" s="67"/>
      <c r="F2" s="67"/>
      <c r="G2" s="67"/>
      <c r="H2" s="67"/>
      <c r="I2" s="67"/>
      <c r="J2" s="67"/>
      <c r="K2" s="67"/>
      <c r="L2" s="67"/>
      <c r="M2" s="67"/>
      <c r="N2" s="67"/>
      <c r="O2" s="67"/>
      <c r="P2" s="67"/>
      <c r="Q2" s="67"/>
      <c r="R2" s="67"/>
    </row>
    <row r="4" spans="1:18" x14ac:dyDescent="0.5">
      <c r="A4" s="47" t="s">
        <v>3323</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3324</v>
      </c>
      <c r="D6" s="53">
        <v>5</v>
      </c>
      <c r="H6" s="54" t="s">
        <v>3325</v>
      </c>
      <c r="J6" s="55" t="str" cm="1">
        <f t="array" ref="J6">xdec2bin(D6)</f>
        <v>101</v>
      </c>
      <c r="L6" s="56" t="str">
        <f>IF(J6=H6,"PASS","FAIL")</f>
        <v>PASS</v>
      </c>
    </row>
    <row r="8" spans="1:18" x14ac:dyDescent="0.5">
      <c r="A8" s="48">
        <v>2</v>
      </c>
      <c r="B8" s="49" t="s">
        <v>3326</v>
      </c>
      <c r="D8" s="53">
        <v>5</v>
      </c>
      <c r="F8" s="53">
        <v>8</v>
      </c>
      <c r="H8" s="54" t="s">
        <v>3327</v>
      </c>
      <c r="J8" s="55" t="str" cm="1">
        <f t="array" ref="J8">xdec2bin(D8,F8)</f>
        <v>00000101</v>
      </c>
      <c r="L8" s="56" t="str">
        <f>IF(J8=H8,"PASS","FAIL")</f>
        <v>PASS</v>
      </c>
    </row>
    <row r="10" spans="1:18" x14ac:dyDescent="0.5">
      <c r="A10" s="48">
        <v>3</v>
      </c>
      <c r="B10" s="49" t="s">
        <v>3328</v>
      </c>
      <c r="D10" s="53">
        <v>0</v>
      </c>
      <c r="H10" s="54" t="s">
        <v>3329</v>
      </c>
      <c r="J10" s="55" t="str" cm="1">
        <f t="array" ref="J10">xdec2bin(D10)</f>
        <v>0</v>
      </c>
      <c r="L10" s="56" t="str">
        <f>IF(J10=H10,"PASS","FAIL")</f>
        <v>PASS</v>
      </c>
    </row>
    <row r="12" spans="1:18" x14ac:dyDescent="0.5">
      <c r="A12" s="48">
        <v>4</v>
      </c>
      <c r="B12" s="49" t="s">
        <v>3330</v>
      </c>
      <c r="D12" s="53">
        <v>0</v>
      </c>
      <c r="F12" s="53">
        <v>4</v>
      </c>
      <c r="H12" s="54" t="s">
        <v>3331</v>
      </c>
      <c r="J12" s="55" t="str" cm="1">
        <f t="array" ref="J12">xdec2bin(D12,F12)</f>
        <v>0000</v>
      </c>
      <c r="L12" s="56" t="str">
        <f>IF(J12=H12,"PASS","FAIL")</f>
        <v>PASS</v>
      </c>
    </row>
    <row r="14" spans="1:18" x14ac:dyDescent="0.5">
      <c r="A14" s="48">
        <v>5</v>
      </c>
      <c r="B14" s="49" t="s">
        <v>3332</v>
      </c>
      <c r="D14" s="53">
        <v>10</v>
      </c>
      <c r="H14" s="54" t="s">
        <v>3333</v>
      </c>
      <c r="J14" s="55" t="str" cm="1">
        <f t="array" ref="J14">xdec2bin(D14)</f>
        <v>1010</v>
      </c>
      <c r="L14" s="56" t="str">
        <f>IF(J14=H14,"PASS","FAIL")</f>
        <v>PASS</v>
      </c>
    </row>
    <row r="16" spans="1:18" x14ac:dyDescent="0.5">
      <c r="A16" s="48">
        <v>6</v>
      </c>
      <c r="B16" s="49" t="s">
        <v>3334</v>
      </c>
      <c r="D16" s="53">
        <v>-1</v>
      </c>
      <c r="F16" s="53">
        <v>4</v>
      </c>
      <c r="H16" s="54" t="s">
        <v>3335</v>
      </c>
      <c r="J16" s="55" t="str" cm="1">
        <f t="array" ref="J16">xdec2bin(D16,F16)</f>
        <v>1111</v>
      </c>
      <c r="L16" s="56" t="str">
        <f>IF(J16=H16,"PASS","FAIL")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7" t="s">
        <v>0</v>
      </c>
      <c r="B1" s="68" t="str" cm="1">
        <f t="array" aca="1" ref="B1" ca="1">_xlfn.LET(_xlpm.fn, CELL("filename",$A$1), _xlpm.nm, MID(_xlpm.fn, FIND("]", _xlpm.fn) + 1, 255), _xlfn.XLOOKUP(_xlpm.nm &amp; "(*", Lamb!$A$2:$A$1000, Lamb!$A$2:$A$1000, "", 2))</f>
        <v>xfilter(arr, f_1, [f_2], [f_3], [f_4], [f_5])</v>
      </c>
      <c r="C1" s="64"/>
      <c r="D1" s="64"/>
      <c r="E1" s="64"/>
      <c r="F1" s="65"/>
      <c r="H1" s="47" t="s">
        <v>2</v>
      </c>
      <c r="I1" s="63"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64"/>
      <c r="K1" s="64"/>
      <c r="L1" s="64"/>
      <c r="M1" s="64"/>
      <c r="N1" s="64"/>
      <c r="O1" s="64"/>
      <c r="P1" s="64"/>
      <c r="Q1" s="64"/>
      <c r="R1" s="65"/>
    </row>
    <row r="2" spans="1:22" ht="315" customHeight="1" x14ac:dyDescent="0.5">
      <c r="A2" s="47" t="s">
        <v>4</v>
      </c>
      <c r="B2" s="66"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67"/>
      <c r="D2" s="67"/>
      <c r="E2" s="67"/>
      <c r="F2" s="67"/>
      <c r="G2" s="67"/>
      <c r="H2" s="67"/>
      <c r="I2" s="67"/>
      <c r="J2" s="67"/>
      <c r="K2" s="67"/>
      <c r="L2" s="67"/>
      <c r="M2" s="67"/>
      <c r="N2" s="67"/>
      <c r="O2" s="67"/>
      <c r="P2" s="67"/>
      <c r="Q2" s="67"/>
      <c r="R2" s="67"/>
    </row>
    <row r="4" spans="1:22" x14ac:dyDescent="0.5">
      <c r="A4" s="47" t="s">
        <v>6</v>
      </c>
      <c r="V4" s="47" t="str">
        <f>COUNTIF(V6:V36,"PASS")&amp;" / 6 PASS"</f>
        <v>6 / 6 PASS</v>
      </c>
    </row>
    <row r="5" spans="1:22" x14ac:dyDescent="0.5">
      <c r="A5" s="47" t="s">
        <v>7</v>
      </c>
      <c r="B5" s="47" t="s">
        <v>8</v>
      </c>
      <c r="D5" s="47" t="s">
        <v>9</v>
      </c>
      <c r="N5" s="50" t="s">
        <v>10</v>
      </c>
      <c r="R5" s="51" t="s">
        <v>11</v>
      </c>
      <c r="V5" s="52" t="s">
        <v>12</v>
      </c>
    </row>
    <row r="6" spans="1:22" x14ac:dyDescent="0.5">
      <c r="A6" s="48">
        <v>1</v>
      </c>
      <c r="B6" s="49" t="s">
        <v>13</v>
      </c>
      <c r="D6" s="53">
        <v>10</v>
      </c>
      <c r="E6" s="53">
        <v>20</v>
      </c>
      <c r="F6" s="53">
        <v>30</v>
      </c>
      <c r="H6" s="53">
        <v>1</v>
      </c>
      <c r="N6" s="54">
        <v>10</v>
      </c>
      <c r="O6" s="54">
        <v>20</v>
      </c>
      <c r="P6" s="54">
        <v>30</v>
      </c>
      <c r="R6" s="55" cm="1">
        <f t="array" ref="R6:T7">xfilter(D6:F9,H6:H9)</f>
        <v>10</v>
      </c>
      <c r="S6" s="55">
        <v>20</v>
      </c>
      <c r="T6" s="55">
        <v>30</v>
      </c>
      <c r="V6" s="56" t="str" cm="1">
        <f t="array" ref="V6">IF(AND(N6:P7=R6:T7),"PASS","FAIL")</f>
        <v>PASS</v>
      </c>
    </row>
    <row r="7" spans="1:22" x14ac:dyDescent="0.5">
      <c r="A7" s="57"/>
      <c r="B7" s="57"/>
      <c r="D7" s="53">
        <v>40</v>
      </c>
      <c r="E7" s="53">
        <v>50</v>
      </c>
      <c r="F7" s="53">
        <v>60</v>
      </c>
      <c r="H7" s="53">
        <v>0</v>
      </c>
      <c r="N7" s="54">
        <v>70</v>
      </c>
      <c r="O7" s="54">
        <v>80</v>
      </c>
      <c r="P7" s="54">
        <v>90</v>
      </c>
      <c r="R7" s="55">
        <v>70</v>
      </c>
      <c r="S7" s="55">
        <v>80</v>
      </c>
      <c r="T7" s="55">
        <v>90</v>
      </c>
    </row>
    <row r="8" spans="1:22" x14ac:dyDescent="0.5">
      <c r="A8" s="57"/>
      <c r="B8" s="57"/>
      <c r="D8" s="53">
        <v>70</v>
      </c>
      <c r="E8" s="53">
        <v>80</v>
      </c>
      <c r="F8" s="53">
        <v>90</v>
      </c>
      <c r="H8" s="53">
        <v>1</v>
      </c>
    </row>
    <row r="9" spans="1:22" x14ac:dyDescent="0.5">
      <c r="A9" s="57"/>
      <c r="B9" s="57"/>
      <c r="D9" s="53">
        <v>15</v>
      </c>
      <c r="E9" s="53">
        <v>25</v>
      </c>
      <c r="F9" s="53">
        <v>35</v>
      </c>
      <c r="H9" s="53">
        <v>0</v>
      </c>
    </row>
    <row r="11" spans="1:22" x14ac:dyDescent="0.5">
      <c r="A11" s="48">
        <v>2</v>
      </c>
      <c r="B11" s="49" t="s">
        <v>14</v>
      </c>
      <c r="D11" s="53">
        <v>10</v>
      </c>
      <c r="E11" s="53">
        <v>20</v>
      </c>
      <c r="F11" s="53">
        <v>30</v>
      </c>
      <c r="H11" s="53">
        <v>1</v>
      </c>
      <c r="J11" s="53">
        <v>1</v>
      </c>
      <c r="N11" s="54">
        <v>10</v>
      </c>
      <c r="O11" s="54">
        <v>20</v>
      </c>
      <c r="P11" s="54">
        <v>30</v>
      </c>
      <c r="R11" s="55" cm="1">
        <f t="array" ref="R11:T12">xfilter(D11:F14,H11:H14,J11:J14)</f>
        <v>10</v>
      </c>
      <c r="S11" s="55">
        <v>20</v>
      </c>
      <c r="T11" s="55">
        <v>30</v>
      </c>
      <c r="V11" s="56" t="str" cm="1">
        <f t="array" ref="V11">IF(AND(N11:P12=R11:T12),"PASS","FAIL")</f>
        <v>PASS</v>
      </c>
    </row>
    <row r="12" spans="1:22" x14ac:dyDescent="0.5">
      <c r="A12" s="57"/>
      <c r="B12" s="57"/>
      <c r="D12" s="53">
        <v>40</v>
      </c>
      <c r="E12" s="53">
        <v>50</v>
      </c>
      <c r="F12" s="53">
        <v>60</v>
      </c>
      <c r="H12" s="53">
        <v>1</v>
      </c>
      <c r="J12" s="53">
        <v>0</v>
      </c>
      <c r="N12" s="54">
        <v>70</v>
      </c>
      <c r="O12" s="54">
        <v>80</v>
      </c>
      <c r="P12" s="54">
        <v>90</v>
      </c>
      <c r="R12" s="55">
        <v>70</v>
      </c>
      <c r="S12" s="55">
        <v>80</v>
      </c>
      <c r="T12" s="55">
        <v>90</v>
      </c>
    </row>
    <row r="13" spans="1:22" x14ac:dyDescent="0.5">
      <c r="A13" s="57"/>
      <c r="B13" s="57"/>
      <c r="D13" s="53">
        <v>70</v>
      </c>
      <c r="E13" s="53">
        <v>80</v>
      </c>
      <c r="F13" s="53">
        <v>90</v>
      </c>
      <c r="H13" s="53">
        <v>1</v>
      </c>
      <c r="J13" s="53">
        <v>1</v>
      </c>
    </row>
    <row r="14" spans="1:22" x14ac:dyDescent="0.5">
      <c r="A14" s="57"/>
      <c r="B14" s="57"/>
      <c r="D14" s="53">
        <v>15</v>
      </c>
      <c r="E14" s="53">
        <v>25</v>
      </c>
      <c r="F14" s="53">
        <v>35</v>
      </c>
      <c r="H14" s="53">
        <v>0</v>
      </c>
      <c r="J14" s="53">
        <v>1</v>
      </c>
    </row>
    <row r="16" spans="1:22" x14ac:dyDescent="0.5">
      <c r="A16" s="48">
        <v>3</v>
      </c>
      <c r="B16" s="49" t="s">
        <v>15</v>
      </c>
      <c r="D16" s="53">
        <v>10</v>
      </c>
      <c r="E16" s="53">
        <v>20</v>
      </c>
      <c r="F16" s="53">
        <v>30</v>
      </c>
      <c r="H16" s="53">
        <v>1</v>
      </c>
      <c r="I16" s="53">
        <v>0</v>
      </c>
      <c r="J16" s="53">
        <v>1</v>
      </c>
      <c r="N16" s="54">
        <v>10</v>
      </c>
      <c r="O16" s="54">
        <v>30</v>
      </c>
      <c r="R16" s="55" cm="1">
        <f t="array" ref="R16:S19">xfilter(D16:F19,H16:J16)</f>
        <v>10</v>
      </c>
      <c r="S16" s="55">
        <v>30</v>
      </c>
      <c r="V16" s="56" t="str" cm="1">
        <f t="array" ref="V16">IF(AND(N16:O19=R16:S19),"PASS","FAIL")</f>
        <v>PASS</v>
      </c>
    </row>
    <row r="17" spans="1:22" x14ac:dyDescent="0.5">
      <c r="A17" s="57"/>
      <c r="B17" s="57"/>
      <c r="D17" s="53">
        <v>40</v>
      </c>
      <c r="E17" s="53">
        <v>50</v>
      </c>
      <c r="F17" s="53">
        <v>60</v>
      </c>
      <c r="N17" s="54">
        <v>40</v>
      </c>
      <c r="O17" s="54">
        <v>60</v>
      </c>
      <c r="R17" s="55">
        <v>40</v>
      </c>
      <c r="S17" s="55">
        <v>60</v>
      </c>
    </row>
    <row r="18" spans="1:22" x14ac:dyDescent="0.5">
      <c r="A18" s="57"/>
      <c r="B18" s="57"/>
      <c r="D18" s="53">
        <v>70</v>
      </c>
      <c r="E18" s="53">
        <v>80</v>
      </c>
      <c r="F18" s="53">
        <v>90</v>
      </c>
      <c r="N18" s="54">
        <v>70</v>
      </c>
      <c r="O18" s="54">
        <v>90</v>
      </c>
      <c r="R18" s="55">
        <v>70</v>
      </c>
      <c r="S18" s="55">
        <v>90</v>
      </c>
    </row>
    <row r="19" spans="1:22" x14ac:dyDescent="0.5">
      <c r="A19" s="57"/>
      <c r="B19" s="57"/>
      <c r="D19" s="53">
        <v>15</v>
      </c>
      <c r="E19" s="53">
        <v>25</v>
      </c>
      <c r="F19" s="53">
        <v>35</v>
      </c>
      <c r="N19" s="54">
        <v>15</v>
      </c>
      <c r="O19" s="54">
        <v>35</v>
      </c>
      <c r="R19" s="55">
        <v>15</v>
      </c>
      <c r="S19" s="55">
        <v>35</v>
      </c>
    </row>
    <row r="21" spans="1:22" x14ac:dyDescent="0.5">
      <c r="A21" s="48">
        <v>4</v>
      </c>
      <c r="B21" s="49" t="s">
        <v>16</v>
      </c>
      <c r="D21" s="53">
        <v>10</v>
      </c>
      <c r="E21" s="53">
        <v>20</v>
      </c>
      <c r="F21" s="53">
        <v>30</v>
      </c>
      <c r="H21" s="53">
        <v>1</v>
      </c>
      <c r="J21" s="53">
        <v>1</v>
      </c>
      <c r="K21" s="53">
        <v>0</v>
      </c>
      <c r="L21" s="53">
        <v>1</v>
      </c>
      <c r="N21" s="54">
        <v>10</v>
      </c>
      <c r="O21" s="54">
        <v>30</v>
      </c>
      <c r="R21" s="55" cm="1">
        <f t="array" ref="R21:S22">xfilter(D21:F24,H21:H24,J21:L21)</f>
        <v>10</v>
      </c>
      <c r="S21" s="55">
        <v>30</v>
      </c>
      <c r="V21" s="56" t="str" cm="1">
        <f t="array" ref="V21">IF(AND(N21:O22=R21:S22),"PASS","FAIL")</f>
        <v>PASS</v>
      </c>
    </row>
    <row r="22" spans="1:22" x14ac:dyDescent="0.5">
      <c r="A22" s="57"/>
      <c r="B22" s="57"/>
      <c r="D22" s="53">
        <v>40</v>
      </c>
      <c r="E22" s="53">
        <v>50</v>
      </c>
      <c r="F22" s="53">
        <v>60</v>
      </c>
      <c r="H22" s="53">
        <v>0</v>
      </c>
      <c r="N22" s="54">
        <v>70</v>
      </c>
      <c r="O22" s="54">
        <v>90</v>
      </c>
      <c r="R22" s="55">
        <v>70</v>
      </c>
      <c r="S22" s="55">
        <v>90</v>
      </c>
    </row>
    <row r="23" spans="1:22" x14ac:dyDescent="0.5">
      <c r="A23" s="57"/>
      <c r="B23" s="57"/>
      <c r="D23" s="53">
        <v>70</v>
      </c>
      <c r="E23" s="53">
        <v>80</v>
      </c>
      <c r="F23" s="53">
        <v>90</v>
      </c>
      <c r="H23" s="53">
        <v>1</v>
      </c>
    </row>
    <row r="24" spans="1:22" x14ac:dyDescent="0.5">
      <c r="A24" s="57"/>
      <c r="B24" s="57"/>
      <c r="D24" s="53">
        <v>15</v>
      </c>
      <c r="E24" s="53">
        <v>25</v>
      </c>
      <c r="F24" s="53">
        <v>35</v>
      </c>
      <c r="H24" s="53">
        <v>0</v>
      </c>
    </row>
    <row r="26" spans="1:22" x14ac:dyDescent="0.5">
      <c r="A26" s="48">
        <v>5</v>
      </c>
      <c r="B26" s="49" t="s">
        <v>17</v>
      </c>
      <c r="D26" s="53">
        <v>5</v>
      </c>
      <c r="F26" s="53">
        <v>0</v>
      </c>
      <c r="N26" s="54">
        <v>12</v>
      </c>
      <c r="R26" s="55" cm="1">
        <f t="array" ref="R26:R28">xfilter(D26:D29,F26:F29)</f>
        <v>12</v>
      </c>
      <c r="V26" s="56" t="str" cm="1">
        <f t="array" ref="V26">IF(AND(N26:N28=R26:R28),"PASS","FAIL")</f>
        <v>PASS</v>
      </c>
    </row>
    <row r="27" spans="1:22" x14ac:dyDescent="0.5">
      <c r="A27" s="57"/>
      <c r="B27" s="57"/>
      <c r="D27" s="53">
        <v>12</v>
      </c>
      <c r="F27" s="53">
        <v>1</v>
      </c>
      <c r="N27" s="54">
        <v>8</v>
      </c>
      <c r="R27" s="55">
        <v>8</v>
      </c>
    </row>
    <row r="28" spans="1:22" x14ac:dyDescent="0.5">
      <c r="A28" s="57"/>
      <c r="B28" s="57"/>
      <c r="D28" s="53">
        <v>8</v>
      </c>
      <c r="F28" s="53">
        <v>1</v>
      </c>
      <c r="N28" s="54">
        <v>20</v>
      </c>
      <c r="R28" s="55">
        <v>20</v>
      </c>
    </row>
    <row r="29" spans="1:22" x14ac:dyDescent="0.5">
      <c r="A29" s="57"/>
      <c r="B29" s="57"/>
      <c r="D29" s="53">
        <v>20</v>
      </c>
      <c r="F29" s="53">
        <v>1</v>
      </c>
    </row>
    <row r="31" spans="1:22" x14ac:dyDescent="0.5">
      <c r="A31" s="48">
        <v>6</v>
      </c>
      <c r="B31" s="49" t="s">
        <v>18</v>
      </c>
      <c r="D31" s="53">
        <v>10</v>
      </c>
      <c r="E31" s="53">
        <v>20</v>
      </c>
      <c r="F31" s="53">
        <v>30</v>
      </c>
      <c r="H31" s="53">
        <v>0</v>
      </c>
      <c r="N31" s="54"/>
      <c r="R31" s="55" t="str" cm="1">
        <f t="array" ref="R31">xfilter(D31:F34,H31:H34)</f>
        <v/>
      </c>
      <c r="V31" s="56" t="str">
        <f>IF(R31=N31,"PASS","FAIL")</f>
        <v>PASS</v>
      </c>
    </row>
    <row r="32" spans="1:22" x14ac:dyDescent="0.5">
      <c r="A32" s="57"/>
      <c r="B32" s="57"/>
      <c r="D32" s="53">
        <v>40</v>
      </c>
      <c r="E32" s="53">
        <v>50</v>
      </c>
      <c r="F32" s="53">
        <v>60</v>
      </c>
      <c r="H32" s="53">
        <v>0</v>
      </c>
    </row>
    <row r="33" spans="1:8" x14ac:dyDescent="0.5">
      <c r="A33" s="57"/>
      <c r="B33" s="57"/>
      <c r="D33" s="53">
        <v>70</v>
      </c>
      <c r="E33" s="53">
        <v>80</v>
      </c>
      <c r="F33" s="53">
        <v>90</v>
      </c>
      <c r="H33" s="53">
        <v>0</v>
      </c>
    </row>
    <row r="34" spans="1:8" x14ac:dyDescent="0.5">
      <c r="A34" s="57"/>
      <c r="B34" s="57"/>
      <c r="D34" s="53">
        <v>15</v>
      </c>
      <c r="E34" s="53">
        <v>25</v>
      </c>
      <c r="F34" s="53">
        <v>35</v>
      </c>
      <c r="H34" s="53">
        <v>0</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98"/>
  <dimension ref="A1:R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8" ht="231" customHeight="1" x14ac:dyDescent="0.5">
      <c r="A1" s="47" t="s">
        <v>0</v>
      </c>
      <c r="B1" s="68" t="str" cm="1">
        <f t="array" aca="1" ref="B1" ca="1">_xlfn.LET(_xlpm.fn, CELL("filename",$A$1), _xlpm.nm, MID(_xlpm.fn, FIND("]", _xlpm.fn) + 1, 255), _xlfn.XLOOKUP(_xlpm.nm &amp; "(*", Lamb!$A$2:$A$1000, Lamb!$A$2:$A$1000, "", 2))</f>
        <v>xmod(a, b)</v>
      </c>
      <c r="C1" s="64"/>
      <c r="D1" s="64"/>
      <c r="E1" s="64"/>
      <c r="F1" s="65"/>
      <c r="H1" s="47" t="s">
        <v>2</v>
      </c>
      <c r="I1" s="63"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64"/>
      <c r="K1" s="64"/>
      <c r="L1" s="64"/>
      <c r="M1" s="64"/>
      <c r="N1" s="64"/>
      <c r="O1" s="64"/>
      <c r="P1" s="64"/>
      <c r="Q1" s="64"/>
      <c r="R1" s="65"/>
    </row>
    <row r="2" spans="1:18" ht="21" customHeight="1" x14ac:dyDescent="0.5">
      <c r="A2" s="47" t="s">
        <v>4</v>
      </c>
      <c r="B2" s="66" t="str" cm="1">
        <f t="array" aca="1" ref="B2" ca="1">_xlfn.LET(_xlpm.fn, CELL("filename",$A$1), _xlpm.nm, MID(_xlpm.fn, FIND("]", _xlpm.fn) + 1, 255), _xlfn.XLOOKUP(_xlpm.nm &amp; "(*", Lamb!$A$2:$A$1000, Lamb!$C$2:$C$1000, "", 2))</f>
        <v>=LAMBDA(a, b, IF(MOD(a, b) = 0, b, MOD(a, b)))</v>
      </c>
      <c r="C2" s="67"/>
      <c r="D2" s="67"/>
      <c r="E2" s="67"/>
      <c r="F2" s="67"/>
      <c r="G2" s="67"/>
      <c r="H2" s="67"/>
      <c r="I2" s="67"/>
      <c r="J2" s="67"/>
      <c r="K2" s="67"/>
      <c r="L2" s="67"/>
      <c r="M2" s="67"/>
      <c r="N2" s="67"/>
      <c r="O2" s="67"/>
      <c r="P2" s="67"/>
      <c r="Q2" s="67"/>
      <c r="R2" s="67"/>
    </row>
    <row r="4" spans="1:18" x14ac:dyDescent="0.5">
      <c r="A4" s="47" t="s">
        <v>3336</v>
      </c>
      <c r="L4" s="47" t="str">
        <f>COUNTIF(L6:L18,"PASS")&amp;" / 6 PASS"</f>
        <v>6 / 6 PASS</v>
      </c>
    </row>
    <row r="5" spans="1:18" x14ac:dyDescent="0.5">
      <c r="A5" s="47" t="s">
        <v>7</v>
      </c>
      <c r="B5" s="47" t="s">
        <v>8</v>
      </c>
      <c r="D5" s="47" t="s">
        <v>9</v>
      </c>
      <c r="H5" s="50" t="s">
        <v>10</v>
      </c>
      <c r="J5" s="51" t="s">
        <v>11</v>
      </c>
      <c r="L5" s="52" t="s">
        <v>12</v>
      </c>
    </row>
    <row r="6" spans="1:18" x14ac:dyDescent="0.5">
      <c r="A6" s="48">
        <v>1</v>
      </c>
      <c r="B6" s="49" t="s">
        <v>3337</v>
      </c>
      <c r="D6" s="53">
        <v>6</v>
      </c>
      <c r="F6" s="53">
        <v>3</v>
      </c>
      <c r="H6" s="54">
        <v>3</v>
      </c>
      <c r="J6" s="55" cm="1">
        <f t="array" ref="J6">xmod(D6,F6)</f>
        <v>3</v>
      </c>
      <c r="L6" s="56" t="str">
        <f>IF(J6=H6,"PASS","FAIL")</f>
        <v>PASS</v>
      </c>
    </row>
    <row r="8" spans="1:18" x14ac:dyDescent="0.5">
      <c r="A8" s="48">
        <v>2</v>
      </c>
      <c r="B8" s="49" t="s">
        <v>3338</v>
      </c>
      <c r="D8" s="53">
        <v>7</v>
      </c>
      <c r="F8" s="53">
        <v>3</v>
      </c>
      <c r="H8" s="54">
        <v>1</v>
      </c>
      <c r="J8" s="55" cm="1">
        <f t="array" ref="J8">xmod(D8,F8)</f>
        <v>1</v>
      </c>
      <c r="L8" s="56" t="str">
        <f>IF(J8=H8,"PASS","FAIL")</f>
        <v>PASS</v>
      </c>
    </row>
    <row r="10" spans="1:18" x14ac:dyDescent="0.5">
      <c r="A10" s="48">
        <v>3</v>
      </c>
      <c r="B10" s="49" t="s">
        <v>3339</v>
      </c>
      <c r="D10" s="53">
        <v>5</v>
      </c>
      <c r="F10" s="53">
        <v>5</v>
      </c>
      <c r="H10" s="54">
        <v>5</v>
      </c>
      <c r="J10" s="55" cm="1">
        <f t="array" ref="J10">xmod(D10,F10)</f>
        <v>5</v>
      </c>
      <c r="L10" s="56" t="str">
        <f>IF(J10=H10,"PASS","FAIL")</f>
        <v>PASS</v>
      </c>
    </row>
    <row r="12" spans="1:18" x14ac:dyDescent="0.5">
      <c r="A12" s="48">
        <v>4</v>
      </c>
      <c r="B12" s="49" t="s">
        <v>3340</v>
      </c>
      <c r="D12" s="53">
        <v>10</v>
      </c>
      <c r="F12" s="53">
        <v>4</v>
      </c>
      <c r="H12" s="54">
        <v>2</v>
      </c>
      <c r="J12" s="55" cm="1">
        <f t="array" ref="J12">xmod(D12,F12)</f>
        <v>2</v>
      </c>
      <c r="L12" s="56" t="str">
        <f>IF(J12=H12,"PASS","FAIL")</f>
        <v>PASS</v>
      </c>
    </row>
    <row r="14" spans="1:18" x14ac:dyDescent="0.5">
      <c r="A14" s="48">
        <v>5</v>
      </c>
      <c r="B14" s="49" t="s">
        <v>3341</v>
      </c>
      <c r="D14" s="53">
        <v>12</v>
      </c>
      <c r="F14" s="53">
        <v>6</v>
      </c>
      <c r="H14" s="54">
        <v>6</v>
      </c>
      <c r="J14" s="55" cm="1">
        <f t="array" ref="J14">xmod(D14,F14)</f>
        <v>6</v>
      </c>
      <c r="L14" s="56" t="str">
        <f>IF(J14=H14,"PASS","FAIL")</f>
        <v>PASS</v>
      </c>
    </row>
    <row r="16" spans="1:18" x14ac:dyDescent="0.5">
      <c r="A16" s="48">
        <v>6</v>
      </c>
      <c r="B16" s="49" t="s">
        <v>3342</v>
      </c>
      <c r="D16" s="53">
        <v>1</v>
      </c>
      <c r="F16" s="53">
        <v>4</v>
      </c>
      <c r="H16" s="54">
        <v>1</v>
      </c>
      <c r="J16" s="55" cm="1">
        <f t="array" ref="J16">xmod(D16,F16)</f>
        <v>1</v>
      </c>
      <c r="L16" s="56" t="str">
        <f>IF(J16=H16,"PASS","FAIL")</f>
        <v>PASS</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99"/>
  <dimension ref="A1:R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8" ht="210" customHeight="1" x14ac:dyDescent="0.5">
      <c r="A1" s="47" t="s">
        <v>0</v>
      </c>
      <c r="B1" s="68" t="str" cm="1">
        <f t="array" aca="1" ref="B1" ca="1">_xlfn.LET(_xlpm.fn, CELL("filename",$A$1), _xlpm.nm, MID(_xlpm.fn, FIND("]", _xlpm.fn) + 1, 255), _xlfn.XLOOKUP(_xlpm.nm &amp; "(*", Lamb!$A$2:$A$1000, Lamb!$A$2:$A$1000, "", 2))</f>
        <v>xn(value_or_array)</v>
      </c>
      <c r="C1" s="64"/>
      <c r="D1" s="64"/>
      <c r="E1" s="64"/>
      <c r="F1" s="65"/>
      <c r="H1" s="47" t="s">
        <v>2</v>
      </c>
      <c r="I1" s="63"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64"/>
      <c r="K1" s="64"/>
      <c r="L1" s="64"/>
      <c r="M1" s="64"/>
      <c r="N1" s="64"/>
      <c r="O1" s="64"/>
      <c r="P1" s="64"/>
      <c r="Q1" s="64"/>
      <c r="R1" s="65"/>
    </row>
    <row r="2" spans="1:18" ht="294" customHeight="1" x14ac:dyDescent="0.5">
      <c r="A2" s="47" t="s">
        <v>4</v>
      </c>
      <c r="B2" s="66"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67"/>
      <c r="D2" s="67"/>
      <c r="E2" s="67"/>
      <c r="F2" s="67"/>
      <c r="G2" s="67"/>
      <c r="H2" s="67"/>
      <c r="I2" s="67"/>
      <c r="J2" s="67"/>
      <c r="K2" s="67"/>
      <c r="L2" s="67"/>
      <c r="M2" s="67"/>
      <c r="N2" s="67"/>
      <c r="O2" s="67"/>
      <c r="P2" s="67"/>
      <c r="Q2" s="67"/>
      <c r="R2" s="67"/>
    </row>
    <row r="4" spans="1:18" x14ac:dyDescent="0.5">
      <c r="A4" s="47" t="s">
        <v>3343</v>
      </c>
      <c r="J4" s="47" t="str">
        <f>COUNTIF(J6:J18,"PASS")&amp;" / 5 PASS"</f>
        <v>5 / 5 PASS</v>
      </c>
    </row>
    <row r="5" spans="1:18" x14ac:dyDescent="0.5">
      <c r="A5" s="47" t="s">
        <v>7</v>
      </c>
      <c r="B5" s="47" t="s">
        <v>8</v>
      </c>
      <c r="D5" s="47" t="s">
        <v>9</v>
      </c>
      <c r="F5" s="50" t="s">
        <v>10</v>
      </c>
      <c r="H5" s="51" t="s">
        <v>11</v>
      </c>
      <c r="J5" s="52" t="s">
        <v>12</v>
      </c>
    </row>
    <row r="6" spans="1:18" x14ac:dyDescent="0.5">
      <c r="A6" s="48">
        <v>1</v>
      </c>
      <c r="B6" s="49" t="s">
        <v>3344</v>
      </c>
      <c r="D6" s="53" t="s">
        <v>3345</v>
      </c>
      <c r="F6" s="54">
        <v>42</v>
      </c>
      <c r="H6" s="55" cm="1">
        <f t="array" ref="H6">xn(D6)</f>
        <v>42</v>
      </c>
      <c r="J6" s="56" t="str">
        <f>IF(H6=F6,"PASS","FAIL")</f>
        <v>PASS</v>
      </c>
    </row>
    <row r="8" spans="1:18" x14ac:dyDescent="0.5">
      <c r="A8" s="48">
        <v>2</v>
      </c>
      <c r="B8" s="49" t="s">
        <v>3346</v>
      </c>
      <c r="D8" s="53" t="b">
        <v>1</v>
      </c>
      <c r="F8" s="54">
        <v>1</v>
      </c>
      <c r="H8" s="55" cm="1">
        <f t="array" ref="H8">xn(D8)</f>
        <v>1</v>
      </c>
      <c r="J8" s="56" t="str">
        <f>IF(H8=F8,"PASS","FAIL")</f>
        <v>PASS</v>
      </c>
    </row>
    <row r="10" spans="1:18" x14ac:dyDescent="0.5">
      <c r="A10" s="48">
        <v>3</v>
      </c>
      <c r="B10" s="49" t="s">
        <v>3347</v>
      </c>
      <c r="D10" s="53" t="s">
        <v>3164</v>
      </c>
      <c r="F10" s="54" t="s">
        <v>3164</v>
      </c>
      <c r="H10" s="55" t="str" cm="1">
        <f t="array" ref="H10">xn(D10)</f>
        <v>abc</v>
      </c>
      <c r="J10" s="56" t="str">
        <f>IF(H10=F10,"PASS","FAIL")</f>
        <v>PASS</v>
      </c>
    </row>
    <row r="12" spans="1:18" x14ac:dyDescent="0.5">
      <c r="A12" s="48">
        <v>4</v>
      </c>
      <c r="B12" s="49" t="s">
        <v>3348</v>
      </c>
      <c r="D12" s="53"/>
      <c r="F12" s="54"/>
      <c r="H12" s="55" t="str" cm="1">
        <f t="array" ref="H12">xn(D12)</f>
        <v/>
      </c>
      <c r="J12" s="56" t="str">
        <f>IF(H12=F12,"PASS","FAIL")</f>
        <v>PASS</v>
      </c>
    </row>
    <row r="14" spans="1:18" x14ac:dyDescent="0.5">
      <c r="A14" s="48">
        <v>5</v>
      </c>
      <c r="B14" s="49" t="s">
        <v>3349</v>
      </c>
      <c r="D14" s="53" t="s">
        <v>580</v>
      </c>
      <c r="F14" s="54">
        <v>1</v>
      </c>
      <c r="H14" s="55" cm="1">
        <f t="array" ref="H14:H16">xn(D14:D16)</f>
        <v>1</v>
      </c>
      <c r="J14" s="56" t="str" cm="1">
        <f t="array" ref="J14">IF(AND(F14:F16=H14:H16),"PASS","FAIL")</f>
        <v>PASS</v>
      </c>
    </row>
    <row r="15" spans="1:18" x14ac:dyDescent="0.5">
      <c r="A15" s="57"/>
      <c r="B15" s="57"/>
      <c r="D15" s="53" t="s">
        <v>139</v>
      </c>
      <c r="F15" s="54">
        <v>2</v>
      </c>
      <c r="H15" s="55">
        <v>2</v>
      </c>
    </row>
    <row r="16" spans="1:18" x14ac:dyDescent="0.5">
      <c r="A16" s="57"/>
      <c r="B16" s="57"/>
      <c r="D16" s="53" t="s">
        <v>3046</v>
      </c>
      <c r="F16" s="54" t="s">
        <v>3046</v>
      </c>
      <c r="H16" s="55" t="str">
        <v>x</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100"/>
  <dimension ref="A1:R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8" ht="252" customHeight="1" x14ac:dyDescent="0.5">
      <c r="A1" s="47" t="s">
        <v>0</v>
      </c>
      <c r="B1" s="68" t="str" cm="1">
        <f t="array" aca="1" ref="B1" ca="1">_xlfn.LET(_xlpm.fn, CELL("filename",$A$1), _xlpm.nm, MID(_xlpm.fn, FIND("]", _xlpm.fn) + 1, 255), _xlfn.XLOOKUP(_xlpm.nm &amp; "(*", Lamb!$A$2:$A$1000, Lamb!$A$2:$A$1000, "", 2))</f>
        <v>xrank(value, array, [order])</v>
      </c>
      <c r="C1" s="64"/>
      <c r="D1" s="64"/>
      <c r="E1" s="64"/>
      <c r="F1" s="65"/>
      <c r="H1" s="47" t="s">
        <v>2</v>
      </c>
      <c r="I1" s="63"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64"/>
      <c r="K1" s="64"/>
      <c r="L1" s="64"/>
      <c r="M1" s="64"/>
      <c r="N1" s="64"/>
      <c r="O1" s="64"/>
      <c r="P1" s="64"/>
      <c r="Q1" s="64"/>
      <c r="R1" s="65"/>
    </row>
    <row r="2" spans="1:18" ht="105" customHeight="1" x14ac:dyDescent="0.5">
      <c r="A2" s="47" t="s">
        <v>4</v>
      </c>
      <c r="B2" s="66"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67"/>
      <c r="D2" s="67"/>
      <c r="E2" s="67"/>
      <c r="F2" s="67"/>
      <c r="G2" s="67"/>
      <c r="H2" s="67"/>
      <c r="I2" s="67"/>
      <c r="J2" s="67"/>
      <c r="K2" s="67"/>
      <c r="L2" s="67"/>
      <c r="M2" s="67"/>
      <c r="N2" s="67"/>
      <c r="O2" s="67"/>
      <c r="P2" s="67"/>
      <c r="Q2" s="67"/>
      <c r="R2" s="67"/>
    </row>
    <row r="4" spans="1:18" x14ac:dyDescent="0.5">
      <c r="A4" s="47" t="s">
        <v>3350</v>
      </c>
      <c r="N4" s="47" t="str">
        <f>COUNTIF(N6:N25,"PASS")&amp;" / 6 PASS"</f>
        <v>6 / 6 PASS</v>
      </c>
    </row>
    <row r="5" spans="1:18" x14ac:dyDescent="0.5">
      <c r="A5" s="47" t="s">
        <v>7</v>
      </c>
      <c r="B5" s="47" t="s">
        <v>8</v>
      </c>
      <c r="D5" s="47" t="s">
        <v>9</v>
      </c>
      <c r="J5" s="50" t="s">
        <v>10</v>
      </c>
      <c r="L5" s="51" t="s">
        <v>11</v>
      </c>
      <c r="N5" s="52" t="s">
        <v>12</v>
      </c>
    </row>
    <row r="6" spans="1:18" x14ac:dyDescent="0.5">
      <c r="A6" s="48">
        <v>1</v>
      </c>
      <c r="B6" s="49" t="s">
        <v>3351</v>
      </c>
      <c r="D6" s="53">
        <v>50</v>
      </c>
      <c r="F6" s="53">
        <v>10</v>
      </c>
      <c r="J6" s="54">
        <v>1</v>
      </c>
      <c r="L6" s="55" cm="1">
        <f t="array" ref="L6">xrank(D6,F6:F8)</f>
        <v>1</v>
      </c>
      <c r="N6" s="56" t="str">
        <f>IF(L6=J6,"PASS","FAIL")</f>
        <v>PASS</v>
      </c>
    </row>
    <row r="7" spans="1:18" x14ac:dyDescent="0.5">
      <c r="A7" s="57"/>
      <c r="B7" s="57"/>
      <c r="F7" s="53">
        <v>50</v>
      </c>
    </row>
    <row r="8" spans="1:18" x14ac:dyDescent="0.5">
      <c r="A8" s="57"/>
      <c r="B8" s="57"/>
      <c r="F8" s="53">
        <v>30</v>
      </c>
    </row>
    <row r="10" spans="1:18" x14ac:dyDescent="0.5">
      <c r="A10" s="48">
        <v>2</v>
      </c>
      <c r="B10" s="49" t="s">
        <v>3352</v>
      </c>
      <c r="D10" s="53">
        <v>30</v>
      </c>
      <c r="F10" s="53">
        <v>10</v>
      </c>
      <c r="J10" s="54">
        <v>2</v>
      </c>
      <c r="L10" s="55" cm="1">
        <f t="array" ref="L10">xrank(D10,F10:F12)</f>
        <v>2</v>
      </c>
      <c r="N10" s="56" t="str">
        <f>IF(L10=J10,"PASS","FAIL")</f>
        <v>PASS</v>
      </c>
    </row>
    <row r="11" spans="1:18" x14ac:dyDescent="0.5">
      <c r="A11" s="57"/>
      <c r="B11" s="57"/>
      <c r="F11" s="53">
        <v>50</v>
      </c>
    </row>
    <row r="12" spans="1:18" x14ac:dyDescent="0.5">
      <c r="A12" s="57"/>
      <c r="B12" s="57"/>
      <c r="F12" s="53">
        <v>30</v>
      </c>
    </row>
    <row r="14" spans="1:18" x14ac:dyDescent="0.5">
      <c r="A14" s="48">
        <v>3</v>
      </c>
      <c r="B14" s="49" t="s">
        <v>3353</v>
      </c>
      <c r="D14" s="53">
        <v>10</v>
      </c>
      <c r="F14" s="53">
        <v>10</v>
      </c>
      <c r="H14" s="53">
        <v>1</v>
      </c>
      <c r="J14" s="54">
        <v>1</v>
      </c>
      <c r="L14" s="55" cm="1">
        <f t="array" ref="L14">xrank(D14,F14:F16,H14)</f>
        <v>1</v>
      </c>
      <c r="N14" s="56" t="str">
        <f>IF(L14=J14,"PASS","FAIL")</f>
        <v>PASS</v>
      </c>
    </row>
    <row r="15" spans="1:18" x14ac:dyDescent="0.5">
      <c r="A15" s="57"/>
      <c r="B15" s="57"/>
      <c r="F15" s="53">
        <v>50</v>
      </c>
    </row>
    <row r="16" spans="1:18" x14ac:dyDescent="0.5">
      <c r="A16" s="57"/>
      <c r="B16" s="57"/>
      <c r="F16" s="53">
        <v>30</v>
      </c>
    </row>
    <row r="18" spans="1:14" x14ac:dyDescent="0.5">
      <c r="A18" s="48">
        <v>4</v>
      </c>
      <c r="B18" s="49" t="s">
        <v>3354</v>
      </c>
      <c r="D18" s="53">
        <v>50</v>
      </c>
      <c r="F18" s="53">
        <v>10</v>
      </c>
      <c r="G18" s="53">
        <v>50</v>
      </c>
      <c r="H18" s="53">
        <v>30</v>
      </c>
      <c r="J18" s="54">
        <v>1</v>
      </c>
      <c r="L18" s="55" cm="1">
        <f t="array" ref="L18">xrank(D18,F18:H18)</f>
        <v>1</v>
      </c>
      <c r="N18" s="56" t="str">
        <f>IF(L18=J18,"PASS","FAIL")</f>
        <v>PASS</v>
      </c>
    </row>
    <row r="20" spans="1:14" x14ac:dyDescent="0.5">
      <c r="A20" s="48">
        <v>5</v>
      </c>
      <c r="B20" s="49" t="s">
        <v>3355</v>
      </c>
      <c r="D20" s="53">
        <v>20</v>
      </c>
      <c r="F20" s="53">
        <v>10</v>
      </c>
      <c r="J20" s="54">
        <v>2</v>
      </c>
      <c r="L20" s="55" cm="1">
        <f t="array" ref="L20">xrank(D20,F20:F23)</f>
        <v>2</v>
      </c>
      <c r="N20" s="56" t="str">
        <f>IF(L20=J20,"PASS","FAIL")</f>
        <v>PASS</v>
      </c>
    </row>
    <row r="21" spans="1:14" x14ac:dyDescent="0.5">
      <c r="A21" s="57"/>
      <c r="B21" s="57"/>
      <c r="F21" s="53">
        <v>20</v>
      </c>
    </row>
    <row r="22" spans="1:14" x14ac:dyDescent="0.5">
      <c r="A22" s="57"/>
      <c r="B22" s="57"/>
      <c r="F22" s="53">
        <v>20</v>
      </c>
    </row>
    <row r="23" spans="1:14" x14ac:dyDescent="0.5">
      <c r="A23" s="57"/>
      <c r="B23" s="57"/>
      <c r="F23" s="53">
        <v>30</v>
      </c>
    </row>
    <row r="25" spans="1:14" x14ac:dyDescent="0.5">
      <c r="A25" s="48">
        <v>6</v>
      </c>
      <c r="B25" s="49" t="s">
        <v>3392</v>
      </c>
      <c r="D25" s="53">
        <v>999</v>
      </c>
      <c r="J25" s="54" t="str">
        <f>""</f>
        <v/>
      </c>
      <c r="L25" s="55" t="str">
        <f>xrank(D25,{10;20;30})</f>
        <v/>
      </c>
      <c r="N25" s="56" t="str">
        <f>IF(L25=J25,"PASS","FAIL")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101"/>
  <dimension ref="A1:R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8" ht="294" customHeight="1" x14ac:dyDescent="0.5">
      <c r="A1" s="47" t="s">
        <v>0</v>
      </c>
      <c r="B1" s="68" t="str" cm="1">
        <f t="array" aca="1" ref="B1" ca="1">_xlfn.LET(_xlpm.fn, CELL("filename",$A$1), _xlpm.nm, MID(_xlpm.fn, FIND("]", _xlpm.fn) + 1, 255), _xlfn.XLOOKUP(_xlpm.nm &amp; "(*", Lamb!$A$2:$A$1000, Lamb!$A$2:$A$1000, "", 2))</f>
        <v>xsequence(start, stop, [step], [repeat_element], [repeat_array])</v>
      </c>
      <c r="C1" s="64"/>
      <c r="D1" s="64"/>
      <c r="E1" s="64"/>
      <c r="F1" s="65"/>
      <c r="H1" s="47" t="s">
        <v>2</v>
      </c>
      <c r="I1" s="63"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64"/>
      <c r="K1" s="64"/>
      <c r="L1" s="64"/>
      <c r="M1" s="64"/>
      <c r="N1" s="64"/>
      <c r="O1" s="64"/>
      <c r="P1" s="64"/>
      <c r="Q1" s="64"/>
      <c r="R1" s="65"/>
    </row>
    <row r="2" spans="1:18" ht="315" customHeight="1" x14ac:dyDescent="0.5">
      <c r="A2" s="47" t="s">
        <v>4</v>
      </c>
      <c r="B2" s="66"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67"/>
      <c r="D2" s="67"/>
      <c r="E2" s="67"/>
      <c r="F2" s="67"/>
      <c r="G2" s="67"/>
      <c r="H2" s="67"/>
      <c r="I2" s="67"/>
      <c r="J2" s="67"/>
      <c r="K2" s="67"/>
      <c r="L2" s="67"/>
      <c r="M2" s="67"/>
      <c r="N2" s="67"/>
      <c r="O2" s="67"/>
      <c r="P2" s="67"/>
      <c r="Q2" s="67"/>
      <c r="R2" s="67"/>
    </row>
    <row r="4" spans="1:18" x14ac:dyDescent="0.5">
      <c r="A4" s="47" t="s">
        <v>3356</v>
      </c>
      <c r="R4" s="47" t="str">
        <f>COUNTIF(R6:R36,"PASS")&amp;" / 6 PASS"</f>
        <v>6 / 6 PASS</v>
      </c>
    </row>
    <row r="5" spans="1:18" x14ac:dyDescent="0.5">
      <c r="A5" s="47" t="s">
        <v>7</v>
      </c>
      <c r="B5" s="47" t="s">
        <v>8</v>
      </c>
      <c r="D5" s="47" t="s">
        <v>9</v>
      </c>
      <c r="N5" s="50" t="s">
        <v>10</v>
      </c>
      <c r="P5" s="51" t="s">
        <v>11</v>
      </c>
      <c r="R5" s="52" t="s">
        <v>12</v>
      </c>
    </row>
    <row r="6" spans="1:18" x14ac:dyDescent="0.5">
      <c r="A6" s="48">
        <v>1</v>
      </c>
      <c r="B6" s="49" t="s">
        <v>3357</v>
      </c>
      <c r="D6" s="53">
        <v>1</v>
      </c>
      <c r="F6" s="53">
        <v>5</v>
      </c>
      <c r="N6" s="54">
        <v>1</v>
      </c>
      <c r="P6" s="55" cm="1">
        <f t="array" ref="P6:P10">xsequence(D6,F6)</f>
        <v>1</v>
      </c>
      <c r="R6" s="56" t="str" cm="1">
        <f t="array" ref="R6">IF(AND(N6:N10=P6:P10),"PASS","FAIL")</f>
        <v>PASS</v>
      </c>
    </row>
    <row r="7" spans="1:18" x14ac:dyDescent="0.5">
      <c r="A7" s="57"/>
      <c r="B7" s="57"/>
      <c r="N7" s="54">
        <v>2</v>
      </c>
      <c r="P7" s="55">
        <v>2</v>
      </c>
    </row>
    <row r="8" spans="1:18" x14ac:dyDescent="0.5">
      <c r="A8" s="57"/>
      <c r="B8" s="57"/>
      <c r="N8" s="54">
        <v>3</v>
      </c>
      <c r="P8" s="55">
        <v>3</v>
      </c>
    </row>
    <row r="9" spans="1:18" x14ac:dyDescent="0.5">
      <c r="A9" s="57"/>
      <c r="B9" s="57"/>
      <c r="N9" s="54">
        <v>4</v>
      </c>
      <c r="P9" s="55">
        <v>4</v>
      </c>
    </row>
    <row r="10" spans="1:18" x14ac:dyDescent="0.5">
      <c r="A10" s="57"/>
      <c r="B10" s="57"/>
      <c r="N10" s="54">
        <v>5</v>
      </c>
      <c r="P10" s="55">
        <v>5</v>
      </c>
    </row>
    <row r="12" spans="1:18" x14ac:dyDescent="0.5">
      <c r="A12" s="48">
        <v>2</v>
      </c>
      <c r="B12" s="49" t="s">
        <v>3358</v>
      </c>
      <c r="D12" s="53">
        <v>2</v>
      </c>
      <c r="F12" s="53">
        <v>6</v>
      </c>
      <c r="H12" s="53">
        <v>2</v>
      </c>
      <c r="N12" s="54">
        <v>2</v>
      </c>
      <c r="P12" s="55" cm="1">
        <f t="array" ref="P12:P14">xsequence(D12,F12,H12)</f>
        <v>2</v>
      </c>
      <c r="R12" s="56" t="str" cm="1">
        <f t="array" ref="R12">IF(AND(N12:N14=P12:P14),"PASS","FAIL")</f>
        <v>PASS</v>
      </c>
    </row>
    <row r="13" spans="1:18" x14ac:dyDescent="0.5">
      <c r="A13" s="57"/>
      <c r="B13" s="57"/>
      <c r="N13" s="54">
        <v>4</v>
      </c>
      <c r="P13" s="55">
        <v>4</v>
      </c>
    </row>
    <row r="14" spans="1:18" x14ac:dyDescent="0.5">
      <c r="A14" s="57"/>
      <c r="B14" s="57"/>
      <c r="N14" s="54">
        <v>6</v>
      </c>
      <c r="P14" s="55">
        <v>6</v>
      </c>
    </row>
    <row r="16" spans="1:18" x14ac:dyDescent="0.5">
      <c r="A16" s="48">
        <v>3</v>
      </c>
      <c r="B16" s="49" t="s">
        <v>3359</v>
      </c>
      <c r="D16" s="53">
        <v>1</v>
      </c>
      <c r="F16" s="53">
        <v>3</v>
      </c>
      <c r="H16" s="53"/>
      <c r="J16" s="53">
        <v>2</v>
      </c>
      <c r="N16" s="54">
        <v>1</v>
      </c>
      <c r="P16" s="55" cm="1">
        <f t="array" ref="P16:P21">xsequence(D16,F16,,J16)</f>
        <v>1</v>
      </c>
      <c r="R16" s="56" t="str" cm="1">
        <f t="array" ref="R16">IF(AND(N16:N21=P16:P21),"PASS","FAIL")</f>
        <v>PASS</v>
      </c>
    </row>
    <row r="17" spans="1:18" x14ac:dyDescent="0.5">
      <c r="A17" s="57"/>
      <c r="B17" s="57"/>
      <c r="N17" s="54">
        <v>1</v>
      </c>
      <c r="P17" s="55">
        <v>1</v>
      </c>
    </row>
    <row r="18" spans="1:18" x14ac:dyDescent="0.5">
      <c r="A18" s="57"/>
      <c r="B18" s="57"/>
      <c r="N18" s="54">
        <v>2</v>
      </c>
      <c r="P18" s="55">
        <v>2</v>
      </c>
    </row>
    <row r="19" spans="1:18" x14ac:dyDescent="0.5">
      <c r="A19" s="57"/>
      <c r="B19" s="57"/>
      <c r="N19" s="54">
        <v>2</v>
      </c>
      <c r="P19" s="55">
        <v>2</v>
      </c>
    </row>
    <row r="20" spans="1:18" x14ac:dyDescent="0.5">
      <c r="A20" s="57"/>
      <c r="B20" s="57"/>
      <c r="N20" s="54">
        <v>3</v>
      </c>
      <c r="P20" s="55">
        <v>3</v>
      </c>
    </row>
    <row r="21" spans="1:18" x14ac:dyDescent="0.5">
      <c r="A21" s="57"/>
      <c r="B21" s="57"/>
      <c r="N21" s="54">
        <v>3</v>
      </c>
      <c r="P21" s="55">
        <v>3</v>
      </c>
    </row>
    <row r="23" spans="1:18" x14ac:dyDescent="0.5">
      <c r="A23" s="48">
        <v>4</v>
      </c>
      <c r="B23" s="49" t="s">
        <v>3360</v>
      </c>
      <c r="D23" s="53">
        <v>1</v>
      </c>
      <c r="F23" s="53">
        <v>3</v>
      </c>
      <c r="H23" s="53"/>
      <c r="J23" s="53"/>
      <c r="L23" s="53">
        <v>2</v>
      </c>
      <c r="N23" s="54">
        <v>1</v>
      </c>
      <c r="P23" s="55" cm="1">
        <f t="array" ref="P23:P28">xsequence(D23,F23,,,L23)</f>
        <v>1</v>
      </c>
      <c r="R23" s="56" t="str" cm="1">
        <f t="array" ref="R23">IF(AND(N23:N28=P23:P28),"PASS","FAIL")</f>
        <v>PASS</v>
      </c>
    </row>
    <row r="24" spans="1:18" x14ac:dyDescent="0.5">
      <c r="A24" s="57"/>
      <c r="B24" s="57"/>
      <c r="N24" s="54">
        <v>2</v>
      </c>
      <c r="P24" s="55">
        <v>2</v>
      </c>
    </row>
    <row r="25" spans="1:18" x14ac:dyDescent="0.5">
      <c r="A25" s="57"/>
      <c r="B25" s="57"/>
      <c r="N25" s="54">
        <v>3</v>
      </c>
      <c r="P25" s="55">
        <v>3</v>
      </c>
    </row>
    <row r="26" spans="1:18" x14ac:dyDescent="0.5">
      <c r="A26" s="57"/>
      <c r="B26" s="57"/>
      <c r="N26" s="54">
        <v>1</v>
      </c>
      <c r="P26" s="55">
        <v>1</v>
      </c>
    </row>
    <row r="27" spans="1:18" x14ac:dyDescent="0.5">
      <c r="A27" s="57"/>
      <c r="B27" s="57"/>
      <c r="N27" s="54">
        <v>2</v>
      </c>
      <c r="P27" s="55">
        <v>2</v>
      </c>
    </row>
    <row r="28" spans="1:18" x14ac:dyDescent="0.5">
      <c r="A28" s="57"/>
      <c r="B28" s="57"/>
      <c r="N28" s="54">
        <v>3</v>
      </c>
      <c r="P28" s="55">
        <v>3</v>
      </c>
    </row>
    <row r="30" spans="1:18" x14ac:dyDescent="0.5">
      <c r="A30" s="48">
        <v>5</v>
      </c>
      <c r="B30" s="49" t="s">
        <v>3361</v>
      </c>
      <c r="D30" s="53">
        <v>5</v>
      </c>
      <c r="F30" s="53">
        <v>1</v>
      </c>
      <c r="N30" s="54">
        <v>5</v>
      </c>
      <c r="P30" s="55" cm="1">
        <f t="array" ref="P30:P34">xsequence(D30,F30)</f>
        <v>5</v>
      </c>
      <c r="R30" s="56" t="str" cm="1">
        <f t="array" ref="R30">IF(AND(N30:N34=P30:P34),"PASS","FAIL")</f>
        <v>PASS</v>
      </c>
    </row>
    <row r="31" spans="1:18" x14ac:dyDescent="0.5">
      <c r="A31" s="57"/>
      <c r="B31" s="57"/>
      <c r="N31" s="54">
        <v>4</v>
      </c>
      <c r="P31" s="55">
        <v>4</v>
      </c>
    </row>
    <row r="32" spans="1:18" x14ac:dyDescent="0.5">
      <c r="A32" s="57"/>
      <c r="B32" s="57"/>
      <c r="N32" s="54">
        <v>3</v>
      </c>
      <c r="P32" s="55">
        <v>3</v>
      </c>
    </row>
    <row r="33" spans="1:18" x14ac:dyDescent="0.5">
      <c r="A33" s="57"/>
      <c r="B33" s="57"/>
      <c r="N33" s="54">
        <v>2</v>
      </c>
      <c r="P33" s="55">
        <v>2</v>
      </c>
    </row>
    <row r="34" spans="1:18" x14ac:dyDescent="0.5">
      <c r="A34" s="57"/>
      <c r="B34" s="57"/>
      <c r="N34" s="54">
        <v>1</v>
      </c>
      <c r="P34" s="55">
        <v>1</v>
      </c>
    </row>
    <row r="36" spans="1:18" x14ac:dyDescent="0.5">
      <c r="A36" s="48">
        <v>6</v>
      </c>
      <c r="B36" s="49" t="s">
        <v>3393</v>
      </c>
      <c r="D36" s="53">
        <v>1</v>
      </c>
      <c r="F36" s="53">
        <v>5</v>
      </c>
      <c r="N36" s="54" t="s">
        <v>3391</v>
      </c>
      <c r="P36" s="55" t="e">
        <f>xsequence(D36,F36,-1)</f>
        <v>#VALUE!</v>
      </c>
      <c r="R36" s="56" t="str">
        <f>IF(ERROR.TYPE(P36)=3,"PASS","FAIL")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102"/>
  <dimension ref="A1:R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8" ht="252" customHeight="1" x14ac:dyDescent="0.5">
      <c r="A1" s="47" t="s">
        <v>0</v>
      </c>
      <c r="B1" s="68" t="str" cm="1">
        <f t="array" aca="1" ref="B1" ca="1">_xlfn.LET(_xlpm.fn, CELL("filename",$A$1), _xlpm.nm, MID(_xlpm.fn, FIND("]", _xlpm.fn) + 1, 255), _xlfn.XLOOKUP(_xlpm.nm &amp; "(*", Lamb!$A$2:$A$1000, Lamb!$A$2:$A$1000, "", 2))</f>
        <v>xtextsplit(str,[delim],[as_row])</v>
      </c>
      <c r="C1" s="64"/>
      <c r="D1" s="64"/>
      <c r="E1" s="64"/>
      <c r="F1" s="65"/>
      <c r="H1" s="47" t="s">
        <v>2</v>
      </c>
      <c r="I1" s="63"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64"/>
      <c r="K1" s="64"/>
      <c r="L1" s="64"/>
      <c r="M1" s="64"/>
      <c r="N1" s="64"/>
      <c r="O1" s="64"/>
      <c r="P1" s="64"/>
      <c r="Q1" s="64"/>
      <c r="R1" s="65"/>
    </row>
    <row r="2" spans="1:18" ht="357" customHeight="1" x14ac:dyDescent="0.5">
      <c r="A2" s="47" t="s">
        <v>4</v>
      </c>
      <c r="B2" s="66"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67"/>
      <c r="D2" s="67"/>
      <c r="E2" s="67"/>
      <c r="F2" s="67"/>
      <c r="G2" s="67"/>
      <c r="H2" s="67"/>
      <c r="I2" s="67"/>
      <c r="J2" s="67"/>
      <c r="K2" s="67"/>
      <c r="L2" s="67"/>
      <c r="M2" s="67"/>
      <c r="N2" s="67"/>
      <c r="O2" s="67"/>
      <c r="P2" s="67"/>
      <c r="Q2" s="67"/>
      <c r="R2" s="67"/>
    </row>
    <row r="4" spans="1:18" x14ac:dyDescent="0.5">
      <c r="A4" s="47" t="s">
        <v>3362</v>
      </c>
      <c r="R4" s="47" t="str">
        <f>COUNTIF(R6:R22,"PASS")&amp;" / 5 PASS"</f>
        <v>5 / 5 PASS</v>
      </c>
    </row>
    <row r="5" spans="1:18" x14ac:dyDescent="0.5">
      <c r="A5" s="47" t="s">
        <v>7</v>
      </c>
      <c r="B5" s="47" t="s">
        <v>8</v>
      </c>
      <c r="D5" s="47" t="s">
        <v>9</v>
      </c>
      <c r="J5" s="50" t="s">
        <v>10</v>
      </c>
      <c r="N5" s="51" t="s">
        <v>11</v>
      </c>
      <c r="R5" s="52" t="s">
        <v>12</v>
      </c>
    </row>
    <row r="6" spans="1:18" x14ac:dyDescent="0.5">
      <c r="A6" s="48">
        <v>1</v>
      </c>
      <c r="B6" s="49" t="s">
        <v>3363</v>
      </c>
      <c r="D6" s="53" t="s">
        <v>3364</v>
      </c>
      <c r="J6" s="54" t="s">
        <v>3026</v>
      </c>
      <c r="N6" s="55" t="str" cm="1">
        <f t="array" ref="N6:N8">xtextsplit(D6)</f>
        <v>a</v>
      </c>
      <c r="R6" s="56" t="str" cm="1">
        <f t="array" ref="R6">IF(AND(J6:J8=N6:N8),"PASS","FAIL")</f>
        <v>PASS</v>
      </c>
    </row>
    <row r="7" spans="1:18" x14ac:dyDescent="0.5">
      <c r="A7" s="57"/>
      <c r="B7" s="57"/>
      <c r="J7" s="54" t="s">
        <v>3027</v>
      </c>
      <c r="N7" s="55" t="str">
        <v>b</v>
      </c>
    </row>
    <row r="8" spans="1:18" x14ac:dyDescent="0.5">
      <c r="A8" s="57"/>
      <c r="B8" s="57"/>
      <c r="J8" s="54" t="s">
        <v>3035</v>
      </c>
      <c r="N8" s="55" t="str">
        <v>c</v>
      </c>
    </row>
    <row r="10" spans="1:18" x14ac:dyDescent="0.5">
      <c r="A10" s="48">
        <v>2</v>
      </c>
      <c r="B10" s="49" t="s">
        <v>3365</v>
      </c>
      <c r="D10" s="53" t="s">
        <v>3366</v>
      </c>
      <c r="J10" s="54">
        <v>1</v>
      </c>
      <c r="N10" s="55" cm="1">
        <f t="array" ref="N10:N12">xtextsplit(D10)</f>
        <v>1</v>
      </c>
      <c r="R10" s="56" t="str" cm="1">
        <f t="array" ref="R10">IF(AND(J10:J12=N10:N12),"PASS","FAIL")</f>
        <v>PASS</v>
      </c>
    </row>
    <row r="11" spans="1:18" x14ac:dyDescent="0.5">
      <c r="A11" s="57"/>
      <c r="B11" s="57"/>
      <c r="J11" s="54">
        <v>2</v>
      </c>
      <c r="N11" s="55">
        <v>2</v>
      </c>
    </row>
    <row r="12" spans="1:18" x14ac:dyDescent="0.5">
      <c r="A12" s="57"/>
      <c r="B12" s="57"/>
      <c r="J12" s="54">
        <v>3</v>
      </c>
      <c r="N12" s="55">
        <v>3</v>
      </c>
    </row>
    <row r="14" spans="1:18" x14ac:dyDescent="0.5">
      <c r="A14" s="48">
        <v>3</v>
      </c>
      <c r="B14" s="49" t="s">
        <v>3367</v>
      </c>
      <c r="D14" s="53" t="s">
        <v>3368</v>
      </c>
      <c r="F14" s="53" t="s">
        <v>3369</v>
      </c>
      <c r="J14" s="54" t="s">
        <v>3026</v>
      </c>
      <c r="N14" s="55" t="str" cm="1">
        <f t="array" ref="N14:N16">xtextsplit(D14,F14)</f>
        <v>a</v>
      </c>
      <c r="R14" s="56" t="str" cm="1">
        <f t="array" ref="R14">IF(AND(J14:J16=N14:N16),"PASS","FAIL")</f>
        <v>PASS</v>
      </c>
    </row>
    <row r="15" spans="1:18" x14ac:dyDescent="0.5">
      <c r="A15" s="57"/>
      <c r="B15" s="57"/>
      <c r="J15" s="54" t="s">
        <v>3027</v>
      </c>
      <c r="N15" s="55" t="str">
        <v>b</v>
      </c>
    </row>
    <row r="16" spans="1:18" x14ac:dyDescent="0.5">
      <c r="A16" s="57"/>
      <c r="B16" s="57"/>
      <c r="J16" s="54" t="s">
        <v>3035</v>
      </c>
      <c r="N16" s="55" t="str">
        <v>c</v>
      </c>
    </row>
    <row r="18" spans="1:18" x14ac:dyDescent="0.5">
      <c r="A18" s="48">
        <v>4</v>
      </c>
      <c r="B18" s="49" t="s">
        <v>3370</v>
      </c>
      <c r="D18" s="53" t="s">
        <v>3364</v>
      </c>
      <c r="F18" s="53"/>
      <c r="H18" s="53">
        <v>1</v>
      </c>
      <c r="J18" s="54" t="s">
        <v>3026</v>
      </c>
      <c r="K18" s="54" t="s">
        <v>3027</v>
      </c>
      <c r="L18" s="54" t="s">
        <v>3035</v>
      </c>
      <c r="N18" s="55" t="str" cm="1">
        <f t="array" ref="N18:P18">xtextsplit(D18,,H18)</f>
        <v>a</v>
      </c>
      <c r="O18" s="55" t="str">
        <v>b</v>
      </c>
      <c r="P18" s="55" t="str">
        <v>c</v>
      </c>
      <c r="R18" s="56" t="str" cm="1">
        <f t="array" ref="R18">IF(AND(J18:L18=N18:P18),"PASS","FAIL")</f>
        <v>PASS</v>
      </c>
    </row>
    <row r="20" spans="1:18" x14ac:dyDescent="0.5">
      <c r="A20" s="48">
        <v>5</v>
      </c>
      <c r="B20" s="49" t="s">
        <v>3371</v>
      </c>
      <c r="D20" s="53" t="s">
        <v>3164</v>
      </c>
      <c r="J20" s="54" t="s">
        <v>3164</v>
      </c>
      <c r="N20" s="55" t="str" cm="1">
        <f t="array" ref="N20">xtextsplit(D20)</f>
        <v>abc</v>
      </c>
      <c r="R20" s="56" t="str">
        <f>IF(N20=J20,"PASS","FAIL")</f>
        <v>PASS</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103"/>
  <dimension ref="A1:R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8" ht="294" customHeight="1" x14ac:dyDescent="0.5">
      <c r="A1" s="47" t="s">
        <v>0</v>
      </c>
      <c r="B1" s="68" t="str" cm="1">
        <f t="array" aca="1" ref="B1" ca="1">_xlfn.LET(_xlpm.fn, CELL("filename",$A$1), _xlpm.nm, MID(_xlpm.fn, FIND("]", _xlpm.fn) + 1, 255), _xlfn.XLOOKUP(_xlpm.nm &amp; "(*", Lamb!$A$2:$A$1000, Lamb!$A$2:$A$1000, "", 2))</f>
        <v>xtocol(rng, [show_addr], [clean], [dir], [snake])</v>
      </c>
      <c r="C1" s="64"/>
      <c r="D1" s="64"/>
      <c r="E1" s="64"/>
      <c r="F1" s="65"/>
      <c r="H1" s="47" t="s">
        <v>2</v>
      </c>
      <c r="I1" s="63"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64"/>
      <c r="K1" s="64"/>
      <c r="L1" s="64"/>
      <c r="M1" s="64"/>
      <c r="N1" s="64"/>
      <c r="O1" s="64"/>
      <c r="P1" s="64"/>
      <c r="Q1" s="64"/>
      <c r="R1" s="65"/>
    </row>
    <row r="2" spans="1:18" ht="409" customHeight="1" x14ac:dyDescent="0.5">
      <c r="A2" s="47" t="s">
        <v>4</v>
      </c>
      <c r="B2" s="66"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67"/>
      <c r="D2" s="67"/>
      <c r="E2" s="67"/>
      <c r="F2" s="67"/>
      <c r="G2" s="67"/>
      <c r="H2" s="67"/>
      <c r="I2" s="67"/>
      <c r="J2" s="67"/>
      <c r="K2" s="67"/>
      <c r="L2" s="67"/>
      <c r="M2" s="67"/>
      <c r="N2" s="67"/>
      <c r="O2" s="67"/>
      <c r="P2" s="67"/>
      <c r="Q2" s="67"/>
      <c r="R2" s="67"/>
    </row>
    <row r="4" spans="1:18" x14ac:dyDescent="0.5">
      <c r="A4" s="47" t="s">
        <v>3372</v>
      </c>
      <c r="L4" s="47" t="str">
        <f>COUNTIF(L6:L24,"PASS")&amp;" / 5 PASS"</f>
        <v>5 / 5 PASS</v>
      </c>
    </row>
    <row r="5" spans="1:18" x14ac:dyDescent="0.5">
      <c r="A5" s="47" t="s">
        <v>7</v>
      </c>
      <c r="B5" s="47" t="s">
        <v>8</v>
      </c>
      <c r="D5" s="47" t="s">
        <v>9</v>
      </c>
      <c r="H5" s="50" t="s">
        <v>10</v>
      </c>
      <c r="J5" s="51" t="s">
        <v>11</v>
      </c>
      <c r="L5" s="52" t="s">
        <v>12</v>
      </c>
    </row>
    <row r="6" spans="1:18" x14ac:dyDescent="0.5">
      <c r="A6" s="48">
        <v>1</v>
      </c>
      <c r="B6" s="49" t="s">
        <v>3373</v>
      </c>
      <c r="D6" s="53">
        <v>1</v>
      </c>
      <c r="E6" s="53">
        <v>2</v>
      </c>
      <c r="H6" s="54">
        <v>1</v>
      </c>
      <c r="J6" s="55" cm="1">
        <f t="array" ref="J6:J9">xtocol(D6:E7,0)</f>
        <v>1</v>
      </c>
      <c r="L6" s="56" t="str" cm="1">
        <f t="array" ref="L6">IF(AND(H6:H9=J6:J9),"PASS","FAIL")</f>
        <v>PASS</v>
      </c>
    </row>
    <row r="7" spans="1:18" x14ac:dyDescent="0.5">
      <c r="A7" s="57"/>
      <c r="B7" s="57"/>
      <c r="D7" s="53">
        <v>3</v>
      </c>
      <c r="E7" s="53">
        <v>4</v>
      </c>
      <c r="H7" s="54">
        <v>2</v>
      </c>
      <c r="J7" s="55">
        <v>2</v>
      </c>
    </row>
    <row r="8" spans="1:18" x14ac:dyDescent="0.5">
      <c r="A8" s="57"/>
      <c r="B8" s="57"/>
      <c r="H8" s="54">
        <v>3</v>
      </c>
      <c r="J8" s="55">
        <v>3</v>
      </c>
    </row>
    <row r="9" spans="1:18" x14ac:dyDescent="0.5">
      <c r="A9" s="57"/>
      <c r="B9" s="57"/>
      <c r="H9" s="54">
        <v>4</v>
      </c>
      <c r="J9" s="55">
        <v>4</v>
      </c>
    </row>
    <row r="11" spans="1:18" x14ac:dyDescent="0.5">
      <c r="A11" s="48">
        <v>2</v>
      </c>
      <c r="B11" s="49" t="s">
        <v>3374</v>
      </c>
      <c r="D11" s="53">
        <v>1</v>
      </c>
      <c r="E11" s="53">
        <v>2</v>
      </c>
      <c r="H11" s="54">
        <v>1</v>
      </c>
      <c r="J11" s="55" cm="1">
        <f t="array" ref="J11:J14">xtocol(D11:E12,0,,"↓→")</f>
        <v>1</v>
      </c>
      <c r="L11" s="56" t="str" cm="1">
        <f t="array" ref="L11">IF(AND(H11:H14=J11:J14),"PASS","FAIL")</f>
        <v>PASS</v>
      </c>
    </row>
    <row r="12" spans="1:18" x14ac:dyDescent="0.5">
      <c r="A12" s="57"/>
      <c r="B12" s="57"/>
      <c r="D12" s="53">
        <v>3</v>
      </c>
      <c r="E12" s="53">
        <v>4</v>
      </c>
      <c r="H12" s="54">
        <v>3</v>
      </c>
      <c r="J12" s="55">
        <v>3</v>
      </c>
    </row>
    <row r="13" spans="1:18" x14ac:dyDescent="0.5">
      <c r="A13" s="57"/>
      <c r="B13" s="57"/>
      <c r="H13" s="54">
        <v>2</v>
      </c>
      <c r="J13" s="55">
        <v>2</v>
      </c>
    </row>
    <row r="14" spans="1:18" x14ac:dyDescent="0.5">
      <c r="A14" s="57"/>
      <c r="B14" s="57"/>
      <c r="H14" s="54">
        <v>4</v>
      </c>
      <c r="J14" s="55">
        <v>4</v>
      </c>
    </row>
    <row r="16" spans="1:18" x14ac:dyDescent="0.5">
      <c r="A16" s="48">
        <v>3</v>
      </c>
      <c r="B16" s="49" t="s">
        <v>3375</v>
      </c>
      <c r="D16" s="53">
        <v>1</v>
      </c>
      <c r="E16" s="53"/>
      <c r="F16" s="53">
        <v>3</v>
      </c>
      <c r="H16" s="54">
        <v>1</v>
      </c>
      <c r="J16" s="55" cm="1">
        <f t="array" ref="J16:J17">xtocol(D16:F16,0)</f>
        <v>1</v>
      </c>
      <c r="L16" s="56" t="str" cm="1">
        <f t="array" ref="L16">IF(AND(H16:H17=J16:J17),"PASS","FAIL")</f>
        <v>PASS</v>
      </c>
    </row>
    <row r="17" spans="1:12" x14ac:dyDescent="0.5">
      <c r="A17" s="57"/>
      <c r="B17" s="57"/>
      <c r="H17" s="54">
        <v>3</v>
      </c>
      <c r="J17" s="55">
        <v>3</v>
      </c>
    </row>
    <row r="19" spans="1:12" x14ac:dyDescent="0.5">
      <c r="A19" s="48">
        <v>4</v>
      </c>
      <c r="B19" s="49" t="s">
        <v>3376</v>
      </c>
      <c r="D19" s="53">
        <v>1</v>
      </c>
      <c r="E19" s="53">
        <v>2</v>
      </c>
      <c r="H19" s="54">
        <v>1</v>
      </c>
      <c r="J19" s="55" cm="1">
        <f t="array" ref="J19:J22">xtocol(D19:E20,0,,"→↓",1)</f>
        <v>1</v>
      </c>
      <c r="L19" s="56" t="str" cm="1">
        <f t="array" ref="L19">IF(AND(H19:H22=J19:J22),"PASS","FAIL")</f>
        <v>PASS</v>
      </c>
    </row>
    <row r="20" spans="1:12" x14ac:dyDescent="0.5">
      <c r="A20" s="57"/>
      <c r="B20" s="57"/>
      <c r="D20" s="53">
        <v>3</v>
      </c>
      <c r="E20" s="53">
        <v>4</v>
      </c>
      <c r="H20" s="54">
        <v>2</v>
      </c>
      <c r="J20" s="55">
        <v>2</v>
      </c>
    </row>
    <row r="21" spans="1:12" x14ac:dyDescent="0.5">
      <c r="A21" s="57"/>
      <c r="B21" s="57"/>
      <c r="H21" s="54">
        <v>4</v>
      </c>
      <c r="J21" s="55">
        <v>4</v>
      </c>
    </row>
    <row r="22" spans="1:12" x14ac:dyDescent="0.5">
      <c r="A22" s="57"/>
      <c r="B22" s="57"/>
      <c r="H22" s="54">
        <v>3</v>
      </c>
      <c r="J22" s="55">
        <v>3</v>
      </c>
    </row>
    <row r="24" spans="1:12" x14ac:dyDescent="0.5">
      <c r="A24" s="48">
        <v>5</v>
      </c>
      <c r="B24" s="49" t="s">
        <v>3394</v>
      </c>
      <c r="H24" s="54" t="s">
        <v>3391</v>
      </c>
      <c r="J24" s="55" t="e">
        <f>xtocol(D6:E7,1,1,"Z")</f>
        <v>#VALUE!</v>
      </c>
      <c r="L24" s="56" t="str">
        <f>IF(ERROR.TYPE(J24)=3,"PASS","FAIL")</f>
        <v>PASS</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54</vt:i4>
      </vt:variant>
    </vt:vector>
  </HeadingPairs>
  <TitlesOfParts>
    <vt:vector size="54" baseType="lpstr">
      <vt:lpstr>Prep</vt:lpstr>
      <vt:lpstr>Lamb</vt:lpstr>
      <vt:lpstr>test_summary</vt:lpstr>
      <vt:lpstr>addr_lookup</vt:lpstr>
      <vt:lpstr>arrow</vt:lpstr>
      <vt:lpstr>arrow_move</vt:lpstr>
      <vt:lpstr>arrow_trip</vt:lpstr>
      <vt:lpstr>biggest</vt:lpstr>
      <vt:lpstr>clamp</vt:lpstr>
      <vt:lpstr>count_substring</vt:lpstr>
      <vt:lpstr>ctotal</vt:lpstr>
      <vt:lpstr>cycles</vt:lpstr>
      <vt:lpstr>die_pips</vt:lpstr>
      <vt:lpstr>dist</vt:lpstr>
      <vt:lpstr>exists</vt:lpstr>
      <vt:lpstr>freq_table</vt:lpstr>
      <vt:lpstr>is_unique</vt:lpstr>
      <vt:lpstr>knight_moves</vt:lpstr>
      <vt:lpstr>label_lookup</vt:lpstr>
      <vt:lpstr>load_array</vt:lpstr>
      <vt:lpstr>neighbors_count</vt:lpstr>
      <vt:lpstr>neighbors_list</vt:lpstr>
      <vt:lpstr>num_ad</vt:lpstr>
      <vt:lpstr>offset_letter</vt:lpstr>
      <vt:lpstr>only_letters</vt:lpstr>
      <vt:lpstr>only_numbers</vt:lpstr>
      <vt:lpstr>range2ad</vt:lpstr>
      <vt:lpstr>rev</vt:lpstr>
      <vt:lpstr>rotate_arrow</vt:lpstr>
      <vt:lpstr>route_cost</vt:lpstr>
      <vt:lpstr>save_array</vt:lpstr>
      <vt:lpstr>selections</vt:lpstr>
      <vt:lpstr>set</vt:lpstr>
      <vt:lpstr>set_d</vt:lpstr>
      <vt:lpstr>set_i</vt:lpstr>
      <vt:lpstr>set_u</vt:lpstr>
      <vt:lpstr>shift_arr</vt:lpstr>
      <vt:lpstr>smallest</vt:lpstr>
      <vt:lpstr>str2arr</vt:lpstr>
      <vt:lpstr>str_ad</vt:lpstr>
      <vt:lpstr>str_rev</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2026-07-13T00:08:55Z</dcterms:modified>
</cp:coreProperties>
</file>