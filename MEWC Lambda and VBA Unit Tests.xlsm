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MEWC Dev Cowork\mewc-lambdas\"/>
    </mc:Choice>
  </mc:AlternateContent>
  <xr:revisionPtr revIDLastSave="0" documentId="13_ncr:1_{86D11EE6-E8AB-4362-9DDE-D70BBF2115AA}" xr6:coauthVersionLast="47" xr6:coauthVersionMax="47" xr10:uidLastSave="{00000000-0000-0000-0000-000000000000}"/>
  <bookViews>
    <workbookView xWindow="1320" yWindow="210" windowWidth="33010" windowHeight="21390" firstSheet="49" activeTab="60" xr2:uid="{00000000-000D-0000-FFFF-FFFF00000000}"/>
  </bookViews>
  <sheets>
    <sheet name="Prep" sheetId="1" r:id="rId1"/>
    <sheet name="Lamb" sheetId="2" r:id="rId2"/>
    <sheet name="lambda_tests" sheetId="3" r:id="rId3"/>
    <sheet name="vba_tests" sheetId="58" r:id="rId4"/>
    <sheet name="ad_col_let" sheetId="107" r:id="rId102"/>
    <sheet name="ad_col_n" sheetId="106" r:id="rId101"/>
    <sheet name="ad_row_n" sheetId="105" r:id="rId100"/>
    <sheet name="ad_to_cont" sheetId="4" r:id="rId5"/>
    <sheet name="ad_to_rc" sheetId="89" r:id="rId6"/>
    <sheet name="arrow" sheetId="5" r:id="rId7"/>
    <sheet name="arrow_move" sheetId="6" r:id="rId8"/>
    <sheet name="arrow_trip" sheetId="7" r:id="rId9"/>
    <sheet name="biggest" sheetId="8" r:id="rId10"/>
    <sheet name="clamp" sheetId="9" r:id="rId11"/>
    <sheet name="cont_to_ad" sheetId="96" r:id="rId12"/>
    <sheet name="count_substring" sheetId="10" r:id="rId13"/>
    <sheet name="ctotal" sheetId="11" r:id="rId14"/>
    <sheet name="cycles" sheetId="12" r:id="rId15"/>
    <sheet name="die_pips" sheetId="13" r:id="rId16"/>
    <sheet name="dist" sheetId="14" r:id="rId17"/>
    <sheet name="exists" sheetId="15" r:id="rId18"/>
    <sheet name="expand_rng" sheetId="27" r:id="rId19"/>
    <sheet name="first_time" sheetId="102" r:id="rId97"/>
    <sheet name="freq_table" sheetId="16" r:id="rId20"/>
    <sheet name="ftd_maze_cost" sheetId="100" r:id="rId21"/>
    <sheet name="is_unique" sheetId="17" r:id="rId22"/>
    <sheet name="knight_moves" sheetId="18" r:id="rId23"/>
    <sheet name="label_lookup" sheetId="19" r:id="rId24"/>
    <sheet name="load_array" sheetId="20" r:id="rId25"/>
    <sheet name="make_change" sheetId="97" r:id="rId26"/>
    <sheet name="neighbors_count" sheetId="21" r:id="rId27"/>
    <sheet name="neighbors_list" sheetId="22" r:id="rId28"/>
    <sheet name="num_ad" sheetId="23" r:id="rId29"/>
    <sheet name="offset_letter" sheetId="24" r:id="rId30"/>
    <sheet name="only_letters" sheetId="25" r:id="rId31"/>
    <sheet name="only_numbers" sheetId="26" r:id="rId32"/>
    <sheet name="rc_to_ad" sheetId="90" r:id="rId33"/>
    <sheet name="rev" sheetId="28" r:id="rId34"/>
    <sheet name="rotate_arrow" sheetId="29" r:id="rId35"/>
    <sheet name="route_cost" sheetId="30" r:id="rId36"/>
    <sheet name="save_array" sheetId="31" r:id="rId37"/>
    <sheet name="scan2" sheetId="98" r:id="rId38"/>
    <sheet name="scan3" sheetId="99" r:id="rId39"/>
    <sheet name="selections" sheetId="32" r:id="rId40"/>
    <sheet name="set" sheetId="33" r:id="rId41"/>
    <sheet name="set_d" sheetId="34" r:id="rId42"/>
    <sheet name="set_i" sheetId="35" r:id="rId43"/>
    <sheet name="set_u" sheetId="36" r:id="rId44"/>
    <sheet name="shift_arr" sheetId="37" r:id="rId45"/>
    <sheet name="smallest" sheetId="38" r:id="rId46"/>
    <sheet name="str_ad" sheetId="40" r:id="rId47"/>
    <sheet name="str_rev" sheetId="41" r:id="rId48"/>
    <sheet name="str_to_arr" sheetId="39" r:id="rId49"/>
    <sheet name="streak" sheetId="103" r:id="rId98"/>
    <sheet name="textbetween" sheetId="42" r:id="rId50"/>
    <sheet name="transform_array" sheetId="43" r:id="rId51"/>
    <sheet name="update_arr" sheetId="44" r:id="rId52"/>
    <sheet name="xbycol" sheetId="104" r:id="rId99"/>
    <sheet name="xbyrow" sheetId="45" r:id="rId53"/>
    <sheet name="xcountif" sheetId="46" r:id="rId54"/>
    <sheet name="xdec2bin" sheetId="47" r:id="rId55"/>
    <sheet name="xfilter" sheetId="48" r:id="rId56"/>
    <sheet name="xmod" sheetId="49" r:id="rId57"/>
    <sheet name="xn" sheetId="50" r:id="rId58"/>
    <sheet name="xrank" sheetId="51" r:id="rId59"/>
    <sheet name="xsequence" sheetId="52" r:id="rId60"/>
    <sheet name="xtextjoin" sheetId="101" r:id="rId96"/>
    <sheet name="xtocol" sheetId="54" r:id="rId62"/>
    <sheet name="zz_bgc" sheetId="64" r:id="rId63"/>
    <sheet name="zz_ColNumToLetter" sheetId="83" r:id="rId64"/>
    <sheet name="zz_color" sheetId="59" r:id="rId65"/>
    <sheet name="zz_conv" sheetId="62" r:id="rId66"/>
    <sheet name="zz_errcells" sheetId="74" r:id="rId67"/>
    <sheet name="zz_exists" sheetId="73" r:id="rId68"/>
    <sheet name="zz_fillcolor" sheetId="65" r:id="rId69"/>
    <sheet name="zz_flood" sheetId="66" r:id="rId70"/>
    <sheet name="zz_freqcharsrc" sheetId="69" r:id="rId71"/>
    <sheet name="zz_freqsrc" sheetId="67" r:id="rId72"/>
    <sheet name="zz_fx1" sheetId="60" r:id="rId73"/>
    <sheet name="zz_fx2" sheetId="61" r:id="rId74"/>
    <sheet name="zz_is_lambda_test_sheet" sheetId="95" r:id="rId75"/>
    <sheet name="zz_lastused" sheetId="75" r:id="rId76"/>
    <sheet name="zz_lastused_empty" sheetId="88" r:id="rId77"/>
    <sheet name="zz_maze" sheetId="63" r:id="rId78"/>
    <sheet name="zz_retcol" sheetId="77" r:id="rId79"/>
    <sheet name="zz_SanitizeRow" sheetId="84" r:id="rId80"/>
    <sheet name="zz_select_sheets" sheetId="82" r:id="rId81"/>
    <sheet name="zz_sheet_names" sheetId="81" r:id="rId82"/>
    <sheet name="zz_tallsrc" sheetId="71" r:id="rId83"/>
    <sheet name="zz_tmsrc" sheetId="78" r:id="rId84"/>
    <sheet name="zz_UNICODE_SPLIT" sheetId="80" r:id="rId85"/>
    <sheet name="zz_yellow" sheetId="76" r:id="rId86"/>
  </sheets>
  <functionGroups builtInGroupCount="19"/>
  <definedNames>
    <definedName name="_xleta.COUNTIF" hidden="1" xlm="1">#NAME?</definedName>
    <definedName name="_xleta.DEC2HEX" hidden="1" xlm="1">#NAME?</definedName>
    <definedName name="_xleta.INDEX" hidden="1" xlm="1">#NAME?</definedName>
    <definedName name="_xleta.LCM" hidden="1" xlm="1">#NAME?</definedName>
    <definedName name="_xleta.LEFT" hidden="1" xlm="1">#NAME?</definedName>
    <definedName name="_xleta.MIN" hidden="1" xlm="1">#NAME?</definedName>
    <definedName name="_xleta.NA" hidden="1" xlm="1">#NAME?</definedName>
    <definedName name="_xleta.ROW" hidden="1" xlm="1">#NAME?</definedName>
    <definedName name="_xleta.T" hidden="1" xlm="1">#NAME?</definedName>
    <definedName name="_xleta.UNICHAR" hidden="1" xlm="1">#NAME?</definedName>
    <definedName name="_xleta.UNICODE" hidden="1" xlm="1">#NAME?</definedName>
    <definedName name="_xleta.VALUE" hidden="1" xlm="1">#NAME?</definedName>
    <definedName name="_xlop.as_num" hidden="1" xlm="1">#NAME?</definedName>
    <definedName name="_xlop.as_row" hidden="1" xlm="1">#NAME?</definedName>
    <definedName name="_xlop.Board" hidden="1" xlm="1">#NAME?</definedName>
    <definedName name="_xlop.board_rng" hidden="1" xlm="1">#NAME?</definedName>
    <definedName name="_xlop.bottom" hidden="1" xlm="1">#NAME?</definedName>
    <definedName name="_xlop.bounce" hidden="1" xlm="1">#NAME?</definedName>
    <definedName name="_xlop.boundaries" hidden="1" xlm="1">#NAME?</definedName>
    <definedName name="_xlop.boundary_rng" hidden="1" xlm="1">#NAME?</definedName>
    <definedName name="_xlop.bounds" hidden="1" xlm="1">#NAME?</definedName>
    <definedName name="_xlop.bounds_ref" hidden="1" xlm="1">#NAME?</definedName>
    <definedName name="_xlop.bounds_str" hidden="1" xlm="1">#NAME?</definedName>
    <definedName name="_xlop.c_left" hidden="1" xlm="1">#NAME?</definedName>
    <definedName name="_xlop.c_right" hidden="1" xlm="1">#NAME?</definedName>
    <definedName name="_xlop.case_sensitive" hidden="1" xlm="1">#NAME?</definedName>
    <definedName name="_xlop.clean" hidden="1" xlm="1">#NAME?</definedName>
    <definedName name="_xlop.clean_input" hidden="1" xlm="1">#NAME?</definedName>
    <definedName name="_xlop.clockwise" hidden="1" xlm="1">#NAME?</definedName>
    <definedName name="_xlop.col_delimiter" hidden="1" xlm="1">#NAME?</definedName>
    <definedName name="_xlop.cols_n" hidden="1" xlm="1">#NAME?</definedName>
    <definedName name="_xlop.countdown_n" hidden="1" xlm="1">#NAME?</definedName>
    <definedName name="_xlop.cum" hidden="1" xlm="1">#NAME?</definedName>
    <definedName name="_xlop.d" hidden="1" xlm="1">#NAME?</definedName>
    <definedName name="_xlop.dAllowed" hidden="1" xlm="1">#NAME?</definedName>
    <definedName name="_xlop.delim" hidden="1" xlm="1">#NAME?</definedName>
    <definedName name="_xlop.diag" hidden="1" xlm="1">#NAME?</definedName>
    <definedName name="_xlop.diag_allowed" hidden="1" xlm="1">#NAME?</definedName>
    <definedName name="_xlop.diagonal_allowed" hidden="1" xlm="1">#NAME?</definedName>
    <definedName name="_xlop.diagonalsDefTRUE" hidden="1" xlm="1">#NAME?</definedName>
    <definedName name="_xlop.dir" hidden="1" xlm="1">#NAME?</definedName>
    <definedName name="_xlop.dirs" hidden="1" xlm="1">#NAME?</definedName>
    <definedName name="_xlop.f_2" hidden="1" xlm="1">#NAME?</definedName>
    <definedName name="_xlop.f_3" hidden="1" xlm="1">#NAME?</definedName>
    <definedName name="_xlop.f_4" hidden="1" xlm="1">#NAME?</definedName>
    <definedName name="_xlop.f_5" hidden="1" xlm="1">#NAME?</definedName>
    <definedName name="_xlop.fill" hidden="1" xlm="1">#NAME?</definedName>
    <definedName name="_xlop.first_dir" hidden="1" xlm="1">#NAME?</definedName>
    <definedName name="_xlop.i" hidden="1" xlm="1">#NAME?</definedName>
    <definedName name="_xlop.max_steps" hidden="1" xlm="1">#NAME?</definedName>
    <definedName name="_xlop.min_freq" hidden="1" xlm="1">#NAME?</definedName>
    <definedName name="_xlop.order" hidden="1" xlm="1">#NAME?</definedName>
    <definedName name="_xlop.order_matters" hidden="1" xlm="1">#NAME?</definedName>
    <definedName name="_xlop.P0C1" hidden="1" xlm="1">#NAME?</definedName>
    <definedName name="_xlop.places" hidden="1" xlm="1">#NAME?</definedName>
    <definedName name="_xlop.print_components" hidden="1" xlm="1">#NAME?</definedName>
    <definedName name="_xlop.push_mode" hidden="1" xlm="1">#NAME?</definedName>
    <definedName name="_xlop.PushMode" hidden="1" xlm="1">#NAME?</definedName>
    <definedName name="_xlop.r_down" hidden="1" xlm="1">#NAME?</definedName>
    <definedName name="_xlop.r_up" hidden="1" xlm="1">#NAME?</definedName>
    <definedName name="_xlop.rep" hidden="1" xlm="1">#NAME?</definedName>
    <definedName name="_xlop.repeat_array" hidden="1" xlm="1">#NAME?</definedName>
    <definedName name="_xlop.repeat_element" hidden="1" xlm="1">#NAME?</definedName>
    <definedName name="_xlop.repeats_allowed" hidden="1" xlm="1">#NAME?</definedName>
    <definedName name="_xlop.reverse" hidden="1" xlm="1">#NAME?</definedName>
    <definedName name="_xlop.row_delimiter" hidden="1" xlm="1">#NAME?</definedName>
    <definedName name="_xlop.row_major" hidden="1" xlm="1">#NAME?</definedName>
    <definedName name="_xlop.rows_n" hidden="1" xlm="1">#NAME?</definedName>
    <definedName name="_xlop.self_count" hidden="1" xlm="1">#NAME?</definedName>
    <definedName name="_xlop.show_addr" hidden="1" xlm="1">#NAME?</definedName>
    <definedName name="_xlop.show_addresses" hidden="1" xlm="1">#NAME?</definedName>
    <definedName name="_xlop.size" hidden="1" xlm="1">#NAME?</definedName>
    <definedName name="_xlop.snake" hidden="1" xlm="1">#NAME?</definedName>
    <definedName name="_xlop.step" hidden="1" xlm="1">#NAME?</definedName>
    <definedName name="_xlop.Steps" hidden="1" xlm="1">#NAME?</definedName>
    <definedName name="_xlop.stopper" hidden="1" xlm="1">#NAME?</definedName>
    <definedName name="_xlop.str" hidden="1" xlm="1">#NAME?</definedName>
    <definedName name="_xlop.str_arr_set" hidden="1" xlm="1">#NAME?</definedName>
    <definedName name="_xlop.top" hidden="1" xlm="1">#NAME?</definedName>
    <definedName name="_xlop.type" hidden="1" xlm="1">#NAME?</definedName>
    <definedName name="_xlpm._a" hidden="1" xlm="1">#NAME?</definedName>
    <definedName name="_xlpm._as_row" hidden="1" xlm="1">#NAME?</definedName>
    <definedName name="_xlpm._c" hidden="1" xlm="1">#NAME?</definedName>
    <definedName name="_xlpm._cd" hidden="1" xlm="1">#NAME?</definedName>
    <definedName name="_xlpm._char" hidden="1" xlm="1">#NAME?</definedName>
    <definedName name="_xlpm._clean" hidden="1" xlm="1">#NAME?</definedName>
    <definedName name="_xlpm._combined" hidden="1" xlm="1">#NAME?</definedName>
    <definedName name="_xlpm._cs" hidden="1" xlm="1">#NAME?</definedName>
    <definedName name="_xlpm._d" hidden="1" xlm="1">#NAME?</definedName>
    <definedName name="_xlpm._db" hidden="1" xlm="1">#NAME?</definedName>
    <definedName name="_xlpm._delimiter" hidden="1" xlm="1">#NAME?</definedName>
    <definedName name="_xlpm._dg" hidden="1" xlm="1">#NAME?</definedName>
    <definedName name="_xlpm._f" hidden="1" xlm="1">#NAME?</definedName>
    <definedName name="_xlpm._f1" hidden="1" xlm="1">#NAME?</definedName>
    <definedName name="_xlpm._f2" hidden="1" xlm="1">#NAME?</definedName>
    <definedName name="_xlpm._flat" hidden="1" xlm="1">#NAME?</definedName>
    <definedName name="_xlpm._fs" hidden="1" xlm="1">#NAME?</definedName>
    <definedName name="_xlpm._i" hidden="1" xlm="1">#NAME?</definedName>
    <definedName name="_xlpm._im" hidden="1" xlm="1">#NAME?</definedName>
    <definedName name="_xlpm._in_dir" hidden="1" xlm="1">#NAME?</definedName>
    <definedName name="_xlpm._joined" hidden="1" xlm="1">#NAME?</definedName>
    <definedName name="_xlpm._last" hidden="1" xlm="1">#NAME?</definedName>
    <definedName name="_xlpm._len" hidden="1" xlm="1">#NAME?</definedName>
    <definedName name="_xlpm._mc" hidden="1" xlm="1">#NAME?</definedName>
    <definedName name="_xlpm._mr" hidden="1" xlm="1">#NAME?</definedName>
    <definedName name="_xlpm._n" hidden="1" xlm="1">#NAME?</definedName>
    <definedName name="_xlpm._nc" hidden="1" xlm="1">#NAME?</definedName>
    <definedName name="_xlpm._nf" hidden="1" xlm="1">#NAME?</definedName>
    <definedName name="_xlpm._nr" hidden="1" xlm="1">#NAME?</definedName>
    <definedName name="_xlpm._p" hidden="1" xlm="1">#NAME?</definedName>
    <definedName name="_xlpm._ps" hidden="1" xlm="1">#NAME?</definedName>
    <definedName name="_xlpm._rc" hidden="1" xlm="1">#NAME?</definedName>
    <definedName name="_xlpm._rd" hidden="1" xlm="1">#NAME?</definedName>
    <definedName name="_xlpm._res" hidden="1" xlm="1">#NAME?</definedName>
    <definedName name="_xlpm._rr" hidden="1" xlm="1">#NAME?</definedName>
    <definedName name="_xlpm._rs" hidden="1" xlm="1">#NAME?</definedName>
    <definedName name="_xlpm._rx" hidden="1" xlm="1">#NAME?</definedName>
    <definedName name="_xlpm._s" hidden="1" xlm="1">#NAME?</definedName>
    <definedName name="_xlpm._seq" hidden="1" xlm="1">#NAME?</definedName>
    <definedName name="_xlpm._show" hidden="1" xlm="1">#NAME?</definedName>
    <definedName name="_xlpm._sn" hidden="1" xlm="1">#NAME?</definedName>
    <definedName name="_xlpm._snake" hidden="1" xlm="1">#NAME?</definedName>
    <definedName name="_xlpm._split" hidden="1" xlm="1">#NAME?</definedName>
    <definedName name="_xlpm._sq" hidden="1" xlm="1">#NAME?</definedName>
    <definedName name="_xlpm._tc" hidden="1" xlm="1">#NAME?</definedName>
    <definedName name="_xlpm._tr" hidden="1" xlm="1">#NAME?</definedName>
    <definedName name="_xlpm._um" hidden="1" xlm="1">#NAME?</definedName>
    <definedName name="_xlpm._v" hidden="1" xlm="1">#NAME?</definedName>
    <definedName name="_xlpm.a" hidden="1" xlm="1">#NAME?</definedName>
    <definedName name="_xlpm.a_cols" hidden="1" xlm="1">#NAME?</definedName>
    <definedName name="_xlpm.a_flat" hidden="1" xlm="1">#NAME?</definedName>
    <definedName name="_xlpm.a_rows" hidden="1" xlm="1">#NAME?</definedName>
    <definedName name="_xlpm.a1_str" hidden="1" xlm="1">#NAME?</definedName>
    <definedName name="_xlpm.a1_text" hidden="1" xlm="1">#NAME?</definedName>
    <definedName name="_xlpm.abs_col" hidden="1" xlm="1">#NAME?</definedName>
    <definedName name="_xlpm.abs_col_delta" hidden="1" xlm="1">#NAME?</definedName>
    <definedName name="_xlpm.abs_row" hidden="1" xlm="1">#NAME?</definedName>
    <definedName name="_xlpm.abs_row_delta" hidden="1" xlm="1">#NAME?</definedName>
    <definedName name="_xlpm.acc" hidden="1" xlm="1">#NAME?</definedName>
    <definedName name="_xlpm.acc_" hidden="1" xlm="1">#NAME?</definedName>
    <definedName name="_xlpm.ad" hidden="1" xlm="1">#NAME?</definedName>
    <definedName name="_xlpm.ad_or_rng" hidden="1" xlm="1">#NAME?</definedName>
    <definedName name="_xlpm.addr" hidden="1" xlm="1">#NAME?</definedName>
    <definedName name="_xlpm.addr_a" hidden="1" xlm="1">#NAME?</definedName>
    <definedName name="_xlpm.addr_b" hidden="1" xlm="1">#NAME?</definedName>
    <definedName name="_xlpm.addr_bot" hidden="1" xlm="1">#NAME?</definedName>
    <definedName name="_xlpm.addr_col" hidden="1" xlm="1">#NAME?</definedName>
    <definedName name="_xlpm.addr_grid" hidden="1" xlm="1">#NAME?</definedName>
    <definedName name="_xlpm.addr_item" hidden="1" xlm="1">#NAME?</definedName>
    <definedName name="_xlpm.addr_left" hidden="1" xlm="1">#NAME?</definedName>
    <definedName name="_xlpm.addr_list" hidden="1" xlm="1">#NAME?</definedName>
    <definedName name="_xlpm.addr_mat" hidden="1" xlm="1">#NAME?</definedName>
    <definedName name="_xlpm.addr_or_value" hidden="1" xlm="1">#NAME?</definedName>
    <definedName name="_xlpm.addr_right" hidden="1" xlm="1">#NAME?</definedName>
    <definedName name="_xlpm.addr_str" hidden="1" xlm="1">#NAME?</definedName>
    <definedName name="_xlpm.addr_string" hidden="1" xlm="1">#NAME?</definedName>
    <definedName name="_xlpm.addr_to_rc" hidden="1" xlm="1">#NAME?</definedName>
    <definedName name="_xlpm.addr_top" hidden="1" xlm="1">#NAME?</definedName>
    <definedName name="_xlpm.addr_txt0" hidden="1" xlm="1">#NAME?</definedName>
    <definedName name="_xlpm.addr_txt1" hidden="1" xlm="1">#NAME?</definedName>
    <definedName name="_xlpm.address" hidden="1" xlm="1">#NAME?</definedName>
    <definedName name="_xlpm.addresses" hidden="1" xlm="1">#NAME?</definedName>
    <definedName name="_xlpm.addrs" hidden="1" xlm="1">#NAME?</definedName>
    <definedName name="_xlpm.adx" hidden="1" xlm="1">#NAME?</definedName>
    <definedName name="_xlpm.ady" hidden="1" xlm="1">#NAME?</definedName>
    <definedName name="_xlpm.after_num" hidden="1" xlm="1">#NAME?</definedName>
    <definedName name="_xlpm.al" hidden="1" xlm="1">#NAME?</definedName>
    <definedName name="_xlpm.alen" hidden="1" xlm="1">#NAME?</definedName>
    <definedName name="_xlpm.all" hidden="1" xlm="1">#NAME?</definedName>
    <definedName name="_xlpm.all_addresses" hidden="1" xlm="1">#NAME?</definedName>
    <definedName name="_xlpm.all_dirs" hidden="1" xlm="1">#NAME?</definedName>
    <definedName name="_xlpm.all_matches" hidden="1" xlm="1">#NAME?</definedName>
    <definedName name="_xlpm.all_numbers" hidden="1" xlm="1">#NAME?</definedName>
    <definedName name="_xlpm.all_states" hidden="1" xlm="1">#NAME?</definedName>
    <definedName name="_xlpm.all_values" hidden="1" xlm="1">#NAME?</definedName>
    <definedName name="_xlpm.allow" hidden="1" xlm="1">#NAME?</definedName>
    <definedName name="_xlpm.allow_diag" hidden="1" xlm="1">#NAME?</definedName>
    <definedName name="_xlpm.allow_mask" hidden="1" xlm="1">#NAME?</definedName>
    <definedName name="_xlpm.alphabet" hidden="1" xlm="1">#NAME?</definedName>
    <definedName name="_xlpm.amt" hidden="1" xlm="1">#NAME?</definedName>
    <definedName name="_xlpm.an" hidden="1" xlm="1">#NAME?</definedName>
    <definedName name="_xlpm.ans" hidden="1" xlm="1">#NAME?</definedName>
    <definedName name="_xlpm.apply_one" hidden="1" xlm="1">#NAME?</definedName>
    <definedName name="_xlpm.args_ok" hidden="1" xlm="1">#NAME?</definedName>
    <definedName name="_xlpm.arr" hidden="1" xlm="1">#NAME?</definedName>
    <definedName name="_xlpm.arr_" hidden="1" xlm="1">#NAME?</definedName>
    <definedName name="_xlpm.arr_col_rev" hidden="1" xlm="1">#NAME?</definedName>
    <definedName name="_xlpm.arr_norm" hidden="1" xlm="1">#NAME?</definedName>
    <definedName name="_xlpm.arr_row_rev" hidden="1" xlm="1">#NAME?</definedName>
    <definedName name="_xlpm.arr_with_a1" hidden="1" xlm="1">#NAME?</definedName>
    <definedName name="_xlpm.arr0" hidden="1" xlm="1">#NAME?</definedName>
    <definedName name="_xlpm.array" hidden="1" xlm="1">#NAME?</definedName>
    <definedName name="_xlpm.arrow" hidden="1" xlm="1">#NAME?</definedName>
    <definedName name="_xlpm.arrow_col" hidden="1" xlm="1">#NAME?</definedName>
    <definedName name="_xlpm.arrow_diag" hidden="1" xlm="1">#NAME?</definedName>
    <definedName name="_xlpm.arrow_horz" hidden="1" xlm="1">#NAME?</definedName>
    <definedName name="_xlpm.arrow_list" hidden="1" xlm="1">#NAME?</definedName>
    <definedName name="_xlpm.arrow_pos" hidden="1" xlm="1">#NAME?</definedName>
    <definedName name="_xlpm.arrow_rem" hidden="1" xlm="1">#NAME?</definedName>
    <definedName name="_xlpm.arrow_row" hidden="1" xlm="1">#NAME?</definedName>
    <definedName name="_xlpm.arrow_vert" hidden="1" xlm="1">#NAME?</definedName>
    <definedName name="_xlpm.ArrowCol" hidden="1" xlm="1">#NAME?</definedName>
    <definedName name="_xlpm.ArrowRow" hidden="1" xlm="1">#NAME?</definedName>
    <definedName name="_xlpm.arrows" hidden="1" xlm="1">#NAME?</definedName>
    <definedName name="_xlpm.as_col_mask" hidden="1" xlm="1">#NAME?</definedName>
    <definedName name="_xlpm.as_num" hidden="1" xlm="1">#NAME?</definedName>
    <definedName name="_xlpm.as_row" hidden="1" xlm="1">#NAME?</definedName>
    <definedName name="_xlpm.as_row_mask" hidden="1" xlm="1">#NAME?</definedName>
    <definedName name="_xlpm.as_row_val" hidden="1" xlm="1">#NAME?</definedName>
    <definedName name="_xlpm.as_str" hidden="1" xlm="1">#NAME?</definedName>
    <definedName name="_xlpm.av" hidden="1" xlm="1">#NAME?</definedName>
    <definedName name="_xlpm.b" hidden="1" xlm="1">#NAME?</definedName>
    <definedName name="_xlpm.b_flat" hidden="1" xlm="1">#NAME?</definedName>
    <definedName name="_xlpm.base" hidden="1" xlm="1">#NAME?</definedName>
    <definedName name="_xlpm.base_cost" hidden="1" xlm="1">#NAME?</definedName>
    <definedName name="_xlpm.base_costs" hidden="1" xlm="1">#NAME?</definedName>
    <definedName name="_xlpm.base_data" hidden="1" xlm="1">#NAME?</definedName>
    <definedName name="_xlpm.base_est" hidden="1" xlm="1">#NAME?</definedName>
    <definedName name="_xlpm.base_split" hidden="1" xlm="1">#NAME?</definedName>
    <definedName name="_xlpm.BColMax" hidden="1" xlm="1">#NAME?</definedName>
    <definedName name="_xlpm.BColMin" hidden="1" xlm="1">#NAME?</definedName>
    <definedName name="_xlpm.before" hidden="1" xlm="1">#NAME?</definedName>
    <definedName name="_xlpm.best" hidden="1" xlm="1">#NAME?</definedName>
    <definedName name="_xlpm.bestrem" hidden="1" xlm="1">#NAME?</definedName>
    <definedName name="_xlpm.between_text" hidden="1" xlm="1">#NAME?</definedName>
    <definedName name="_xlpm.BFS_STEP" hidden="1" xlm="1">#NAME?</definedName>
    <definedName name="_xlpm.bits" hidden="1" xlm="1">#NAME?</definedName>
    <definedName name="_xlpm.block" hidden="1" xlm="1">#NAME?</definedName>
    <definedName name="_xlpm.bnd" hidden="1" xlm="1">#NAME?</definedName>
    <definedName name="_xlpm.Board" hidden="1" xlm="1">#NAME?</definedName>
    <definedName name="_xlpm.board_rng" hidden="1" xlm="1">#NAME?</definedName>
    <definedName name="_xlpm.board_txt" hidden="1" xlm="1">#NAME?</definedName>
    <definedName name="_xlpm.bot" hidden="1" xlm="1">#NAME?</definedName>
    <definedName name="_xlpm.bottom" hidden="1" xlm="1">#NAME?</definedName>
    <definedName name="_xlpm.bottom_rel_row" hidden="1" xlm="1">#NAME?</definedName>
    <definedName name="_xlpm.bottom_row" hidden="1" xlm="1">#NAME?</definedName>
    <definedName name="_xlpm.bounce" hidden="1" xlm="1">#NAME?</definedName>
    <definedName name="_xlpm.bounce_mode" hidden="1" xlm="1">#NAME?</definedName>
    <definedName name="_xlpm.boundaries" hidden="1" xlm="1">#NAME?</definedName>
    <definedName name="_xlpm.boundary_rng" hidden="1" xlm="1">#NAME?</definedName>
    <definedName name="_xlpm.bounds" hidden="1" xlm="1">#NAME?</definedName>
    <definedName name="_xlpm.bounds_is_ref" hidden="1" xlm="1">#NAME?</definedName>
    <definedName name="_xlpm.bounds_ref" hidden="1" xlm="1">#NAME?</definedName>
    <definedName name="_xlpm.bounds_str" hidden="1" xlm="1">#NAME?</definedName>
    <definedName name="_xlpm.bounds_txt" hidden="1" xlm="1">#NAME?</definedName>
    <definedName name="_xlpm.box" hidden="1" xlm="1">#NAME?</definedName>
    <definedName name="_xlpm.box0" hidden="1" xlm="1">#NAME?</definedName>
    <definedName name="_xlpm.br" hidden="1" xlm="1">#NAME?</definedName>
    <definedName name="_xlpm.br_" hidden="1" xlm="1">#NAME?</definedName>
    <definedName name="_xlpm.br_rc" hidden="1" xlm="1">#NAME?</definedName>
    <definedName name="_xlpm.br_txt" hidden="1" xlm="1">#NAME?</definedName>
    <definedName name="_xlpm.BRowMax" hidden="1" xlm="1">#NAME?</definedName>
    <definedName name="_xlpm.BRowMin" hidden="1" xlm="1">#NAME?</definedName>
    <definedName name="_xlpm.bt" hidden="1" xlm="1">#NAME?</definedName>
    <definedName name="_xlpm.built_" hidden="1" xlm="1">#NAME?</definedName>
    <definedName name="_xlpm.c" hidden="1" xlm="1">#NAME?</definedName>
    <definedName name="_xlpm.c_" hidden="1" xlm="1">#NAME?</definedName>
    <definedName name="_xlpm.c_f" hidden="1" xlm="1">#NAME?</definedName>
    <definedName name="_xlpm.c_idx" hidden="1" xlm="1">#NAME?</definedName>
    <definedName name="_xlpm.c_left" hidden="1" xlm="1">#NAME?</definedName>
    <definedName name="_xlpm.c_off" hidden="1" xlm="1">#NAME?</definedName>
    <definedName name="_xlpm.c_right" hidden="1" xlm="1">#NAME?</definedName>
    <definedName name="_xlpm.c0" hidden="1" xlm="1">#NAME?</definedName>
    <definedName name="_xlpm.can_split" hidden="1" xlm="1">#NAME?</definedName>
    <definedName name="_xlpm.cand" hidden="1" xlm="1">#NAME?</definedName>
    <definedName name="_xlpm.candidate_costs" hidden="1" xlm="1">#NAME?</definedName>
    <definedName name="_xlpm.cap" hidden="1" xlm="1">#NAME?</definedName>
    <definedName name="_xlpm.case_sensitive" hidden="1" xlm="1">#NAME?</definedName>
    <definedName name="_xlpm.cc" hidden="1" xlm="1">#NAME?</definedName>
    <definedName name="_xlpm.cCount" hidden="1" xlm="1">#NAME?</definedName>
    <definedName name="_xlpm.cd" hidden="1" xlm="1">#NAME?</definedName>
    <definedName name="_xlpm.cd_" hidden="1" xlm="1">#NAME?</definedName>
    <definedName name="_xlpm.cdirs" hidden="1" xlm="1">#NAME?</definedName>
    <definedName name="_xlpm.cell" hidden="1" xlm="1">#NAME?</definedName>
    <definedName name="_xlpm.cell_at" hidden="1" xlm="1">#NAME?</definedName>
    <definedName name="_xlpm.cell_keys" hidden="1" xlm="1">#NAME?</definedName>
    <definedName name="_xlpm.cen" hidden="1" xlm="1">#NAME?</definedName>
    <definedName name="_xlpm.cen_col" hidden="1" xlm="1">#NAME?</definedName>
    <definedName name="_xlpm.cen_num" hidden="1" xlm="1">#NAME?</definedName>
    <definedName name="_xlpm.cen_row" hidden="1" xlm="1">#NAME?</definedName>
    <definedName name="_xlpm.center" hidden="1" xlm="1">#NAME?</definedName>
    <definedName name="_xlpm.center_ad" hidden="1" xlm="1">#NAME?</definedName>
    <definedName name="_xlpm.center_col" hidden="1" xlm="1">#NAME?</definedName>
    <definedName name="_xlpm.center_rc" hidden="1" xlm="1">#NAME?</definedName>
    <definedName name="_xlpm.center_ref" hidden="1" xlm="1">#NAME?</definedName>
    <definedName name="_xlpm.center_ref_str" hidden="1" xlm="1">#NAME?</definedName>
    <definedName name="_xlpm.center_row" hidden="1" xlm="1">#NAME?</definedName>
    <definedName name="_xlpm.ch" hidden="1" xlm="1">#NAME?</definedName>
    <definedName name="_xlpm.char" hidden="1" xlm="1">#NAME?</definedName>
    <definedName name="_xlpm.char_at" hidden="1" xlm="1">#NAME?</definedName>
    <definedName name="_xlpm.char_count" hidden="1" xlm="1">#NAME?</definedName>
    <definedName name="_xlpm.char_one" hidden="1" xlm="1">#NAME?</definedName>
    <definedName name="_xlpm.char_values" hidden="1" xlm="1">#NAME?</definedName>
    <definedName name="_xlpm.chars" hidden="1" xlm="1">#NAME?</definedName>
    <definedName name="_xlpm.chars_" hidden="1" xlm="1">#NAME?</definedName>
    <definedName name="_xlpm.check" hidden="1" xlm="1">#NAME?</definedName>
    <definedName name="_xlpm.chosen" hidden="1" xlm="1">#NAME?</definedName>
    <definedName name="_xlpm.chs" hidden="1" xlm="1">#NAME?</definedName>
    <definedName name="_xlpm.ci" hidden="1" xlm="1">#NAME?</definedName>
    <definedName name="_xlpm.ci_" hidden="1" xlm="1">#NAME?</definedName>
    <definedName name="_xlpm.cj" hidden="1" xlm="1">#NAME?</definedName>
    <definedName name="_xlpm.cl" hidden="1" xlm="1">#NAME?</definedName>
    <definedName name="_xlpm.clamp_one" hidden="1" xlm="1">#NAME?</definedName>
    <definedName name="_xlpm.clean" hidden="1" xlm="1">#NAME?</definedName>
    <definedName name="_xlpm.clean_edges" hidden="1" xlm="1">#NAME?</definedName>
    <definedName name="_xlpm.clean_flag" hidden="1" xlm="1">#NAME?</definedName>
    <definedName name="_xlpm.clean_input" hidden="1" xlm="1">#NAME?</definedName>
    <definedName name="_xlpm.cleaned" hidden="1" xlm="1">#NAME?</definedName>
    <definedName name="_xlpm.cleaned_text" hidden="1" xlm="1">#NAME?</definedName>
    <definedName name="_xlpm.cLet" hidden="1" xlm="1">#NAME?</definedName>
    <definedName name="_xlpm.cln" hidden="1" xlm="1">#NAME?</definedName>
    <definedName name="_xlpm.clockwise" hidden="1" xlm="1">#NAME?</definedName>
    <definedName name="_xlpm.cMap" hidden="1" xlm="1">#NAME?</definedName>
    <definedName name="_xlpm.cmax" hidden="1" xlm="1">#NAME?</definedName>
    <definedName name="_xlpm.cmin" hidden="1" xlm="1">#NAME?</definedName>
    <definedName name="_xlpm.cnr_" hidden="1" xlm="1">#NAME?</definedName>
    <definedName name="_xlpm.cnt" hidden="1" xlm="1">#NAME?</definedName>
    <definedName name="_xlpm.cNum" hidden="1" xlm="1">#NAME?</definedName>
    <definedName name="_xlpm.co" hidden="1" xlm="1">#NAME?</definedName>
    <definedName name="_xlpm.code" hidden="1" xlm="1">#NAME?</definedName>
    <definedName name="_xlpm.codes" hidden="1" xlm="1">#NAME?</definedName>
    <definedName name="_xlpm.coin" hidden="1" xlm="1">#NAME?</definedName>
    <definedName name="_xlpm.coins" hidden="1" xlm="1">#NAME?</definedName>
    <definedName name="_xlpm.col" hidden="1" xlm="1">#NAME?</definedName>
    <definedName name="_xlpm.col_" hidden="1" xlm="1">#NAME?</definedName>
    <definedName name="_xlpm.col_1" hidden="1" xlm="1">#NAME?</definedName>
    <definedName name="_xlpm.col_2" hidden="1" xlm="1">#NAME?</definedName>
    <definedName name="_xlpm.col_abs" hidden="1" xlm="1">#NAME?</definedName>
    <definedName name="_xlpm.col_count" hidden="1" xlm="1">#NAME?</definedName>
    <definedName name="_xlpm.col_d" hidden="1" xlm="1">#NAME?</definedName>
    <definedName name="_xlpm.col_delimiter" hidden="1" xlm="1">#NAME?</definedName>
    <definedName name="_xlpm.col_delta" hidden="1" xlm="1">#NAME?</definedName>
    <definedName name="_xlpm.col_diff" hidden="1" xlm="1">#NAME?</definedName>
    <definedName name="_xlpm.col_end" hidden="1" xlm="1">#NAME?</definedName>
    <definedName name="_xlpm.col_flat" hidden="1" xlm="1">#NAME?</definedName>
    <definedName name="_xlpm.col_from_letters" hidden="1" xlm="1">#NAME?</definedName>
    <definedName name="_xlpm.col_idx" hidden="1" xlm="1">#NAME?</definedName>
    <definedName name="_xlpm.col_index" hidden="1" xlm="1">#NAME?</definedName>
    <definedName name="_xlpm.col_ix" hidden="1" xlm="1">#NAME?</definedName>
    <definedName name="_xlpm.col_len" hidden="1" xlm="1">#NAME?</definedName>
    <definedName name="_xlpm.col_letters" hidden="1" xlm="1">#NAME?</definedName>
    <definedName name="_xlpm.col_limit" hidden="1" xlm="1">#NAME?</definedName>
    <definedName name="_xlpm.col_list" hidden="1" xlm="1">#NAME?</definedName>
    <definedName name="_xlpm.col_mask" hidden="1" xlm="1">#NAME?</definedName>
    <definedName name="_xlpm.col_max" hidden="1" xlm="1">#NAME?</definedName>
    <definedName name="_xlpm.col_min" hidden="1" xlm="1">#NAME?</definedName>
    <definedName name="_xlpm.col_n" hidden="1" xlm="1">#NAME?</definedName>
    <definedName name="_xlpm.col_num" hidden="1" xlm="1">#NAME?</definedName>
    <definedName name="_xlpm.col_number" hidden="1" xlm="1">#NAME?</definedName>
    <definedName name="_xlpm.col_off" hidden="1" xlm="1">#NAME?</definedName>
    <definedName name="_xlpm.col_part" hidden="1" xlm="1">#NAME?</definedName>
    <definedName name="_xlpm.col_remain" hidden="1" xlm="1">#NAME?</definedName>
    <definedName name="_xlpm.col_rev_flat" hidden="1" xlm="1">#NAME?</definedName>
    <definedName name="_xlpm.col_seq" hidden="1" xlm="1">#NAME?</definedName>
    <definedName name="_xlpm.col_snake" hidden="1" xlm="1">#NAME?</definedName>
    <definedName name="_xlpm.col_start" hidden="1" xlm="1">#NAME?</definedName>
    <definedName name="_xlpm.col_steps" hidden="1" xlm="1">#NAME?</definedName>
    <definedName name="_xlpm.col_str" hidden="1" xlm="1">#NAME?</definedName>
    <definedName name="_xlpm.col_strings" hidden="1" xlm="1">#NAME?</definedName>
    <definedName name="_xlpm.col_txt" hidden="1" xlm="1">#NAME?</definedName>
    <definedName name="_xlpm.cols" hidden="1" xlm="1">#NAME?</definedName>
    <definedName name="_xlpm.cols_cnt" hidden="1" xlm="1">#NAME?</definedName>
    <definedName name="_xlpm.cols_n" hidden="1" xlm="1">#NAME?</definedName>
    <definedName name="_xlpm.column_label" hidden="1" xlm="1">#NAME?</definedName>
    <definedName name="_xlpm.column_letters" hidden="1" xlm="1">#NAME?</definedName>
    <definedName name="_xlpm.column_number" hidden="1" xlm="1">#NAME?</definedName>
    <definedName name="_xlpm.comb" hidden="1" xlm="1">#NAME?</definedName>
    <definedName name="_xlpm.comb_mask" hidden="1" xlm="1">#NAME?</definedName>
    <definedName name="_xlpm.comma_pos" hidden="1" xlm="1">#NAME?</definedName>
    <definedName name="_xlpm.cont" hidden="1" xlm="1">#NAME?</definedName>
    <definedName name="_xlpm.convert_one" hidden="1" xlm="1">#NAME?</definedName>
    <definedName name="_xlpm.coords1" hidden="1" xlm="1">#NAME?</definedName>
    <definedName name="_xlpm.coords2" hidden="1" xlm="1">#NAME?</definedName>
    <definedName name="_xlpm.core_result" hidden="1" xlm="1">#NAME?</definedName>
    <definedName name="_xlpm.corner_br" hidden="1" xlm="1">#NAME?</definedName>
    <definedName name="_xlpm.corner_tl" hidden="1" xlm="1">#NAME?</definedName>
    <definedName name="_xlpm.cost" hidden="1" xlm="1">#NAME?</definedName>
    <definedName name="_xlpm.cost_map" hidden="1" xlm="1">#NAME?</definedName>
    <definedName name="_xlpm.costs" hidden="1" xlm="1">#NAME?</definedName>
    <definedName name="_xlpm.count_" hidden="1" xlm="1">#NAME?</definedName>
    <definedName name="_xlpm.count_fx" hidden="1" xlm="1">#NAME?</definedName>
    <definedName name="_xlpm.count_matches" hidden="1" xlm="1">#NAME?</definedName>
    <definedName name="_xlpm.count_one" hidden="1" xlm="1">#NAME?</definedName>
    <definedName name="_xlpm.count_orig" hidden="1" xlm="1">#NAME?</definedName>
    <definedName name="_xlpm.count_sorted" hidden="1" xlm="1">#NAME?</definedName>
    <definedName name="_xlpm.countdown_n" hidden="1" xlm="1">#NAME?</definedName>
    <definedName name="_xlpm.COUNTONE" hidden="1" xlm="1">#NAME?</definedName>
    <definedName name="_xlpm.counts_row" hidden="1" xlm="1">#NAME?</definedName>
    <definedName name="_xlpm.cr" hidden="1" xlm="1">#NAME?</definedName>
    <definedName name="_xlpm.cr_" hidden="1" xlm="1">#NAME?</definedName>
    <definedName name="_xlpm.crit" hidden="1" xlm="1">#NAME?</definedName>
    <definedName name="_xlpm.crite" hidden="1" xlm="1">#NAME?</definedName>
    <definedName name="_xlpm.criter" hidden="1" xlm="1">#NAME?</definedName>
    <definedName name="_xlpm.criteri" hidden="1" xlm="1">#NAME?</definedName>
    <definedName name="_xlpm.criteria" hidden="1" xlm="1">#NAME?</definedName>
    <definedName name="_xlpm.critr" hidden="1" xlm="1">#NAME?</definedName>
    <definedName name="_xlpm.critrt" hidden="1" xlm="1">#NAME?</definedName>
    <definedName name="_xlpm.critrti" hidden="1" xlm="1">#NAME?</definedName>
    <definedName name="_xlpm.critrtia" hidden="1" xlm="1">#NAME?</definedName>
    <definedName name="_xlpm.critrtis" hidden="1" xlm="1">#NAME?</definedName>
    <definedName name="_xlpm.cs" hidden="1" xlm="1">#NAME?</definedName>
    <definedName name="_xlpm.ct" hidden="1" xlm="1">#NAME?</definedName>
    <definedName name="_xlpm.cum" hidden="1" xlm="1">#NAME?</definedName>
    <definedName name="_xlpm.cur" hidden="1" xlm="1">#NAME?</definedName>
    <definedName name="_xlpm.cur_a" hidden="1" xlm="1">#NAME?</definedName>
    <definedName name="_xlpm.cur_b" hidden="1" xlm="1">#NAME?</definedName>
    <definedName name="_xlpm.cur_c" hidden="1" xlm="1">#NAME?</definedName>
    <definedName name="_xlpm.cur_col" hidden="1" xlm="1">#NAME?</definedName>
    <definedName name="_xlpm.cur_col_step" hidden="1" xlm="1">#NAME?</definedName>
    <definedName name="_xlpm.cur_row" hidden="1" xlm="1">#NAME?</definedName>
    <definedName name="_xlpm.cur_row_step" hidden="1" xlm="1">#NAME?</definedName>
    <definedName name="_xlpm.curr" hidden="1" xlm="1">#NAME?</definedName>
    <definedName name="_xlpm.curr_x" hidden="1" xlm="1">#NAME?</definedName>
    <definedName name="_xlpm.curr_y" hidden="1" xlm="1">#NAME?</definedName>
    <definedName name="_xlpm.current_row" hidden="1" xlm="1">#NAME?</definedName>
    <definedName name="_xlpm.cval" hidden="1" xlm="1">#NAME?</definedName>
    <definedName name="_xlpm.cVals" hidden="1" xlm="1">#NAME?</definedName>
    <definedName name="_xlpm.cvec" hidden="1" xlm="1">#NAME?</definedName>
    <definedName name="_xlpm.d" hidden="1" xlm="1">#NAME?</definedName>
    <definedName name="_xlpm.d_col" hidden="1" xlm="1">#NAME?</definedName>
    <definedName name="_xlpm.d_row" hidden="1" xlm="1">#NAME?</definedName>
    <definedName name="_xlpm.dAllowed" hidden="1" xlm="1">#NAME?</definedName>
    <definedName name="_xlpm.data" hidden="1" xlm="1">#NAME?</definedName>
    <definedName name="_xlpm.data_rng" hidden="1" xlm="1">#NAME?</definedName>
    <definedName name="_xlpm.dc" hidden="1" xlm="1">#NAME?</definedName>
    <definedName name="_xlpm.dcol" hidden="1" xlm="1">#NAME?</definedName>
    <definedName name="_xlpm.dd" hidden="1" xlm="1">#NAME?</definedName>
    <definedName name="_xlpm.DECON" hidden="1" xlm="1">#NAME?</definedName>
    <definedName name="_xlpm.DECONSTRUCT" hidden="1" xlm="1">#NAME?</definedName>
    <definedName name="_xlpm.DefaultBoard" hidden="1" xlm="1">#NAME?</definedName>
    <definedName name="_xlpm.DefaultPushMode" hidden="1" xlm="1">#NAME?</definedName>
    <definedName name="_xlpm.DefaultSteps" hidden="1" xlm="1">#NAME?</definedName>
    <definedName name="_xlpm.delim" hidden="1" xlm="1">#NAME?</definedName>
    <definedName name="_xlpm.delta" hidden="1" xlm="1">#NAME?</definedName>
    <definedName name="_xlpm.delta_c" hidden="1" xlm="1">#NAME?</definedName>
    <definedName name="_xlpm.delta_r" hidden="1" xlm="1">#NAME?</definedName>
    <definedName name="_xlpm.di" hidden="1" xlm="1">#NAME?</definedName>
    <definedName name="_xlpm.diag" hidden="1" xlm="1">#NAME?</definedName>
    <definedName name="_xlpm.diag_allowed" hidden="1" xlm="1">#NAME?</definedName>
    <definedName name="_xlpm.diag_arrow" hidden="1" xlm="1">#NAME?</definedName>
    <definedName name="_xlpm.diag_dist" hidden="1" xlm="1">#NAME?</definedName>
    <definedName name="_xlpm.diag_mask" hidden="1" xlm="1">#NAME?</definedName>
    <definedName name="_xlpm.diag_steps" hidden="1" xlm="1">#NAME?</definedName>
    <definedName name="_xlpm.diagonal_allowed" hidden="1" xlm="1">#NAME?</definedName>
    <definedName name="_xlpm.diagonalsDefTRUE" hidden="1" xlm="1">#NAME?</definedName>
    <definedName name="_xlpm.digits" hidden="1" xlm="1">#NAME?</definedName>
    <definedName name="_xlpm.dir" hidden="1" xlm="1">#NAME?</definedName>
    <definedName name="_xlpm.dir_count" hidden="1" xlm="1">#NAME?</definedName>
    <definedName name="_xlpm.dir_index" hidden="1" xlm="1">#NAME?</definedName>
    <definedName name="_xlpm.dir_ix" hidden="1" xlm="1">#NAME?</definedName>
    <definedName name="_xlpm.dir_list" hidden="1" xlm="1">#NAME?</definedName>
    <definedName name="_xlpm.dir_norm" hidden="1" xlm="1">#NAME?</definedName>
    <definedName name="_xlpm.dir_text" hidden="1" xlm="1">#NAME?</definedName>
    <definedName name="_xlpm.dir_values" hidden="1" xlm="1">#NAME?</definedName>
    <definedName name="_xlpm.dirs" hidden="1" xlm="1">#NAME?</definedName>
    <definedName name="_xlpm.dist" hidden="1" xlm="1">#NAME?</definedName>
    <definedName name="_xlpm.dist_mat" hidden="1" xlm="1">#NAME?</definedName>
    <definedName name="_xlpm.dist_vals" hidden="1" xlm="1">#NAME?</definedName>
    <definedName name="_xlpm.distinct_mask" hidden="1" xlm="1">#NAME?</definedName>
    <definedName name="_xlpm.dMap" hidden="1" xlm="1">#NAME?</definedName>
    <definedName name="_xlpm.dr" hidden="1" xlm="1">#NAME?</definedName>
    <definedName name="_xlpm.drow" hidden="1" xlm="1">#NAME?</definedName>
    <definedName name="_xlpm.ds" hidden="1" xlm="1">#NAME?</definedName>
    <definedName name="_xlpm.dtype" hidden="1" xlm="1">#NAME?</definedName>
    <definedName name="_xlpm.du" hidden="1" xlm="1">#NAME?</definedName>
    <definedName name="_xlpm.dx" hidden="1" xlm="1">#NAME?</definedName>
    <definedName name="_xlpm.dx_0" hidden="1" xlm="1">#NAME?</definedName>
    <definedName name="_xlpm.dx0" hidden="1" xlm="1">#NAME?</definedName>
    <definedName name="_xlpm.dy" hidden="1" xlm="1">#NAME?</definedName>
    <definedName name="_xlpm.dy0" hidden="1" xlm="1">#NAME?</definedName>
    <definedName name="_xlpm.e" hidden="1" xlm="1">#NAME?</definedName>
    <definedName name="_xlpm.each_rep" hidden="1" xlm="1">#NAME?</definedName>
    <definedName name="_xlpm.edge" hidden="1" xlm="1">#NAME?</definedName>
    <definedName name="_xlpm.edge_costs" hidden="1" xlm="1">#NAME?</definedName>
    <definedName name="_xlpm.eff_delim" hidden="1" xlm="1">#NAME?</definedName>
    <definedName name="_xlpm.elt_" hidden="1" xlm="1">#NAME?</definedName>
    <definedName name="_xlpm.end_ad" hidden="1" xlm="1">#NAME?</definedName>
    <definedName name="_xlpm.end_cell" hidden="1" xlm="1">#NAME?</definedName>
    <definedName name="_xlpm.end_col" hidden="1" xlm="1">#NAME?</definedName>
    <definedName name="_xlpm.end_coords" hidden="1" xlm="1">#NAME?</definedName>
    <definedName name="_xlpm.end_num" hidden="1" xlm="1">#NAME?</definedName>
    <definedName name="_xlpm.end_pos" hidden="1" xlm="1">#NAME?</definedName>
    <definedName name="_xlpm.end_ref" hidden="1" xlm="1">#NAME?</definedName>
    <definedName name="_xlpm.end_row" hidden="1" xlm="1">#NAME?</definedName>
    <definedName name="_xlpm.end_x" hidden="1" xlm="1">#NAME?</definedName>
    <definedName name="_xlpm.end_y" hidden="1" xlm="1">#NAME?</definedName>
    <definedName name="_xlpm.EndCol" hidden="1" xlm="1">#NAME?</definedName>
    <definedName name="_xlpm.EndRef" hidden="1" xlm="1">#NAME?</definedName>
    <definedName name="_xlpm.EndRow" hidden="1" xlm="1">#NAME?</definedName>
    <definedName name="_xlpm.extract_between" hidden="1" xlm="1">#NAME?</definedName>
    <definedName name="_xlpm.extract_fx" hidden="1" xlm="1">#NAME?</definedName>
    <definedName name="_xlpm.extracted" hidden="1" xlm="1">#NAME?</definedName>
    <definedName name="_xlpm.extracted_parts" hidden="1" xlm="1">#NAME?</definedName>
    <definedName name="_xlpm.f" hidden="1" xlm="1">#NAME?</definedName>
    <definedName name="_xlpm.f_1" hidden="1" xlm="1">#NAME?</definedName>
    <definedName name="_xlpm.f_2" hidden="1" xlm="1">#NAME?</definedName>
    <definedName name="_xlpm.f_3" hidden="1" xlm="1">#NAME?</definedName>
    <definedName name="_xlpm.f_4" hidden="1" xlm="1">#NAME?</definedName>
    <definedName name="_xlpm.f_5" hidden="1" xlm="1">#NAME?</definedName>
    <definedName name="_xlpm.f_c" hidden="1" xlm="1">#NAME?</definedName>
    <definedName name="_xlpm.f_r" hidden="1" xlm="1">#NAME?</definedName>
    <definedName name="_xlpm.fc" hidden="1" xlm="1">#NAME?</definedName>
    <definedName name="_xlpm.fill" hidden="1" xlm="1">#NAME?</definedName>
    <definedName name="_xlpm.filt2" hidden="1" xlm="1">#NAME?</definedName>
    <definedName name="_xlpm.filt3" hidden="1" xlm="1">#NAME?</definedName>
    <definedName name="_xlpm.filt4" hidden="1" xlm="1">#NAME?</definedName>
    <definedName name="_xlpm.filt5" hidden="1" xlm="1">#NAME?</definedName>
    <definedName name="_xlpm.filtArr" hidden="1" xlm="1">#NAME?</definedName>
    <definedName name="_xlpm.first" hidden="1" xlm="1">#NAME?</definedName>
    <definedName name="_xlpm.first_" hidden="1" xlm="1">#NAME?</definedName>
    <definedName name="_xlpm.first_a1" hidden="1" xlm="1">#NAME?</definedName>
    <definedName name="_xlpm.first_abs_col" hidden="1" xlm="1">#NAME?</definedName>
    <definedName name="_xlpm.first_abs_row" hidden="1" xlm="1">#NAME?</definedName>
    <definedName name="_xlpm.first_ad" hidden="1" xlm="1">#NAME?</definedName>
    <definedName name="_xlpm.first_char" hidden="1" xlm="1">#NAME?</definedName>
    <definedName name="_xlpm.first_col" hidden="1" xlm="1">#NAME?</definedName>
    <definedName name="_xlpm.first_dir" hidden="1" xlm="1">#NAME?</definedName>
    <definedName name="_xlpm.first_matches" hidden="1" xlm="1">#NAME?</definedName>
    <definedName name="_xlpm.first_num" hidden="1" xlm="1">#NAME?</definedName>
    <definedName name="_xlpm.first_pt" hidden="1" xlm="1">#NAME?</definedName>
    <definedName name="_xlpm.first_rel_col" hidden="1" xlm="1">#NAME?</definedName>
    <definedName name="_xlpm.first_rel_row" hidden="1" xlm="1">#NAME?</definedName>
    <definedName name="_xlpm.first_row" hidden="1" xlm="1">#NAME?</definedName>
    <definedName name="_xlpm.first_txt" hidden="1" xlm="1">#NAME?</definedName>
    <definedName name="_xlpm.flat" hidden="1" xlm="1">#NAME?</definedName>
    <definedName name="_xlpm.flat_" hidden="1" xlm="1">#NAME?</definedName>
    <definedName name="_xlpm.flat_addrs" hidden="1" xlm="1">#NAME?</definedName>
    <definedName name="_xlpm.flat_vals" hidden="1" xlm="1">#NAME?</definedName>
    <definedName name="_xlpm.flatArr" hidden="1" xlm="1">#NAME?</definedName>
    <definedName name="_xlpm.flatten" hidden="1" xlm="1">#NAME?</definedName>
    <definedName name="_xlpm.flattened" hidden="1" xlm="1">#NAME?</definedName>
    <definedName name="_xlpm.flipped" hidden="1" xlm="1">#NAME?</definedName>
    <definedName name="_xlpm.fn" hidden="1" xlm="1">#NAME?</definedName>
    <definedName name="_xlpm.fn_convert" hidden="1" xlm="1">#NAME?</definedName>
    <definedName name="_xlpm.found_val" hidden="1" xlm="1">#NAME?</definedName>
    <definedName name="_xlpm.freq" hidden="1" xlm="1">#NAME?</definedName>
    <definedName name="_xlpm.from_cell" hidden="1" xlm="1">#NAME?</definedName>
    <definedName name="_xlpm.from_cells" hidden="1" xlm="1">#NAME?</definedName>
    <definedName name="_xlpm.frontier" hidden="1" xlm="1">#NAME?</definedName>
    <definedName name="_xlpm.fsnF" hidden="1" xlm="1">#NAME?</definedName>
    <definedName name="_xlpm.fsnFrontier" hidden="1" xlm="1">#NAME?</definedName>
    <definedName name="_xlpm.ftd_lambda" hidden="1" xlm="1">#NAME?</definedName>
    <definedName name="_xlpm.function" hidden="1" xlm="1">#NAME?</definedName>
    <definedName name="_xlpm.fx" hidden="1" xlm="1">#NAME?</definedName>
    <definedName name="_xlpm.g" hidden="1" xlm="1">#NAME?</definedName>
    <definedName name="_xlpm.get_cell" hidden="1" xlm="1">#NAME?</definedName>
    <definedName name="_xlpm.get_col" hidden="1" xlm="1">#NAME?</definedName>
    <definedName name="_xlpm.get_one" hidden="1" xlm="1">#NAME?</definedName>
    <definedName name="_xlpm.get_rect" hidden="1" xlm="1">#NAME?</definedName>
    <definedName name="_xlpm.get_row" hidden="1" xlm="1">#NAME?</definedName>
    <definedName name="_xlpm.grid" hidden="1" xlm="1">#NAME?</definedName>
    <definedName name="_xlpm.grid2" hidden="1" xlm="1">#NAME?</definedName>
    <definedName name="_xlpm.grid3" hidden="1" xlm="1">#NAME?</definedName>
    <definedName name="_xlpm.grid4" hidden="1" xlm="1">#NAME?</definedName>
    <definedName name="_xlpm.grow_down" hidden="1" xlm="1">#NAME?</definedName>
    <definedName name="_xlpm.grow_left" hidden="1" xlm="1">#NAME?</definedName>
    <definedName name="_xlpm.grow_right" hidden="1" xlm="1">#NAME?</definedName>
    <definedName name="_xlpm.grow_up" hidden="1" xlm="1">#NAME?</definedName>
    <definedName name="_xlpm.gunit" hidden="1" xlm="1">#NAME?</definedName>
    <definedName name="_xlpm.h_arr" hidden="1" xlm="1">#NAME?</definedName>
    <definedName name="_xlpm.has_any" hidden="1" xlm="1">#NAME?</definedName>
    <definedName name="_xlpm.has_b" hidden="1" xlm="1">#NAME?</definedName>
    <definedName name="_xlpm.has_bounds" hidden="1" xlm="1">#NAME?</definedName>
    <definedName name="_xlpm.has_colon" hidden="1" xlm="1">#NAME?</definedName>
    <definedName name="_xlpm.has_horz" hidden="1" xlm="1">#NAME?</definedName>
    <definedName name="_xlpm.has_vert" hidden="1" xlm="1">#NAME?</definedName>
    <definedName name="_xlpm.hb" hidden="1" xlm="1">#NAME?</definedName>
    <definedName name="_xlpm.height" hidden="1" xlm="1">#NAME?</definedName>
    <definedName name="_xlpm.hi" hidden="1" xlm="1">#NAME?</definedName>
    <definedName name="_xlpm.high" hidden="1" xlm="1">#NAME?</definedName>
    <definedName name="_xlpm.hit" hidden="1" xlm="1">#NAME?</definedName>
    <definedName name="_xlpm.hit_count" hidden="1" xlm="1">#NAME?</definedName>
    <definedName name="_xlpm.hit_stop" hidden="1" xlm="1">#NAME?</definedName>
    <definedName name="_xlpm.hits" hidden="1" xlm="1">#NAME?</definedName>
    <definedName name="_xlpm.horizontal_arrow" hidden="1" xlm="1">#NAME?</definedName>
    <definedName name="_xlpm.horz_arrow" hidden="1" xlm="1">#NAME?</definedName>
    <definedName name="_xlpm.ht" hidden="1" xlm="1">#NAME?</definedName>
    <definedName name="_xlpm.i" hidden="1" xlm="1">#NAME?</definedName>
    <definedName name="_xlpm.i_" hidden="1" xlm="1">#NAME?</definedName>
    <definedName name="_xlpm.i_bot" hidden="1" xlm="1">#NAME?</definedName>
    <definedName name="_xlpm.i_code" hidden="1" xlm="1">#NAME?</definedName>
    <definedName name="_xlpm.i_left" hidden="1" xlm="1">#NAME?</definedName>
    <definedName name="_xlpm.i_lft" hidden="1" xlm="1">#NAME?</definedName>
    <definedName name="_xlpm.i_num" hidden="1" xlm="1">#NAME?</definedName>
    <definedName name="_xlpm.i_rgt" hidden="1" xlm="1">#NAME?</definedName>
    <definedName name="_xlpm.i_right" hidden="1" xlm="1">#NAME?</definedName>
    <definedName name="_xlpm.i_top" hidden="1" xlm="1">#NAME?</definedName>
    <definedName name="_xlpm.idx" hidden="1" xlm="1">#NAME?</definedName>
    <definedName name="_xlpm.idx_" hidden="1" xlm="1">#NAME?</definedName>
    <definedName name="_xlpm.idx_f" hidden="1" xlm="1">#NAME?</definedName>
    <definedName name="_xlpm.iMap" hidden="1" xlm="1">#NAME?</definedName>
    <definedName name="_xlpm.improvements" hidden="1" xlm="1">#NAME?</definedName>
    <definedName name="_xlpm.in" hidden="1" xlm="1">#NAME?</definedName>
    <definedName name="_xlpm.in_b" hidden="1" xlm="1">#NAME?</definedName>
    <definedName name="_xlpm.in_bounds" hidden="1" xlm="1">#NAME?</definedName>
    <definedName name="_xlpm.inb" hidden="1" xlm="1">#NAME?</definedName>
    <definedName name="_xlpm.inc" hidden="1" xlm="1">#NAME?</definedName>
    <definedName name="_xlpm.inf" hidden="1" xlm="1">#NAME?</definedName>
    <definedName name="_xlpm.inferred_delim" hidden="1" xlm="1">#NAME?</definedName>
    <definedName name="_xlpm.infinity" hidden="1" xlm="1">#NAME?</definedName>
    <definedName name="_xlpm.init" hidden="1" xlm="1">#NAME?</definedName>
    <definedName name="_xlpm.initial_costs" hidden="1" xlm="1">#NAME?</definedName>
    <definedName name="_xlpm.inner_n" hidden="1" xlm="1">#NAME?</definedName>
    <definedName name="_xlpm.input_array" hidden="1" xlm="1">#NAME?</definedName>
    <definedName name="_xlpm.input_is_array" hidden="1" xlm="1">#NAME?</definedName>
    <definedName name="_xlpm.input_lc" hidden="1" xlm="1">#NAME?</definedName>
    <definedName name="_xlpm.input_range" hidden="1" xlm="1">#NAME?</definedName>
    <definedName name="_xlpm.input_string" hidden="1" xlm="1">#NAME?</definedName>
    <definedName name="_xlpm.input_text" hidden="1" xlm="1">#NAME?</definedName>
    <definedName name="_xlpm.inside" hidden="1" xlm="1">#NAME?</definedName>
    <definedName name="_xlpm.inside_cols" hidden="1" xlm="1">#NAME?</definedName>
    <definedName name="_xlpm.inside_rows" hidden="1" xlm="1">#NAME?</definedName>
    <definedName name="_xlpm.is_horz" hidden="1" xlm="1">#NAME?</definedName>
    <definedName name="_xlpm.is_l" hidden="1" xlm="1">#NAME?</definedName>
    <definedName name="_xlpm.is_rng" hidden="1" xlm="1">#NAME?</definedName>
    <definedName name="_xlpm.is_scalar" hidden="1" xlm="1">#NAME?</definedName>
    <definedName name="_xlpm.is_text_or_num" hidden="1" xlm="1">#NAME?</definedName>
    <definedName name="_xlpm.is_u" hidden="1" xlm="1">#NAME?</definedName>
    <definedName name="_xlpm.is_valid" hidden="1" xlm="1">#NAME?</definedName>
    <definedName name="_xlpm.is_vert" hidden="1" xlm="1">#NAME?</definedName>
    <definedName name="_xlpm.isDie" hidden="1" xlm="1">#NAME?</definedName>
    <definedName name="_xlpm.isL" hidden="1" xlm="1">#NAME?</definedName>
    <definedName name="_xlpm.isU" hidden="1" xlm="1">#NAME?</definedName>
    <definedName name="_xlpm.item" hidden="1" xlm="1">#NAME?</definedName>
    <definedName name="_xlpm.item_text" hidden="1" xlm="1">#NAME?</definedName>
    <definedName name="_xlpm.items" hidden="1" xlm="1">#NAME?</definedName>
    <definedName name="_xlpm.iters" hidden="1" xlm="1">#NAME?</definedName>
    <definedName name="_xlpm.j" hidden="1" xlm="1">#NAME?</definedName>
    <definedName name="_xlpm.k" hidden="1" xlm="1">#NAME?</definedName>
    <definedName name="_xlpm.k_" hidden="1" xlm="1">#NAME?</definedName>
    <definedName name="_xlpm.keep" hidden="1" xlm="1">#NAME?</definedName>
    <definedName name="_xlpm.keep_" hidden="1" xlm="1">#NAME?</definedName>
    <definedName name="_xlpm.keep_mask" hidden="1" xlm="1">#NAME?</definedName>
    <definedName name="_xlpm.keep_rows" hidden="1" xlm="1">#NAME?</definedName>
    <definedName name="_xlpm.kmin" hidden="1" xlm="1">#NAME?</definedName>
    <definedName name="_xlpm.l_a" hidden="1" xlm="1">#NAME?</definedName>
    <definedName name="_xlpm.l_c" hidden="1" xlm="1">#NAME?</definedName>
    <definedName name="_xlpm.l_r" hidden="1" xlm="1">#NAME?</definedName>
    <definedName name="_xlpm.label" hidden="1" xlm="1">#NAME?</definedName>
    <definedName name="_xlpm.Laddresses" hidden="1" xlm="1">#NAME?</definedName>
    <definedName name="_xlpm.lambda_a" hidden="1" xlm="1">#NAME?</definedName>
    <definedName name="_xlpm.lambda_b" hidden="1" xlm="1">#NAME?</definedName>
    <definedName name="_xlpm.lambda_c" hidden="1" xlm="1">#NAME?</definedName>
    <definedName name="_xlpm.last" hidden="1" xlm="1">#NAME?</definedName>
    <definedName name="_xlpm.last_a1" hidden="1" xlm="1">#NAME?</definedName>
    <definedName name="_xlpm.last_abs_col" hidden="1" xlm="1">#NAME?</definedName>
    <definedName name="_xlpm.last_abs_row" hidden="1" xlm="1">#NAME?</definedName>
    <definedName name="_xlpm.last_ad" hidden="1" xlm="1">#NAME?</definedName>
    <definedName name="_xlpm.last_col" hidden="1" xlm="1">#NAME?</definedName>
    <definedName name="_xlpm.last_num" hidden="1" xlm="1">#NAME?</definedName>
    <definedName name="_xlpm.last_pt" hidden="1" xlm="1">#NAME?</definedName>
    <definedName name="_xlpm.last_rel_col" hidden="1" xlm="1">#NAME?</definedName>
    <definedName name="_xlpm.last_rel_row" hidden="1" xlm="1">#NAME?</definedName>
    <definedName name="_xlpm.last_row" hidden="1" xlm="1">#NAME?</definedName>
    <definedName name="_xlpm.last_state" hidden="1" xlm="1">#NAME?</definedName>
    <definedName name="_xlpm.last_txt" hidden="1" xlm="1">#NAME?</definedName>
    <definedName name="_xlpm.lastchar" hidden="1" xlm="1">#NAME?</definedName>
    <definedName name="_xlpm.lc" hidden="1" xlm="1">#NAME?</definedName>
    <definedName name="_xlpm.LEaddresses" hidden="1" xlm="1">#NAME?</definedName>
    <definedName name="_xlpm.left_col" hidden="1" xlm="1">#NAME?</definedName>
    <definedName name="_xlpm.left_rel_col" hidden="1" xlm="1">#NAME?</definedName>
    <definedName name="_xlpm.len_of" hidden="1" xlm="1">#NAME?</definedName>
    <definedName name="_xlpm.lens" hidden="1" xlm="1">#NAME?</definedName>
    <definedName name="_xlpm.lenv" hidden="1" xlm="1">#NAME?</definedName>
    <definedName name="_xlpm.LETaddresses" hidden="1" xlm="1">#NAME?</definedName>
    <definedName name="_xlpm.letter_part" hidden="1" xlm="1">#NAME?</definedName>
    <definedName name="_xlpm.letters" hidden="1" xlm="1">#NAME?</definedName>
    <definedName name="_xlpm.letters1" hidden="1" xlm="1">#NAME?</definedName>
    <definedName name="_xlpm.letters2" hidden="1" xlm="1">#NAME?</definedName>
    <definedName name="_xlpm.lft" hidden="1" xlm="1">#NAME?</definedName>
    <definedName name="_xlpm.lfx" hidden="1" xlm="1">#NAME?</definedName>
    <definedName name="_xlpm.list_a" hidden="1" xlm="1">#NAME?</definedName>
    <definedName name="_xlpm.list_b" hidden="1" xlm="1">#NAME?</definedName>
    <definedName name="_xlpm.lo" hidden="1" xlm="1">#NAME?</definedName>
    <definedName name="_xlpm.lookup_arrows" hidden="1" xlm="1">#NAME?</definedName>
    <definedName name="_xlpm.lookup_cdirs" hidden="1" xlm="1">#NAME?</definedName>
    <definedName name="_xlpm.lookup_rdirs" hidden="1" xlm="1">#NAME?</definedName>
    <definedName name="_xlpm.low" hidden="1" xlm="1">#NAME?</definedName>
    <definedName name="_xlpm.lower_item" hidden="1" xlm="1">#NAME?</definedName>
    <definedName name="_xlpm.lower_prefix" hidden="1" xlm="1">#NAME?</definedName>
    <definedName name="_xlpm.lower_suffix" hidden="1" xlm="1">#NAME?</definedName>
    <definedName name="_xlpm.lr" hidden="1" xlm="1">#NAME?</definedName>
    <definedName name="_xlpm.lSeq" hidden="1" xlm="1">#NAME?</definedName>
    <definedName name="_xlpm.lst" hidden="1" xlm="1">#NAME?</definedName>
    <definedName name="_xlpm.m" hidden="1" xlm="1">#NAME?</definedName>
    <definedName name="_xlpm.m_" hidden="1" xlm="1">#NAME?</definedName>
    <definedName name="_xlpm.make_sel" hidden="1" xlm="1">#NAME?</definedName>
    <definedName name="_xlpm.make_tocol" hidden="1" xlm="1">#NAME?</definedName>
    <definedName name="_xlpm.make_tocol_transpose" hidden="1" xlm="1">#NAME?</definedName>
    <definedName name="_xlpm.man" hidden="1" xlm="1">#NAME?</definedName>
    <definedName name="_xlpm.manhattan" hidden="1" xlm="1">#NAME?</definedName>
    <definedName name="_xlpm.many" hidden="1" xlm="1">#NAME?</definedName>
    <definedName name="_xlpm.map_start_col" hidden="1" xlm="1">#NAME?</definedName>
    <definedName name="_xlpm.map_start_row" hidden="1" xlm="1">#NAME?</definedName>
    <definedName name="_xlpm.mapC" hidden="1" xlm="1">#NAME?</definedName>
    <definedName name="_xlpm.mapped" hidden="1" xlm="1">#NAME?</definedName>
    <definedName name="_xlpm.mapR" hidden="1" xlm="1">#NAME?</definedName>
    <definedName name="_xlpm.mask" hidden="1" xlm="1">#NAME?</definedName>
    <definedName name="_xlpm.mask_count" hidden="1" xlm="1">#NAME?</definedName>
    <definedName name="_xlpm.matches" hidden="1" xlm="1">#NAME?</definedName>
    <definedName name="_xlpm.matchMatrix" hidden="1" xlm="1">#NAME?</definedName>
    <definedName name="_xlpm.max_k_" hidden="1" xlm="1">#NAME?</definedName>
    <definedName name="_xlpm.max_len" hidden="1" xlm="1">#NAME?</definedName>
    <definedName name="_xlpm.max_steps" hidden="1" xlm="1">#NAME?</definedName>
    <definedName name="_xlpm.mf" hidden="1" xlm="1">#NAME?</definedName>
    <definedName name="_xlpm.mid_row" hidden="1" xlm="1">#NAME?</definedName>
    <definedName name="_xlpm.min_freq" hidden="1" xlm="1">#NAME?</definedName>
    <definedName name="_xlpm.mode" hidden="1" xlm="1">#NAME?</definedName>
    <definedName name="_xlpm.mono_step" hidden="1" xlm="1">#NAME?</definedName>
    <definedName name="_xlpm.move_rule" hidden="1" xlm="1">#NAME?</definedName>
    <definedName name="_xlpm.moves" hidden="1" xlm="1">#NAME?</definedName>
    <definedName name="_xlpm.n" hidden="1" xlm="1">#NAME?</definedName>
    <definedName name="_xlpm.n_c" hidden="1" xlm="1">#NAME?</definedName>
    <definedName name="_xlpm.n_cols" hidden="1" xlm="1">#NAME?</definedName>
    <definedName name="_xlpm.n_r" hidden="1" xlm="1">#NAME?</definedName>
    <definedName name="_xlpm.n_rows" hidden="1" xlm="1">#NAME?</definedName>
    <definedName name="_xlpm.na" hidden="1" xlm="1">#NAME?</definedName>
    <definedName name="_xlpm.nc" hidden="1" xlm="1">#NAME?</definedName>
    <definedName name="_xlpm.ncell" hidden="1" xlm="1">#NAME?</definedName>
    <definedName name="_xlpm.ncoins" hidden="1" xlm="1">#NAME?</definedName>
    <definedName name="_xlpm.need_distinct" hidden="1" xlm="1">#NAME?</definedName>
    <definedName name="_xlpm.need_transpose" hidden="1" xlm="1">#NAME?</definedName>
    <definedName name="_xlpm.new_col" hidden="1" xlm="1">#NAME?</definedName>
    <definedName name="_xlpm.new_col_step" hidden="1" xlm="1">#NAME?</definedName>
    <definedName name="_xlpm.new_coords" hidden="1" xlm="1">#NAME?</definedName>
    <definedName name="_xlpm.new_frontier" hidden="1" xlm="1">#NAME?</definedName>
    <definedName name="_xlpm.new_l" hidden="1" xlm="1">#NAME?</definedName>
    <definedName name="_xlpm.new_row" hidden="1" xlm="1">#NAME?</definedName>
    <definedName name="_xlpm.new_row_step" hidden="1" xlm="1">#NAME?</definedName>
    <definedName name="_xlpm.new_state" hidden="1" xlm="1">#NAME?</definedName>
    <definedName name="_xlpm.new_u" hidden="1" xlm="1">#NAME?</definedName>
    <definedName name="_xlpm.new_x" hidden="1" xlm="1">#NAME?</definedName>
    <definedName name="_xlpm.new_y" hidden="1" xlm="1">#NAME?</definedName>
    <definedName name="_xlpm.newamt" hidden="1" xlm="1">#NAME?</definedName>
    <definedName name="_xlpm.newcnt" hidden="1" xlm="1">#NAME?</definedName>
    <definedName name="_xlpm.newL" hidden="1" xlm="1">#NAME?</definedName>
    <definedName name="_xlpm.newU" hidden="1" xlm="1">#NAME?</definedName>
    <definedName name="_xlpm.next_col" hidden="1" xlm="1">#NAME?</definedName>
    <definedName name="_xlpm.next_frontier" hidden="1" xlm="1">#NAME?</definedName>
    <definedName name="_xlpm.next_positions" hidden="1" xlm="1">#NAME?</definedName>
    <definedName name="_xlpm.next_row" hidden="1" xlm="1">#NAME?</definedName>
    <definedName name="_xlpm.nF" hidden="1" xlm="1">#NAME?</definedName>
    <definedName name="_xlpm.nFrontier" hidden="1" xlm="1">#NAME?</definedName>
    <definedName name="_xlpm.nlet" hidden="1" xlm="1">#NAME?</definedName>
    <definedName name="_xlpm.nm" hidden="1" xlm="1">#NAME?</definedName>
    <definedName name="_xlpm.no_sheet" hidden="1" xlm="1">#NAME?</definedName>
    <definedName name="_xlpm.norm" hidden="1" xlm="1">#NAME?</definedName>
    <definedName name="_xlpm.not_self" hidden="1" xlm="1">#NAME?</definedName>
    <definedName name="_xlpm.notself" hidden="1" xlm="1">#NAME?</definedName>
    <definedName name="_xlpm.npMap" hidden="1" xlm="1">#NAME?</definedName>
    <definedName name="_xlpm.npos" hidden="1" xlm="1">#NAME?</definedName>
    <definedName name="_xlpm.nr" hidden="1" xlm="1">#NAME?</definedName>
    <definedName name="_xlpm.nSeq" hidden="1" xlm="1">#NAME?</definedName>
    <definedName name="_xlpm.num" hidden="1" xlm="1">#NAME?</definedName>
    <definedName name="_xlpm.num_a" hidden="1" xlm="1">#NAME?</definedName>
    <definedName name="_xlpm.num_b" hidden="1" xlm="1">#NAME?</definedName>
    <definedName name="_xlpm.num_cols" hidden="1" xlm="1">#NAME?</definedName>
    <definedName name="_xlpm.num_fmt" hidden="1" xlm="1">#NAME?</definedName>
    <definedName name="_xlpm.num_list" hidden="1" xlm="1">#NAME?</definedName>
    <definedName name="_xlpm.num_or_arr" hidden="1" xlm="1">#NAME?</definedName>
    <definedName name="_xlpm.num_rows" hidden="1" xlm="1">#NAME?</definedName>
    <definedName name="_xlpm.num_sequence" hidden="1" xlm="1">#NAME?</definedName>
    <definedName name="_xlpm.num_start_pos" hidden="1" xlm="1">#NAME?</definedName>
    <definedName name="_xlpm.number" hidden="1" xlm="1">#NAME?</definedName>
    <definedName name="_xlpm.number_or_array" hidden="1" xlm="1">#NAME?</definedName>
    <definedName name="_xlpm.number_part" hidden="1" xlm="1">#NAME?</definedName>
    <definedName name="_xlpm.nums" hidden="1" xlm="1">#NAME?</definedName>
    <definedName name="_xlpm.o" hidden="1" xlm="1">#NAME?</definedName>
    <definedName name="_xlpm.obj" hidden="1" xlm="1">#NAME?</definedName>
    <definedName name="_xlpm.offset" hidden="1" xlm="1">#NAME?</definedName>
    <definedName name="_xlpm.ok" hidden="1" xlm="1">#NAME?</definedName>
    <definedName name="_xlpm.ok_bounds" hidden="1" xlm="1">#NAME?</definedName>
    <definedName name="_xlpm.ok_center" hidden="1" xlm="1">#NAME?</definedName>
    <definedName name="_xlpm.ok_dir" hidden="1" xlm="1">#NAME?</definedName>
    <definedName name="_xlpm.ok_div" hidden="1" xlm="1">#NAME?</definedName>
    <definedName name="_xlpm.ok_int" hidden="1" xlm="1">#NAME?</definedName>
    <definedName name="_xlpm.om" hidden="1" xlm="1">#NAME?</definedName>
    <definedName name="_xlpm.om_" hidden="1" xlm="1">#NAME?</definedName>
    <definedName name="_xlpm.one" hidden="1" xlm="1">#NAME?</definedName>
    <definedName name="_xlpm.one_addr" hidden="1" xlm="1">#NAME?</definedName>
    <definedName name="_xlpm.one_entry" hidden="1" xlm="1">#NAME?</definedName>
    <definedName name="_xlpm.one_k_" hidden="1" xlm="1">#NAME?</definedName>
    <definedName name="_xlpm.one_row" hidden="1" xlm="1">#NAME?</definedName>
    <definedName name="_xlpm.one_str" hidden="1" xlm="1">#NAME?</definedName>
    <definedName name="_xlpm.one_txt" hidden="1" xlm="1">#NAME?</definedName>
    <definedName name="_xlpm.one_val" hidden="1" xlm="1">#NAME?</definedName>
    <definedName name="_xlpm.OOB" hidden="1" xlm="1">#NAME?</definedName>
    <definedName name="_xlpm.op" hidden="1" xlm="1">#NAME?</definedName>
    <definedName name="_xlpm.op_count" hidden="1" xlm="1">#NAME?</definedName>
    <definedName name="_xlpm.op_h" hidden="1" xlm="1">#NAME?</definedName>
    <definedName name="_xlpm.op_v" hidden="1" xlm="1">#NAME?</definedName>
    <definedName name="_xlpm.ord" hidden="1" xlm="1">#NAME?</definedName>
    <definedName name="_xlpm.order" hidden="1" xlm="1">#NAME?</definedName>
    <definedName name="_xlpm.order_matters" hidden="1" xlm="1">#NAME?</definedName>
    <definedName name="_xlpm.oriented" hidden="1" xlm="1">#NAME?</definedName>
    <definedName name="_xlpm.out" hidden="1" xlm="1">#NAME?</definedName>
    <definedName name="_xlpm.out_addrs" hidden="1" xlm="1">#NAME?</definedName>
    <definedName name="_xlpm.out_side" hidden="1" xlm="1">#NAME?</definedName>
    <definedName name="_xlpm.out_vals" hidden="1" xlm="1">#NAME?</definedName>
    <definedName name="_xlpm.outer_n" hidden="1" xlm="1">#NAME?</definedName>
    <definedName name="_xlpm.output" hidden="1" xlm="1">#NAME?</definedName>
    <definedName name="_xlpm.output_mode" hidden="1" xlm="1">#NAME?</definedName>
    <definedName name="_xlpm.p" hidden="1" xlm="1">#NAME?</definedName>
    <definedName name="_xlpm.p_data" hidden="1" xlm="1">#NAME?</definedName>
    <definedName name="_xlpm.P0C1" hidden="1" xlm="1">#NAME?</definedName>
    <definedName name="_xlpm.packed" hidden="1" xlm="1">#NAME?</definedName>
    <definedName name="_xlpm.pad" hidden="1" xlm="1">#NAME?</definedName>
    <definedName name="_xlpm.pad_" hidden="1" xlm="1">#NAME?</definedName>
    <definedName name="_xlpm.parse_point" hidden="1" xlm="1">#NAME?</definedName>
    <definedName name="_xlpm.part_a" hidden="1" xlm="1">#NAME?</definedName>
    <definedName name="_xlpm.part_b" hidden="1" xlm="1">#NAME?</definedName>
    <definedName name="_xlpm.parts" hidden="1" xlm="1">#NAME?</definedName>
    <definedName name="_xlpm.pass_num" hidden="1" xlm="1">#NAME?</definedName>
    <definedName name="_xlpm.pat" hidden="1" xlm="1">#NAME?</definedName>
    <definedName name="_xlpm.pick" hidden="1" xlm="1">#NAME?</definedName>
    <definedName name="_xlpm.places" hidden="1" xlm="1">#NAME?</definedName>
    <definedName name="_xlpm.pMap" hidden="1" xlm="1">#NAME?</definedName>
    <definedName name="_xlpm.pnr_" hidden="1" xlm="1">#NAME?</definedName>
    <definedName name="_xlpm.pnum" hidden="1" xlm="1">#NAME?</definedName>
    <definedName name="_xlpm.point" hidden="1" xlm="1">#NAME?</definedName>
    <definedName name="_xlpm.pos" hidden="1" xlm="1">#NAME?</definedName>
    <definedName name="_xlpm.pos_" hidden="1" xlm="1">#NAME?</definedName>
    <definedName name="_xlpm.posd" hidden="1" xlm="1">#NAME?</definedName>
    <definedName name="_xlpm.positional_weights" hidden="1" xlm="1">#NAME?</definedName>
    <definedName name="_xlpm.pow" hidden="1" xlm="1">#NAME?</definedName>
    <definedName name="_xlpm.pows" hidden="1" xlm="1">#NAME?</definedName>
    <definedName name="_xlpm.pr_" hidden="1" xlm="1">#NAME?</definedName>
    <definedName name="_xlpm.prefix" hidden="1" xlm="1">#NAME?</definedName>
    <definedName name="_xlpm.prev" hidden="1" xlm="1">#NAME?</definedName>
    <definedName name="_xlpm.prevb" hidden="1" xlm="1">#NAME?</definedName>
    <definedName name="_xlpm.prevbest" hidden="1" xlm="1">#NAME?</definedName>
    <definedName name="_xlpm.prevrow" hidden="1" xlm="1">#NAME?</definedName>
    <definedName name="_xlpm.price" hidden="1" xlm="1">#NAME?</definedName>
    <definedName name="_xlpm.print_components" hidden="1" xlm="1">#NAME?</definedName>
    <definedName name="_xlpm.processed" hidden="1" xlm="1">#NAME?</definedName>
    <definedName name="_xlpm.processed_data" hidden="1" xlm="1">#NAME?</definedName>
    <definedName name="_xlpm.ProcessGrid" hidden="1" xlm="1">#NAME?</definedName>
    <definedName name="_xlpm.ps" hidden="1" xlm="1">#NAME?</definedName>
    <definedName name="_xlpm.push_col" hidden="1" xlm="1">#NAME?</definedName>
    <definedName name="_xlpm.push_mode" hidden="1" xlm="1">#NAME?</definedName>
    <definedName name="_xlpm.push_on" hidden="1" xlm="1">#NAME?</definedName>
    <definedName name="_xlpm.push_row" hidden="1" xlm="1">#NAME?</definedName>
    <definedName name="_xlpm.PushCol" hidden="1" xlm="1">#NAME?</definedName>
    <definedName name="_xlpm.PushMode" hidden="1" xlm="1">#NAME?</definedName>
    <definedName name="_xlpm.PushRow" hidden="1" xlm="1">#NAME?</definedName>
    <definedName name="_xlpm.pw" hidden="1" xlm="1">#NAME?</definedName>
    <definedName name="_xlpm.pWeights" hidden="1" xlm="1">#NAME?</definedName>
    <definedName name="_xlpm.quad" hidden="1" xlm="1">#NAME?</definedName>
    <definedName name="_xlpm.r" hidden="1" xlm="1">#NAME?</definedName>
    <definedName name="_xlpm.r_" hidden="1" xlm="1">#NAME?</definedName>
    <definedName name="_xlpm.r_down" hidden="1" xlm="1">#NAME?</definedName>
    <definedName name="_xlpm.r_idx" hidden="1" xlm="1">#NAME?</definedName>
    <definedName name="_xlpm.r_off" hidden="1" xlm="1">#NAME?</definedName>
    <definedName name="_xlpm.r_up" hidden="1" xlm="1">#NAME?</definedName>
    <definedName name="_xlpm.r0" hidden="1" xlm="1">#NAME?</definedName>
    <definedName name="_xlpm.ra" hidden="1" xlm="1">#NAME?</definedName>
    <definedName name="_xlpm.ran" hidden="1" xlm="1">#NAME?</definedName>
    <definedName name="_xlpm.rang" hidden="1" xlm="1">#NAME?</definedName>
    <definedName name="_xlpm.range" hidden="1" xlm="1">#NAME?</definedName>
    <definedName name="_xlpm.range_txt" hidden="1" xlm="1">#NAME?</definedName>
    <definedName name="_xlpm.rank_style_order" hidden="1" xlm="1">#NAME?</definedName>
    <definedName name="_xlpm.raw" hidden="1" xlm="1">#NAME?</definedName>
    <definedName name="_xlpm.rc" hidden="1" xlm="1">#NAME?</definedName>
    <definedName name="_xlpm.rd" hidden="1" xlm="1">#NAME?</definedName>
    <definedName name="_xlpm.rdirs" hidden="1" xlm="1">#NAME?</definedName>
    <definedName name="_xlpm.re" hidden="1" xlm="1">#NAME?</definedName>
    <definedName name="_xlpm.reach" hidden="1" xlm="1">#NAME?</definedName>
    <definedName name="_xlpm.ref" hidden="1" xlm="1">#NAME?</definedName>
    <definedName name="_xlpm.ref_1" hidden="1" xlm="1">#NAME?</definedName>
    <definedName name="_xlpm.ref_2" hidden="1" xlm="1">#NAME?</definedName>
    <definedName name="_xlpm.reflect_pos" hidden="1" xlm="1">#NAME?</definedName>
    <definedName name="_xlpm.REGEXTRACT" hidden="1" xlm="1">#NAME?</definedName>
    <definedName name="_xlpm.rel_c" hidden="1" xlm="1">#NAME?</definedName>
    <definedName name="_xlpm.rel_col" hidden="1" xlm="1">#NAME?</definedName>
    <definedName name="_xlpm.rel_r" hidden="1" xlm="1">#NAME?</definedName>
    <definedName name="_xlpm.rel_row" hidden="1" xlm="1">#NAME?</definedName>
    <definedName name="_xlpm.relative_col" hidden="1" xlm="1">#NAME?</definedName>
    <definedName name="_xlpm.relative_row" hidden="1" xlm="1">#NAME?</definedName>
    <definedName name="_xlpm.relC" hidden="1" xlm="1">#NAME?</definedName>
    <definedName name="_xlpm.relR" hidden="1" xlm="1">#NAME?</definedName>
    <definedName name="_xlpm.rem" hidden="1" xlm="1">#NAME?</definedName>
    <definedName name="_xlpm.rem_after" hidden="1" xlm="1">#NAME?</definedName>
    <definedName name="_xlpm.rem_before" hidden="1" xlm="1">#NAME?</definedName>
    <definedName name="_xlpm.rem_col" hidden="1" xlm="1">#NAME?</definedName>
    <definedName name="_xlpm.rem_col_dist" hidden="1" xlm="1">#NAME?</definedName>
    <definedName name="_xlpm.rem_row" hidden="1" xlm="1">#NAME?</definedName>
    <definedName name="_xlpm.rem_row_dist" hidden="1" xlm="1">#NAME?</definedName>
    <definedName name="_xlpm.remainder" hidden="1" xlm="1">#NAME?</definedName>
    <definedName name="_xlpm.remaining_col_dist" hidden="1" xlm="1">#NAME?</definedName>
    <definedName name="_xlpm.remaining_row_dist" hidden="1" xlm="1">#NAME?</definedName>
    <definedName name="_xlpm.rep" hidden="1" xlm="1">#NAME?</definedName>
    <definedName name="_xlpm.rep_" hidden="1" xlm="1">#NAME?</definedName>
    <definedName name="_xlpm.repeat_array" hidden="1" xlm="1">#NAME?</definedName>
    <definedName name="_xlpm.repeat_element" hidden="1" xlm="1">#NAME?</definedName>
    <definedName name="_xlpm.repeats_allowed" hidden="1" xlm="1">#NAME?</definedName>
    <definedName name="_xlpm.res" hidden="1" xlm="1">#NAME?</definedName>
    <definedName name="_xlpm.reshaped" hidden="1" xlm="1">#NAME?</definedName>
    <definedName name="_xlpm.rest_" hidden="1" xlm="1">#NAME?</definedName>
    <definedName name="_xlpm.result" hidden="1" xlm="1">#NAME?</definedName>
    <definedName name="_xlpm.return" hidden="1" xlm="1">#NAME?</definedName>
    <definedName name="_xlpm.reverse" hidden="1" xlm="1">#NAME?</definedName>
    <definedName name="_xlpm.reverse_flag" hidden="1" xlm="1">#NAME?</definedName>
    <definedName name="_xlpm.rgt" hidden="1" xlm="1">#NAME?</definedName>
    <definedName name="_xlpm.ri" hidden="1" xlm="1">#NAME?</definedName>
    <definedName name="_xlpm.ridx" hidden="1" xlm="1">#NAME?</definedName>
    <definedName name="_xlpm.right_col" hidden="1" xlm="1">#NAME?</definedName>
    <definedName name="_xlpm.right_rel_col" hidden="1" xlm="1">#NAME?</definedName>
    <definedName name="_xlpm.rm" hidden="1" xlm="1">#NAME?</definedName>
    <definedName name="_xlpm.rm_f" hidden="1" xlm="1">#NAME?</definedName>
    <definedName name="_xlpm.rmax" hidden="1" xlm="1">#NAME?</definedName>
    <definedName name="_xlpm.rmin" hidden="1" xlm="1">#NAME?</definedName>
    <definedName name="_xlpm.rng" hidden="1" xlm="1">#NAME?</definedName>
    <definedName name="_xlpm.rNum" hidden="1" xlm="1">#NAME?</definedName>
    <definedName name="_xlpm.ro" hidden="1" xlm="1">#NAME?</definedName>
    <definedName name="_xlpm.rounds" hidden="1" xlm="1">#NAME?</definedName>
    <definedName name="_xlpm.row" hidden="1" xlm="1">#NAME?</definedName>
    <definedName name="_xlpm.row_" hidden="1" xlm="1">#NAME?</definedName>
    <definedName name="_xlpm.row_1" hidden="1" xlm="1">#NAME?</definedName>
    <definedName name="_xlpm.row_2" hidden="1" xlm="1">#NAME?</definedName>
    <definedName name="_xlpm.row_abs" hidden="1" xlm="1">#NAME?</definedName>
    <definedName name="_xlpm.row_count" hidden="1" xlm="1">#NAME?</definedName>
    <definedName name="_xlpm.row_d" hidden="1" xlm="1">#NAME?</definedName>
    <definedName name="_xlpm.row_delimiter" hidden="1" xlm="1">#NAME?</definedName>
    <definedName name="_xlpm.row_delta" hidden="1" xlm="1">#NAME?</definedName>
    <definedName name="_xlpm.row_diff" hidden="1" xlm="1">#NAME?</definedName>
    <definedName name="_xlpm.row_end" hidden="1" xlm="1">#NAME?</definedName>
    <definedName name="_xlpm.row_flat" hidden="1" xlm="1">#NAME?</definedName>
    <definedName name="_xlpm.row_i" hidden="1" xlm="1">#NAME?</definedName>
    <definedName name="_xlpm.row_idx" hidden="1" xlm="1">#NAME?</definedName>
    <definedName name="_xlpm.row_ix" hidden="1" xlm="1">#NAME?</definedName>
    <definedName name="_xlpm.row_label" hidden="1" xlm="1">#NAME?</definedName>
    <definedName name="_xlpm.row_limit" hidden="1" xlm="1">#NAME?</definedName>
    <definedName name="_xlpm.row_major" hidden="1" xlm="1">#NAME?</definedName>
    <definedName name="_xlpm.row_major_flag" hidden="1" xlm="1">#NAME?</definedName>
    <definedName name="_xlpm.row_mask" hidden="1" xlm="1">#NAME?</definedName>
    <definedName name="_xlpm.row_max" hidden="1" xlm="1">#NAME?</definedName>
    <definedName name="_xlpm.row_min" hidden="1" xlm="1">#NAME?</definedName>
    <definedName name="_xlpm.row_mode" hidden="1" xlm="1">#NAME?</definedName>
    <definedName name="_xlpm.row_n" hidden="1" xlm="1">#NAME?</definedName>
    <definedName name="_xlpm.row_num" hidden="1" xlm="1">#NAME?</definedName>
    <definedName name="_xlpm.row_number" hidden="1" xlm="1">#NAME?</definedName>
    <definedName name="_xlpm.row_off" hidden="1" xlm="1">#NAME?</definedName>
    <definedName name="_xlpm.row_out" hidden="1" xlm="1">#NAME?</definedName>
    <definedName name="_xlpm.row_part" hidden="1" xlm="1">#NAME?</definedName>
    <definedName name="_xlpm.row_remain" hidden="1" xlm="1">#NAME?</definedName>
    <definedName name="_xlpm.row_rev_flat" hidden="1" xlm="1">#NAME?</definedName>
    <definedName name="_xlpm.row_size" hidden="1" xlm="1">#NAME?</definedName>
    <definedName name="_xlpm.row_snake" hidden="1" xlm="1">#NAME?</definedName>
    <definedName name="_xlpm.row_start" hidden="1" xlm="1">#NAME?</definedName>
    <definedName name="_xlpm.row_steps" hidden="1" xlm="1">#NAME?</definedName>
    <definedName name="_xlpm.row_str" hidden="1" xlm="1">#NAME?</definedName>
    <definedName name="_xlpm.row_strings" hidden="1" xlm="1">#NAME?</definedName>
    <definedName name="_xlpm.row_txt" hidden="1" xlm="1">#NAME?</definedName>
    <definedName name="_xlpm.rowCount" hidden="1" xlm="1">#NAME?</definedName>
    <definedName name="_xlpm.rows" hidden="1" xlm="1">#NAME?</definedName>
    <definedName name="_xlpm.rows_cnt" hidden="1" xlm="1">#NAME?</definedName>
    <definedName name="_xlpm.rows_n" hidden="1" xlm="1">#NAME?</definedName>
    <definedName name="_xlpm.rr" hidden="1" xlm="1">#NAME?</definedName>
    <definedName name="_xlpm.rs" hidden="1" xlm="1">#NAME?</definedName>
    <definedName name="_xlpm.rt" hidden="1" xlm="1">#NAME?</definedName>
    <definedName name="_xlpm.rv" hidden="1" xlm="1">#NAME?</definedName>
    <definedName name="_xlpm.rv_f" hidden="1" xlm="1">#NAME?</definedName>
    <definedName name="_xlpm.s" hidden="1" xlm="1">#NAME?</definedName>
    <definedName name="_xlpm.s_col" hidden="1" xlm="1">#NAME?</definedName>
    <definedName name="_xlpm.s_f" hidden="1" xlm="1">#NAME?</definedName>
    <definedName name="_xlpm.s_norm" hidden="1" xlm="1">#NAME?</definedName>
    <definedName name="_xlpm.s_row" hidden="1" xlm="1">#NAME?</definedName>
    <definedName name="_xlpm.s_text" hidden="1" xlm="1">#NAME?</definedName>
    <definedName name="_xlpm.sa" hidden="1" xlm="1">#NAME?</definedName>
    <definedName name="_xlpm.safe_cols" hidden="1" xlm="1">#NAME?</definedName>
    <definedName name="_xlpm.safe_rows" hidden="1" xlm="1">#NAME?</definedName>
    <definedName name="_xlpm.sbc" hidden="1" xlm="1">#NAME?</definedName>
    <definedName name="_xlpm.sc" hidden="1" xlm="1">#NAME?</definedName>
    <definedName name="_xlpm.scale" hidden="1" xlm="1">#NAME?</definedName>
    <definedName name="_xlpm.scan" hidden="1" xlm="1">#NAME?</definedName>
    <definedName name="_xlpm.scan_by_col" hidden="1" xlm="1">#NAME?</definedName>
    <definedName name="_xlpm.sCoords" hidden="1" xlm="1">#NAME?</definedName>
    <definedName name="_xlpm.second" hidden="1" xlm="1">#NAME?</definedName>
    <definedName name="_xlpm.second_char" hidden="1" xlm="1">#NAME?</definedName>
    <definedName name="_xlpm.seed" hidden="1" xlm="1">#NAME?</definedName>
    <definedName name="_xlpm.seed_" hidden="1" xlm="1">#NAME?</definedName>
    <definedName name="_xlpm.seeded" hidden="1" xlm="1">#NAME?</definedName>
    <definedName name="_xlpm.self" hidden="1" xlm="1">#NAME?</definedName>
    <definedName name="_xlpm.self_" hidden="1" xlm="1">#NAME?</definedName>
    <definedName name="_xlpm.self_count" hidden="1" xlm="1">#NAME?</definedName>
    <definedName name="_xlpm.self_mask" hidden="1" xlm="1">#NAME?</definedName>
    <definedName name="_xlpm.sep" hidden="1" xlm="1">#NAME?</definedName>
    <definedName name="_xlpm.seq" hidden="1" xlm="1">#NAME?</definedName>
    <definedName name="_xlpm.seq_" hidden="1" xlm="1">#NAME?</definedName>
    <definedName name="_xlpm.seqc" hidden="1" xlm="1">#NAME?</definedName>
    <definedName name="_xlpm.seqr" hidden="1" xlm="1">#NAME?</definedName>
    <definedName name="_xlpm.seqs" hidden="1" xlm="1">#NAME?</definedName>
    <definedName name="_xlpm.shifted" hidden="1" xlm="1">#NAME?</definedName>
    <definedName name="_xlpm.show_addr" hidden="1" xlm="1">#NAME?</definedName>
    <definedName name="_xlpm.show_addresses" hidden="1" xlm="1">#NAME?</definedName>
    <definedName name="_xlpm.show_components" hidden="1" xlm="1">#NAME?</definedName>
    <definedName name="_xlpm.show_flag" hidden="1" xlm="1">#NAME?</definedName>
    <definedName name="_xlpm.single" hidden="1" xlm="1">#NAME?</definedName>
    <definedName name="_xlpm.size" hidden="1" xlm="1">#NAME?</definedName>
    <definedName name="_xlpm.sizes" hidden="1" xlm="1">#NAME?</definedName>
    <definedName name="_xlpm.sk_f" hidden="1" xlm="1">#NAME?</definedName>
    <definedName name="_xlpm.sn" hidden="1" xlm="1">#NAME?</definedName>
    <definedName name="_xlpm.snake" hidden="1" xlm="1">#NAME?</definedName>
    <definedName name="_xlpm.snake_flag" hidden="1" xlm="1">#NAME?</definedName>
    <definedName name="_xlpm.snake_it" hidden="1" xlm="1">#NAME?</definedName>
    <definedName name="_xlpm.snF" hidden="1" xlm="1">#NAME?</definedName>
    <definedName name="_xlpm.snFrontier" hidden="1" xlm="1">#NAME?</definedName>
    <definedName name="_xlpm.sort_style_order" hidden="1" xlm="1">#NAME?</definedName>
    <definedName name="_xlpm.sorted_ds" hidden="1" xlm="1">#NAME?</definedName>
    <definedName name="_xlpm.sorted_improvements" hidden="1" xlm="1">#NAME?</definedName>
    <definedName name="_xlpm.source_cols" hidden="1" xlm="1">#NAME?</definedName>
    <definedName name="_xlpm.source_costs" hidden="1" xlm="1">#NAME?</definedName>
    <definedName name="_xlpm.source_count" hidden="1" xlm="1">#NAME?</definedName>
    <definedName name="_xlpm.source_rows" hidden="1" xlm="1">#NAME?</definedName>
    <definedName name="_xlpm.span" hidden="1" xlm="1">#NAME?</definedName>
    <definedName name="_xlpm.split" hidden="1" xlm="1">#NAME?</definedName>
    <definedName name="_xlpm.split_chars" hidden="1" xlm="1">#NAME?</definedName>
    <definedName name="_xlpm.sr" hidden="1" xlm="1">#NAME?</definedName>
    <definedName name="_xlpm.src_c" hidden="1" xlm="1">#NAME?</definedName>
    <definedName name="_xlpm.src_r" hidden="1" xlm="1">#NAME?</definedName>
    <definedName name="_xlpm.sRef" hidden="1" xlm="1">#NAME?</definedName>
    <definedName name="_xlpm.st" hidden="1" xlm="1">#NAME?</definedName>
    <definedName name="_xlpm.stacked" hidden="1" xlm="1">#NAME?</definedName>
    <definedName name="_xlpm.start" hidden="1" xlm="1">#NAME?</definedName>
    <definedName name="_xlpm.start_a" hidden="1" xlm="1">#NAME?</definedName>
    <definedName name="_xlpm.start_a1" hidden="1" xlm="1">#NAME?</definedName>
    <definedName name="_xlpm.start_ad" hidden="1" xlm="1">#NAME?</definedName>
    <definedName name="_xlpm.start_b" hidden="1" xlm="1">#NAME?</definedName>
    <definedName name="_xlpm.start_c" hidden="1" xlm="1">#NAME?</definedName>
    <definedName name="_xlpm.start_cell" hidden="1" xlm="1">#NAME?</definedName>
    <definedName name="_xlpm.start_col" hidden="1" xlm="1">#NAME?</definedName>
    <definedName name="_xlpm.start_coords" hidden="1" xlm="1">#NAME?</definedName>
    <definedName name="_xlpm.start_num" hidden="1" xlm="1">#NAME?</definedName>
    <definedName name="_xlpm.start_pos" hidden="1" xlm="1">#NAME?</definedName>
    <definedName name="_xlpm.start_rc" hidden="1" xlm="1">#NAME?</definedName>
    <definedName name="_xlpm.start_ref" hidden="1" xlm="1">#NAME?</definedName>
    <definedName name="_xlpm.start_ref_or_coords" hidden="1" xlm="1">#NAME?</definedName>
    <definedName name="_xlpm.start_ref_str" hidden="1" xlm="1">#NAME?</definedName>
    <definedName name="_xlpm.start_row" hidden="1" xlm="1">#NAME?</definedName>
    <definedName name="_xlpm.start_str_or_coords" hidden="1" xlm="1">#NAME?</definedName>
    <definedName name="_xlpm.start_x" hidden="1" xlm="1">#NAME?</definedName>
    <definedName name="_xlpm.start_y" hidden="1" xlm="1">#NAME?</definedName>
    <definedName name="_xlpm.StartCol" hidden="1" xlm="1">#NAME?</definedName>
    <definedName name="_xlpm.StartRef" hidden="1" xlm="1">#NAME?</definedName>
    <definedName name="_xlpm.StartRow" hidden="1" xlm="1">#NAME?</definedName>
    <definedName name="_xlpm.state_row" hidden="1" xlm="1">#NAME?</definedName>
    <definedName name="_xlpm.state_scan" hidden="1" xlm="1">#NAME?</definedName>
    <definedName name="_xlpm.state_seed" hidden="1" xlm="1">#NAME?</definedName>
    <definedName name="_xlpm.step" hidden="1" xlm="1">#NAME?</definedName>
    <definedName name="_xlpm.step_" hidden="1" xlm="1">#NAME?</definedName>
    <definedName name="_xlpm.step_cap" hidden="1" xlm="1">#NAME?</definedName>
    <definedName name="_xlpm.step_col" hidden="1" xlm="1">#NAME?</definedName>
    <definedName name="_xlpm.step_count" hidden="1" xlm="1">#NAME?</definedName>
    <definedName name="_xlpm.step_n" hidden="1" xlm="1">#NAME?</definedName>
    <definedName name="_xlpm.step_nums" hidden="1" xlm="1">#NAME?</definedName>
    <definedName name="_xlpm.step_row" hidden="1" xlm="1">#NAME?</definedName>
    <definedName name="_xlpm.steps" hidden="1" xlm="1">#NAME?</definedName>
    <definedName name="_xlpm.steps_left" hidden="1" xlm="1">#NAME?</definedName>
    <definedName name="_xlpm.steps_rem" hidden="1" xlm="1">#NAME?</definedName>
    <definedName name="_xlpm.stop" hidden="1" xlm="1">#NAME?</definedName>
    <definedName name="_xlpm.stop_pos" hidden="1" xlm="1">#NAME?</definedName>
    <definedName name="_xlpm.stopper" hidden="1" xlm="1">#NAME?</definedName>
    <definedName name="_xlpm.stp" hidden="1" xlm="1">#NAME?</definedName>
    <definedName name="_xlpm.str" hidden="1" xlm="1">#NAME?</definedName>
    <definedName name="_xlpm.str_arr_set" hidden="1" xlm="1">#NAME?</definedName>
    <definedName name="_xlpm.str_or_arr" hidden="1" xlm="1">#NAME?</definedName>
    <definedName name="_xlpm.str_or_array" hidden="1" xlm="1">#NAME?</definedName>
    <definedName name="_xlpm.straight_arrow" hidden="1" xlm="1">#NAME?</definedName>
    <definedName name="_xlpm.straight_dist" hidden="1" xlm="1">#NAME?</definedName>
    <definedName name="_xlpm.straight_output" hidden="1" xlm="1">#NAME?</definedName>
    <definedName name="_xlpm.strip_sheet" hidden="1" xlm="1">#NAME?</definedName>
    <definedName name="_xlpm.stripped" hidden="1" xlm="1">#NAME?</definedName>
    <definedName name="_xlpm.sub" hidden="1" xlm="1">#NAME?</definedName>
    <definedName name="_xlpm.sub_" hidden="1" xlm="1">#NAME?</definedName>
    <definedName name="_xlpm.sub_is_array" hidden="1" xlm="1">#NAME?</definedName>
    <definedName name="_xlpm.sub_lc" hidden="1" xlm="1">#NAME?</definedName>
    <definedName name="_xlpm.subtxt" hidden="1" xlm="1">#NAME?</definedName>
    <definedName name="_xlpm.suffix" hidden="1" xlm="1">#NAME?</definedName>
    <definedName name="_xlpm.sz" hidden="1" xlm="1">#NAME?</definedName>
    <definedName name="_xlpm.t" hidden="1" xlm="1">#NAME?</definedName>
    <definedName name="_xlpm.t_norm" hidden="1" xlm="1">#NAME?</definedName>
    <definedName name="_xlpm.tab" hidden="1" xlm="1">#NAME?</definedName>
    <definedName name="_xlpm.target" hidden="1" xlm="1">#NAME?</definedName>
    <definedName name="_xlpm.target_cols" hidden="1" xlm="1">#NAME?</definedName>
    <definedName name="_xlpm.target_rows" hidden="1" xlm="1">#NAME?</definedName>
    <definedName name="_xlpm.temp" hidden="1" xlm="1">#NAME?</definedName>
    <definedName name="_xlpm.text" hidden="1" xlm="1">#NAME?</definedName>
    <definedName name="_xlpm.text_in" hidden="1" xlm="1">#NAME?</definedName>
    <definedName name="_xlpm.tf" hidden="1" xlm="1">#NAME?</definedName>
    <definedName name="_xlpm.third" hidden="1" xlm="1">#NAME?</definedName>
    <definedName name="_xlpm.three" hidden="1" xlm="1">#NAME?</definedName>
    <definedName name="_xlpm.tl" hidden="1" xlm="1">#NAME?</definedName>
    <definedName name="_xlpm.tl_rc" hidden="1" xlm="1">#NAME?</definedName>
    <definedName name="_xlpm.tl_txt" hidden="1" xlm="1">#NAME?</definedName>
    <definedName name="_xlpm.to_cell" hidden="1" xlm="1">#NAME?</definedName>
    <definedName name="_xlpm.to_cells" hidden="1" xlm="1">#NAME?</definedName>
    <definedName name="_xlpm.to_num" hidden="1" xlm="1">#NAME?</definedName>
    <definedName name="_xlpm.to_num_1" hidden="1" xlm="1">#NAME?</definedName>
    <definedName name="_xlpm.to_str" hidden="1" xlm="1">#NAME?</definedName>
    <definedName name="_xlpm.to_str_1" hidden="1" xlm="1">#NAME?</definedName>
    <definedName name="_xlpm.token_count" hidden="1" xlm="1">#NAME?</definedName>
    <definedName name="_xlpm.tokens" hidden="1" xlm="1">#NAME?</definedName>
    <definedName name="_xlpm.top" hidden="1" xlm="1">#NAME?</definedName>
    <definedName name="_xlpm.top_rel_row" hidden="1" xlm="1">#NAME?</definedName>
    <definedName name="_xlpm.top_row" hidden="1" xlm="1">#NAME?</definedName>
    <definedName name="_xlpm.total_items" hidden="1" xlm="1">#NAME?</definedName>
    <definedName name="_xlpm.toVals" hidden="1" xlm="1">#NAME?</definedName>
    <definedName name="_xlpm.tr" hidden="1" xlm="1">#NAME?</definedName>
    <definedName name="_xlpm.travel_steps" hidden="1" xlm="1">#NAME?</definedName>
    <definedName name="_xlpm.trip_cols" hidden="1" xlm="1">#NAME?</definedName>
    <definedName name="_xlpm.trip_len" hidden="1" xlm="1">#NAME?</definedName>
    <definedName name="_xlpm.trip_rows" hidden="1" xlm="1">#NAME?</definedName>
    <definedName name="_xlpm.try_col" hidden="1" xlm="1">#NAME?</definedName>
    <definedName name="_xlpm.try_row" hidden="1" xlm="1">#NAME?</definedName>
    <definedName name="_xlpm.TryCol" hidden="1" xlm="1">#NAME?</definedName>
    <definedName name="_xlpm.TryRow" hidden="1" xlm="1">#NAME?</definedName>
    <definedName name="_xlpm.turn" hidden="1" xlm="1">#NAME?</definedName>
    <definedName name="_xlpm.two" hidden="1" xlm="1">#NAME?</definedName>
    <definedName name="_xlpm.txt" hidden="1" xlm="1">#NAME?</definedName>
    <definedName name="_xlpm.type" hidden="1" xlm="1">#NAME?</definedName>
    <definedName name="_xlpm.u" hidden="1" xlm="1">#NAME?</definedName>
    <definedName name="_xlpm.uc" hidden="1" xlm="1">#NAME?</definedName>
    <definedName name="_xlpm.uni" hidden="1" xlm="1">#NAME?</definedName>
    <definedName name="_xlpm.up" hidden="1" xlm="1">#NAME?</definedName>
    <definedName name="_xlpm.updated_costs" hidden="1" xlm="1">#NAME?</definedName>
    <definedName name="_xlpm.upper_ref" hidden="1" xlm="1">#NAME?</definedName>
    <definedName name="_xlpm.ur" hidden="1" xlm="1">#NAME?</definedName>
    <definedName name="_xlpm.uRef" hidden="1" xlm="1">#NAME?</definedName>
    <definedName name="_xlpm.use" hidden="1" xlm="1">#NAME?</definedName>
    <definedName name="_xlpm.use_delim_arg" hidden="1" xlm="1">#NAME?</definedName>
    <definedName name="_xlpm.use_diagonals" hidden="1" xlm="1">#NAME?</definedName>
    <definedName name="_xlpm.use_stop" hidden="1" xlm="1">#NAME?</definedName>
    <definedName name="_xlpm.used_rows" hidden="1" xlm="1">#NAME?</definedName>
    <definedName name="_xlpm.v" hidden="1" xlm="1">#NAME?</definedName>
    <definedName name="_xlpm.v_arr" hidden="1" xlm="1">#NAME?</definedName>
    <definedName name="_xlpm.Val" hidden="1" xlm="1">#NAME?</definedName>
    <definedName name="_xlpm.val_a" hidden="1" xlm="1">#NAME?</definedName>
    <definedName name="_xlpm.val_b" hidden="1" xlm="1">#NAME?</definedName>
    <definedName name="_xlpm.val_grid" hidden="1" xlm="1">#NAME?</definedName>
    <definedName name="_xlpm.val_list" hidden="1" xlm="1">#NAME?</definedName>
    <definedName name="_xlpm.val_or_arr" hidden="1" xlm="1">#NAME?</definedName>
    <definedName name="_xlpm.valid" hidden="1" xlm="1">#NAME?</definedName>
    <definedName name="_xlpm.valid_moves" hidden="1" xlm="1">#NAME?</definedName>
    <definedName name="_xlpm.valid_targets" hidden="1" xlm="1">#NAME?</definedName>
    <definedName name="_xlpm.vals" hidden="1" xlm="1">#NAME?</definedName>
    <definedName name="_xlpm.vals2" hidden="1" xlm="1">#NAME?</definedName>
    <definedName name="_xlpm.value" hidden="1" xlm="1">#NAME?</definedName>
    <definedName name="_xlpm.vec" hidden="1" xlm="1">#NAME?</definedName>
    <definedName name="_xlpm.vec0" hidden="1" xlm="1">#NAME?</definedName>
    <definedName name="_xlpm.vert_arrow" hidden="1" xlm="1">#NAME?</definedName>
    <definedName name="_xlpm.vertical_arrow" hidden="1" xlm="1">#NAME?</definedName>
    <definedName name="_xlpm.visited" hidden="1" xlm="1">#NAME?</definedName>
    <definedName name="_xlpm.vstar" hidden="1" xlm="1">#NAME?</definedName>
    <definedName name="_xlpm.w" hidden="1" xlm="1">#NAME?</definedName>
    <definedName name="_xlpm.want_str" hidden="1" xlm="1">#NAME?</definedName>
    <definedName name="_xlpm.wd" hidden="1" xlm="1">#NAME?</definedName>
    <definedName name="_xlpm.weights" hidden="1" xlm="1">#NAME?</definedName>
    <definedName name="_xlpm.whole_rep" hidden="1" xlm="1">#NAME?</definedName>
    <definedName name="_xlpm.wide" hidden="1" xlm="1">#NAME?</definedName>
    <definedName name="_xlpm.width" hidden="1" xlm="1">#NAME?</definedName>
    <definedName name="_xlpm.win" hidden="1" xlm="1">#NAME?</definedName>
    <definedName name="_xlpm.word" hidden="1" xlm="1">#NAME?</definedName>
    <definedName name="_xlpm.wrap_mode" hidden="1" xlm="1">#NAME?</definedName>
    <definedName name="_xlpm.x" hidden="1" xlm="1">#NAME?</definedName>
    <definedName name="_xlpm.x_" hidden="1" xlm="1">#NAME?</definedName>
    <definedName name="_xlpm.xo" hidden="1" xlm="1">#NAME?</definedName>
    <definedName name="_xlpm.xol" hidden="1" xlm="1">#NAME?</definedName>
    <definedName name="_xlpm.y" hidden="1" xlm="1">#NAME?</definedName>
    <definedName name="_xlpm.zeros" hidden="1" xlm="1">#NAME?</definedName>
    <definedName name="ad_to_cont" comment="Non-volatile INDIRECT: the contents of arr at an address or range. A single address gives one value; a range gives the array of contents where it overlaps arr; an array of addresses gives their contents element-wise. Empty cells return &quot;&quot; (never 0). No ov">_xlfn.LAMBDA(_xlpm.ad_or_rng,_xlpm.arr,
  _xlfn.LET(
    _xlpm.s_row, ROW(INDEX(_xlpm.arr, 1, 1)),
    _xlpm.s_col, COLUMN(INDEX(_xlpm.arr, 1, 1)),
    _xlpm.a_rows, ROWS(_xlpm.arr),
    _xlpm.a_cols, COLUMNS(_xlpm.arr),
    _xlpm.cell_at, _xlfn.LAMBDA(_xlpm.one, IFERROR(
      _xlfn.LET(_xlpm.box, z_ad_box(_xlpm.one),
        IF(OR(INDEX(_xlpm.box, 1) &lt;&gt; INDEX(_xlpm.box, 3), INDEX(_xlpm.box, 2) &lt;&gt; INDEX(_xlpm.box, 4)), "",
          _xlfn.LET(_xlpm.rel_r, INDEX(_xlpm.box, 1) - _xlpm.s_row + 1, _xlpm.rel_c, INDEX(_xlpm.box, 2) - _xlpm.s_col + 1,
            IF(OR(_xlpm.rel_r &lt; 1, _xlpm.rel_r &gt; _xlpm.a_rows, _xlpm.rel_c &lt; 1, _xlpm.rel_c &gt; _xlpm.a_cols), "",
              _xlfn.LET(_xlpm.cval, INDEX(_xlpm.arr, _xlpm.rel_r, _xlpm.rel_c), IF(_xlpm.cval = "", "", _xlpm.cval)))))), "")),
    _xlpm.box0, IFERROR(z_ad_box(_xlpm.ad_or_rng), 0),
    _xlpm.is_rng, IFERROR(AND(COUNT(_xlpm.box0) = 4, OR(INDEX(_xlpm.box0, 1) &lt;&gt; INDEX(_xlpm.box0, 3), INDEX(_xlpm.box0, 2) &lt;&gt; INDEX(_xlpm.box0, 4))), FALSE),
    IF(ROWS(_xlpm.ad_or_rng) * COLUMNS(_xlpm.ad_or_rng) &gt; 1, _xlfn.MAP(_xlpm.ad_or_rng, _xlpm.cell_at),
      IF(_xlpm.is_rng,
        _xlfn.LET(_xlpm.top, SUM(INDEX(_xlpm.box0, 1)), _xlpm.lft, SUM(INDEX(_xlpm.box0, 2)), _xlpm.bot, SUM(INDEX(_xlpm.box0, 3)), _xlpm.rgt, SUM(INDEX(_xlpm.box0, 4)),
            _xlpm.i_top, MAX(_xlpm.s_row, _xlpm.top), _xlpm.i_lft, MAX(_xlpm.s_col, _xlpm.lft),
            _xlpm.i_bot, MIN(_xlpm.s_row + _xlpm.a_rows - 1, _xlpm.bot), _xlpm.i_rgt, MIN(_xlpm.s_col + _xlpm.a_cols - 1, _xlpm.rgt),
            IF(OR(_xlpm.i_top &gt; _xlpm.i_bot, _xlpm.i_lft &gt; _xlpm.i_rgt), "",
              _xlfn.LET(_xlpm.block, _xlfn.TAKE(_xlfn.DROP(_xlpm.arr, _xlpm.i_top - _xlpm.s_row, _xlpm.i_lft - _xlpm.s_col), _xlpm.i_bot - _xlpm.i_top + 1, _xlpm.i_rgt - _xlpm.i_lft + 1),
                  IF(_xlpm.block = "", "", _xlpm.block)))),
        _xlpm.cell_at(_xlpm.ad_or_rng)))
  )
)</definedName>
    <definedName name="ad_to_rc" comment="Split a single address (numeric or A1 string) into its row and column numbers. Returns {row; col} vertically by default, or {row, col} horizontally when as_row = 1. A range, an array, or any non-address returns #VALUE!.">_xlfn.LAMBDA(_xlpm.ad,_xlop.as_row,
  _xlfn.LET(
    _xlpm.wide, IF(_xlfn.ISOMITTED(_xlpm.as_row), 0, _xlpm.as_row),
    _xlpm.single, ROWS(_xlpm.ad) * COLUMNS(_xlpm.ad) = 1,
    _xlpm.box, IFERROR(z_ad_box(_xlpm.ad), 0),
    _xlpm.ok, IFERROR(AND(_xlpm.single, COUNT(_xlpm.box) = 4, INDEX(_xlpm.box, 1) = INDEX(_xlpm.box, 3), INDEX(_xlpm.box, 2) = INDEX(_xlpm.box, 4)), FALSE),
    IF(NOT(_xlpm.ok), #VALUE!,
       IF(_xlpm.wide, _xlfn.HSTACK(INDEX(_xlpm.box, 1), INDEX(_xlpm.box, 2)),
                _xlfn.VSTACK(INDEX(_xlpm.box, 1), INDEX(_xlpm.box, 2))))
  )
)</definedName>
    <definedName name="arrow" comment="Converts a direction string to a standard arrow. Accepts letter codes (&quot;U&quot;,&quot;DL&quot;), compass points (&quot;NE&quot;), and non-standard arrows (⇧, ➶). Returns one of ↑↓←→↖↗↙↘↺↻↕↔⤡⤢, or &quot;&quot; if not recognized.">_xlfn.LAMBDA(_xlpm.str, _xlfn.IFNA(_xlfn.XLOOKUP(TRUE, EXACT(_xlpm.str, Prep!$V$13:$ALY$13), Prep!$V$14:$ALY$14), ""))</definedName>
    <definedName name="arrow_move" comment="Moves a start address (numeric or A1) 'steps' (default 1) in an arrow direction (arrow glyph, its numeric equivalent, or a letter code like &quot;R&quot;/&quot;UL&quot;), bounded by board_rng (default whole sheet). Returns a NUMERIC address. Out of bounds, push_mode: 1 stop ">_xlfn.LAMBDA(_xlpm.start_ad,_xlpm.arrow,_xlop.steps,_xlop.board_rng,_xlop.push_mode,
  _xlfn.LET(
    _xlpm.step_n, IF(_xlfn.ISOMITTED(_xlpm.steps), 1, _xlpm.steps),
    _xlpm.mode, IF(_xlfn.ISOMITTED(_xlpm.push_mode), 1, _xlpm.push_mode),
    _xlpm.start_num, num_ad(_xlpm.start_ad),
    _xlpm.start_row, INT(_xlpm.start_num / 1000000),
    _xlpm.start_col, MOD(_xlpm.start_num, 1000000),
    _xlpm.arr_norm, z_dir_to_arrow(_xlpm.arrow),
    _xlpm.d_row, _xlfn.SWITCH(_xlpm.arr_norm, "←", 0, "↖", -1, "↗", -1, "→", 0, "↙", 1, "↓", 1, "↘", 1, "↑", -1),
    _xlpm.d_col, _xlfn.SWITCH(_xlpm.arr_norm, "←", -1, "↖", -1, "↗", 1, "→", 1, "↙", -1, "↓", 0, "↘", 1, "↑", 0),
    _xlpm.row_min, IF(_xlfn.ISOMITTED(_xlpm.board_rng), 1, MIN(ROW(_xlpm.board_rng))),
    _xlpm.row_max, IF(_xlfn.ISOMITTED(_xlpm.board_rng), 1048576, MAX(ROW(_xlpm.board_rng))),
    _xlpm.col_min, IF(_xlfn.ISOMITTED(_xlpm.board_rng), 1, MIN(COLUMN(_xlpm.board_rng))),
    _xlpm.col_max, IF(_xlfn.ISOMITTED(_xlpm.board_rng), 16384, MAX(COLUMN(_xlpm.board_rng))),
    _xlpm.try_row, _xlpm.start_row + _xlpm.d_row * _xlpm.step_n,
    _xlpm.try_col, _xlpm.start_col + _xlpm.d_col * _xlpm.step_n,
    _xlpm.push_row, MIN(MAX(_xlpm.try_row, _xlpm.row_min), _xlpm.row_max),
    _xlpm.push_col, MIN(MAX(_xlpm.try_col, _xlpm.col_min), _xlpm.col_max),
    _xlpm.oob, OR(_xlpm.try_row &lt;&gt; _xlpm.push_row, _xlpm.try_col &lt;&gt; _xlpm.push_col),
    IF(_xlpm.oob,
      _xlfn.SWITCH(_xlpm.mode,
        1, 1000000 * _xlpm.push_row + _xlpm.push_col,
        0, 1000000 * _xlpm.start_row + _xlpm.start_col,
        -1, "oob",
        1000000 * _xlpm.push_row + _xlpm.push_col),
      1000000 * _xlpm.try_row + _xlpm.try_col)
  )
)</definedName>
    <definedName name="arrow_trip" comment="Walks from start_ad (numeric or A1) in a straight arrow direction (arrow glyph, its numeric equivalent, or a letter code like &quot;R&quot;/&quot;UL&quot;) across rng until the edge (or the optional stopper value). Returns a 2-column array of NUMERIC addresses and their valu">_xlfn.LAMBDA(_xlpm.rng,_xlpm.start_ad,_xlpm.dir,_xlop.stopper,
  _xlfn.LET(
    _xlpm.start_num, num_ad(_xlpm.start_ad),
    _xlpm.start_row, INT(_xlpm.start_num / 1000000),
    _xlpm.start_col, MOD(_xlpm.start_num, 1000000),
    _xlpm.top_row, ROW(INDEX(_xlpm.rng, 1, 1)),
    _xlpm.left_col, COLUMN(INDEX(_xlpm.rng, 1, 1)),
    _xlpm.height, ROWS(_xlpm.rng),
    _xlpm.width, COLUMNS(_xlpm.rng),
    _xlpm.bottom_row, _xlpm.top_row + _xlpm.height - 1,
    _xlpm.right_col, _xlpm.left_col + _xlpm.width - 1,
    _xlpm.inside, AND(_xlpm.start_row &gt;= _xlpm.top_row, _xlpm.start_row &lt;= _xlpm.bottom_row, _xlpm.start_col &gt;= _xlpm.left_col, _xlpm.start_col &lt;= _xlpm.right_col),
    _xlfn.IFNA(IF(NOT(_xlpm.inside), "X",
      _xlfn.LET(
        _xlpm.arrow_list, {"↑";"↓";"←";"→";"↖";"↗";"↘";"↙"},
        _xlpm.row_steps, {-1;1;0;0;-1;-1;1;1},
        _xlpm.col_steps, {0;0;-1;1;-1;1;1;-1},
        _xlpm.dir_index, _xlfn.XMATCH(z_dir_to_arrow(_xlpm.dir), _xlpm.arrow_list),
        _xlpm.row_delta, INDEX(_xlpm.row_steps, _xlpm.dir_index),
        _xlpm.col_delta, INDEX(_xlpm.col_steps, _xlpm.dir_index),
        _xlpm.row_limit, IF(_xlpm.row_delta &gt; 0, _xlpm.bottom_row - _xlpm.start_row, IF(_xlpm.row_delta &lt; 0, _xlpm.start_row - _xlpm.top_row, 1000000)),
        _xlpm.col_limit, IF(_xlpm.col_delta &gt; 0, _xlpm.right_col - _xlpm.start_col, IF(_xlpm.col_delta &lt; 0, _xlpm.start_col - _xlpm.left_col, 1000000)),
        _xlpm.max_steps, MIN(_xlpm.row_limit, _xlpm.col_limit),
        _xlpm.steps, _xlfn.SEQUENCE(_xlpm.max_steps + 1, , 0),
        _xlpm.trip_rows, _xlpm.start_row + _xlpm.steps * _xlpm.row_delta,
        _xlpm.trip_cols, _xlpm.start_col + _xlpm.steps * _xlpm.col_delta,
        _xlpm.num_list, 1000000 * _xlpm.trip_rows + _xlpm.trip_cols,
        _xlpm.val_list, _xlfn.MAP(_xlpm.num_list, _xlfn.LAMBDA(_xlpm.a, _xlfn.LET(_xlpm.v, ad_to_cont(_xlpm.a, _xlpm.rng), IF(OR(_xlpm.v = "", ISBLANK(_xlpm.v)), "", _xlpm.v)))),
        _xlpm.use_stop, NOT(_xlfn.ISOMITTED(_xlpm.stopper)),
        _xlpm.stop_pos, IF(_xlpm.use_stop, _xlfn.XMATCH(_xlpm.stopper, _xlpm.val_list, 0), NA()),
        _xlpm.keep_rows, IF(_xlpm.use_stop, IF(ISERROR(_xlpm.stop_pos), _xlpm.max_steps + 1, _xlpm.stop_pos), _xlpm.max_steps + 1),
        _xlpm.out_addrs, _xlfn.CHOOSEROWS(_xlpm.num_list, _xlfn.SEQUENCE(_xlpm.keep_rows)),
        _xlpm.out_vals, _xlfn.CHOOSEROWS(_xlpm.val_list, _xlfn.SEQUENCE(_xlpm.keep_rows)),
        _xlfn.HSTACK(_xlpm.out_addrs, _xlpm.out_vals)
      )
    ), "")
  )
)</definedName>
    <definedName name="biggest" comment="Finds the biggest number in &quot;check&quot; and returns the first matching value in &quot;return&quot; (an XLOOKUP on MAX).">_xlfn.LAMBDA(_xlpm.check,_xlpm.return, _xlfn.IFNA(_xlfn.XLOOKUP(MAX(_xlpm.check), _xlpm.check, _xlpm.return), ""))</definedName>
    <definedName name="clamp" comment="Restricts a number (or array) to be no lower than bottom and/or no higher than top; each is optional (no limit by default). Returns the same shape, blanking out text cells.">_xlfn.LAMBDA(_xlpm.num_or_arr,_xlop.bottom,_xlop.top, _xlfn.LET(
   _xlpm.clamp_one, _xlfn.LAMBDA(_xlpm.x,
      IF(
         ISERROR(_xlpm.x),
         _xlpm.x,
         IF(
            OR(_xlpm.x = "", ISTEXT(_xlpm.x)),
            "",
            _xlfn.LET(
               _xlpm.hi, IF(_xlfn.ISOMITTED(_xlpm.top), _xlpm.x, MIN(_xlpm.top, _xlpm.x)),
               _xlpm.lo, IF(_xlfn.ISOMITTED(_xlpm.bottom), _xlpm.hi, MAX(_xlpm.bottom, _xlpm.hi)),
               _xlpm.lo
            )
         )
      )
   ),
   IF(
      AND(ROWS(_xlpm.num_or_arr) = 1, COLUMNS(_xlpm.num_or_arr) = 1),
      _xlpm.clamp_one(_xlpm.num_or_arr),
      _xlfn.MAP(_xlpm.num_or_arr, _xlpm.clamp_one)
   )
))</definedName>
    <definedName name="cont_to_ad" comment="Reverse lookup: find a value in arr and return its address. Numeric address by default, A1 string when str = 1. A value appearing several times returns all its addresses in row-major order joined by &quot;;&quot;. A value not found returns &quot;&quot;. An array of values is">_xlfn.LAMBDA(_xlpm.cont,_xlpm.arr,_xlop.str,
  _xlfn.LET(
    _xlpm.want_str, IF(_xlfn.ISOMITTED(_xlpm.str), 0, _xlpm.str),
    _xlpm.s_row, ROW(INDEX(_xlpm.arr, 1, 1)),
    _xlpm.s_col, COLUMN(INDEX(_xlpm.arr, 1, 1)),
    _xlpm.a_rows, ROWS(_xlpm.arr),
    _xlpm.a_cols, COLUMNS(_xlpm.arr),
    _xlpm.ncell, _xlpm.a_rows * _xlpm.a_cols,
    _xlpm.flat, _xlfn.TOROW(_xlpm.arr),
    _xlpm.idx, _xlfn.SEQUENCE(1, _xlpm.ncell),
    _xlpm.abs_row, _xlpm.s_row + INT((_xlpm.idx - 1) / _xlpm.a_cols),
    _xlpm.abs_col, _xlpm.s_col + MOD(_xlpm.idx - 1, _xlpm.a_cols),
    _xlpm.addr, IF(_xlpm.want_str, ADDRESS(_xlpm.abs_row, _xlpm.abs_col, 4), 1000000 * _xlpm.abs_row + _xlpm.abs_col),
    _xlpm.one_val, _xlfn.LAMBDA(_xlpm.target,
      _xlfn.LET(_xlpm.hit, _xlpm.flat = _xlpm.target, _xlpm.hit_count, SUM(--_xlpm.hit),
        IF(_xlpm.hit_count = 0, "",
          IF(_xlpm.hit_count = 1, INDEX(_xlfn._xlws.FILTER(_xlpm.addr, _xlpm.hit), 1),
            _xlfn.TEXTJOIN(";", TRUE, _xlfn._xlws.FILTER(_xlpm.addr, _xlpm.hit)))))),
    IF(ROWS(_xlpm.cont) * COLUMNS(_xlpm.cont) &gt; 1, _xlfn.MAP(_xlpm.cont, _xlpm.one_val), _xlpm.one_val(_xlpm.cont))
  )
)</definedName>
    <definedName name="count_substring" comment="Counts how many times sub appears in str. case_sensitive is 0 by default. Either argument may be an array (but not both) to map the count across it.">_xlfn.LAMBDA(_xlpm.input_text,_xlpm.sub,_xlop.case_sensitive, _xlfn.LET(
   _xlpm.cs, IF(_xlfn.ISOMITTED(_xlpm.case_sensitive), 0, _xlpm.case_sensitive),
   _xlpm.norm, _xlfn.LAMBDA(_xlpm.t, IF(_xlpm.cs = 1, _xlpm.t, LOWER(_xlpm.t))),
   _xlpm.count_one, _xlfn.LAMBDA(_xlpm.txt,_xlpm.subtxt, _xlfn.LET(
      _xlpm.t_norm, _xlpm.norm(_xlpm.txt),
      _xlpm.s_norm, _xlpm.norm(_xlpm.subtxt),
      IF(
         _xlpm.s_norm = "",
         0,
         (LEN(_xlpm.t_norm) - LEN(SUBSTITUTE(_xlpm.t_norm, _xlpm.s_norm, ""))) / LEN(_xlpm.s_norm)
      )
   )),
   _xlpm.input_is_array, ROWS(_xlpm.input_text) * COLUMNS(_xlpm.input_text) &gt; 1,
   _xlpm.sub_is_array, ROWS(_xlpm.sub) * COLUMNS(_xlpm.sub) &gt; 1,
   _xlpm.is_text_or_num, _xlfn.LAMBDA(_xlpm.v, IFERROR(ISNUMBER(_xlpm.v) + ISTEXT(_xlpm.v), 0)),
   IF(
      _xlpm.input_is_array * _xlpm.sub_is_array,
      VALUE("both text args are arrays"),
      IF(
         _xlpm.input_is_array,
         _xlfn.MAP(
            _xlpm.input_text,
            _xlfn.LAMBDA(_xlpm.t, IF(_xlpm.is_text_or_num(_xlpm.t), IFERROR(_xlpm.count_one(_xlpm.t, _xlpm.sub), 0), 0))
         ),
         IF(
            _xlpm.sub_is_array,
            _xlfn.MAP(
               _xlpm.sub,
               _xlfn.LAMBDA(_xlpm.s,
                  IF(
                     _xlpm.is_text_or_num(_xlpm.input_text),
                     IFERROR(_xlpm.count_one(_xlpm.input_text, _xlpm.s), 0),
                     0
                  )
               )
            ),
            IF(
               _xlpm.is_text_or_num(_xlpm.input_text),
               IFERROR(_xlpm.count_one(_xlpm.input_text, _xlpm.sub), 0),
               0
            )
         )
      )
   )
))</definedName>
    <definedName name="ctotal" comment="Cumulative (running) total of an array. Returns an array of the same size where each value is the sum of itself and all values before it, in row-major order.">_xlfn.LAMBDA(_xlpm.arr, _xlfn.SCAN(0, _xlpm.arr, _xlfn.LAMBDA(_xlpm.a,_xlpm.b, _xlpm.a + _xlpm.b)))</definedName>
    <definedName name="cycles" comment="Simulates two nested loops: a 2-column array with outer_n*inner_n rows. Column 1 counts 1..outer_n, repeating each value inner_n times; column 2 cycles 1..inner_n.">_xlfn.LAMBDA(_xlpm.outer_n,_xlpm.inner_n, _xlfn.LET(
   _xlpm.seq, _xlfn.SEQUENCE(_xlpm.outer_n * _xlpm.inner_n, 1, 0),
   _xlfn.HSTACK(INT(_xlpm.seq / _xlpm.inner_n) + 1, MOD(_xlpm.seq, _xlpm.inner_n) + 1)
))</definedName>
    <definedName name="die_pips" comment="Converts die-face pip characters (⚀-⚅) to their numbers. Handles a concatenated string of dice or an array with one die per cell (concatenate first for multiple dice per cell).">_xlfn.LAMBDA(_xlpm.st, _xlfn.LET(
   _xlpm.toVals, _xlfn.LAMBDA(_xlpm.txt, _xlfn.LET(
      _xlpm.seq, _xlfn.SEQUENCE(LEN(_xlpm.txt)),
      _xlpm.chars, MID(_xlpm.txt, _xlpm.seq, 1),
      _xlpm.codes, _xlfn.UNICODE(_xlpm.chars),
      _xlpm.isDie, (_xlpm.codes &gt;= 9856) * (_xlpm.codes &lt;= 9861),
      _xlpm.vals, _xlfn._xlws.FILTER(_xlpm.codes - 9855, _xlpm.isDie, ""),
      IF(ROWS(_xlpm.vals) * COLUMNS(_xlpm.vals) = 1, INDEX(_xlpm.vals, 1), _xlpm.vals)
   )),
   IF(
      ROWS(_xlpm.st) * COLUMNS(_xlpm.st) = 1,
      _xlpm.toVals(_xlpm.st),
      _xlfn.MAP(_xlpm.st, _xlfn.LAMBDA(_xlpm.cell, _xlpm.toVals(_xlpm.cell)))
   )
))</definedName>
    <definedName name="dist" comment="Distance from start_ad to end_ad (each numeric or A1). diag_allowed: 1 chessboard (default), 0 taxicab, -1 pythagorean. If print_components is 1 (not default) returns the component arrows and magnitudes instead.">_xlfn.LAMBDA(_xlpm.start_ad,_xlpm.end_ad,_xlop.diag_allowed,_xlop.print_components,
  _xlfn.LET(
    _xlpm.s, num_ad(_xlpm.start_ad),
    _xlpm.e, num_ad(_xlpm.end_ad),
    _xlpm.start_row, INT(_xlpm.s / 1000000),
    _xlpm.start_col, MOD(_xlpm.s, 1000000),
    _xlpm.end_row, INT(_xlpm.e / 1000000),
    _xlpm.end_col, MOD(_xlpm.e, 1000000),
    _xlpm.mode, IF(_xlfn.ISOMITTED(_xlpm.diag_allowed), 1, _xlpm.diag_allowed),
    _xlpm.show_components, IF(_xlfn.ISOMITTED(_xlpm.print_components), 0, _xlpm.print_components),
    _xlpm.row_diff, _xlpm.end_row - _xlpm.start_row,
    _xlpm.col_diff, _xlpm.end_col - _xlpm.start_col,
    _xlpm.abs_row, ABS(_xlpm.row_diff),
    _xlpm.abs_col, ABS(_xlpm.col_diff),
    _xlpm.quad, _xlfn.SWITCH(TRUE, AND(_xlpm.row_diff&lt;0,_xlpm.col_diff&lt;0),"↖", AND(_xlpm.row_diff&lt;0,_xlpm.col_diff&gt;0),"↗", AND(_xlpm.row_diff&gt;0,_xlpm.col_diff&lt;0),"↙", "↘"),
    _xlpm.v_arr, IF(_xlpm.row_diff&gt;0,"↓",IF(_xlpm.row_diff&lt;0,"↑","")),
    _xlpm.h_arr, IF(_xlpm.col_diff&gt;0,"→",IF(_xlpm.col_diff&lt;0,"←","")),
    IF(_xlpm.mode = -1,
      IF(_xlpm.show_components = 0, SQRT(_xlpm.row_diff^2 + _xlpm.col_diff^2),
        _xlfn.VSTACK(_xlpm.v_arr, _xlpm.abs_row, _xlpm.h_arr, _xlpm.abs_col, IF(OR(_xlpm.row_diff=0,_xlpm.col_diff=0),"",_xlpm.quad), SQRT(_xlpm.row_diff^2+_xlpm.col_diff^2))),
      IF(_xlpm.show_components = 0,
        IF(_xlpm.mode = 0, _xlpm.abs_row + _xlpm.abs_col, MAX(_xlpm.abs_row, _xlpm.abs_col)),
        IF(_xlpm.mode = 0,
          _xlfn.VSTACK(_xlpm.v_arr, _xlpm.abs_row, _xlpm.h_arr, _xlpm.abs_col),
          _xlfn.LET(_xlpm.dd, MIN(_xlpm.abs_row,_xlpm.abs_col), _xlpm.rr, _xlpm.abs_row-_xlpm.dd, _xlpm.cc, _xlpm.abs_col-_xlpm.dd,
            _xlfn.VSTACK(IF(_xlpm.dd&gt;0,_xlpm.quad,""), _xlpm.dd, IF(_xlpm.rr&gt;0,_xlpm.v_arr,""), _xlpm.rr, IF(_xlpm.cc&gt;0,_xlpm.h_arr,""), _xlpm.cc)))))
  )
)</definedName>
    <definedName name="exists" comment="Checks whether value is present anywhere in arr; returns 1 or 0.">_xlfn.LAMBDA(_xlpm.Arr,_xlpm.Val, IF(ISNUMBER(_xlfn.XMATCH(_xlpm.Val, _xlfn.TOCOL(_xlpm.Arr), 0)), 1, 0))</definedName>
    <definedName name="expand_rng" comment="Grow an address or range into a bigger rectangle and return it as a range string. Expands r_down rows down, c_right cols right, r_up rows up, c_left cols left (all 0 by default, non-negative integers). Clamps at row 1 / col 1. Output format mirrors the in">_xlfn.LAMBDA(_xlpm.ad_or_rng,_xlop.r_down,_xlop.c_right,_xlop.r_up,_xlop.c_left,
  _xlfn.LET(
    _xlpm.grow_down, IF(_xlfn.ISOMITTED(_xlpm.r_down), 0, _xlpm.r_down),
    _xlpm.grow_right, IF(_xlfn.ISOMITTED(_xlpm.c_right), 0, _xlpm.c_right),
    _xlpm.grow_up, IF(_xlfn.ISOMITTED(_xlpm.r_up), 0, _xlpm.r_up),
    _xlpm.grow_left, IF(_xlfn.ISOMITTED(_xlpm.c_left), 0, _xlpm.c_left),
    _xlpm.single, ROWS(_xlpm.ad_or_rng) * COLUMNS(_xlpm.ad_or_rng) = 1,
    _xlpm.ok_int, _xlfn.LAMBDA(_xlpm.x, IFERROR(AND(ISNUMBER(_xlpm.x), _xlpm.x = INT(_xlpm.x), _xlpm.x &gt;= 0), FALSE)),
    _xlpm.args_ok, AND(_xlpm.ok_int(_xlpm.grow_down), _xlpm.ok_int(_xlpm.grow_right), _xlpm.ok_int(_xlpm.grow_up), _xlpm.ok_int(_xlpm.grow_left)),
    _xlpm.box, IFERROR(z_ad_box(_xlpm.ad_or_rng), 0),
    IF(OR(NOT(_xlpm.single), NOT(_xlpm.args_ok), COUNT(_xlpm.box) &lt;&gt; 4), #VALUE!,
      _xlfn.LET(
        _xlpm.top, MAX(1, SUM(INDEX(_xlpm.box, 1)) - _xlpm.grow_up),
        _xlpm.lft, MAX(1, SUM(INDEX(_xlpm.box, 2)) - _xlpm.grow_left),
        _xlpm.bot, MIN(1048576, SUM(INDEX(_xlpm.box, 3)) + _xlpm.grow_down),
        _xlpm.rgt, MIN(16384, SUM(INDEX(_xlpm.box, 4)) + _xlpm.grow_right),
        _xlpm.num_fmt, OR(ISNUMBER(_xlpm.ad_or_rng), AND(ISTEXT(_xlpm.ad_or_rng), NOT(_xlfn.REGEXTEST(_xlpm.ad_or_rng, "[A-Za-z]")))),
        _xlpm.corner_tl, IF(_xlpm.num_fmt, 1000000 * _xlpm.top + _xlpm.lft, ADDRESS(_xlpm.top, _xlpm.lft, 4)),
        _xlpm.corner_br, IF(_xlpm.num_fmt, 1000000 * _xlpm.bot + _xlpm.rgt, ADDRESS(_xlpm.bot, _xlpm.rgt, 4)),
        _xlpm.corner_tl &amp; ":" &amp; _xlpm.corner_br))
  )
)</definedName>
    <definedName name="freq_table" comment="Turns an array into a frequency table sorted by frequency descending. min_freq filters out rows below that count. Ignores blanks and &quot;&quot;; errors if every row is filtered out.">_xlfn.LAMBDA(_xlpm.array,_xlop.min_freq, _xlfn.LET(
   _xlpm.mf, IF(_xlfn.ISOMITTED(_xlpm.min_freq), 1, _xlpm.min_freq),
   _xlpm.vec0, _xlfn.TOCOL(_xlpm.array, 1),
   _xlpm.vec, IFERROR(_xlfn._xlws.FILTER(_xlpm.vec0, _xlpm.vec0 &lt;&gt; ""), NA()),
   _xlpm.u, IFERROR(_xlfn.UNIQUE(_xlpm.vec), NA()),
   _xlpm.cnt, IFERROR(_xlfn.MAP(_xlpm.u, _xlfn.LAMBDA(_xlpm.x, SUM(--(_xlpm.vec = _xlpm.x)))), NA()),
   _xlpm.tab, IFERROR(_xlfn._xlws.FILTER(_xlfn.HSTACK(_xlpm.u, _xlpm.cnt), _xlpm.cnt &gt;= _xlpm.mf), NA()),
   IFERROR(_xlfn._xlws.SORT(_xlpm.tab, {2,1}, {-1,1}), NA())
))</definedName>
    <definedName name="ftd_maze_cost" comment="Directed maze costs. ftd_lambda(from,to,dir) returns a nonnegative edge cost or NA()/text for an illegal move. Returns least cost to every cell; start is 0.">_xlfn.LAMBDA(_xlpm.board,_xlpm.start_ref,_xlpm.ftd_lambda,_xlop.max_steps,
  _xlfn.LET(
    _xlpm.row_count, ROWS(_xlpm.board),
    _xlpm.col_count, COLUMNS(_xlpm.board),
    _xlpm.infinity, 1E+99,
    _xlpm.dir_list, {"↑";"↓";"←";"→";"↖";"↗";"↙";"↘"},
    _xlpm.row_delta, {-1;1;0;0;-1;-1;1;1},
    _xlpm.col_delta, {0;0;-1;1;-1;1;-1;1},
    _xlpm.step_count, MAX(1, INT(IF(_xlfn.ISOMITTED(_xlpm.max_steps), MAX(_xlpm.row_count, _xlpm.col_count) - 1, _xlpm.max_steps))),
    _xlpm.start_coords, IF(
      ROWS(_xlpm.start_ref) * COLUMNS(_xlpm.start_ref) = 1,
      _xlfn.LET(
        _xlpm.start_num, num_ad(_xlpm.start_ref),
        _xlfn.HSTACK(
          INT(_xlpm.start_num / 1000000) - MIN(ROW(_xlpm.board)) + 1,
          MOD(_xlpm.start_num, 1000000) - MIN(COLUMN(_xlpm.board)) + 1
        )
      ),
      _xlpm.start_ref
    ),
    _xlpm.start_row, INDEX(_xlpm.start_coords, 1),
    _xlpm.start_col, INDEX(_xlpm.start_coords, 2),
    _xlpm.initial_costs, _xlfn.MAKEARRAY(
      _xlpm.row_count,
      _xlpm.col_count,
      _xlfn.LAMBDA(_xlpm.row_ix,_xlpm.col_ix, IF(AND(_xlpm.row_ix = _xlpm.start_row, _xlpm.col_ix = _xlpm.start_col), 0, _xlpm.infinity))
    ),
    _xlpm.cell_keys, _xlfn.MAKEARRAY(_xlpm.row_count, _xlpm.col_count, _xlfn.LAMBDA(_xlpm.row_ix,_xlpm.col_ix, _xlpm.row_ix &amp; "|" &amp; _xlpm.col_ix)),
    IF(
      OR(_xlpm.start_row &lt; 1, _xlpm.start_row &gt; _xlpm.row_count, _xlpm.start_col &lt; 1, _xlpm.start_col &gt; _xlpm.col_count),
      "X",
      _xlfn.LET(
        _xlpm.result, z_ftd_maze_cost_worker(
          z_ftd_maze_cost_worker,
          _xlpm.initial_costs,
          _xlfn.HSTACK(_xlpm.start_row, _xlpm.start_col, 0),
          _xlpm.board,
          _xlpm.ftd_lambda,
          _xlpm.dir_list,
          _xlpm.row_delta,
          _xlpm.col_delta,
          _xlpm.cell_keys,
          _xlpm.infinity,
          _xlpm.step_count
        ),
        IF(_xlpm.result = "MORE STEPS", _xlpm.result, IF(_xlpm.result &gt;= _xlpm.infinity / 2, "", _xlpm.result))
      )
    )
  )
)</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is_unique" comment="Checks whether all values in the array are unique; returns TRUE/FALSE. Case-insensitive, so {&quot;A&quot;,&quot;a&quot;} is not unique. Combine with str_to_arr to test character by character.">_xlfn.LAMBDA(_xlpm.Arr, _xlfn.LET(
   _xlpm.flatArr, _xlfn.TOCOL(_xlpm.Arr, 1, 4),
   _xlpm.filtArr, _xlfn._xlws.FILTER(_xlpm.flatArr, _xlpm.flatArr &lt;&gt; ""),
   _xlpm.rowCount, ROWS(_xlpm.filtArr),
   _xlpm.matchMatrix, --(_xlpm.filtArr = TRANSPOSE(_xlpm.filtArr)),
   _xlpm.freq, MMULT(_xlpm.matchMatrix, _xlfn.SEQUENCE(_xlpm.rowCount, 1, 1, 0)),
   IF(MAX(_xlpm.freq) &gt; 1, 0, 1)
))</definedName>
    <definedName name="knight_moves" comment="Minimum number of chess knight moves between two cells on an unbounded board. start_ad and end_ad each accept a numeric address (1e6*row+col) or an A1 string.">_xlfn.LAMBDA(_xlpm.start_ad,_xlpm.end_ad, _xlfn.LET(
   _xlpm.a, num_ad(_xlpm.start_ad),
   _xlpm.b, num_ad(_xlpm.end_ad),
   _xlpm.row_1, INT(_xlpm.a / 1000000),
   _xlpm.col_1, MOD(_xlpm.a, 1000000),
   _xlpm.row_2, INT(_xlpm.b / 1000000),
   _xlpm.col_2, MOD(_xlpm.b, 1000000),
   _xlpm.adx, ABS(_xlpm.col_1 - _xlpm.col_2),
   _xlpm.ady, ABS(_xlpm.row_1 - _xlpm.row_2),
   _xlpm.dx, MAX(_xlpm.adx, _xlpm.ady),
   _xlpm.dy, MIN(_xlpm.adx, _xlpm.ady),
   _xlpm.base_est, MAX(QUOTIENT(_xlpm.dx + 1, 2), QUOTIENT(_xlpm.dx + _xlpm.dy + 2, 3)),
   _xlpm.raw, IF(MOD(_xlpm.base_est + _xlpm.dx + _xlpm.dy, 2) = 1, _xlpm.base_est + 1, _xlpm.base_est),
   IF(_xlpm.dx = 0, 0, IF(AND(_xlpm.dx = 1, _xlpm.dy = 0), 3, IF(AND(_xlpm.dx = 2, _xlpm.dy = 2), 4, _xlpm.raw)))
))</definedName>
    <definedName name="label_lookup" comment="Two-way lookup in a labelled 2D array: finds row_label in the first column and column_label in the first row and returns the value at their intersection.">_xlfn.LAMBDA(_xlpm.arr,_xlpm.row_label,_xlpm.column_label,
   _xlfn.IFNA(
      INDEX(
         _xlpm.arr,
         _xlfn.XMATCH(_xlpm.row_label, INDEX(_xlpm.arr, , 1), 0),
         _xlfn.XMATCH(_xlpm.column_label, INDEX(_xlpm.arr, 1, ), 0)
      ),
      ""
   )
)</definedName>
    <definedName name="load_array" comment="Rebuilds an array from a delimited string (inverse of save_array). Defaults match save_array: &quot;|&quot; separates columns and &quot;;&quot; separates rows.">_xlfn.LAMBDA(_xlpm.input_string,_xlop.col_delimiter,_xlop.row_delimiter,
   IF(
      _xlpm.input_string = "",
      "",
      _xlfn.LET(
         _xlpm.cd, IF(_xlfn.ISOMITTED(_xlpm.col_delimiter), "|", _xlpm.col_delimiter),
         _xlpm.rd, IF(_xlfn.ISOMITTED(_xlpm.row_delimiter), ";", _xlpm.row_delimiter),
         _xlfn.LET(
            _xlpm.arr, _xlfn.TEXTSPLIT(_xlpm.input_string, _xlpm.cd, _xlpm.rd, FALSE),
            _xlfn.MAP(_xlpm.arr, _xlfn.LAMBDA(_xlpm.val, IF(_xlpm.val = "", "", IFERROR(--_xlpm.val, _xlpm.val))))
         )
      )
   )
)</definedName>
    <definedName name="make_change" comment="Greedy change: takes as many of the largest denomination as fit without exceeding price, then the next largest, and so on. coins is a vertical array of denominations; returns a matching array of counts. Prefers higher denominations even when a lower-denom">_xlfn.LAMBDA(_xlpm.coins,_xlpm.price, _xlfn.LET(
   _xlpm.cvec, _xlfn.TOCOL(_xlpm.coins),
   _xlpm.ncoins, ROWS(_xlpm.cvec),
   _xlpm.scale, 1000000,
   _xlpm.cnum, IFERROR(_xlpm.cvec * 1, 0),
   _xlpm.pnum, IFERROR(_xlpm.price * 1, 0),
   _xlpm.ds, IF(_xlpm.cnum &gt; 0, ROUND(_xlpm.cnum * _xlpm.scale, 0), 0),
   _xlpm.ps, MAX(ROUND(_xlpm.pnum * _xlpm.scale, 0), 0),
   _xlpm.idx, _xlfn.SEQUENCE(_xlpm.ncoins),
   _xlpm.ord, _xlfn.SORTBY(_xlpm.idx, _xlpm.ds, -1),
   _xlpm.sorted_ds, _xlfn.SORTBY(_xlpm.ds, _xlpm.ds, -1),
   _xlpm.rem_after, _xlfn.SCAN(_xlpm.ps, _xlpm.sorted_ds, _xlfn.LAMBDA(_xlpm.rem,_xlpm.coin, IF(_xlpm.coin &lt; 1, _xlpm.rem, MOD(_xlpm.rem, _xlpm.coin)))),
   _xlpm.rem_before, _xlfn.TAKE(_xlfn.VSTACK(_xlpm.ps, _xlpm.rem_after), _xlpm.ncoins),
   _xlpm.count_sorted, IF(_xlpm.sorted_ds &lt; 1, 0, INT(_xlpm.rem_before / _xlpm.sorted_ds)),
   _xlpm.count_orig, _xlfn.SORTBY(_xlpm.count_sorted, _xlpm.ord),
   IF(ROWS(_xlpm.coins) &gt;= COLUMNS(_xlpm.coins), _xlpm.count_orig, TRANSPOSE(_xlpm.count_orig))
))</definedName>
    <definedName name="neighbors_count" comment="Returns an array the same size as arr where each value is the count of val within dist cells. diag_allowed and self_count are both 1 (on) by default.">_xlfn.LAMBDA(_xlpm.arr,_xlpm.val,_xlpm.dist,_xlop.diag_allowed,_xlop.self_count, _xlfn.LET(
   _xlpm.r, ROWS(_xlpm.arr),
   _xlpm.c, COLUMNS(_xlpm.arr),
   _xlpm.d, _xlpm.dist,
   _xlpm.diag, IF(_xlfn.ISOMITTED(_xlpm.diag_allowed), TRUE, _xlpm.diag_allowed),
   _xlpm.self, IF(_xlfn.ISOMITTED(_xlpm.self_count), TRUE, _xlpm.self_count),
   _xlpm.sz, 2 * _xlpm.d + 1,
   _xlpm.ro, _xlfn.MAKEARRAY(_xlpm.sz, _xlpm.sz, _xlfn.LAMBDA(_xlpm.a,_xlpm.b, _xlpm.a - (_xlpm.d + 1))),
   _xlpm.co, _xlfn.MAKEARRAY(_xlpm.sz, _xlpm.sz, _xlfn.LAMBDA(_xlpm.a,_xlpm.b, _xlpm.b - (_xlpm.d + 1))),
   _xlfn.MAKEARRAY(
      _xlpm.r,
      _xlpm.c,
      _xlfn.LAMBDA(_xlpm.i,_xlpm.j, _xlfn.LET(
         _xlpm.ri, _xlpm.i + _xlpm.ro,
         _xlpm.cj, _xlpm.j + _xlpm.co,
         _xlpm.in_bounds, (_xlpm.ri &gt;= 1) * (_xlpm.ri &lt;= _xlpm.r) * (_xlpm.cj &gt;= 1) * (_xlpm.cj &lt;= _xlpm.c),
         _xlpm.diag_mask, IF(_xlpm.diag, 1, (ABS(_xlpm.ro) + ABS(_xlpm.co) &lt;= _xlpm.d)),
         _xlpm.self_mask, IF(_xlpm.self, 1, 1 - ((_xlpm.ro = 0) * (_xlpm.co = 0))),
         _xlpm.vals, INDEX(_xlpm.arr, _xlpm.ri, _xlpm.cj),
         _xlpm.hits, IFERROR(--(_xlpm.vals = _xlpm.val), 0),
         SUM(_xlpm.hits * _xlpm.in_bounds * _xlpm.diag_mask * _xlpm.self_mask)
      ))
   )
))</definedName>
    <definedName name="neighbors_list" comment="Lists the A1 addresses around a center cell within size (default 1), bounded by boundary_rng (default whole sheet). center_ad accepts a numeric address or an A1 string. diag_allowed 1 = chessboard (default), 0 = Manhattan.">_xlfn.LAMBDA(_xlpm.center_ad,_xlop.size,_xlop.boundary_rng,_xlop.diag_allowed, _xlfn.LET(
   _xlpm.s, IF(_xlfn.ISOMITTED(_xlpm.size), 1, _xlpm.size),
   _xlpm.d, IF(_xlfn.ISOMITTED(_xlpm.diag_allowed), 1, _xlpm.diag_allowed),
   _xlpm.cen_num, num_ad(_xlpm.center_ad),
   _xlpm.cen_row, IFERROR(INT(_xlpm.cen_num / 1000000), NA()),
   _xlpm.cen_col, IFERROR(MOD(_xlpm.cen_num, 1000000), NA()),
   _xlpm.rmin, IF(_xlfn.ISOMITTED(_xlpm.boundary_rng), 1, MIN(ROW(_xlpm.boundary_rng))),
   _xlpm.rmax, IF(_xlfn.ISOMITTED(_xlpm.boundary_rng), 1048576, MAX(ROW(_xlpm.boundary_rng))),
   _xlpm.cmin, IF(_xlfn.ISOMITTED(_xlpm.boundary_rng), 1, MIN(COLUMN(_xlpm.boundary_rng))),
   _xlpm.cmax, IF(_xlfn.ISOMITTED(_xlpm.boundary_rng), 16384, MAX(COLUMN(_xlpm.boundary_rng))),
   _xlpm.ok, ISNUMBER(_xlpm.cen_row) * ISNUMBER(_xlpm.cen_col),
   IF(
      NOT(_xlpm.ok),
      NA(),
      _xlfn.LET(
         _xlpm.w, 2 * _xlpm.s + 1,
         _xlpm.ro, _xlfn.MAKEARRAY(_xlpm.w, _xlpm.w, _xlfn.LAMBDA(_xlpm.i,_xlpm.j, _xlpm.i - _xlpm.s - 1)),
         _xlpm.co, _xlfn.MAKEARRAY(_xlpm.w, _xlpm.w, _xlfn.LAMBDA(_xlpm.i,_xlpm.j, _xlpm.j - _xlpm.s - 1)),
         _xlpm.ri, _xlpm.cen_row + _xlpm.ro,
         _xlpm.ci, _xlpm.cen_col + _xlpm.co,
         _xlpm.m, (_xlpm.ri &gt;= _xlpm.rmin) * (_xlpm.ri &lt;= _xlpm.rmax) * (_xlpm.ci &gt;= _xlpm.cmin) * (_xlpm.ci &lt;= _xlpm.cmax)
            * ((_xlpm.ro &lt;&gt; 0) + (_xlpm.co &lt;&gt; 0))
            * IF(_xlpm.d, 1, ABS(_xlpm.ro) + ABS(_xlpm.co) &lt;= _xlpm.s),
         _xlpm.dist, IF(_xlpm.d, MAX(ABS(_xlpm.ro), ABS(_xlpm.co)), ABS(_xlpm.ro) + ABS(_xlpm.co)),
         _xlpm.ad, _xlfn.TOCOL(IF(_xlpm.m, ADDRESS(_xlpm.ri, _xlpm.ci, 4), "")),
         _xlpm.di, _xlfn.TOCOL(IF(_xlpm.m, _xlpm.dist, "")),
         _xlpm.k, _xlpm.ad &lt;&gt; "",
         _xlpm.lst, _xlfn._xlws.FILTER(_xlpm.ad, _xlpm.k),
         _xlpm.ord, _xlfn._xlws.FILTER(_xlpm.di, _xlpm.k),
         IF(ROWS(_xlpm.lst) = 0, NA(), _xlfn.SORTBY(_xlpm.lst, _xlpm.ord, 1))
      )
   )
))</definedName>
    <definedName name="num_ad" comment="Convert any address or range to a numeric address (1e6*row+col) or an array of them. A string address becomes its number; a standard direction arrow becomes its numeric delta (→ 1, ↑ -1000000, ...); a range (A1 or numeric) expands to an array of numeric a">_xlfn.LAMBDA(_xlpm.ad_or_rng,
  _xlfn.LET(
    _xlpm.to_num_1, _xlfn.LAMBDA(_xlpm.one, IF(_xlpm.one = "", "", _xlfn.LET(_xlpm.av, z_arrow_to_num(_xlpm.one), IF(ISNUMBER(_xlpm.av), _xlpm.av, IFERROR(z_a1n(_xlpm.one), _xlpm.one))))),
    IF(ROWS(_xlpm.ad_or_rng) * COLUMNS(_xlpm.ad_or_rng) &gt; 1,
      _xlfn.MAP(_xlpm.ad_or_rng, _xlpm.to_num_1),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1000000 * (_xlpm.top + _xlpm.dr - 1) + (_xlpm.lft + _xlpm.dc - 1)))),
          _xlpm.to_num_1(_xlpm.ad_or_rng))))
  )
)</definedName>
    <definedName name="offset_letter" comment="Shifts each letter in a string by an integer offset with wraparound (e.g. &quot;xyz&quot; +2 = &quot;zab&quot;). Preserves case and non-letter characters; works on arrays.">_xlfn.LAMBDA(_xlpm.st,_xlpm.offset, _xlfn.LET(
   _xlpm.r, ROWS(_xlpm.st),
   _xlpm.c, COLUMNS(_xlpm.st),
   _xlpm.f, _xlfn.LAMBDA(_xlpm.s,_xlpm.o, _xlfn.LET(
      _xlpm.s_text, _xlpm.s &amp; "",
      _xlpm.n, LEN(_xlpm.s_text),
      _xlpm.chars, IF(_xlpm.n = 0, "", MID(_xlpm.s_text, _xlfn.SEQUENCE(_xlpm.n), 1)),
      _xlpm.shifted, IF(
         _xlpm.n = 0,
         "",
         _xlfn.MAP(
            _xlpm.chars,
            _xlfn.LAMBDA(_xlpm.ch, _xlfn.LET(
               _xlpm.code, CODE(_xlpm.ch),
               _xlpm.is_u, (_xlpm.code &gt;= 65) * (_xlpm.code &lt;= 90),
               _xlpm.is_l, (_xlpm.code &gt;= 97) * (_xlpm.code &lt;= 122),
               _xlpm.new_u, CHAR(65 + MOD(_xlpm.code - 65 + _xlpm.o, 26)),
               _xlpm.new_l, CHAR(97 + MOD(_xlpm.code - 97 + _xlpm.o, 26)),
               IF(_xlpm.is_u, _xlpm.new_u, IF(_xlpm.is_l, _xlpm.new_l, _xlpm.ch))
            ))
         )
      ),
      IF(_xlpm.n = 0, "", _xlfn.TEXTJOIN("", TRUE, _xlpm.shifted))
   )),
   _xlfn.MAKEARRAY(
      _xlpm.r,
      _xlpm.c,
      _xlfn.LAMBDA(_xlpm.i,_xlpm.j,
         _xlpm.f(
            INDEX(_xlpm.st, _xlpm.i, _xlpm.j),
            IF(ROWS(_xlpm.offset) * COLUMNS(_xlpm.offset) = 1, _xlpm.offset, INDEX(_xlpm.offset, _xlpm.i, _xlpm.j))
         )
      )
   )
))</definedName>
    <definedName name="only_letters" comment="Keeps only the letters in a string (or array), dropping all other characters.">_xlfn.LAMBDA(_xlpm.arr, _xlfn.LET(
   _xlpm.f, _xlfn.LAMBDA(_xlpm.x, IFERROR(_xlfn.CONCAT(_xlfn.REGEXEXTRACT(_xlpm.x, "[a-z]", 1, 1)), "")),
   IF(ROWS(_xlpm.arr) * COLUMNS(_xlpm.arr) = 1, _xlpm.f(_xlpm.arr), _xlfn.MAP(_xlpm.arr, _xlpm.f))
))</definedName>
    <definedName name="only_numbers" comment="Pulls numbers out of a string via regex &quot;-?\d+(?:\.\d+)?&quot;. Can return several numbers from one string, so it does not map over arrays (use MAP when it is 1-to-1).">_xlfn.LAMBDA(_xlpm.txt, _xlfn.LET(
   _xlpm.matches, IFERROR(--_xlfn.REGEXEXTRACT(_xlpm.txt, "-?\d+(?:\.\d+)?", 1), ""),
   IF(ROWS(_xlpm.matches) * COLUMNS(_xlpm.matches) = 1, INDEX(_xlpm.matches, 1), _xlpm.matches)
))</definedName>
    <definedName name="rc_to_ad" comment="Build an address from a row and column number. Returns the numeric address (1e6*row+col) by default, or an A1 string (&quot;D3&quot;) when str = 1. Out-of-range or non-integer inputs return #VALUE!.">_xlfn.LAMBDA(_xlpm.row_n,_xlpm.col_n,_xlop.str,
  _xlfn.LET(
    _xlpm.want_str, IF(_xlfn.ISOMITTED(_xlpm.str), 0, _xlpm.str),
    _xlpm.ok, IFERROR(AND(ISNUMBER(_xlpm.row_n), ISNUMBER(_xlpm.col_n),
                    _xlpm.row_n = INT(_xlpm.row_n), _xlpm.col_n = INT(_xlpm.col_n),
                    _xlpm.row_n &gt;= 1, _xlpm.row_n &lt;= 1048576,
                    _xlpm.col_n &gt;= 1, _xlpm.col_n &lt;= 16384), FALSE),
    IF(NOT(_xlpm.ok), #VALUE!,
       IF(_xlpm.want_str,
          str_ad(1000000 * _xlpm.row_n + _xlpm.col_n),
          1000000 * _xlpm.row_n + _xlpm.col_n))
  )
)</definedName>
    <definedName name="repo_path">"C:\MEWC Dev Cowork\mewc-lambdas"</definedName>
    <definedName name="rev" comment="Cleans and reverses an array (same as xtocol(arr, 0, , &quot;←↑&quot;)).">_xlfn.LAMBDA(_xlpm.arr, xtocol(_xlpm.arr, 0, , arrow("L") &amp; arrow("U")))</definedName>
    <definedName name="rotate_arrow" comment="Rotates an arrow by 45 degrees times steps. arrow may be a standard arrow, its numeric equivalent, or a letter code (U D L R UL UR DL DR). clockwise = 1 (default) rotates clockwise, 0 counter-clockwise. as_num = 0 (default) returns an arrow, 1 returns the">_xlfn.LAMBDA(_xlpm.arrow,_xlpm.steps,_xlop.clockwise,_xlop.as_num, _xlfn.LET(
   _xlpm.arrows, "↑↗→↘↓↙←↖",
   _xlpm.arrow_list, MID(_xlpm.arrows, _xlfn.SEQUENCE(8), 1),
   _xlpm.idx, _xlfn.XMATCH(z_dir_to_arrow(_xlpm.arrow), _xlpm.arrow_list),
   _xlpm.turn, IF(_xlfn.ISOMITTED(_xlpm.clockwise), _xlpm.steps, IF(OR(_xlpm.clockwise = 0, _xlpm.clockwise = "ccw"), -_xlpm.steps, _xlpm.steps)),
   _xlpm.pos, MOD(_xlpm.idx - 1 + _xlpm.turn, 8) + 1,
   _xlpm.out, _xlfn.IFNA(MID(_xlpm.arrows, _xlpm.pos, 1), ""),
   IF(IF(_xlfn.ISOMITTED(_xlpm.as_num), 0, _xlpm.as_num) = 1, z_arrow_to_num(_xlpm.out), _xlpm.out)
))</definedName>
    <definedName name="route_cost" comment="Dijkstra over cost_map (numbers = cost, text = walls): least cost to reach each cell from start_ref. start_ref may be A1 text, a numeric address, or {row,col} coords. Diagonals on by default; end cell counts, start ignored.">_xlfn.LAMBDA(_xlpm.cost_map,_xlpm.start_ref,_xlop.diag_allowed, _xlfn.LET(
   _xlpm._nr, ROWS(_xlpm.cost_map),
   _xlpm._nc, COLUMNS(_xlpm.cost_map),
   _xlpm._c, IF(
      ROWS(_xlpm.start_ref) * COLUMNS(_xlpm.start_ref) = 1,
      _xlfn.LET(
         _xlpm._n, num_ad(_xlpm.start_ref),
         _xlfn.HSTACK(
            INT(_xlpm._n / 1000000) - MIN(ROW(_xlpm.cost_map)) + 1,
            MOD(_xlpm._n, 1000000) - MIN(COLUMN(_xlpm.cost_map)) + 1
         )
      ),
      _xlpm.start_ref
   ),
   _xlpm._rr, INDEX(_xlpm._c, 1),
   _xlpm._rc, INDEX(_xlpm._c, 2),
   IF(
      OR(_xlpm._rr &lt; 1, _xlpm._rr &gt; _xlpm._nr, _xlpm._rc &lt; 1, _xlpm._rc &gt; _xlpm._nc),
      "X",
      _xlfn.LET(
         _xlpm._dg, IF(_xlfn.ISOMITTED(_xlpm.diag_allowed), 1, _xlpm.diag_allowed),
         _xlpm._rd, IF(_xlpm._dg, {-1,1,0,0,-1,-1,1,1}, {-1,1,0,0}),
         _xlpm._cd, IF(_xlpm._dg, {0,0,-1,1,-1,1,-1,1}, {0,0,-1,1}),
         _xlpm._sq, (INT(_xlfn.SEQUENCE(_xlpm._nr, _xlpm._nc, 0, 1) / _xlpm._nc) + 1) &amp; "|"
            &amp; (MOD(_xlfn.SEQUENCE(_xlpm._nr, _xlpm._nc, 0, 1), _xlpm._nc) + 1),
         _xlpm._im, IF(
            (INT(_xlfn.SEQUENCE(_xlpm._nr, _xlpm._nc, 0, 1) / _xlpm._nc) + 1) = _xlpm._rr,
            IF((MOD(_xlfn.SEQUENCE(_xlpm._nr, _xlpm._nc, 0, 1), _xlpm._nc) + 1) = _xlpm._rc, 0, "X"),
            "X"
         ),
         z_route_worker(z_route_worker, _xlpm._im, _xlfn.HSTACK(_xlpm._rr, _xlpm._rc, 0), _xlpm.cost_map, _xlpm._nr, _xlpm._nc, _xlpm._rd, _xlpm._cd, _xlpm._sq)
      )
   )
))</definedName>
    <definedName name="save_array" comment="Flattens an array into a delimited text string (inverse of load_array). Defaults match load_array: &quot;|&quot; between columns and &quot;;&quot; between rows.">_xlfn.LAMBDA(_xlpm.input_array,_xlop.col_delimiter,_xlop.row_delimiter, _xlfn.LET(
   _xlpm.cd, IF(_xlfn.ISOMITTED(_xlpm.col_delimiter), "|", _xlpm.col_delimiter),
   _xlpm.rd, IF(_xlfn.ISOMITTED(_xlpm.row_delimiter), ";", _xlpm.row_delimiter),
   _xlfn.TEXTJOIN(
      _xlpm.rd,
      FALSE,
      _xlfn.BYROW(_xlpm.input_array, _xlfn.LAMBDA(_xlpm.row, _xlfn.TEXTJOIN(_xlpm.cd, FALSE, _xlpm.row)))
   )
))</definedName>
    <definedName name="scan2" comment="Like SCAN but carries TWO accumulators. For each item of arr it updates a and b together; lambda_a and lambda_b each receive (a, b, item) and return the next a and next b. Returns a 2-column array of the running (a, b) after each item.">_xlfn.LAMBDA(_xlpm.start_a,_xlpm.start_b,_xlpm.arr,_xlpm.lambda_a,_xlpm.lambda_b, _xlfn.LET(
   _xlpm.vec, _xlfn.TOCOL(_xlpm.arr),
   _xlpm.seeded, _xlfn.REDUCE(_xlfn.HSTACK(_xlpm.start_a, _xlpm.start_b), _xlpm.vec, _xlfn.LAMBDA(_xlpm.acc,_xlpm.item, _xlfn.LET(
      _xlpm.cur_a, INDEX(_xlpm.acc, ROWS(_xlpm.acc), 1),
      _xlpm.cur_b, INDEX(_xlpm.acc, ROWS(_xlpm.acc), 2),
      _xlfn.VSTACK(_xlpm.acc, _xlfn.HSTACK(_xlpm.lambda_a(_xlpm.cur_a, _xlpm.cur_b, _xlpm.item), _xlpm.lambda_b(_xlpm.cur_a, _xlpm.cur_b, _xlpm.item)))
   ))),
   _xlfn.DROP(_xlpm.seeded, 1)
))</definedName>
    <definedName name="scan3" comment="Like SCAN but carries THREE accumulators. For each item of arr it updates a, b and c together; lambda_a/lambda_b/lambda_c each receive (a, b, c, item) and return the next value of that accumulator. Returns a 3-column array of the running (a, b, c) after e">_xlfn.LAMBDA(_xlpm.start_a,_xlpm.start_b,_xlpm.start_c,_xlpm.arr,_xlpm.lambda_a,_xlpm.lambda_b,_xlpm.lambda_c, _xlfn.LET(
   _xlpm.vec, _xlfn.TOCOL(_xlpm.arr),
   _xlpm.seeded, _xlfn.REDUCE(_xlfn.HSTACK(_xlpm.start_a, _xlpm.start_b, _xlpm.start_c), _xlpm.vec, _xlfn.LAMBDA(_xlpm.acc,_xlpm.item, _xlfn.LET(
      _xlpm.cur_a, INDEX(_xlpm.acc, ROWS(_xlpm.acc), 1),
      _xlpm.cur_b, INDEX(_xlpm.acc, ROWS(_xlpm.acc), 2),
      _xlpm.cur_c, INDEX(_xlpm.acc, ROWS(_xlpm.acc), 3),
      _xlfn.VSTACK(_xlpm.acc, _xlfn.HSTACK(
         _xlpm.lambda_a(_xlpm.cur_a, _xlpm.cur_b, _xlpm.cur_c, _xlpm.item),
         _xlpm.lambda_b(_xlpm.cur_a, _xlpm.cur_b, _xlpm.cur_c, _xlpm.item),
         _xlpm.lambda_c(_xlpm.cur_a, _xlpm.cur_b, _xlpm.cur_c, _xlpm.item)
      ))
   ))),
   _xlfn.DROP(_xlpm.seeded, 1)
))</definedName>
    <definedName name="selections" comment="Permutations (order_matters=1) or combinations (=0) of size n from arr. countdown_mode stacks sizes n..1. clean_input (default 1) de-dupes/drops blanks; other flags default 0.">_xlfn.LAMBDA(_xlpm.arr,_xlpm.n,_xlop.order_matters,_xlop.repeats_allowed,_xlop.countdown_n,_xlop.clean_input,
 IF(
  _xlpm.n &lt; 1,
  NA(),
  _xlfn.LET(
   _xlpm.ci_, IF(_xlfn.ISOMITTED(_xlpm.clean_input), 1, _xlpm.clean_input),
   _xlpm.flat_, IF(
    _xlpm.ci_ = 1,
    _xlfn.LET(_xlpm.r_, _xlfn.TOCOL(_xlpm.arr, 3), _xlfn.UNIQUE(_xlfn._xlws.FILTER(_xlpm.r_, _xlpm.r_ &lt;&gt; ""))),
    _xlfn.TOCOL(_xlpm.arr)
   ),
   _xlpm.m_, ROWS(_xlpm.flat_),
   _xlpm.om_, IF(_xlfn.ISOMITTED(_xlpm.order_matters), 0, _xlpm.order_matters),
   _xlpm.rep_, IF(_xlfn.ISOMITTED(_xlpm.repeats_allowed), 0, _xlpm.repeats_allowed),
   _xlpm.cd_, IF(_xlfn.ISOMITTED(_xlpm.countdown_n), 0, _xlpm.countdown_n),
   _xlpm.chars_, _xlfn.UNICHAR(_xlfn.SEQUENCE(, _xlpm.m_, 20001)),
   _xlpm.one_k_, _xlfn.LAMBDA(_xlpm.k_,
    IF(
     _xlpm.k_ &lt; 1,
     NA(),
     _xlfn.LET(
      _xlpm.seq_, _xlfn.SEQUENCE(, _xlpm.k_),
      _xlpm.built_, _xlfn.REDUCE(
       "",
       _xlpm.seq_,
       _xlfn.LAMBDA(_xlpm.acc_,_xlpm.step_,
        _xlfn.TOCOL(
         _xlfn.IFS(
          IF(
           _xlpm.om_ = 1,
           IF(_xlpm.rep_ = 1, 1, ISERR(FIND(_xlpm.chars_, _xlpm.acc_))),
           IF(
            _xlpm.rep_ = 1,
            RIGHT(_xlpm.acc_) &lt;= _xlpm.chars_,
            RIGHT(_xlpm.acc_) &lt; _xlpm.chars_
           )
          ),
          _xlpm.acc_ &amp; _xlpm.chars_
         ),
         3
        )
       )
      ),
      IFERROR(
       _xlfn.MAP(_xlfn.UNICODE(MID(_xlpm.built_, _xlpm.seq_, 1)) - 20000, _xlfn.LAMBDA(_xlpm.pos_, INDEX(_xlpm.flat_, _xlpm.pos_))),
       NA()
      )
     )
    )
   ),
   _xlpm.pad_, _xlfn.LAMBDA(_xlpm.x_, _xlfn.EXPAND(_xlpm.x_, ROWS(_xlpm.x_), _xlpm.n, "")),
   IF(
    _xlpm.cd_ = 0,
    _xlpm.pad_(_xlpm.one_k_(_xlpm.n)),
    _xlfn.LET(
     _xlpm.max_k_, IF(_xlpm.rep_ = 1, _xlpm.n, MIN(_xlpm.n, _xlpm.m_)),
     _xlpm.seed_, _xlpm.pad_(_xlpm.one_k_(_xlpm.max_k_)),
     IF(
      _xlpm.max_k_ = 1,
      _xlpm.seed_,
      _xlfn.REDUCE(
       _xlpm.seed_,
       _xlfn.SEQUENCE(_xlpm.max_k_ - 1, 1, _xlpm.max_k_ - 1, -1),
       _xlfn.LAMBDA(_xlpm.acc_,_xlpm.k_, _xlfn.VSTACK(_xlpm.acc_, _xlpm.pad_(_xlpm.one_k_(_xlpm.k_))))
      )
     )
    )
   )
  )
 )
)</definedName>
    <definedName name="set" comment="Turns a range into a set: flattens, removes blanks and errors, uniques, and sorts. Returns a column by default, or a row if as_row = 1.">_xlfn.LAMBDA(_xlpm.data_rng,_xlop.as_row,
   IFERROR(
      _xlfn.LET(
         _xlpm._flat, _xlfn.TOCOL(_xlpm.data_rng, 3),
         _xlpm._clean, _xlfn._xlws.FILTER(_xlpm._flat, _xlpm._flat &lt;&gt; ""),
         _xlpm._res, _xlfn._xlws.SORT(_xlfn.UNIQUE(_xlpm._clean)),
         IF(IF(_xlfn.ISOMITTED(_xlpm.as_row), 0, _xlpm.as_row), _xlfn.TOROW(_xlpm._res), _xlpm._res)
      ),
      ""
   )
)</definedName>
    <definedName name="set_d" comment="Set difference: the values in set a that are not in set b.">_xlfn.LAMBDA(_xlpm.val_a,_xlpm.val_b,_xlop.as_row,
   IFERROR(
      _xlfn.LET(
         _xlpm.list_a, set(_xlpm.val_a),
         _xlpm.list_b, set(_xlpm.val_b),
         _xlpm.res, _xlfn._xlws.FILTER(_xlpm.list_a, ISNA(_xlfn.XMATCH(_xlpm.list_a, _xlpm.list_b))),
         IF(IF(_xlfn.ISOMITTED(_xlpm.as_row), 0, _xlpm.as_row), _xlfn.TOROW(_xlpm.res), _xlpm.res)
      ),
      ""
   )
)</definedName>
    <definedName name="set_i" comment="Set intersection: the values present in both set a and set b.">_xlfn.LAMBDA(_xlpm.val_a,_xlpm.val_b,_xlop.as_row,
   IFERROR(
      _xlfn.LET(
         _xlpm.list_a, set(_xlpm.val_a),
         _xlpm.list_b, set(_xlpm.val_b),
         _xlpm.res, _xlfn._xlws.FILTER(_xlpm.list_a, ISNUMBER(_xlfn.XMATCH(_xlpm.list_a, _xlpm.list_b))),
         IF(IF(_xlfn.ISOMITTED(_xlpm.as_row), 0, _xlpm.as_row), _xlfn.TOROW(_xlpm.res), _xlpm.res)
      ),
      ""
   )
)</definedName>
    <definedName name="set_u" comment="Set union: all distinct values from set a and set b combined.">_xlfn.LAMBDA(_xlpm.val_a,_xlpm.val_b,_xlop.as_row,
   set(_xlfn.VSTACK(_xlpm.val_a, _xlpm.val_b), IF(_xlfn.ISOMITTED(_xlpm.as_row), 0, _xlpm.as_row))
)</definedName>
    <definedName name="shift_arr" comment="Shifts a 1D or 2D array by &quot;steps&quot; (default 1) in the dir direction (arrow glyph, its numeric equivalent, or a letter code like &quot;R&quot;/&quot;UL&quot;). With no fill, items wrap around; if fill is a value, it fills the vacated cells instead.">_xlfn.LAMBDA(_xlpm.arr,_xlpm.dir,_xlop.fill,_xlop.steps, _xlfn.LET(
   _xlpm.s, IF(_xlfn.ISOMITTED(_xlpm.steps), 1, _xlpm.steps),
   _xlpm.wrap_mode, IF(_xlfn.ISOMITTED(_xlpm.fill), TRUE, _xlpm.fill = "wrap"),
   _xlpm.num_rows, ROWS(_xlpm.arr),
   _xlpm.num_cols, COLUMNS(_xlpm.arr),
   _xlpm.dir_norm, z_dir_to_arrow(_xlpm.dir),
   _xlpm.dir_list, {"U","D","L","R","UL","UR","DL","DR","↑","↓","←","→","↖","↗","↙","↘","⇑","⇓","⇐","⇒","⇖","⇗","⇙","⇘"},
   _xlpm.delta_r, CHOOSE(
      _xlfn.XMATCH(_xlpm.dir_norm, _xlpm.dir_list),
      -1,
      1,
      0,
      0,
      -1,
      -1,
      1,
      1,
      -1,
      1,
      0,
      0,
      -1,
      -1,
      1,
      1,
      -1,
      1,
      0,
      0,
      -1,
      -1,
      1,
      1
   ),
   _xlpm.delta_c, CHOOSE(
      _xlfn.XMATCH(_xlpm.dir_norm, _xlpm.dir_list),
      0,
      0,
      -1,
      1,
      -1,
      1,
      -1,
      1,
      0,
      0,
      -1,
      1,
      -1,
      1,
      -1,
      1,
      0,
      0,
      -1,
      1,
      -1,
      1,
      -1,
      1
   ),
   _xlpm.d_row, _xlpm.delta_r * _xlpm.s,
   _xlpm.d_col, _xlpm.delta_c * _xlpm.s,
   _xlpm.result, IF(
      _xlpm.wrap_mode,
      _xlfn.MAKEARRAY(
         _xlpm.num_rows,
         _xlpm.num_cols,
         _xlfn.LAMBDA(_xlpm.i,_xlpm.j,
            INDEX(
               _xlpm.arr,
               MOD(_xlpm.i - 1 - _xlpm.d_row + _xlpm.num_rows, _xlpm.num_rows) + 1,
               MOD(_xlpm.j - 1 - _xlpm.d_col + _xlpm.num_cols, _xlpm.num_cols) + 1
            )
         )
      ),
      _xlfn.MAKEARRAY(
         _xlpm.num_rows,
         _xlpm.num_cols,
         _xlfn.LAMBDA(_xlpm.i,_xlpm.j, _xlfn.LET(
            _xlpm.src_r, _xlpm.i - _xlpm.d_row,
            _xlpm.src_c, _xlpm.j - _xlpm.d_col,
            IF(
               AND(_xlpm.src_r &gt;= 1, _xlpm.src_r &lt;= _xlpm.num_rows, _xlpm.src_c &gt;= 1, _xlpm.src_c &lt;= _xlpm.num_cols),
               INDEX(_xlpm.arr, _xlpm.src_r, _xlpm.src_c),
               _xlpm.fill
            )
         ))
      )
   ),
   _xlfn.IFNA(_xlpm.result, "")
))</definedName>
    <definedName name="smallest" comment="Finds the smallest number in &quot;check&quot; and returns the first matching value in &quot;return&quot; (an XLOOKUP on MIN).">_xlfn.LAMBDA(_xlpm.check,_xlpm.return, _xlfn.IFNA(_xlfn.XLOOKUP(MIN(_xlpm.check), _xlpm.check, _xlpm.return), ""))</definedName>
    <definedName name="str_ad" comment="Convert any address or range to an A1 string address or an array of them. A numeric address becomes its A1 string; a range (A1 or numeric) expands to an array of A1 strings top-left to bottom-right; empty becomes &quot;&quot;; anything else passes through. Element-">_xlfn.LAMBDA(_xlpm.ad_or_rng,
  _xlfn.LET(
    _xlpm.to_str_1, _xlfn.LAMBDA(_xlpm.one, IF(_xlpm.one = "", "",
      IFERROR(_xlfn.LET(_xlpm.num, z_numval(_xlpm.one), ADDRESS(INT(_xlpm.num / 1000000), MOD(_xlpm.num, 1000000), 4)), _xlpm.one))),
    IF(ROWS(_xlpm.ad_or_rng) * COLUMNS(_xlpm.ad_or_rng) &gt; 1,
      _xlfn.MAP(_xlpm.ad_or_rng, _xlpm.to_str_1),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ADDRESS(_xlpm.top + _xlpm.dr - 1, _xlpm.lft + _xlpm.dc - 1, 4)))),
          _xlpm.to_str_1(_xlpm.ad_or_rng))))
  )
)</definedName>
    <definedName name="str_rev" comment="Reverses a string (character by character), respecting whole multi-character symbols.">_xlfn.LAMBDA(_xlpm.str,
   IF(
      ROWS(_xlpm.str) * COLUMNS(_xlpm.str) = 1,
      _xlfn.TEXTJOIN("", , MID(_xlpm.str, _xlfn.SEQUENCE(LEN(_xlpm.str), , LEN(_xlpm.str), -1), 1)),
      _xlfn.BYROW(
         _xlpm.str,
         _xlfn.LAMBDA(_xlpm.x, _xlfn.TEXTJOIN("", , MID(_xlpm.x, _xlfn.SEQUENCE(LEN(_xlpm.x), , LEN(_xlpm.x), -1), 1)))
      )
   )
)</definedName>
    <definedName name="str_to_arr" comment="Splits a string into a vertical array (horizontal if as_row=1), keeping multi-char Unicode symbols whole. 1D input splits into the unused axis; 2D concatenates row-major first. Digits become numbers.">_xlfn.LAMBDA(_xlpm.str_or_array,_xlop.as_row, _xlfn.LET(
 _xlpm.a, _xlpm.str_or_array,
 _xlpm.r, ROWS(_xlpm.a),
 _xlpm.c, COLUMNS(_xlpm.a),
 _xlpm._as_row, IF(_xlfn.ISOMITTED(_xlpm.as_row), 0, _xlpm.as_row),
 IF(
  _xlpm.r * _xlpm.c = 1,
  _xlfn.LET(
   _xlpm.val, _xlpm.a &amp; "",
   IF(
    _xlpm.val = "",
    "",
    _xlfn.LET(
     _xlpm.extracted, _xlfn.REGEXEXTRACT(_xlpm.val, "\X", 1),
     _xlfn.MAP(
      IF(_xlpm._as_row, _xlpm.extracted, _xlfn.TOCOL(_xlpm.extracted)),
      _xlfn.LAMBDA(_xlpm.char, IFERROR(--_xlpm.char, _xlpm.char))
     )
    )
   )
  ),
  IF(
   _xlpm.r &gt; 1,
   IF(
    _xlpm.c &gt; 1,
    _xlfn.MAP(
     _xlfn.TOCOL(_xlfn.REGEXEXTRACT(_xlfn.CONCAT(_xlpm.a) &amp; "", "\X", 1)),
     _xlfn.LAMBDA(_xlpm.char, IFERROR(--_xlpm.char, _xlpm.char))
    ),
    _xlfn.LET(
     _xlpm.max_len, MAX(
      _xlfn.BYROW(
       _xlpm.a,
       _xlfn.LAMBDA(_xlpm.row,
        IFERROR(COLUMNS(_xlfn.REGEXEXTRACT(_xlpm.row &amp; "", "\X", 1)), 0)
       )
      )
     ),
     IF(
      _xlpm.max_len = 0,
      "",
      _xlfn.MAKEARRAY(
       _xlpm.r,
       _xlpm.max_len,
       _xlfn.LAMBDA(_xlpm.i,_xlpm.j, _xlfn.LET(
        _xlpm._char, IFERROR(
         INDEX(
          _xlfn.REGEXEXTRACT(INDEX(_xlpm.a, _xlpm.i, 1) &amp; "", "\X", 1),
          1,
          _xlpm.j
         ),
         ""
        ),
        IF(_xlpm._char = "", "", IFERROR(--_xlpm._char, _xlpm._char))
       ))
      )
     )
    )
   ),
   _xlfn.LET(
    _xlpm.max_len, MAX(
     _xlfn.BYCOL(
      _xlpm.a,
      _xlfn.LAMBDA(_xlpm.col,
       IFERROR(COLUMNS(_xlfn.REGEXEXTRACT(_xlpm.col &amp; "", "\X", 1)), 0)
      )
     )
    ),
    IF(
     _xlpm.max_len = 0,
     "",
     _xlfn.MAKEARRAY(
      _xlpm.max_len,
      _xlpm.c,
      _xlfn.LAMBDA(_xlpm.i,_xlpm.j, _xlfn.LET(
       _xlpm._char, IFERROR(
        INDEX(
         _xlfn.TOCOL(_xlfn.REGEXEXTRACT(INDEX(_xlpm.a, 1, _xlpm.j) &amp; "", "\X", 1)),
         _xlpm.i,
         1
        ),
        ""
       ),
       IF(_xlpm._char = "", "", IFERROR(--_xlpm._char, _xlpm._char))
      ))
     )
    )
   )
  )
 )
))</definedName>
    <definedName name="textbetween" comment="Returns the text between a prefix and a suffix. Trims the result and converts to a number when possible. Works on arrays, returning an array of the same size.">_xlfn.LAMBDA(_xlpm.str_or_arr,_xlpm.prefix,_xlpm.suffix, _xlfn.LET(
   _xlpm.extract_between, _xlfn.LAMBDA(_xlpm.item,
      IF(
         ISERROR(_xlpm.item),
         _xlpm.item,
         _xlfn.LET(
            _xlpm.item_text, _xlpm.item &amp; "",
            _xlpm.lower_item, LOWER(_xlpm.item_text),
            _xlpm.lower_prefix, LOWER(_xlpm.prefix &amp; ""),
            _xlpm.lower_suffix, LOWER(_xlpm.suffix &amp; ""),
            _xlpm.start_num, IF(
               OR(_xlpm.lower_prefix = "", _xlpm.lower_suffix = ""),
               0,
               IFERROR(SEARCH(_xlpm.lower_prefix, _xlpm.lower_item), 0)
            ),
            _xlpm.after_num, _xlpm.start_num + LEN(_xlpm.lower_prefix),
            _xlpm.end_num, IF(
               _xlpm.start_num = 0,
               0,
               IFERROR(SEARCH(_xlpm.lower_suffix, _xlpm.lower_item, _xlpm.after_num), 0)
            ),
            _xlpm.between_text, IF(
               OR(_xlpm.start_num = 0, _xlpm.end_num = 0),
               "",
               MID(_xlpm.item_text, _xlpm.after_num, _xlpm.end_num - _xlpm.after_num)
            ),
            _xlpm.cleaned_text, TRIM(_xlpm.between_text),
            IF(_xlpm.cleaned_text = "", "", IFERROR(--_xlpm.cleaned_text, _xlpm.cleaned_text))
         )
      )
   ),
   _xlpm.row_count, ROWS(_xlpm.str_or_arr),
   _xlpm.col_count, COLUMNS(_xlpm.str_or_arr),
   IF(
      _xlpm.row_count * _xlpm.col_count = 1,
      _xlpm.extract_between(_xlpm.str_or_arr),
      _xlfn.MAP(_xlpm.str_or_arr, _xlpm.extract_between)
   )
))</definedName>
    <definedName name="transform_array" comment="Rotates 90 degrees or flips an array, once or twice, using one or two of ↺↻↕↔. For two operations pass them concatenated, e.g. &quot;↕↔&quot; or &quot;↺↺&quot;.">_xlfn.LAMBDA(_xlpm.arr,_xlpm.dir, _xlfn.LET(
   _xlpm.base, _xlpm.arr,
   _xlpm.is_scalar, AND(ROWS(_xlpm.base) = 1, COLUMNS(_xlpm.base) = 1),
   _xlpm.op_count, LEN(_xlpm.dir),
   _xlpm.apply_one, _xlfn.LAMBDA(_xlpm.cur,_xlpm.op, _xlfn.LET(
      _xlpm.row_count, ROWS(_xlpm.cur),
      _xlpm.col_count, COLUMNS(_xlpm.cur),
      IF(
         _xlpm.op = "↻",
         _xlfn.MAKEARRAY(
            _xlpm.col_count,
            _xlpm.row_count,
            _xlfn.LAMBDA(_xlpm.i,_xlpm.j, INDEX(_xlpm.cur, _xlpm.row_count - _xlpm.j + 1, _xlpm.i))
         ),
         IF(
            _xlpm.op = "↺",
            _xlfn.MAKEARRAY(
               _xlpm.col_count,
               _xlpm.row_count,
               _xlfn.LAMBDA(_xlpm.i,_xlpm.j, INDEX(_xlpm.cur, _xlpm.j, _xlpm.col_count - _xlpm.i + 1))
            ),
            IF(
               _xlpm.op = "↕",
               _xlfn.MAKEARRAY(
                  _xlpm.row_count,
                  _xlpm.col_count,
                  _xlfn.LAMBDA(_xlpm.i,_xlpm.j, INDEX(_xlpm.cur, _xlpm.row_count - _xlpm.i + 1, _xlpm.j))
               ),
               IF(
                  _xlpm.op = "↔",
                  _xlfn.MAKEARRAY(
                     _xlpm.row_count,
                     _xlpm.col_count,
                     _xlfn.LAMBDA(_xlpm.i,_xlpm.j, INDEX(_xlpm.cur, _xlpm.i, _xlpm.col_count - _xlpm.j + 1))
                  ),
                  #VALUE!
               )
            )
         )
      )
   )),
   IF(
      _xlpm.is_scalar,
      _xlpm.base,
      IF(
         _xlpm.op_count = 0,
         _xlpm.base,
         IF(
            _xlpm.op_count &gt; 2,
            #VALUE!,
            _xlfn.REDUCE(
               _xlpm.base,
               _xlfn.SEQUENCE(_xlpm.op_count),
               _xlfn.LAMBDA(_xlpm.cur,_xlpm.k, _xlpm.apply_one(_xlpm.cur, MID(_xlpm.dir, _xlpm.k, 1)))
            )
         )
      )
   )
))</definedName>
    <definedName name="update_arr" comment="Returns a copy of the array with the cell at row r, column c replaced by value.">_xlfn.LAMBDA(_xlpm.array,_xlpm.r,_xlpm.c,_xlpm.value, _xlfn.LET(
   _xlpm.arr, _xlpm.array,
   _xlfn.MAKEARRAY(
      ROWS(_xlpm.arr),
      COLUMNS(_xlpm.arr),
      _xlfn.LAMBDA(_xlpm.i,_xlpm.j, IF((_xlpm.i = _xlpm.r) * (_xlpm.j = _xlpm.c), _xlpm.value, INDEX(_xlpm.arr, _xlpm.i, _xlpm.j)))
   )
))</definedName>
    <definedName name="xbyrow" comment="BYROW that allows array-returning functions: each row's result is flattened to a row (TOROW) and stacked; ragged #N/A padding is blanked (IFNA). Use for per-row transforms that expand each item into a row.">_xlfn.LAMBDA(_xlpm.arr,_xlpm.function,
  _xlfn.IFNA(z_xbyrow_ix(_xlpm.arr, _xlpm.function, 1, ROWS(_xlpm.arr)), "")
)</definedName>
    <definedName name="xcountif" comment="Like COUNTIF but both arguments may be arrays. Uses FILTER internally and correctly returns 0 (not an error) when nothing matches.">_xlfn.LAMBDA(_xlpm.arr,_xlpm.criteria, _xlfn.LET(
   _xlpm.flat, _xlfn.TOCOL(_xlpm.arr, 0),
   _xlpm.count_fx, _xlfn.LAMBDA(_xlpm.x, IFERROR(ROWS(_xlfn._xlws.FILTER(_xlpm.flat, _xlpm.flat = _xlpm.x)), 0)),
   IF(
      ROWS(_xlpm.criteria) * COLUMNS(_xlpm.criteria) = 1,
      _xlpm.count_fx(_xlpm.criteria),
      _xlfn.MAP(_xlpm.criteria, _xlpm.count_fx)
   )
))</definedName>
    <definedName name="xdec2bin" comment="Like DEC2BIN but handles up to 53 binary places instead of 10 (beyond 53 the value exceeds the exact-integer range of a double).">_xlfn.LAMBDA(_xlpm.number,_xlop.places, _xlfn.LET(
   _xlpm.n, ROUND(_xlpm.number, 0),
   _xlpm.p, IF(_xlfn.ISOMITTED(_xlpm.places), 0, _xlpm.places),
   IF(
      _xlpm.n &gt;= 0,
      _xlfn.BASE(_xlpm.n, 2, MAX(_xlpm.p, 1)),
      _xlfn.LET(
         _xlpm.bits, IF(_xlpm.p = 0, 64, _xlpm.p),
         IF(
            _xlpm.bits &gt; 53,
            "Error: Precision Limit",
            _xlfn.BASE(POWER(2, _xlpm.bits) + _xlpm.n, 2, _xlpm.bits)
         )
      )
   )
))</definedName>
    <definedName name="xfilter" comment="Multi-criteria FILTER. ANDs up to 5 boolean masks. A column-vector mask filters rows; a row-vector mask filters columns - so you can filter BOTH directions in one call. Omitted masks default to 1. Returns &quot;&quot; if nothing matches.">_xlfn.LAMBDA(_xlpm.arr,_xlpm.f_1,_xlop.f_2,_xlop.f_3,_xlop.f_4,_xlop.f_5, _xlfn.LET(
   _xlpm.nr, ROWS(_xlpm.arr),
   _xlpm.nc, COLUMNS(_xlpm.arr),
   _xlpm.filt2, IF(_xlfn.ISOMITTED(_xlpm.f_2), 1, _xlpm.f_2),
   _xlpm.filt3, IF(_xlfn.ISOMITTED(_xlpm.f_3), 1, _xlpm.f_3),
   _xlpm.filt4, IF(_xlfn.ISOMITTED(_xlpm.f_4), 1, _xlpm.f_4),
   _xlpm.filt5, IF(_xlfn.ISOMITTED(_xlpm.f_5), 1, _xlpm.f_5),
   _xlpm.as_row_mask, _xlfn.LAMBDA(_xlpm.g, IF(AND(ROWS(_xlpm.g) = _xlpm.nr, COLUMNS(_xlpm.g) = 1, _xlpm.nr &gt; 1), _xlpm.g, 1)),
   _xlpm.as_col_mask, _xlfn.LAMBDA(_xlpm.g, IF(AND(COLUMNS(_xlpm.g) = _xlpm.nc, ROWS(_xlpm.g) = 1, _xlpm.nc &gt; 1), _xlpm.g, 1)),
   _xlpm.row_mask, _xlfn.SEQUENCE(_xlpm.nr, 1, 1, 0) * _xlpm.as_row_mask(_xlpm.f_1) * _xlpm.as_row_mask(_xlpm.filt2)
      * _xlpm.as_row_mask(_xlpm.filt3) * _xlpm.as_row_mask(_xlpm.filt4) * _xlpm.as_row_mask(_xlpm.filt5),
   _xlpm.col_mask, _xlfn.SEQUENCE(1, _xlpm.nc, 1, 0) * _xlpm.as_col_mask(_xlpm.f_1) * _xlpm.as_col_mask(_xlpm.filt2)
      * _xlpm.as_col_mask(_xlpm.filt3) * _xlpm.as_col_mask(_xlpm.filt4) * _xlpm.as_col_mask(_xlpm.filt5),
   IFERROR(_xlfn._xlws.FILTER(_xlfn._xlws.FILTER(_xlpm.arr, _xlpm.row_mask), _xlpm.col_mask), "")
))</definedName>
    <definedName name="xmod" comment="One-based modulo: like MOD but cycles 1..b instead of 0..b-1. Equal to MOD(a,b) except when that is 0, where it returns b.">_xlfn.LAMBDA(_xlpm.a,_xlpm.b, IF(MOD(_xlpm.a, _xlpm.b) = 0, _xlpm.b, MOD(_xlpm.a, _xlpm.b)))</definedName>
    <definedName name="xn" comment="Converts numeric strings to numbers (like N). Non-numeric strings pass through unchanged, TRUE/FALSE become 1/0, blanks become &quot;&quot;, &quot;&quot; stays &quot;&quot;. Works on arrays.">_xlfn.LAMBDA(_xlpm.val_or_arr, _xlfn.LET(
   _xlpm.fn_convert, _xlfn.LAMBDA(_xlpm.x,
      IF(
         _xlpm.x = "",
         "",
         IF(ISNUMBER(_xlpm.x), _xlpm.x, IF(ISLOGICAL(_xlpm.x), N(_xlpm.x), IFERROR(VALUE(_xlpm.x), _xlpm.x)))
      )
   ),
   IF(
      ROWS(_xlpm.val_or_arr) * COLUMNS(_xlpm.val_or_arr) = 1,
      _xlpm.fn_convert(_xlpm.val_or_arr),
      _xlfn.MAP(_xlpm.val_or_arr, _xlpm.fn_convert)
   )
))</definedName>
    <definedName name="xrank" comment="Like the built-in RANK but works on arrays.">_xlfn.LAMBDA(_xlpm.value,_xlpm.array,_xlop.order, _xlfn.LET(
   _xlpm.rank_style_order, IF(_xlfn.ISOMITTED(_xlpm.order), 0, _xlpm.order),
   _xlpm.sort_style_order, IF(_xlpm.rank_style_order = 0, -1, 1),
   _xlfn.IFNA(_xlfn.XMATCH(_xlpm.value, _xlfn._xlws.SORT(_xlfn.TOCOL(_xlpm.array), 1, _xlpm.sort_style_order)), "")
))</definedName>
    <definedName name="xsequence" comment="Vertical sequence from start to stop inclusive, counting by step. Can repeat each element or repeat the whole array. Optional args default to 1. Decimal steps may cause floating-point drift.">_xlfn.LAMBDA(_xlpm.start,_xlpm.stop,_xlop.step,_xlop.repeat_element,_xlop.repeat_array, _xlfn.LET(
   _xlpm.s, _xlpm.start,
   _xlpm.t, _xlpm.stop,
   _xlpm.stp, IF(_xlfn.ISOMITTED(_xlpm.step), IF(_xlpm.t &gt;= _xlpm.s, 1, -1), _xlpm.step),
   _xlpm.re, IF(_xlfn.ISOMITTED(_xlpm.repeat_element), 1, _xlpm.repeat_element),
   _xlpm.ra, IF(_xlfn.ISOMITTED(_xlpm.repeat_array), 1, _xlpm.repeat_array),
   _xlpm.d, _xlpm.t - _xlpm.s,
   _xlpm.ok_dir, OR(_xlpm.d = 0, SIGN(_xlpm.stp) = SIGN(_xlpm.d)),
   _xlpm.ok_div, MOD(ABS(_xlpm.d), ABS(_xlpm.stp)) = 0,
   _xlpm.n, QUOTIENT(ABS(_xlpm.d), ABS(_xlpm.stp)) + 1,
   _xlpm.out, _xlpm.s + _xlpm.stp * INT(MOD(_xlfn.SEQUENCE(_xlpm.n * _xlpm.re * _xlpm.ra) - 1, _xlpm.n * _xlpm.re) / _xlpm.re),
   IF(AND(_xlpm.stp &lt;&gt; 0, _xlpm.ok_dir, _xlpm.ok_div), _xlpm.out, #VALUE!)
))</definedName>
    <definedName name="xtextjoin" comment="TEXTJOIN that can also split back into an array or set, and beats the arg-count and 32k-char limits. delim (default &quot;;&quot;) both joins output and splits input. Blanks, errors and &quot;&quot; are ignored; explicit zeros are kept. str_arr_set: 1=string (default), 2=arr">_xlfn.LAMBDA(_xlpm.arr,_xlop.delim,_xlop.str_arr_set,
  _xlfn.LET(
    _xlpm.sep, IF(_xlfn.ISOMITTED(_xlpm.delim), ";", _xlpm.delim),
    _xlpm.mode, IF(_xlfn.ISOMITTED(_xlpm.str_arr_set), 1, _xlpm.str_arr_set),
    _xlpm.row_strings, _xlfn.BYROW(_xlpm.arr, _xlfn.LAMBDA(_xlpm.one_row,
      _xlfn.TEXTJOIN(_xlpm.sep, TRUE, IFERROR(_xlpm.one_row &amp; "", "")))),
    _xlpm.has_any, SUM(--(_xlpm.row_strings &lt;&gt; "")) &gt; 0,
    IF(
      NOT(_xlpm.has_any),
      "",
      _xlfn.LET(
        _xlpm.used_rows, _xlfn._xlws.FILTER(_xlpm.row_strings, _xlpm.row_strings &lt;&gt; ""),
        _xlpm.stacked, _xlfn.REDUCE("", _xlpm.used_rows, _xlfn.LAMBDA(_xlpm.acc,_xlpm.one_str,
          _xlfn.VSTACK(_xlpm.acc, _xlfn.TEXTSPLIT(_xlpm.one_str, , _xlpm.sep, TRUE)))),
        _xlpm.tokens, _xlfn.DROP(_xlpm.stacked, 1),
        _xlpm.token_count, ROWS(_xlpm.tokens),
        IF(
          _xlpm.mode = 2,
          _xlpm.tokens,
          IF(
            _xlpm.mode = 3,
            _xlfn._xlws.SORT(_xlfn.UNIQUE(_xlpm.tokens)),
            IF(
              SUM(LEN(_xlpm.tokens)) + (_xlpm.token_count - 1) * LEN(_xlpm.sep) &gt; 32767,
              "TOO LONG",
              _xlfn.TEXTJOIN(_xlpm.sep, TRUE, _xlpm.tokens)
            )
          )
        )
      )
    )
  )
)</definedName>
    <definedName name="xtextsplit" comment="Like TEXTSPLIT but trims items, returns a vertical array (horizontal if as_row=1), and converts to numbers. If delim is omitted, the first non-alphanumeric char (incl. whitespace) is used.">_xlfn.LAMBDA(_xlpm.str,_xlop.delim,_xlop.as_row, _xlfn.LET(
   _xlpm.use_delim_arg, NOT(_xlfn.ISOMITTED(_xlpm.delim)),
   _xlpm.inferred_delim, IF(_xlpm.use_delim_arg, "", _xlfn.REGEXEXTRACT(_xlpm.str, "[^A-Za-z0-9]")),
   _xlpm.can_split, IF(_xlpm.use_delim_arg, TRUE, NOT(ISERROR(_xlpm.inferred_delim))),
   _xlpm.eff_delim, IF(_xlpm.use_delim_arg, _xlpm.delim, _xlpm.inferred_delim),
   _xlpm.base_split, IF(
      _xlpm.can_split,
      IFERROR(_xlfn.TOCOL(TRIM(_xlfn.TEXTSPLIT(_xlpm.str, _xlpm.eff_delim))), _xlpm.str),
      _xlpm.str
   ),
   _xlpm.split, _xlpm.base_split,
   _xlpm.one_entry, COUNTA(_xlpm.split) = 1,
   _xlpm.all_numbers, COUNTA(_xlfn._xlws.FILTER(_xlpm.split, ISNUMBER(_xlpm.split * 1))) = COUNTA(_xlpm.split),
   _xlpm.as_row_val, IF(_xlfn.ISOMITTED(_xlpm.as_row), 0, _xlpm.as_row),
   _xlpm.core_result, IF(_xlpm.one_entry, _xlpm.str, IF(_xlpm.all_numbers, _xlpm.split * 1, _xlpm.split)),
   IF(AND(_xlpm.as_row_val = 1, NOT(_xlpm.one_entry)), _xlfn.TOROW(_xlpm.core_result), _xlpm.core_result)
))</definedName>
    <definedName name="xtocol" comment="Flattens a 2D range to a column. show_addr (default 1) adds an address column; clean (default 1) drops blanks/errors/&quot;&quot;; dir sets scan order (&quot;→↓&quot; default); snake (default 0) zig-zags.">_xlfn.LAMBDA(_xlpm.rng,_xlop.show_addr,_xlop.clean,_xlop.dir,_xlop.snake, _xlfn.LET(
 _xlpm._show, IF(_xlfn.ISOMITTED(_xlpm.show_addr), 1, _xlpm.show_addr),
 _xlpm._clean, IF(_xlfn.ISOMITTED(_xlpm.clean), 1, _xlpm.clean),
 _xlpm._in_dir, IF(_xlfn.ISOMITTED(_xlpm.dir), "→↓", _xlpm.dir),
 _xlpm._snake, IF(_xlfn.ISOMITTED(_xlpm.snake), 0, _xlpm.snake),
 _xlpm._len, LEN(_xlpm._in_dir),
 _xlpm._d, IF(
  _xlpm._len = 2,
  _xlpm._in_dir,
  IF(
   _xlpm._len &lt;&gt; 1,
   #VALUE!,
   _xlfn.LET(
    _xlpm.char_one, _xlpm._in_dir,
    _xlpm.is_vert, OR(_xlpm.char_one = "↑", _xlpm.char_one = "↓"),
    _xlpm.is_horz, OR(_xlpm.char_one = "←", _xlpm.char_one = "→"),
    IF(_xlpm.is_vert, _xlpm.char_one &amp; "→", IF(_xlpm.is_horz, _xlpm.char_one &amp; "↓", #VALUE!))
   )
  )
 ),
 _xlpm.first_char, LEFT(_xlpm._d, 1),
 _xlpm.second_char, RIGHT(_xlpm._d, 1),
 _xlpm.has_vert, OR(
  _xlpm.first_char = "↑",
  _xlpm.first_char = "↓",
  _xlpm.second_char = "↑",
  _xlpm.second_char = "↓"
 ),
 _xlpm.has_horz, OR(
  _xlpm.first_char = "←",
  _xlpm.first_char = "→",
  _xlpm.second_char = "←",
  _xlpm.second_char = "→"
 ),
 _xlpm.is_valid, AND(LEN(_xlpm._d) = 2, _xlpm.has_vert, _xlpm.has_horz),
 IF(
  NOT(_xlpm.is_valid),
  #VALUE!,
  _xlfn.LET(
   _xlpm.op_h, IF(OR(_xlpm.first_char = "←", _xlpm.second_char = "←"), "↔", ""),
   _xlpm.op_v, IF(OR(_xlpm.first_char = "↑", _xlpm.second_char = "↑"), "↕", ""),
   _xlpm.need_transpose, OR(_xlpm.first_char = "↑", _xlpm.first_char = "↓"),
   _xlpm.ProcessGrid, _xlfn.LAMBDA(_xlpm.grid, _xlfn.LET(
    _xlpm.flipped, transform_array(_xlpm.grid, _xlpm.op_h &amp; _xlpm.op_v),
    _xlpm.oriented, IF(_xlpm.need_transpose, TRANSPOSE(_xlpm.flipped), _xlpm.flipped),
    _xlpm.rows_cnt, ROWS(_xlpm.oriented),
    _xlpm.cols_cnt, COLUMNS(_xlpm.oriented),
    IF(
     _xlpm._snake,
     _xlfn.MAKEARRAY(
      _xlpm.rows_cnt,
      _xlpm.cols_cnt,
      _xlfn.LAMBDA(_xlpm.r_idx,_xlpm.c_idx,
       INDEX(
        _xlpm.oriented,
        _xlpm.r_idx,
        IF(ISODD(_xlpm.r_idx), _xlpm.c_idx, _xlpm.cols_cnt - _xlpm.c_idx + 1)
       )
      )
     ),
     _xlpm.oriented
    )
   )),
   _xlpm.val_grid, _xlpm.rng,
   _xlpm.addr_grid, ADDRESS(ROW(_xlpm.val_grid), COLUMN(_xlpm.val_grid), 4),
   _xlpm.flat_vals, _xlfn.TOCOL(_xlpm.ProcessGrid(_xlpm.val_grid)),
   _xlpm.flat_addrs, _xlfn.TOCOL(_xlpm.ProcessGrid(_xlpm.addr_grid)),
   _xlpm.base, IF(_xlpm._show, _xlfn.HSTACK(_xlpm.flat_addrs, _xlpm.flat_vals), _xlpm.flat_vals),
   _xlpm.mask, IF(
    ISERROR(_xlpm.flat_vals),
    FALSE,
    (_xlpm.flat_vals &lt;&gt; "") * (NOT(ISBLANK(_xlpm.flat_vals)))
   ),
   IF(_xlpm._clean, _xlfn._xlws.FILTER(_xlpm.base, _xlpm.mask), _xlpm.base)
  )
 )
))</definedName>
    <definedName name="z_a1n" comment="Helper: one A1 string (&quot;D3&quot;, &quot;$D$3&quot;, &quot;Sheet1!D3&quot;) to its numeric address (1e6*row+col). Returns #VALUE! for anything that is not a single valid A1 cell reference - including numbers, ranges, and junk text.">_xlfn.LAMBDA(_xlpm.a1_str,
  IFERROR(
    _xlfn.LET(
      _xlpm.s, UPPER(SUBSTITUTE(IFERROR(_xlfn.TEXTAFTER(_xlpm.a1_str, "!"), _xlpm.a1_str), "$", "")),
      IF(NOT(_xlfn.REGEXTEST(_xlpm.s, "^[A-Z]{1,3}[0-9]+$")), #VALUE!,
        _xlfn.LET(
          _xlpm.letters, _xlfn.REGEXEXTRACT(_xlpm.s, "[A-Z]+"),
          _xlpm.row_num, VALUE(_xlfn.REGEXEXTRACT(_xlpm.s, "[0-9]+")),
          _xlpm.nlet, LEN(_xlpm.letters),
          _xlpm.seq, _xlfn.SEQUENCE(_xlpm.nlet),
          _xlpm.col, SUM((CODE(MID(_xlpm.letters, _xlpm.seq, 1)) - 64) * 26 ^ (_xlpm.nlet - _xlpm.seq)),
          IF(OR(_xlpm.col &gt; 16384, _xlpm.row_num &gt; 1048576, _xlpm.row_num &lt; 1), #VALUE!, 1000000 * _xlpm.row_num + _xlpm.col)))
    ), #VALUE!)
)</definedName>
    <definedName name="z_ad_box" comment="Helper: bounding box of any address or range, as {top; left; bottom; right} absolute row/column numbers. Accepts all four types - numeric address, A1 string, A1 range (&quot;B2:D4&quot;), numeric range (&quot;1000001:4000002&quot;). Returns #VALUE! for anything else.">_xlfn.LAMBDA(_xlpm.ref,
  IFERROR(
    IF(AND(ISTEXT(_xlpm.ref), ISNUMBER(SEARCH(":", _xlpm.ref))),
      _xlfn.LET(
        _xlpm.clean, UPPER(SUBSTITUTE(_xlpm.ref, "$", "")),
        _xlpm.part_a, _xlfn.TEXTBEFORE(_xlpm.clean, ":"), _xlpm.part_b, _xlfn.TEXTAFTER(_xlpm.clean, ":"),
        _xlpm.addr_a, IFERROR(z_a1n(_xlpm.part_a), -1), _xlpm.addr_b, IFERROR(z_a1n(_xlpm.part_b), -1),
        _xlpm.num_a, IFERROR(z_numval(_xlpm.part_a), -1), _xlpm.num_b, IFERROR(z_numval(_xlpm.part_b), -1),
        IF(AND(_xlpm.addr_a &gt; 0, _xlpm.addr_b &gt; 0),
          _xlfn.VSTACK(MIN(INT(_xlpm.addr_a / 1000000), INT(_xlpm.addr_b / 1000000)), MIN(MOD(_xlpm.addr_a, 1000000), MOD(_xlpm.addr_b, 1000000)),
                 MAX(INT(_xlpm.addr_a / 1000000), INT(_xlpm.addr_b / 1000000)), MAX(MOD(_xlpm.addr_a, 1000000), MOD(_xlpm.addr_b, 1000000))),
          IF(AND(_xlpm.num_a &gt; 0, _xlpm.num_b &gt; 0, INT(_xlpm.num_a / 1000000) &lt;= INT(_xlpm.num_b / 1000000), MOD(_xlpm.num_a, 1000000) &lt;= MOD(_xlpm.num_b, 1000000)),
            _xlfn.VSTACK(INT(_xlpm.num_a / 1000000), MOD(_xlpm.num_a, 1000000), INT(_xlpm.num_b / 1000000), MOD(_xlpm.num_b, 1000000)),
            #VALUE!))),
      _xlfn.LET(
        _xlpm.packed, IF(ISNUMBER(_xlpm.ref), z_numval(_xlpm.ref), z_a1n(_xlpm.ref)),
        _xlpm.row_num, INT(_xlpm.packed / 1000000), _xlpm.col_num, MOD(_xlpm.packed, 1000000),
        _xlfn.VSTACK(_xlpm.row_num, _xlpm.col_num, _xlpm.row_num, _xlpm.col_num))
    ), #VALUE!)
)</definedName>
    <definedName name="z_arrow_to_num" comment="Helper: if x is one of the 8 standard direction arrows, return its numeric-address delta (up -1000000, down 1000000, left -1, right 1, and the four diagonals); anything else (numbers, other text) passes through unchanged.">_xlfn.LAMBDA(_xlpm.x, _xlfn.LET(
   _xlpm.arrows, "↑↓←→↖↗↙↘",
   _xlpm.nums, {-1000000;1000000;-1;1;-1000001;-999999;999999;1000001},
   _xlpm.i, IFERROR(_xlfn.XMATCH(_xlpm.x, MID(_xlpm.arrows, _xlfn.SEQUENCE(8), 1)), 0),
   IF(AND(ISTEXT(_xlpm.x), _xlpm.i &gt;= 1), INDEX(_xlpm.nums, _xlpm.i), _xlpm.x)
))</definedName>
    <definedName name="z_dir_to_arrow" comment="Helper: normalize a direction to a standard arrow glyph. Accepts a numeric-address delta (1, -1000000, ...) or a letter code (U D L R UL UR DL DR) and returns the matching arrow; an arrow or anything unrecognized passes through unchanged.">_xlfn.LAMBDA(_xlpm.x, _xlfn.LET(
   _xlpm.arrows, "↑↓←→↖↗↙↘",
   _xlpm.nums, {-1000000;1000000;-1;1;-1000001;-999999;999999;1000001},
   _xlpm.codes, {"U";"D";"L";"R";"UL";"UR";"DL";"DR"},
   _xlpm.i_num, IFERROR(_xlfn.XMATCH(_xlpm.x, _xlpm.nums), 0),
   _xlpm.i_code, IFERROR(_xlfn.XMATCH(_xlpm.x, _xlpm.codes), 0),
   IF(AND(ISNUMBER(_xlpm.x), _xlpm.i_num &gt;= 1), MID(_xlpm.arrows, _xlpm.i_num, 1),
      IF(AND(ISTEXT(_xlpm.x), _xlpm.i_code &gt;= 1), MID(_xlpm.arrows, _xlpm.i_code, 1), _xlpm.x))
))</definedName>
    <definedName name="z_ftd_maze_cost_candidates" comment="Private helper for ftd_maze_cost; do not call directly. Returns all valid cost improvements reachable from the current frontier.">_xlfn.LAMBDA(_xlpm.costs,_xlpm.frontier,_xlpm.board,_xlpm.ftd_lambda,_xlpm.dir_list,_xlpm.row_delta,_xlpm.col_delta,_xlpm.infinity,
  _xlfn.LET(
    _xlpm.row_count, ROWS(_xlpm.board),
    _xlpm.col_count, COLUMNS(_xlpm.board),
    _xlpm.dir_count, ROWS(_xlpm.dir_list),
    _xlpm.source_count, ROWS(_xlpm.frontier),
    _xlpm.source_rows, INDEX(_xlpm.frontier, 0, 1),
    _xlpm.source_cols, INDEX(_xlpm.frontier, 0, 2),
    _xlpm.source_costs, INDEX(_xlpm.frontier, 0, 3),
    _xlpm.target_rows, _xlfn.TOCOL(_xlpm.source_rows + TRANSPOSE(_xlpm.row_delta)),
    _xlpm.target_cols, _xlfn.TOCOL(_xlpm.source_cols + TRANSPOSE(_xlpm.col_delta)),
    _xlpm.base_costs, _xlfn.TOCOL(_xlpm.source_costs + _xlfn.SEQUENCE(, _xlpm.dir_count, 0, 0)),
    _xlpm.valid_targets, (_xlpm.target_rows &gt;= 1) * (_xlpm.target_rows &lt;= _xlpm.row_count) * (_xlpm.target_cols &gt;= 1) * (_xlpm.target_cols &lt;= _xlpm.col_count),
    _xlpm.safe_rows, _xlfn.MAP(_xlpm.target_rows, _xlfn.LAMBDA(_xlpm.row_ix, MIN(_xlpm.row_count, MAX(1, _xlpm.row_ix)))),
    _xlpm.safe_cols, _xlfn.MAP(_xlpm.target_cols, _xlfn.LAMBDA(_xlpm.col_ix, MIN(_xlpm.col_count, MAX(1, _xlpm.col_ix)))),
    _xlpm.from_cells, _xlfn.TOCOL(_xlfn.MAKEARRAY(
      _xlpm.source_count,
      _xlpm.dir_count,
      _xlfn.LAMBDA(_xlpm.row_ix,_xlpm.dir_ix, INDEX(_xlpm.board, INDEX(_xlpm.source_rows, _xlpm.row_ix), INDEX(_xlpm.source_cols, _xlpm.row_ix)))
    )),
    _xlpm.to_cells, _xlfn.MAP(_xlpm.safe_rows, _xlpm.safe_cols, _xlfn.LAMBDA(_xlpm.row_ix,_xlpm.col_ix, INDEX(_xlpm.board, _xlpm.row_ix, _xlpm.col_ix))),
    _xlpm.dir_values, _xlfn.TOCOL(_xlfn.MAKEARRAY(
      _xlpm.source_count,
      _xlpm.dir_count,
      _xlfn.LAMBDA(_xlpm.row_ix,_xlpm.dir_ix, INDEX(_xlpm.dir_list, _xlpm.dir_ix))
    )),
    _xlpm.edge_costs, _xlfn.MAP(
      _xlpm.from_cells,
      _xlpm.to_cells,
      _xlpm.dir_values,
      _xlfn.LAMBDA(_xlpm.from_cell,_xlpm.to_cell,_xlpm.dir, _xlfn.IFNA(_xlpm.ftd_lambda(_xlpm.from_cell, _xlpm.to_cell, _xlpm.dir), _xlpm.infinity))
    ),
    _xlpm.clean_edges, _xlfn.MAP(
      _xlpm.edge_costs,
      _xlfn.LAMBDA(_xlpm.edge, IF(NOT(ISNUMBER(_xlpm.edge)), _xlpm.infinity, IF(_xlpm.edge &lt; 0, _xlpm.infinity, _xlpm.edge)))
    ),
    _xlpm.candidate_costs, _xlfn.MAP(_xlpm.base_costs, _xlpm.clean_edges, _xlfn.LAMBDA(_xlpm.base_cost,_xlpm.edge, MIN(_xlpm.infinity, _xlpm.base_cost + _xlpm.edge))),
    IF(
      _xlpm.valid_targets * (_xlpm.candidate_costs &lt; INDEX(_xlpm.costs, _xlpm.safe_rows, _xlpm.safe_cols)),
      _xlfn.HSTACK(_xlpm.target_rows, _xlpm.target_cols, _xlpm.candidate_costs),
      {0,0,0}
    )
  )
)</definedName>
    <definedName name="z_ftd_maze_cost_worker" comment="Private recursive worker for ftd_maze_cost; do not call directly. Relaxes only outgoing edges from cells whose costs improved in the prior pass.">_xlfn.LAMBDA(_xlpm.self,_xlpm.costs,_xlpm.frontier,_xlpm.board,_xlpm.ftd_lambda,_xlpm.dir_list,_xlpm.row_delta,_xlpm.col_delta,_xlpm.cell_keys,_xlpm.infinity,_xlpm.steps_left,
  _xlfn.LET(
    _xlpm.improvements, z_ftd_maze_cost_candidates(
      _xlpm.costs,
      _xlpm.frontier,
      _xlpm.board,
      _xlpm.ftd_lambda,
      _xlpm.dir_list,
      _xlpm.row_delta,
      _xlpm.col_delta,
      _xlpm.infinity
    ),
    _xlpm.sorted_improvements, _xlfn._xlws.SORT(_xlpm.improvements, 3, 1),
    _xlpm.first_matches, _xlfn.XMATCH(
      _xlfn.UNIQUE(INDEX(_xlpm.sorted_improvements, 0, 1) &amp; "|" &amp; INDEX(_xlpm.sorted_improvements, 0, 2)),
      INDEX(_xlpm.sorted_improvements, 0, 1) &amp; "|" &amp; INDEX(_xlpm.sorted_improvements, 0, 2)
    ),
    _xlpm.next_frontier, _xlfn._xlws.FILTER(
      INDEX(_xlpm.sorted_improvements, _xlpm.first_matches, _xlfn.SEQUENCE(, 3)),
      INDEX(_xlpm.sorted_improvements, _xlpm.first_matches, 1) &gt; 0,
      0
    ),
    _xlpm.updated_costs, _xlfn.IFNA(
      INDEX(
        _xlpm.next_frontier,
        _xlfn.XMATCH(_xlpm.cell_keys, INDEX(_xlpm.next_frontier, 0, 1) &amp; "|" &amp; INDEX(_xlpm.next_frontier, 0, 2)),
        3
      ),
      _xlpm.costs
    ),
    IF(
      SUM(_xlpm.next_frontier) = 0,
      _xlpm.costs,
      IF(
        _xlpm.steps_left = 0,
        "MORE STEPS",
        _xlpm.self(
          _xlpm.self,
          _xlpm.updated_costs,
          _xlpm.next_frontier,
          _xlpm.board,
          _xlpm.ftd_lambda,
          _xlpm.dir_list,
          _xlpm.row_delta,
          _xlpm.col_delta,
          _xlpm.cell_keys,
          _xlpm.infinity,
          _xlpm.steps_left - 1
        )
      )
    )
  )
)</definedName>
    <definedName name="z_is_ad" comment="Helper: TRUE if ref is a valid address or range of any of the four types (numeric address, A1 string, A1 range, numeric range). FALSE for plain data values.">_xlfn.LAMBDA(_xlpm.ref, NOT(ISERROR(z_ad_box(_xlpm.ref))))</definedName>
    <definedName name="z_numval" comment="Helper: validate val as a numeric address. Returns the number when val (a number, or a digit string like &quot;1000001&quot;) is a positive integer with row in 1..1048576 and column in 1..16384; otherwise #VALUE!.">_xlfn.LAMBDA(_xlpm.val,
  IFERROR(
    _xlfn.LET(_xlpm.num, _xlpm.val * 1,
      IF(AND(_xlpm.num = INT(_xlpm.num), _xlpm.num &gt; 0,
             MOD(_xlpm.num, 1000000) &gt;= 1, MOD(_xlpm.num, 1000000) &lt;= 16384,
             INT(_xlpm.num / 1000000) &gt;= 1, INT(_xlpm.num / 1000000) &lt;= 1048576),
         _xlpm.num, #VALUE!)),
    #VALUE!)
)</definedName>
    <definedName name="z_route_worker" comment="Private recursive worker for route_cost - do not call directly. Runs one Dijkstra relaxation pass over the frontier and recurses until no cell's cost improves. Extra args carry route_cost's grid, size and move deltas.">_xlfn.LAMBDA(_xlpm._s,_xlpm._p,_xlpm._f2,_xlpm.cost_map,_xlpm._nr,_xlpm._nc,_xlpm._rd,_xlpm._cd,_xlpm._sq, _xlfn.LET(
   _xlpm._tr, _xlfn.TOCOL(_xlpm._rd + INDEX(_xlpm._f2, 0, 1)),
   _xlpm._tc, _xlfn.TOCOL(_xlpm._cd + INDEX(_xlpm._f2, 0, 2)),
   _xlpm._db, _xlfn.TOCOL(
      INDEX(_xlpm._p, INDEX(_xlpm._f2, 0, 1), INDEX(_xlpm._f2, 0, 2))
         + _xlfn.SEQUENCE(, COUNTA(_xlpm._rd), 0, 0)
   ),
   _xlpm._nf, IF(
      NOT((_xlpm._tr &gt;= 1) * (_xlpm._tr &lt;= _xlpm._nr) * (_xlpm._tc &gt;= 1) * (_xlpm._tc &lt;= _xlpm._nc)),
      {0,0,0},
      IF(
         NOT(ISNUMBER(INDEX(_xlpm.cost_map, _xlpm._tr, _xlpm._tc))),
         {0,0,0},
         IF(
            INDEX(_xlpm.cost_map, _xlpm._tr, _xlpm._tc) + _xlpm._db &lt; INDEX(_xlpm._p, _xlpm._tr, _xlpm._tc),
            _xlfn.HSTACK(_xlpm._tr, _xlpm._tc, _xlpm._db + INDEX(_xlpm.cost_map, _xlpm._tr, _xlpm._tc)),
            {0,0,0}
         )
      )
   ),
   _xlpm._sn, _xlfn._xlws.SORT(_xlpm._nf, 3, 1),
   _xlpm._ps, _xlfn.XMATCH(
      _xlfn.UNIQUE(INDEX(_xlpm._sn, 0, 1) &amp; "|" &amp; INDEX(_xlpm._sn, 0, 2)),
      INDEX(_xlpm._sn, 0, 1) &amp; "|" &amp; INDEX(_xlpm._sn, 0, 2)
   ),
   _xlpm._fs, _xlfn._xlws.FILTER(
      INDEX(_xlpm._sn, _xlpm._ps, _xlfn.SEQUENCE(, 3)),
      INDEX(_xlpm._sn, _xlpm._ps, 1) &gt; 0,
      0
   ),
   _xlpm._um, IFERROR(
      INDEX(
         _xlpm._fs,
         _xlfn.XMATCH(_xlpm._sq, INDEX(_xlpm._fs, 0, 1) &amp; "|" &amp; INDEX(_xlpm._fs, 0, 2)),
         3
      ),
      _xlpm._p
   ),
   IF(SUM(_xlpm._fs) = 0, _xlpm._p, _xlpm._s(_xlpm._s, _xlpm._um, _xlpm._fs, _xlpm.cost_map, _xlpm._nr, _xlpm._nc, _xlpm._rd, _xlpm._cd, _xlpm._sq))
))</definedName>
    <definedName name="z_xbyrow_ix" comment="Private recursive worker for xbyrow (don't call directly). Applies function to each row, flattens the result to a row with TOROW, and VSTACKs the pieces via divide-and-conquer.">_xlfn.LAMBDA(_xlpm.arr,_xlpm.function,_xlpm.first,_xlpm.last,
  IF(_xlpm.first = _xlpm.last,
     _xlfn.TOROW(
       IF(COLUMNS(_xlpm.arr) = 1,
          _xlpm.function(_xlfn.SINGLE(_xlfn.CHOOSEROWS(_xlpm.arr, _xlpm.first))),
          _xlpm.function(_xlfn.CHOOSEROWS(_xlpm.arr, _xlpm.first)))),
     _xlfn.LET(
       _xlpm.mid_row, INT((_xlpm.first + _xlpm.last) / 2),
       _xlfn.VSTACK(
         z_xbyrow_ix(_xlpm.arr, _xlpm.function, _xlpm.first, _xlpm.mid_row),
         z_xbyrow_ix(_xlpm.arr, _xlpm.function, _xlpm.mid_row + 1, _xlpm.last)
       )
     )
  )
)</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<sst xmlns="http://schemas.openxmlformats.org/spreadsheetml/2006/main" count="5826" uniqueCount="3671">
  <si>
    <t>Signature</t>
  </si>
  <si>
    <t>xfilter(arr, f_1, [f_2], [f_3], [f_4], [f_5])</t>
  </si>
  <si>
    <t>Description</t>
  </si>
  <si>
    <t>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t>
  </si>
  <si>
    <t>Code</t>
  </si>
  <si>
    <t>=LAMBDA(arr,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t>
  </si>
  <si>
    <t>xfilter(arr,f_1,[f_2]..[f_5]) - up to 5 masks ANDed. Column-vector mask filters rows; row-vector mask filters columns (both directions at once). "" if none match.</t>
  </si>
  <si>
    <t>#</t>
  </si>
  <si>
    <t>Case</t>
  </si>
  <si>
    <t>Inputs</t>
  </si>
  <si>
    <t>Expected</t>
  </si>
  <si>
    <t>Actual</t>
  </si>
  <si>
    <t>Match</t>
  </si>
  <si>
    <t>row mask {1;0;1;0}</t>
  </si>
  <si>
    <t>two row masks ANDed</t>
  </si>
  <si>
    <t>col mask {1,0,1} (filters columns)</t>
  </si>
  <si>
    <t>BOTH: row {1;0;1;0} + col {1,0,1}</t>
  </si>
  <si>
    <t>1D column filter</t>
  </si>
  <si>
    <t>no match -&gt; ""</t>
  </si>
  <si>
    <t>Directory:</t>
  </si>
  <si>
    <t>Case Filename:</t>
  </si>
  <si>
    <t>Domino</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</si>
  <si>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</si>
  <si>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</si>
  <si>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</si>
  <si>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</si>
  <si>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</si>
  <si>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</si>
  <si>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</si>
  <si>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</si>
  <si>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</si>
  <si>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</si>
  <si>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</si>
  <si>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</si>
  <si>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</si>
  <si>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</si>
  <si>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</si>
  <si>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</si>
  <si>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</si>
  <si>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</si>
  <si>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</si>
  <si>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</si>
  <si>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</si>
  <si>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</si>
  <si>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</si>
  <si>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</si>
  <si>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</si>
  <si>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</si>
  <si>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</si>
  <si>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</si>
  <si>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</si>
  <si>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</si>
  <si>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</si>
  <si>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</si>
  <si>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</si>
  <si>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</si>
  <si>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</si>
  <si>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</si>
  <si>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</si>
  <si>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</si>
  <si>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</si>
  <si>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</si>
  <si>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</si>
  <si>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</si>
  <si>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</si>
  <si>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</si>
  <si>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</si>
  <si>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</si>
  <si>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</si>
  <si>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</si>
  <si>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</si>
  <si>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</si>
  <si>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</si>
  <si>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</si>
  <si>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</si>
  <si>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</si>
  <si>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</si>
  <si>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</si>
  <si>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</si>
  <si>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</si>
  <si>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</si>
  <si>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</si>
  <si>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</si>
  <si>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</si>
  <si>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</si>
  <si>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</si>
  <si>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</si>
  <si>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</si>
  <si>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</si>
  <si>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</si>
  <si>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</si>
  <si>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</si>
  <si>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</si>
  <si>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</si>
  <si>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</si>
  <si>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</si>
  <si>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</si>
  <si>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</si>
  <si>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</si>
  <si>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</si>
  <si>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</si>
  <si>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</si>
  <si>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</si>
  <si>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</si>
  <si>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</si>
  <si>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</si>
  <si>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</si>
  <si>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</si>
  <si>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</si>
  <si>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</si>
  <si>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</si>
  <si>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</si>
  <si>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</si>
  <si>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</si>
  <si>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</si>
  <si>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</si>
  <si>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</si>
  <si>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</si>
  <si>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</si>
  <si>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</si>
  <si>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</si>
  <si>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Model Filename:</t>
  </si>
  <si>
    <t>Left Pips</t>
  </si>
  <si>
    <t>Right Pips</t>
  </si>
  <si>
    <t xml:space="preserve">What is this? </t>
  </si>
  <si>
    <t>Card Symbol</t>
  </si>
  <si>
    <t>Card Points</t>
  </si>
  <si>
    <t>Card Sequence</t>
  </si>
  <si>
    <t>Number</t>
  </si>
  <si>
    <t>Letter</t>
  </si>
  <si>
    <t>Vowel / Consonant</t>
  </si>
  <si>
    <t>Month</t>
  </si>
  <si>
    <t>Days 2026</t>
  </si>
  <si>
    <t>Start 2026</t>
  </si>
  <si>
    <t>End 2026</t>
  </si>
  <si>
    <t>A collection of lambdas and VBA by Eric Ashton for use in Excel Esports</t>
  </si>
  <si>
    <t>2</t>
  </si>
  <si>
    <t>A</t>
  </si>
  <si>
    <t>Vowel</t>
  </si>
  <si>
    <t>January</t>
  </si>
  <si>
    <t>1000 Primes</t>
  </si>
  <si>
    <t>Guide to this file: https://tinyurl.com/EricLambdaGuide</t>
  </si>
  <si>
    <t>https://youtu.be/MHZXi6s6fGk</t>
  </si>
  <si>
    <t>3</t>
  </si>
  <si>
    <t>B</t>
  </si>
  <si>
    <t>Consonant</t>
  </si>
  <si>
    <t>February</t>
  </si>
  <si>
    <t>4</t>
  </si>
  <si>
    <t>C</t>
  </si>
  <si>
    <t>March</t>
  </si>
  <si>
    <t>Tournament Seeds</t>
  </si>
  <si>
    <t>Letters</t>
  </si>
  <si>
    <t>Arrows</t>
  </si>
  <si>
    <t>Components</t>
  </si>
  <si>
    <t>Row Change</t>
  </si>
  <si>
    <t>Col Change</t>
  </si>
  <si>
    <t>5</t>
  </si>
  <si>
    <t>D</t>
  </si>
  <si>
    <t>April</t>
  </si>
  <si>
    <t>U</t>
  </si>
  <si>
    <t>↑</t>
  </si>
  <si>
    <t>6</t>
  </si>
  <si>
    <t>E</t>
  </si>
  <si>
    <t>May</t>
  </si>
  <si>
    <t>Fractions</t>
  </si>
  <si>
    <t>¼</t>
  </si>
  <si>
    <t>½</t>
  </si>
  <si>
    <t>¾</t>
  </si>
  <si>
    <t>⅓</t>
  </si>
  <si>
    <t>⅔</t>
  </si>
  <si>
    <t>⅕</t>
  </si>
  <si>
    <t>⅖</t>
  </si>
  <si>
    <t>⅗</t>
  </si>
  <si>
    <t>⅘</t>
  </si>
  <si>
    <t>⅙</t>
  </si>
  <si>
    <t>⅚</t>
  </si>
  <si>
    <t>⅛</t>
  </si>
  <si>
    <t>⅜</t>
  </si>
  <si>
    <t>⅝</t>
  </si>
  <si>
    <t>⅞</t>
  </si>
  <si>
    <t>↉</t>
  </si>
  <si>
    <t>↓</t>
  </si>
  <si>
    <t>7</t>
  </si>
  <si>
    <t>F</t>
  </si>
  <si>
    <t>June</t>
  </si>
  <si>
    <t>Decimals</t>
  </si>
  <si>
    <t>L</t>
  </si>
  <si>
    <t>←</t>
  </si>
  <si>
    <t>8</t>
  </si>
  <si>
    <t>G</t>
  </si>
  <si>
    <t>July</t>
  </si>
  <si>
    <t>R</t>
  </si>
  <si>
    <t>→</t>
  </si>
  <si>
    <t>9</t>
  </si>
  <si>
    <t>H</t>
  </si>
  <si>
    <t>August</t>
  </si>
  <si>
    <t>Arrow</t>
  </si>
  <si>
    <t>⤡</t>
  </si>
  <si>
    <t>ULDR</t>
  </si>
  <si>
    <t>⤢</t>
  </si>
  <si>
    <t>URDL</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</si>
  <si>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</si>
  <si>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</si>
  <si>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</si>
  <si>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</si>
  <si>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</si>
  <si>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</si>
  <si>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</si>
  <si>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</si>
  <si>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</si>
  <si>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</si>
  <si>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</si>
  <si>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</si>
  <si>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</si>
  <si>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</si>
  <si>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</si>
  <si>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</si>
  <si>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</si>
  <si>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</si>
  <si>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</si>
  <si>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</si>
  <si>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</si>
  <si>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</si>
  <si>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</si>
  <si>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</si>
  <si>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</si>
  <si>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</si>
  <si>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</si>
  <si>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</si>
  <si>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</si>
  <si>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</si>
  <si>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</si>
  <si>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</si>
  <si>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</si>
  <si>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</si>
  <si>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</si>
  <si>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</si>
  <si>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</si>
  <si>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</si>
  <si>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</si>
  <si>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N</t>
  </si>
  <si>
    <t>North</t>
  </si>
  <si>
    <t>Up</t>
  </si>
  <si>
    <t>ꜛ</t>
  </si>
  <si>
    <t>👆</t>
  </si>
  <si>
    <t>🔺</t>
  </si>
  <si>
    <t>🔼</t>
  </si>
  <si>
    <t>🖞</t>
  </si>
  <si>
    <t>🖠</t>
  </si>
  <si>
    <t>🖢</t>
  </si>
  <si>
    <t>⭧</t>
  </si>
  <si>
    <t>⭷</t>
  </si>
  <si>
    <t>⬀</t>
  </si>
  <si>
    <t>⬈</t>
  </si>
  <si>
    <t>↗</t>
  </si>
  <si>
    <t>⇗</t>
  </si>
  <si>
    <t>➚</t>
  </si>
  <si>
    <t>➶</t>
  </si>
  <si>
    <t>➹</t>
  </si>
  <si>
    <t>NE</t>
  </si>
  <si>
    <t>Northeast</t>
  </si>
  <si>
    <t>RU</t>
  </si>
  <si>
    <t>UR</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</si>
  <si>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</si>
  <si>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</si>
  <si>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</si>
  <si>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</si>
  <si>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</si>
  <si>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</si>
  <si>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</si>
  <si>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</si>
  <si>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</si>
  <si>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</si>
  <si>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</si>
  <si>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</si>
  <si>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</si>
  <si>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</si>
  <si>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</si>
  <si>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</si>
  <si>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</si>
  <si>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</si>
  <si>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</si>
  <si>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</si>
  <si>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</si>
  <si>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</si>
  <si>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</si>
  <si>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</si>
  <si>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</si>
  <si>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</si>
  <si>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</si>
  <si>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</si>
  <si>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</si>
  <si>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</si>
  <si>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</si>
  <si>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</si>
  <si>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</si>
  <si>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</si>
  <si>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</si>
  <si>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</si>
  <si>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</si>
  <si>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</si>
  <si>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</si>
  <si>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</si>
  <si>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</si>
  <si>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</si>
  <si>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</si>
  <si>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</si>
  <si>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</si>
  <si>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</si>
  <si>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</si>
  <si>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</si>
  <si>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</si>
  <si>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</si>
  <si>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</si>
  <si>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</si>
  <si>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</si>
  <si>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</si>
  <si>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</si>
  <si>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</si>
  <si>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</si>
  <si>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</si>
  <si>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</si>
  <si>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</si>
  <si>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</si>
  <si>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</si>
  <si>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</si>
  <si>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</si>
  <si>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</si>
  <si>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</si>
  <si>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</si>
  <si>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</si>
  <si>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</si>
  <si>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</si>
  <si>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</si>
  <si>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</si>
  <si>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</si>
  <si>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</si>
  <si>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</si>
  <si>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</si>
  <si>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</si>
  <si>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</si>
  <si>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</si>
  <si>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</si>
  <si>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</si>
  <si>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</si>
  <si>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</si>
  <si>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</si>
  <si>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</si>
  <si>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</si>
  <si>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</si>
  <si>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</si>
  <si>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</si>
  <si>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</si>
  <si>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</si>
  <si>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</si>
  <si>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</si>
  <si>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</si>
  <si>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</si>
  <si>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</si>
  <si>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</si>
  <si>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</si>
  <si>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</si>
  <si>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</si>
  <si>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East</t>
  </si>
  <si>
    <t>Right</t>
  </si>
  <si>
    <t>👈</t>
  </si>
  <si>
    <t>👉</t>
  </si>
  <si>
    <t>🖙</t>
  </si>
  <si>
    <t>🖛</t>
  </si>
  <si>
    <t>🖝</t>
  </si>
  <si>
    <t>⭨</t>
  </si>
  <si>
    <t>⭸</t>
  </si>
  <si>
    <t>⬂</t>
  </si>
  <si>
    <t>⬊</t>
  </si>
  <si>
    <t>↘</t>
  </si>
  <si>
    <t>⇘</t>
  </si>
  <si>
    <t>➘</t>
  </si>
  <si>
    <t>➴</t>
  </si>
  <si>
    <t>➷</t>
  </si>
  <si>
    <t>⇲</t>
  </si>
  <si>
    <t>DR</t>
  </si>
  <si>
    <t>RD</t>
  </si>
  <si>
    <t>SE</t>
  </si>
  <si>
    <t>Southeast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</si>
  <si>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</si>
  <si>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</si>
  <si>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</si>
  <si>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</si>
  <si>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</si>
  <si>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</si>
  <si>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</si>
  <si>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</si>
  <si>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</si>
  <si>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</si>
  <si>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</si>
  <si>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</si>
  <si>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</si>
  <si>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</si>
  <si>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</si>
  <si>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</si>
  <si>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</si>
  <si>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</si>
  <si>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</si>
  <si>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</si>
  <si>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</si>
  <si>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</si>
  <si>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</si>
  <si>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</si>
  <si>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</si>
  <si>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</si>
  <si>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</si>
  <si>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</si>
  <si>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</si>
  <si>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</si>
  <si>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</si>
  <si>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</si>
  <si>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</si>
  <si>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</si>
  <si>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</si>
  <si>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Down</t>
  </si>
  <si>
    <t>S</t>
  </si>
  <si>
    <t>South</t>
  </si>
  <si>
    <t>ꜜ</t>
  </si>
  <si>
    <t>👇</t>
  </si>
  <si>
    <t>🔻</t>
  </si>
  <si>
    <t>🔽</t>
  </si>
  <si>
    <t>🖗</t>
  </si>
  <si>
    <t>🖟</t>
  </si>
  <si>
    <t>🖡</t>
  </si>
  <si>
    <t>🖣</t>
  </si>
  <si>
    <t>⭩</t>
  </si>
  <si>
    <t>⭹</t>
  </si>
  <si>
    <t>⬃</t>
  </si>
  <si>
    <t>⬋</t>
  </si>
  <si>
    <t>↙</t>
  </si>
  <si>
    <t>⇙</t>
  </si>
  <si>
    <t>⟀</t>
  </si>
  <si>
    <t>DL</t>
  </si>
  <si>
    <t>LD</t>
  </si>
  <si>
    <t>Southwest</t>
  </si>
  <si>
    <t>SW</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</si>
  <si>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</si>
  <si>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</si>
  <si>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</si>
  <si>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</si>
  <si>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</si>
  <si>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</si>
  <si>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</si>
  <si>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</si>
  <si>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</si>
  <si>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</si>
  <si>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</si>
  <si>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</si>
  <si>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</si>
  <si>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</si>
  <si>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</si>
  <si>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</si>
  <si>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</si>
  <si>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</si>
  <si>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</si>
  <si>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</si>
  <si>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</si>
  <si>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</si>
  <si>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</si>
  <si>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</si>
  <si>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</si>
  <si>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</si>
  <si>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</si>
  <si>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</si>
  <si>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</si>
  <si>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</si>
  <si>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</si>
  <si>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</si>
  <si>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</si>
  <si>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</si>
  <si>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</si>
  <si>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</si>
  <si>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</si>
  <si>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</si>
  <si>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</si>
  <si>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</si>
  <si>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</si>
  <si>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</si>
  <si>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</si>
  <si>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</si>
  <si>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</si>
  <si>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</si>
  <si>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</si>
  <si>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</si>
  <si>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</si>
  <si>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</si>
  <si>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</si>
  <si>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</si>
  <si>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</si>
  <si>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</si>
  <si>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</si>
  <si>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</si>
  <si>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</si>
  <si>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</si>
  <si>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</si>
  <si>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</si>
  <si>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</si>
  <si>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</si>
  <si>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</si>
  <si>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</si>
  <si>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</si>
  <si>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</si>
  <si>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</si>
  <si>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</si>
  <si>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</si>
  <si>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</si>
  <si>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</si>
  <si>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Left</t>
  </si>
  <si>
    <t>W</t>
  </si>
  <si>
    <t>West</t>
  </si>
  <si>
    <t>🖘</t>
  </si>
  <si>
    <t>🖚</t>
  </si>
  <si>
    <t>🖜</t>
  </si>
  <si>
    <t>⭦</t>
  </si>
  <si>
    <t>⭶</t>
  </si>
  <si>
    <t>⬁</t>
  </si>
  <si>
    <t>⬉</t>
  </si>
  <si>
    <t>↖</t>
  </si>
  <si>
    <t>↸</t>
  </si>
  <si>
    <t>⇖</t>
  </si>
  <si>
    <t>⇱</t>
  </si>
  <si>
    <t>LU</t>
  </si>
  <si>
    <t>Northwest</t>
  </si>
  <si>
    <t>NW</t>
  </si>
  <si>
    <t>UL</t>
  </si>
  <si>
    <t>⭤</t>
  </si>
  <si>
    <t>⮀</t>
  </si>
  <si>
    <t>⮂</t>
  </si>
  <si>
    <t>⬄</t>
  </si>
  <si>
    <t>⬌</t>
  </si>
  <si>
    <t>⇹</t>
  </si>
  <si>
    <t>⇼</t>
  </si>
  <si>
    <t>⇿</t>
  </si>
  <si>
    <t>↔</t>
  </si>
  <si>
    <t>↭</t>
  </si>
  <si>
    <t>↹</t>
  </si>
  <si>
    <t>⇄</t>
  </si>
  <si>
    <t>⇆</t>
  </si>
  <si>
    <t>⇋</t>
  </si>
  <si>
    <t>⇌</t>
  </si>
  <si>
    <t>⇔</t>
  </si>
  <si>
    <t>↮</t>
  </si>
  <si>
    <t>⇎</t>
  </si>
  <si>
    <t>LR</t>
  </si>
  <si>
    <t>RL</t>
  </si>
  <si>
    <t>⭥</t>
  </si>
  <si>
    <t>⮁</t>
  </si>
  <si>
    <t>⮃</t>
  </si>
  <si>
    <t>⬍</t>
  </si>
  <si>
    <t>⇵</t>
  </si>
  <si>
    <t>↕</t>
  </si>
  <si>
    <t>↨</t>
  </si>
  <si>
    <t>⇕</t>
  </si>
  <si>
    <t>⇅</t>
  </si>
  <si>
    <t>⇳</t>
  </si>
  <si>
    <t>DU</t>
  </si>
  <si>
    <t>UD</t>
  </si>
  <si>
    <t>⭮</t>
  </si>
  <si>
    <t>↷</t>
  </si>
  <si>
    <t>↻</t>
  </si>
  <si>
    <t>CW</t>
  </si>
  <si>
    <t>Clockwise</t>
  </si>
  <si>
    <t>⭯</t>
  </si>
  <si>
    <t>⮌</t>
  </si>
  <si>
    <t>⮍</t>
  </si>
  <si>
    <t>⮎</t>
  </si>
  <si>
    <t>⮏</t>
  </si>
  <si>
    <t>↶</t>
  </si>
  <si>
    <t>↺</t>
  </si>
  <si>
    <t>CCW</t>
  </si>
  <si>
    <t>Counterclockwise</t>
  </si>
  <si>
    <t>↑←</t>
  </si>
  <si>
    <t>1</t>
  </si>
  <si>
    <t>I</t>
  </si>
  <si>
    <t>September</t>
  </si>
  <si>
    <t>Standard Arrow</t>
  </si>
  <si>
    <t>↑→</t>
  </si>
  <si>
    <t>J</t>
  </si>
  <si>
    <t>October</t>
  </si>
  <si>
    <t>↓←</t>
  </si>
  <si>
    <t>Q</t>
  </si>
  <si>
    <t>K</t>
  </si>
  <si>
    <t>November</t>
  </si>
  <si>
    <t>Numeral</t>
  </si>
  <si>
    <t>↓→</t>
  </si>
  <si>
    <t>December</t>
  </si>
  <si>
    <t>Cardinal Number</t>
  </si>
  <si>
    <t>zero</t>
  </si>
  <si>
    <t>one</t>
  </si>
  <si>
    <t>two</t>
  </si>
  <si>
    <t>three</t>
  </si>
  <si>
    <t>four</t>
  </si>
  <si>
    <t>five</t>
  </si>
  <si>
    <t>six</t>
  </si>
  <si>
    <t>seven</t>
  </si>
  <si>
    <t>eight</t>
  </si>
  <si>
    <t>nine</t>
  </si>
  <si>
    <t>ten</t>
  </si>
  <si>
    <t>eleven</t>
  </si>
  <si>
    <t>twelve</t>
  </si>
  <si>
    <t>thirteen</t>
  </si>
  <si>
    <t>fourteen</t>
  </si>
  <si>
    <t>fifteen</t>
  </si>
  <si>
    <t>sixteen</t>
  </si>
  <si>
    <t>seventeen</t>
  </si>
  <si>
    <t>eighteen</t>
  </si>
  <si>
    <t>nineteen</t>
  </si>
  <si>
    <t>twenty</t>
  </si>
  <si>
    <t>twenty-one</t>
  </si>
  <si>
    <t>twenty-two</t>
  </si>
  <si>
    <t>twenty-three</t>
  </si>
  <si>
    <t>twenty-four</t>
  </si>
  <si>
    <t>twenty-five</t>
  </si>
  <si>
    <t>twenty-six</t>
  </si>
  <si>
    <t>twenty-seven</t>
  </si>
  <si>
    <t>twenty-eight</t>
  </si>
  <si>
    <t>twenty-nine</t>
  </si>
  <si>
    <t>thirty</t>
  </si>
  <si>
    <t>thirty-one</t>
  </si>
  <si>
    <t>thirty-two</t>
  </si>
  <si>
    <t>thirty-three</t>
  </si>
  <si>
    <t>thirty-four</t>
  </si>
  <si>
    <t>thirty-five</t>
  </si>
  <si>
    <t>thirty-six</t>
  </si>
  <si>
    <t>thirty-seven</t>
  </si>
  <si>
    <t>thirty-eight</t>
  </si>
  <si>
    <t>thirty-nine</t>
  </si>
  <si>
    <t>forty</t>
  </si>
  <si>
    <t>forty-one</t>
  </si>
  <si>
    <t>forty-two</t>
  </si>
  <si>
    <t>forty-three</t>
  </si>
  <si>
    <t>forty-four</t>
  </si>
  <si>
    <t>forty-five</t>
  </si>
  <si>
    <t>forty-six</t>
  </si>
  <si>
    <t>forty-seven</t>
  </si>
  <si>
    <t>forty-eight</t>
  </si>
  <si>
    <t>forty-nine</t>
  </si>
  <si>
    <t>fifty</t>
  </si>
  <si>
    <t>fifty-one</t>
  </si>
  <si>
    <t>fifty-two</t>
  </si>
  <si>
    <t>fifty-three</t>
  </si>
  <si>
    <t>fifty-four</t>
  </si>
  <si>
    <t>fifty-five</t>
  </si>
  <si>
    <t>fifty-six</t>
  </si>
  <si>
    <t>fifty-seven</t>
  </si>
  <si>
    <t>fifty-eight</t>
  </si>
  <si>
    <t>fifty-nine</t>
  </si>
  <si>
    <t>sixty</t>
  </si>
  <si>
    <t>sixty-one</t>
  </si>
  <si>
    <t>sixty-two</t>
  </si>
  <si>
    <t>sixty-three</t>
  </si>
  <si>
    <t>sixty-four</t>
  </si>
  <si>
    <t>sixty-five</t>
  </si>
  <si>
    <t>sixty-six</t>
  </si>
  <si>
    <t>sixty-seven</t>
  </si>
  <si>
    <t>sixty-eight</t>
  </si>
  <si>
    <t>sixty-nine</t>
  </si>
  <si>
    <t>seventy</t>
  </si>
  <si>
    <t>seventy-one</t>
  </si>
  <si>
    <t>seventy-two</t>
  </si>
  <si>
    <t>seventy-three</t>
  </si>
  <si>
    <t>seventy-four</t>
  </si>
  <si>
    <t>seventy-five</t>
  </si>
  <si>
    <t>seventy-six</t>
  </si>
  <si>
    <t>seventy-seven</t>
  </si>
  <si>
    <t>seventy-eight</t>
  </si>
  <si>
    <t>seventy-nine</t>
  </si>
  <si>
    <t>eighty</t>
  </si>
  <si>
    <t>eighty-one</t>
  </si>
  <si>
    <t>eighty-two</t>
  </si>
  <si>
    <t>eighty-three</t>
  </si>
  <si>
    <t>eighty-four</t>
  </si>
  <si>
    <t>eighty-five</t>
  </si>
  <si>
    <t>eighty-six</t>
  </si>
  <si>
    <t>eighty-seven</t>
  </si>
  <si>
    <t>eighty-eight</t>
  </si>
  <si>
    <t>eighty-nine</t>
  </si>
  <si>
    <t>ninety</t>
  </si>
  <si>
    <t>ninety-one</t>
  </si>
  <si>
    <t>ninety-two</t>
  </si>
  <si>
    <t>ninety-three</t>
  </si>
  <si>
    <t>ninety-four</t>
  </si>
  <si>
    <t>ninety-five</t>
  </si>
  <si>
    <t>ninety-six</t>
  </si>
  <si>
    <t>ninety-seven</t>
  </si>
  <si>
    <t>ninety-eight</t>
  </si>
  <si>
    <t>ninety-nine</t>
  </si>
  <si>
    <t>one hundred</t>
  </si>
  <si>
    <t>one hundred one</t>
  </si>
  <si>
    <t>one hundred two</t>
  </si>
  <si>
    <t>one hundred three</t>
  </si>
  <si>
    <t>one hundred four</t>
  </si>
  <si>
    <t>one hundred five</t>
  </si>
  <si>
    <t>one hundred six</t>
  </si>
  <si>
    <t>one hundred seven</t>
  </si>
  <si>
    <t>one hundred eight</t>
  </si>
  <si>
    <t>one hundred nine</t>
  </si>
  <si>
    <t>one hundred ten</t>
  </si>
  <si>
    <t>one hundred eleven</t>
  </si>
  <si>
    <t>one hundred twelve</t>
  </si>
  <si>
    <t>one hundred thirteen</t>
  </si>
  <si>
    <t>one hundred fourteen</t>
  </si>
  <si>
    <t>one hundred fifteen</t>
  </si>
  <si>
    <t>one hundred sixteen</t>
  </si>
  <si>
    <t>one hundred seventeen</t>
  </si>
  <si>
    <t>one hundred eighteen</t>
  </si>
  <si>
    <t>one hundred nineteen</t>
  </si>
  <si>
    <t>one hundred twenty</t>
  </si>
  <si>
    <t>one hundred twenty-one</t>
  </si>
  <si>
    <t>one hundred twenty-two</t>
  </si>
  <si>
    <t>one hundred twenty-three</t>
  </si>
  <si>
    <t>one hundred twenty-four</t>
  </si>
  <si>
    <t>one hundred twenty-five</t>
  </si>
  <si>
    <t>one hundred twenty-six</t>
  </si>
  <si>
    <t>one hundred twenty-seven</t>
  </si>
  <si>
    <t>one hundred twenty-eight</t>
  </si>
  <si>
    <t>one hundred twenty-nine</t>
  </si>
  <si>
    <t>one hundred thirty</t>
  </si>
  <si>
    <t>one hundred thirty-one</t>
  </si>
  <si>
    <t>one hundred thirty-two</t>
  </si>
  <si>
    <t>one hundred thirty-three</t>
  </si>
  <si>
    <t>one hundred thirty-four</t>
  </si>
  <si>
    <t>one hundred thirty-five</t>
  </si>
  <si>
    <t>one hundred thirty-six</t>
  </si>
  <si>
    <t>one hundred thirty-seven</t>
  </si>
  <si>
    <t>one hundred thirty-eight</t>
  </si>
  <si>
    <t>one hundred thirty-nine</t>
  </si>
  <si>
    <t>one hundred forty</t>
  </si>
  <si>
    <t>one hundred forty-one</t>
  </si>
  <si>
    <t>one hundred forty-two</t>
  </si>
  <si>
    <t>one hundred forty-three</t>
  </si>
  <si>
    <t>one hundred forty-four</t>
  </si>
  <si>
    <t>one hundred forty-five</t>
  </si>
  <si>
    <t>one hundred forty-six</t>
  </si>
  <si>
    <t>one hundred forty-seven</t>
  </si>
  <si>
    <t>one hundred forty-eight</t>
  </si>
  <si>
    <t>one hundred forty-nine</t>
  </si>
  <si>
    <t>one hundred fifty</t>
  </si>
  <si>
    <t>one hundred fifty-one</t>
  </si>
  <si>
    <t>one hundred fifty-two</t>
  </si>
  <si>
    <t>one hundred fifty-three</t>
  </si>
  <si>
    <t>one hundred fifty-four</t>
  </si>
  <si>
    <t>one hundred fifty-five</t>
  </si>
  <si>
    <t>one hundred fifty-six</t>
  </si>
  <si>
    <t>one hundred fifty-seven</t>
  </si>
  <si>
    <t>one hundred fifty-eight</t>
  </si>
  <si>
    <t>one hundred fifty-nine</t>
  </si>
  <si>
    <t>one hundred sixty</t>
  </si>
  <si>
    <t>one hundred sixty-one</t>
  </si>
  <si>
    <t>one hundred sixty-two</t>
  </si>
  <si>
    <t>one hundred sixty-three</t>
  </si>
  <si>
    <t>one hundred sixty-four</t>
  </si>
  <si>
    <t>one hundred sixty-five</t>
  </si>
  <si>
    <t>one hundred sixty-six</t>
  </si>
  <si>
    <t>one hundred sixty-seven</t>
  </si>
  <si>
    <t>one hundred sixty-eight</t>
  </si>
  <si>
    <t>one hundred sixty-nine</t>
  </si>
  <si>
    <t>one hundred seventy</t>
  </si>
  <si>
    <t>one hundred seventy-one</t>
  </si>
  <si>
    <t>one hundred seventy-two</t>
  </si>
  <si>
    <t>one hundred seventy-three</t>
  </si>
  <si>
    <t>one hundred seventy-four</t>
  </si>
  <si>
    <t>one hundred seventy-five</t>
  </si>
  <si>
    <t>one hundred seventy-six</t>
  </si>
  <si>
    <t>one hundred seventy-seven</t>
  </si>
  <si>
    <t>one hundred seventy-eight</t>
  </si>
  <si>
    <t>one hundred seventy-nine</t>
  </si>
  <si>
    <t>one hundred eighty</t>
  </si>
  <si>
    <t>one hundred eighty-one</t>
  </si>
  <si>
    <t>one hundred eighty-two</t>
  </si>
  <si>
    <t>one hundred eighty-three</t>
  </si>
  <si>
    <t>one hundred eighty-four</t>
  </si>
  <si>
    <t>one hundred eighty-five</t>
  </si>
  <si>
    <t>one hundred eighty-six</t>
  </si>
  <si>
    <t>one hundred eighty-seven</t>
  </si>
  <si>
    <t>one hundred eighty-eight</t>
  </si>
  <si>
    <t>one hundred eighty-nine</t>
  </si>
  <si>
    <t>one hundred ninety</t>
  </si>
  <si>
    <t>one hundred ninety-one</t>
  </si>
  <si>
    <t>one hundred ninety-two</t>
  </si>
  <si>
    <t>one hundred ninety-three</t>
  </si>
  <si>
    <t>one hundred ninety-four</t>
  </si>
  <si>
    <t>one hundred ninety-five</t>
  </si>
  <si>
    <t>one hundred ninety-six</t>
  </si>
  <si>
    <t>one hundred ninety-seven</t>
  </si>
  <si>
    <t>one hundred ninety-eight</t>
  </si>
  <si>
    <t>one hundred ninety-nine</t>
  </si>
  <si>
    <t>two hundred</t>
  </si>
  <si>
    <t>two hundred one</t>
  </si>
  <si>
    <t>two hundred two</t>
  </si>
  <si>
    <t>two hundred three</t>
  </si>
  <si>
    <t>two hundred four</t>
  </si>
  <si>
    <t>two hundred five</t>
  </si>
  <si>
    <t>two hundred six</t>
  </si>
  <si>
    <t>two hundred seven</t>
  </si>
  <si>
    <t>two hundred eight</t>
  </si>
  <si>
    <t>two hundred nine</t>
  </si>
  <si>
    <t>two hundred ten</t>
  </si>
  <si>
    <t>two hundred eleven</t>
  </si>
  <si>
    <t>two hundred twelve</t>
  </si>
  <si>
    <t>two hundred thirteen</t>
  </si>
  <si>
    <t>two hundred fourteen</t>
  </si>
  <si>
    <t>two hundred fifteen</t>
  </si>
  <si>
    <t>two hundred sixteen</t>
  </si>
  <si>
    <t>two hundred seventeen</t>
  </si>
  <si>
    <t>two hundred eighteen</t>
  </si>
  <si>
    <t>two hundred nineteen</t>
  </si>
  <si>
    <t>two hundred twenty</t>
  </si>
  <si>
    <t>two hundred twenty-one</t>
  </si>
  <si>
    <t>two hundred twenty-two</t>
  </si>
  <si>
    <t>two hundred twenty-three</t>
  </si>
  <si>
    <t>two hundred twenty-four</t>
  </si>
  <si>
    <t>two hundred twenty-five</t>
  </si>
  <si>
    <t>two hundred twenty-six</t>
  </si>
  <si>
    <t>two hundred twenty-seven</t>
  </si>
  <si>
    <t>two hundred twenty-eight</t>
  </si>
  <si>
    <t>two hundred twenty-nine</t>
  </si>
  <si>
    <t>two hundred thirty</t>
  </si>
  <si>
    <t>two hundred thirty-one</t>
  </si>
  <si>
    <t>two hundred thirty-two</t>
  </si>
  <si>
    <t>two hundred thirty-three</t>
  </si>
  <si>
    <t>two hundred thirty-four</t>
  </si>
  <si>
    <t>two hundred thirty-five</t>
  </si>
  <si>
    <t>two hundred thirty-six</t>
  </si>
  <si>
    <t>two hundred thirty-seven</t>
  </si>
  <si>
    <t>two hundred thirty-eight</t>
  </si>
  <si>
    <t>two hundred thirty-nine</t>
  </si>
  <si>
    <t>two hundred forty</t>
  </si>
  <si>
    <t>two hundred forty-one</t>
  </si>
  <si>
    <t>two hundred forty-two</t>
  </si>
  <si>
    <t>two hundred forty-three</t>
  </si>
  <si>
    <t>two hundred forty-four</t>
  </si>
  <si>
    <t>two hundred forty-five</t>
  </si>
  <si>
    <t>two hundred forty-six</t>
  </si>
  <si>
    <t>two hundred forty-seven</t>
  </si>
  <si>
    <t>two hundred forty-eight</t>
  </si>
  <si>
    <t>two hundred forty-nine</t>
  </si>
  <si>
    <t>two hundred fifty</t>
  </si>
  <si>
    <t>two hundred fifty-one</t>
  </si>
  <si>
    <t>two hundred fifty-two</t>
  </si>
  <si>
    <t>two hundred fifty-three</t>
  </si>
  <si>
    <t>two hundred fifty-four</t>
  </si>
  <si>
    <t>two hundred fifty-five</t>
  </si>
  <si>
    <t>two hundred fifty-six</t>
  </si>
  <si>
    <t>two hundred fifty-seven</t>
  </si>
  <si>
    <t>two hundred fifty-eight</t>
  </si>
  <si>
    <t>two hundred fifty-nine</t>
  </si>
  <si>
    <t>two hundred sixty</t>
  </si>
  <si>
    <t>two hundred sixty-one</t>
  </si>
  <si>
    <t>two hundred sixty-two</t>
  </si>
  <si>
    <t>two hundred sixty-three</t>
  </si>
  <si>
    <t>two hundred sixty-four</t>
  </si>
  <si>
    <t>two hundred sixty-five</t>
  </si>
  <si>
    <t>two hundred sixty-six</t>
  </si>
  <si>
    <t>two hundred sixty-seven</t>
  </si>
  <si>
    <t>two hundred sixty-eight</t>
  </si>
  <si>
    <t>two hundred sixty-nine</t>
  </si>
  <si>
    <t>two hundred seventy</t>
  </si>
  <si>
    <t>two hundred seventy-one</t>
  </si>
  <si>
    <t>two hundred seventy-two</t>
  </si>
  <si>
    <t>two hundred seventy-three</t>
  </si>
  <si>
    <t>two hundred seventy-four</t>
  </si>
  <si>
    <t>two hundred seventy-five</t>
  </si>
  <si>
    <t>two hundred seventy-six</t>
  </si>
  <si>
    <t>two hundred seventy-seven</t>
  </si>
  <si>
    <t>two hundred seventy-eight</t>
  </si>
  <si>
    <t>two hundred seventy-nine</t>
  </si>
  <si>
    <t>two hundred eighty</t>
  </si>
  <si>
    <t>two hundred eighty-one</t>
  </si>
  <si>
    <t>two hundred eighty-two</t>
  </si>
  <si>
    <t>two hundred eighty-three</t>
  </si>
  <si>
    <t>two hundred eighty-four</t>
  </si>
  <si>
    <t>two hundred eighty-five</t>
  </si>
  <si>
    <t>two hundred eighty-six</t>
  </si>
  <si>
    <t>two hundred eighty-seven</t>
  </si>
  <si>
    <t>two hundred eighty-eight</t>
  </si>
  <si>
    <t>two hundred eighty-nine</t>
  </si>
  <si>
    <t>two hundred ninety</t>
  </si>
  <si>
    <t>two hundred ninety-one</t>
  </si>
  <si>
    <t>two hundred ninety-two</t>
  </si>
  <si>
    <t>two hundred ninety-three</t>
  </si>
  <si>
    <t>two hundred ninety-four</t>
  </si>
  <si>
    <t>two hundred ninety-five</t>
  </si>
  <si>
    <t>two hundred ninety-six</t>
  </si>
  <si>
    <t>two hundred ninety-seven</t>
  </si>
  <si>
    <t>two hundred ninety-eight</t>
  </si>
  <si>
    <t>two hundred ninety-nine</t>
  </si>
  <si>
    <t>three hundred</t>
  </si>
  <si>
    <t>three hundred one</t>
  </si>
  <si>
    <t>three hundred two</t>
  </si>
  <si>
    <t>three hundred three</t>
  </si>
  <si>
    <t>three hundred four</t>
  </si>
  <si>
    <t>three hundred five</t>
  </si>
  <si>
    <t>three hundred six</t>
  </si>
  <si>
    <t>three hundred seven</t>
  </si>
  <si>
    <t>three hundred eight</t>
  </si>
  <si>
    <t>three hundred nine</t>
  </si>
  <si>
    <t>three hundred ten</t>
  </si>
  <si>
    <t>three hundred eleven</t>
  </si>
  <si>
    <t>three hundred twelve</t>
  </si>
  <si>
    <t>three hundred thirteen</t>
  </si>
  <si>
    <t>three hundred fourteen</t>
  </si>
  <si>
    <t>three hundred fifteen</t>
  </si>
  <si>
    <t>three hundred sixteen</t>
  </si>
  <si>
    <t>three hundred seventeen</t>
  </si>
  <si>
    <t>three hundred eighteen</t>
  </si>
  <si>
    <t>three hundred nineteen</t>
  </si>
  <si>
    <t>three hundred twenty</t>
  </si>
  <si>
    <t>three hundred twenty-one</t>
  </si>
  <si>
    <t>three hundred twenty-two</t>
  </si>
  <si>
    <t>three hundred twenty-three</t>
  </si>
  <si>
    <t>three hundred twenty-four</t>
  </si>
  <si>
    <t>three hundred twenty-five</t>
  </si>
  <si>
    <t>three hundred twenty-six</t>
  </si>
  <si>
    <t>three hundred twenty-seven</t>
  </si>
  <si>
    <t>three hundred twenty-eight</t>
  </si>
  <si>
    <t>three hundred twenty-nine</t>
  </si>
  <si>
    <t>three hundred thirty</t>
  </si>
  <si>
    <t>three hundred thirty-one</t>
  </si>
  <si>
    <t>three hundred thirty-two</t>
  </si>
  <si>
    <t>three hundred thirty-three</t>
  </si>
  <si>
    <t>three hundred thirty-four</t>
  </si>
  <si>
    <t>three hundred thirty-five</t>
  </si>
  <si>
    <t>three hundred thirty-six</t>
  </si>
  <si>
    <t>three hundred thirty-seven</t>
  </si>
  <si>
    <t>three hundred thirty-eight</t>
  </si>
  <si>
    <t>three hundred thirty-nine</t>
  </si>
  <si>
    <t>three hundred forty</t>
  </si>
  <si>
    <t>three hundred forty-one</t>
  </si>
  <si>
    <t>three hundred forty-two</t>
  </si>
  <si>
    <t>three hundred forty-three</t>
  </si>
  <si>
    <t>three hundred forty-four</t>
  </si>
  <si>
    <t>three hundred forty-five</t>
  </si>
  <si>
    <t>three hundred forty-six</t>
  </si>
  <si>
    <t>three hundred forty-seven</t>
  </si>
  <si>
    <t>three hundred forty-eight</t>
  </si>
  <si>
    <t>three hundred forty-nine</t>
  </si>
  <si>
    <t>three hundred fifty</t>
  </si>
  <si>
    <t>three hundred fifty-one</t>
  </si>
  <si>
    <t>three hundred fifty-two</t>
  </si>
  <si>
    <t>three hundred fifty-three</t>
  </si>
  <si>
    <t>three hundred fifty-four</t>
  </si>
  <si>
    <t>three hundred fifty-five</t>
  </si>
  <si>
    <t>three hundred fifty-six</t>
  </si>
  <si>
    <t>three hundred fifty-seven</t>
  </si>
  <si>
    <t>three hundred fifty-eight</t>
  </si>
  <si>
    <t>three hundred fifty-nine</t>
  </si>
  <si>
    <t>three hundred sixty</t>
  </si>
  <si>
    <t>three hundred sixty-one</t>
  </si>
  <si>
    <t>three hundred sixty-two</t>
  </si>
  <si>
    <t>three hundred sixty-three</t>
  </si>
  <si>
    <t>three hundred sixty-four</t>
  </si>
  <si>
    <t>three hundred sixty-five</t>
  </si>
  <si>
    <t>three hundred sixty-six</t>
  </si>
  <si>
    <t>three hundred sixty-seven</t>
  </si>
  <si>
    <t>three hundred sixty-eight</t>
  </si>
  <si>
    <t>three hundred sixty-nine</t>
  </si>
  <si>
    <t>three hundred seventy</t>
  </si>
  <si>
    <t>three hundred seventy-one</t>
  </si>
  <si>
    <t>three hundred seventy-two</t>
  </si>
  <si>
    <t>three hundred seventy-three</t>
  </si>
  <si>
    <t>three hundred seventy-four</t>
  </si>
  <si>
    <t>three hundred seventy-five</t>
  </si>
  <si>
    <t>three hundred seventy-six</t>
  </si>
  <si>
    <t>three hundred seventy-seven</t>
  </si>
  <si>
    <t>three hundred seventy-eight</t>
  </si>
  <si>
    <t>three hundred seventy-nine</t>
  </si>
  <si>
    <t>three hundred eighty</t>
  </si>
  <si>
    <t>three hundred eighty-one</t>
  </si>
  <si>
    <t>three hundred eighty-two</t>
  </si>
  <si>
    <t>three hundred eighty-three</t>
  </si>
  <si>
    <t>three hundred eighty-four</t>
  </si>
  <si>
    <t>three hundred eighty-five</t>
  </si>
  <si>
    <t>three hundred eighty-six</t>
  </si>
  <si>
    <t>three hundred eighty-seven</t>
  </si>
  <si>
    <t>three hundred eighty-eight</t>
  </si>
  <si>
    <t>three hundred eighty-nine</t>
  </si>
  <si>
    <t>three hundred ninety</t>
  </si>
  <si>
    <t>three hundred ninety-one</t>
  </si>
  <si>
    <t>three hundred ninety-two</t>
  </si>
  <si>
    <t>three hundred ninety-three</t>
  </si>
  <si>
    <t>three hundred ninety-four</t>
  </si>
  <si>
    <t>three hundred ninety-five</t>
  </si>
  <si>
    <t>three hundred ninety-six</t>
  </si>
  <si>
    <t>three hundred ninety-seven</t>
  </si>
  <si>
    <t>three hundred ninety-eight</t>
  </si>
  <si>
    <t>three hundred ninety-nine</t>
  </si>
  <si>
    <t>four hundred</t>
  </si>
  <si>
    <t>four hundred one</t>
  </si>
  <si>
    <t>four hundred two</t>
  </si>
  <si>
    <t>four hundred three</t>
  </si>
  <si>
    <t>four hundred four</t>
  </si>
  <si>
    <t>four hundred five</t>
  </si>
  <si>
    <t>four hundred six</t>
  </si>
  <si>
    <t>four hundred seven</t>
  </si>
  <si>
    <t>four hundred eight</t>
  </si>
  <si>
    <t>four hundred nine</t>
  </si>
  <si>
    <t>four hundred ten</t>
  </si>
  <si>
    <t>four hundred eleven</t>
  </si>
  <si>
    <t>four hundred twelve</t>
  </si>
  <si>
    <t>four hundred thirteen</t>
  </si>
  <si>
    <t>four hundred fourteen</t>
  </si>
  <si>
    <t>four hundred fifteen</t>
  </si>
  <si>
    <t>four hundred sixteen</t>
  </si>
  <si>
    <t>four hundred seventeen</t>
  </si>
  <si>
    <t>four hundred eighteen</t>
  </si>
  <si>
    <t>four hundred nineteen</t>
  </si>
  <si>
    <t>four hundred twenty</t>
  </si>
  <si>
    <t>four hundred twenty-one</t>
  </si>
  <si>
    <t>four hundred twenty-two</t>
  </si>
  <si>
    <t>four hundred twenty-three</t>
  </si>
  <si>
    <t>four hundred twenty-four</t>
  </si>
  <si>
    <t>four hundred twenty-five</t>
  </si>
  <si>
    <t>four hundred twenty-six</t>
  </si>
  <si>
    <t>four hundred twenty-seven</t>
  </si>
  <si>
    <t>four hundred twenty-eight</t>
  </si>
  <si>
    <t>four hundred twenty-nine</t>
  </si>
  <si>
    <t>four hundred thirty</t>
  </si>
  <si>
    <t>four hundred thirty-one</t>
  </si>
  <si>
    <t>four hundred thirty-two</t>
  </si>
  <si>
    <t>four hundred thirty-three</t>
  </si>
  <si>
    <t>four hundred thirty-four</t>
  </si>
  <si>
    <t>four hundred thirty-five</t>
  </si>
  <si>
    <t>four hundred thirty-six</t>
  </si>
  <si>
    <t>four hundred thirty-seven</t>
  </si>
  <si>
    <t>four hundred thirty-eight</t>
  </si>
  <si>
    <t>four hundred thirty-nine</t>
  </si>
  <si>
    <t>four hundred forty</t>
  </si>
  <si>
    <t>four hundred forty-one</t>
  </si>
  <si>
    <t>four hundred forty-two</t>
  </si>
  <si>
    <t>four hundred forty-three</t>
  </si>
  <si>
    <t>four hundred forty-four</t>
  </si>
  <si>
    <t>four hundred forty-five</t>
  </si>
  <si>
    <t>four hundred forty-six</t>
  </si>
  <si>
    <t>four hundred forty-seven</t>
  </si>
  <si>
    <t>four hundred forty-eight</t>
  </si>
  <si>
    <t>four hundred forty-nine</t>
  </si>
  <si>
    <t>four hundred fifty</t>
  </si>
  <si>
    <t>four hundred fifty-one</t>
  </si>
  <si>
    <t>four hundred fifty-two</t>
  </si>
  <si>
    <t>four hundred fifty-three</t>
  </si>
  <si>
    <t>four hundred fifty-four</t>
  </si>
  <si>
    <t>four hundred fifty-five</t>
  </si>
  <si>
    <t>four hundred fifty-six</t>
  </si>
  <si>
    <t>four hundred fifty-seven</t>
  </si>
  <si>
    <t>four hundred fifty-eight</t>
  </si>
  <si>
    <t>four hundred fifty-nine</t>
  </si>
  <si>
    <t>four hundred sixty</t>
  </si>
  <si>
    <t>four hundred sixty-one</t>
  </si>
  <si>
    <t>four hundred sixty-two</t>
  </si>
  <si>
    <t>four hundred sixty-three</t>
  </si>
  <si>
    <t>four hundred sixty-four</t>
  </si>
  <si>
    <t>four hundred sixty-five</t>
  </si>
  <si>
    <t>four hundred sixty-six</t>
  </si>
  <si>
    <t>four hundred sixty-seven</t>
  </si>
  <si>
    <t>four hundred sixty-eight</t>
  </si>
  <si>
    <t>four hundred sixty-nine</t>
  </si>
  <si>
    <t>four hundred seventy</t>
  </si>
  <si>
    <t>four hundred seventy-one</t>
  </si>
  <si>
    <t>four hundred seventy-two</t>
  </si>
  <si>
    <t>four hundred seventy-three</t>
  </si>
  <si>
    <t>four hundred seventy-four</t>
  </si>
  <si>
    <t>four hundred seventy-five</t>
  </si>
  <si>
    <t>four hundred seventy-six</t>
  </si>
  <si>
    <t>four hundred seventy-seven</t>
  </si>
  <si>
    <t>four hundred seventy-eight</t>
  </si>
  <si>
    <t>four hundred seventy-nine</t>
  </si>
  <si>
    <t>four hundred eighty</t>
  </si>
  <si>
    <t>four hundred eighty-one</t>
  </si>
  <si>
    <t>four hundred eighty-two</t>
  </si>
  <si>
    <t>four hundred eighty-three</t>
  </si>
  <si>
    <t>four hundred eighty-four</t>
  </si>
  <si>
    <t>four hundred eighty-five</t>
  </si>
  <si>
    <t>four hundred eighty-six</t>
  </si>
  <si>
    <t>four hundred eighty-seven</t>
  </si>
  <si>
    <t>four hundred eighty-eight</t>
  </si>
  <si>
    <t>four hundred eighty-nine</t>
  </si>
  <si>
    <t>four hundred ninety</t>
  </si>
  <si>
    <t>four hundred ninety-one</t>
  </si>
  <si>
    <t>four hundred ninety-two</t>
  </si>
  <si>
    <t>four hundred ninety-three</t>
  </si>
  <si>
    <t>four hundred ninety-four</t>
  </si>
  <si>
    <t>four hundred ninety-five</t>
  </si>
  <si>
    <t>four hundred ninety-six</t>
  </si>
  <si>
    <t>four hundred ninety-seven</t>
  </si>
  <si>
    <t>four hundred ninety-eight</t>
  </si>
  <si>
    <t>four hundred ninety-nine</t>
  </si>
  <si>
    <t>five hundred</t>
  </si>
  <si>
    <t>five hundred one</t>
  </si>
  <si>
    <t>five hundred two</t>
  </si>
  <si>
    <t>five hundred three</t>
  </si>
  <si>
    <t>five hundred four</t>
  </si>
  <si>
    <t>five hundred five</t>
  </si>
  <si>
    <t>five hundred six</t>
  </si>
  <si>
    <t>five hundred seven</t>
  </si>
  <si>
    <t>five hundred eight</t>
  </si>
  <si>
    <t>five hundred nine</t>
  </si>
  <si>
    <t>five hundred ten</t>
  </si>
  <si>
    <t>five hundred eleven</t>
  </si>
  <si>
    <t>five hundred twelve</t>
  </si>
  <si>
    <t>five hundred thirteen</t>
  </si>
  <si>
    <t>five hundred fourteen</t>
  </si>
  <si>
    <t>five hundred fifteen</t>
  </si>
  <si>
    <t>five hundred sixteen</t>
  </si>
  <si>
    <t>five hundred seventeen</t>
  </si>
  <si>
    <t>five hundred eighteen</t>
  </si>
  <si>
    <t>five hundred nineteen</t>
  </si>
  <si>
    <t>five hundred twenty</t>
  </si>
  <si>
    <t>five hundred twenty-one</t>
  </si>
  <si>
    <t>five hundred twenty-two</t>
  </si>
  <si>
    <t>five hundred twenty-three</t>
  </si>
  <si>
    <t>five hundred twenty-four</t>
  </si>
  <si>
    <t>five hundred twenty-five</t>
  </si>
  <si>
    <t>five hundred twenty-six</t>
  </si>
  <si>
    <t>five hundred twenty-seven</t>
  </si>
  <si>
    <t>five hundred twenty-eight</t>
  </si>
  <si>
    <t>five hundred twenty-nine</t>
  </si>
  <si>
    <t>five hundred thirty</t>
  </si>
  <si>
    <t>five hundred thirty-one</t>
  </si>
  <si>
    <t>five hundred thirty-two</t>
  </si>
  <si>
    <t>five hundred thirty-three</t>
  </si>
  <si>
    <t>five hundred thirty-four</t>
  </si>
  <si>
    <t>five hundred thirty-five</t>
  </si>
  <si>
    <t>five hundred thirty-six</t>
  </si>
  <si>
    <t>five hundred thirty-seven</t>
  </si>
  <si>
    <t>five hundred thirty-eight</t>
  </si>
  <si>
    <t>five hundred thirty-nine</t>
  </si>
  <si>
    <t>five hundred forty</t>
  </si>
  <si>
    <t>five hundred forty-one</t>
  </si>
  <si>
    <t>five hundred forty-two</t>
  </si>
  <si>
    <t>five hundred forty-three</t>
  </si>
  <si>
    <t>five hundred forty-four</t>
  </si>
  <si>
    <t>five hundred forty-five</t>
  </si>
  <si>
    <t>five hundred forty-six</t>
  </si>
  <si>
    <t>five hundred forty-seven</t>
  </si>
  <si>
    <t>five hundred forty-eight</t>
  </si>
  <si>
    <t>five hundred forty-nine</t>
  </si>
  <si>
    <t>five hundred fifty</t>
  </si>
  <si>
    <t>five hundred fifty-one</t>
  </si>
  <si>
    <t>five hundred fifty-two</t>
  </si>
  <si>
    <t>five hundred fifty-three</t>
  </si>
  <si>
    <t>five hundred fifty-four</t>
  </si>
  <si>
    <t>five hundred fifty-five</t>
  </si>
  <si>
    <t>five hundred fifty-six</t>
  </si>
  <si>
    <t>five hundred fifty-seven</t>
  </si>
  <si>
    <t>five hundred fifty-eight</t>
  </si>
  <si>
    <t>five hundred fifty-nine</t>
  </si>
  <si>
    <t>five hundred sixty</t>
  </si>
  <si>
    <t>five hundred sixty-one</t>
  </si>
  <si>
    <t>five hundred sixty-two</t>
  </si>
  <si>
    <t>five hundred sixty-three</t>
  </si>
  <si>
    <t>five hundred sixty-four</t>
  </si>
  <si>
    <t>five hundred sixty-five</t>
  </si>
  <si>
    <t>five hundred sixty-six</t>
  </si>
  <si>
    <t>five hundred sixty-seven</t>
  </si>
  <si>
    <t>five hundred sixty-eight</t>
  </si>
  <si>
    <t>five hundred sixty-nine</t>
  </si>
  <si>
    <t>five hundred seventy</t>
  </si>
  <si>
    <t>five hundred seventy-one</t>
  </si>
  <si>
    <t>five hundred seventy-two</t>
  </si>
  <si>
    <t>five hundred seventy-three</t>
  </si>
  <si>
    <t>five hundred seventy-four</t>
  </si>
  <si>
    <t>five hundred seventy-five</t>
  </si>
  <si>
    <t>five hundred seventy-six</t>
  </si>
  <si>
    <t>five hundred seventy-seven</t>
  </si>
  <si>
    <t>five hundred seventy-eight</t>
  </si>
  <si>
    <t>five hundred seventy-nine</t>
  </si>
  <si>
    <t>five hundred eighty</t>
  </si>
  <si>
    <t>five hundred eighty-one</t>
  </si>
  <si>
    <t>five hundred eighty-two</t>
  </si>
  <si>
    <t>five hundred eighty-three</t>
  </si>
  <si>
    <t>five hundred eighty-four</t>
  </si>
  <si>
    <t>five hundred eighty-five</t>
  </si>
  <si>
    <t>five hundred eighty-six</t>
  </si>
  <si>
    <t>five hundred eighty-seven</t>
  </si>
  <si>
    <t>five hundred eighty-eight</t>
  </si>
  <si>
    <t>five hundred eighty-nine</t>
  </si>
  <si>
    <t>five hundred ninety</t>
  </si>
  <si>
    <t>five hundred ninety-one</t>
  </si>
  <si>
    <t>five hundred ninety-two</t>
  </si>
  <si>
    <t>five hundred ninety-three</t>
  </si>
  <si>
    <t>five hundred ninety-four</t>
  </si>
  <si>
    <t>five hundred ninety-five</t>
  </si>
  <si>
    <t>five hundred ninety-six</t>
  </si>
  <si>
    <t>five hundred ninety-seven</t>
  </si>
  <si>
    <t>five hundred ninety-eight</t>
  </si>
  <si>
    <t>five hundred ninety-nine</t>
  </si>
  <si>
    <t>six hundred</t>
  </si>
  <si>
    <t>six hundred one</t>
  </si>
  <si>
    <t>six hundred two</t>
  </si>
  <si>
    <t>six hundred three</t>
  </si>
  <si>
    <t>six hundred four</t>
  </si>
  <si>
    <t>six hundred five</t>
  </si>
  <si>
    <t>six hundred six</t>
  </si>
  <si>
    <t>six hundred seven</t>
  </si>
  <si>
    <t>six hundred eight</t>
  </si>
  <si>
    <t>six hundred nine</t>
  </si>
  <si>
    <t>six hundred ten</t>
  </si>
  <si>
    <t>six hundred eleven</t>
  </si>
  <si>
    <t>six hundred twelve</t>
  </si>
  <si>
    <t>six hundred thirteen</t>
  </si>
  <si>
    <t>six hundred fourteen</t>
  </si>
  <si>
    <t>six hundred fifteen</t>
  </si>
  <si>
    <t>six hundred sixteen</t>
  </si>
  <si>
    <t>six hundred seventeen</t>
  </si>
  <si>
    <t>six hundred eighteen</t>
  </si>
  <si>
    <t>six hundred nineteen</t>
  </si>
  <si>
    <t>six hundred twenty</t>
  </si>
  <si>
    <t>six hundred twenty-one</t>
  </si>
  <si>
    <t>six hundred twenty-two</t>
  </si>
  <si>
    <t>six hundred twenty-three</t>
  </si>
  <si>
    <t>six hundred twenty-four</t>
  </si>
  <si>
    <t>six hundred twenty-five</t>
  </si>
  <si>
    <t>six hundred twenty-six</t>
  </si>
  <si>
    <t>six hundred twenty-seven</t>
  </si>
  <si>
    <t>six hundred twenty-eight</t>
  </si>
  <si>
    <t>six hundred twenty-nine</t>
  </si>
  <si>
    <t>six hundred thirty</t>
  </si>
  <si>
    <t>six hundred thirty-one</t>
  </si>
  <si>
    <t>six hundred thirty-two</t>
  </si>
  <si>
    <t>six hundred thirty-three</t>
  </si>
  <si>
    <t>six hundred thirty-four</t>
  </si>
  <si>
    <t>six hundred thirty-five</t>
  </si>
  <si>
    <t>six hundred thirty-six</t>
  </si>
  <si>
    <t>six hundred thirty-seven</t>
  </si>
  <si>
    <t>six hundred thirty-eight</t>
  </si>
  <si>
    <t>six hundred thirty-nine</t>
  </si>
  <si>
    <t>six hundred forty</t>
  </si>
  <si>
    <t>six hundred forty-one</t>
  </si>
  <si>
    <t>six hundred forty-two</t>
  </si>
  <si>
    <t>six hundred forty-three</t>
  </si>
  <si>
    <t>six hundred forty-four</t>
  </si>
  <si>
    <t>six hundred forty-five</t>
  </si>
  <si>
    <t>six hundred forty-six</t>
  </si>
  <si>
    <t>six hundred forty-seven</t>
  </si>
  <si>
    <t>six hundred forty-eight</t>
  </si>
  <si>
    <t>six hundred forty-nine</t>
  </si>
  <si>
    <t>six hundred fifty</t>
  </si>
  <si>
    <t>six hundred fifty-one</t>
  </si>
  <si>
    <t>six hundred fifty-two</t>
  </si>
  <si>
    <t>six hundred fifty-three</t>
  </si>
  <si>
    <t>six hundred fifty-four</t>
  </si>
  <si>
    <t>six hundred fifty-five</t>
  </si>
  <si>
    <t>six hundred fifty-six</t>
  </si>
  <si>
    <t>six hundred fifty-seven</t>
  </si>
  <si>
    <t>six hundred fifty-eight</t>
  </si>
  <si>
    <t>six hundred fifty-nine</t>
  </si>
  <si>
    <t>six hundred sixty</t>
  </si>
  <si>
    <t>six hundred sixty-one</t>
  </si>
  <si>
    <t>six hundred sixty-two</t>
  </si>
  <si>
    <t>six hundred sixty-three</t>
  </si>
  <si>
    <t>six hundred sixty-four</t>
  </si>
  <si>
    <t>six hundred sixty-five</t>
  </si>
  <si>
    <t>six hundred sixty-six</t>
  </si>
  <si>
    <t>six hundred sixty-seven</t>
  </si>
  <si>
    <t>six hundred sixty-eight</t>
  </si>
  <si>
    <t>six hundred sixty-nine</t>
  </si>
  <si>
    <t>six hundred seventy</t>
  </si>
  <si>
    <t>six hundred seventy-one</t>
  </si>
  <si>
    <t>six hundred seventy-two</t>
  </si>
  <si>
    <t>six hundred seventy-three</t>
  </si>
  <si>
    <t>six hundred seventy-four</t>
  </si>
  <si>
    <t>six hundred seventy-five</t>
  </si>
  <si>
    <t>six hundred seventy-six</t>
  </si>
  <si>
    <t>six hundred seventy-seven</t>
  </si>
  <si>
    <t>six hundred seventy-eight</t>
  </si>
  <si>
    <t>six hundred seventy-nine</t>
  </si>
  <si>
    <t>six hundred eighty</t>
  </si>
  <si>
    <t>six hundred eighty-one</t>
  </si>
  <si>
    <t>six hundred eighty-two</t>
  </si>
  <si>
    <t>six hundred eighty-three</t>
  </si>
  <si>
    <t>six hundred eighty-four</t>
  </si>
  <si>
    <t>six hundred eighty-five</t>
  </si>
  <si>
    <t>six hundred eighty-six</t>
  </si>
  <si>
    <t>six hundred eighty-seven</t>
  </si>
  <si>
    <t>six hundred eighty-eight</t>
  </si>
  <si>
    <t>six hundred eighty-nine</t>
  </si>
  <si>
    <t>six hundred ninety</t>
  </si>
  <si>
    <t>six hundred ninety-one</t>
  </si>
  <si>
    <t>six hundred ninety-two</t>
  </si>
  <si>
    <t>six hundred ninety-three</t>
  </si>
  <si>
    <t>six hundred ninety-four</t>
  </si>
  <si>
    <t>six hundred ninety-five</t>
  </si>
  <si>
    <t>six hundred ninety-six</t>
  </si>
  <si>
    <t>six hundred ninety-seven</t>
  </si>
  <si>
    <t>six hundred ninety-eight</t>
  </si>
  <si>
    <t>six hundred ninety-nine</t>
  </si>
  <si>
    <t>seven hundred</t>
  </si>
  <si>
    <t>seven hundred one</t>
  </si>
  <si>
    <t>seven hundred two</t>
  </si>
  <si>
    <t>seven hundred three</t>
  </si>
  <si>
    <t>seven hundred four</t>
  </si>
  <si>
    <t>seven hundred five</t>
  </si>
  <si>
    <t>seven hundred six</t>
  </si>
  <si>
    <t>seven hundred seven</t>
  </si>
  <si>
    <t>seven hundred eight</t>
  </si>
  <si>
    <t>seven hundred nine</t>
  </si>
  <si>
    <t>seven hundred ten</t>
  </si>
  <si>
    <t>seven hundred eleven</t>
  </si>
  <si>
    <t>seven hundred twelve</t>
  </si>
  <si>
    <t>seven hundred thirteen</t>
  </si>
  <si>
    <t>seven hundred fourteen</t>
  </si>
  <si>
    <t>seven hundred fifteen</t>
  </si>
  <si>
    <t>seven hundred sixteen</t>
  </si>
  <si>
    <t>seven hundred seventeen</t>
  </si>
  <si>
    <t>seven hundred eighteen</t>
  </si>
  <si>
    <t>seven hundred nineteen</t>
  </si>
  <si>
    <t>seven hundred twenty</t>
  </si>
  <si>
    <t>seven hundred twenty-one</t>
  </si>
  <si>
    <t>seven hundred twenty-two</t>
  </si>
  <si>
    <t>seven hundred twenty-three</t>
  </si>
  <si>
    <t>seven hundred twenty-four</t>
  </si>
  <si>
    <t>seven hundred twenty-five</t>
  </si>
  <si>
    <t>seven hundred twenty-six</t>
  </si>
  <si>
    <t>seven hundred twenty-seven</t>
  </si>
  <si>
    <t>seven hundred twenty-eight</t>
  </si>
  <si>
    <t>seven hundred twenty-nine</t>
  </si>
  <si>
    <t>seven hundred thirty</t>
  </si>
  <si>
    <t>seven hundred thirty-one</t>
  </si>
  <si>
    <t>seven hundred thirty-two</t>
  </si>
  <si>
    <t>seven hundred thirty-three</t>
  </si>
  <si>
    <t>seven hundred thirty-four</t>
  </si>
  <si>
    <t>seven hundred thirty-five</t>
  </si>
  <si>
    <t>seven hundred thirty-six</t>
  </si>
  <si>
    <t>seven hundred thirty-seven</t>
  </si>
  <si>
    <t>seven hundred thirty-eight</t>
  </si>
  <si>
    <t>seven hundred thirty-nine</t>
  </si>
  <si>
    <t>seven hundred forty</t>
  </si>
  <si>
    <t>seven hundred forty-one</t>
  </si>
  <si>
    <t>seven hundred forty-two</t>
  </si>
  <si>
    <t>seven hundred forty-three</t>
  </si>
  <si>
    <t>seven hundred forty-four</t>
  </si>
  <si>
    <t>seven hundred forty-five</t>
  </si>
  <si>
    <t>seven hundred forty-six</t>
  </si>
  <si>
    <t>seven hundred forty-seven</t>
  </si>
  <si>
    <t>seven hundred forty-eight</t>
  </si>
  <si>
    <t>seven hundred forty-nine</t>
  </si>
  <si>
    <t>seven hundred fifty</t>
  </si>
  <si>
    <t>seven hundred fifty-one</t>
  </si>
  <si>
    <t>seven hundred fifty-two</t>
  </si>
  <si>
    <t>seven hundred fifty-three</t>
  </si>
  <si>
    <t>seven hundred fifty-four</t>
  </si>
  <si>
    <t>seven hundred fifty-five</t>
  </si>
  <si>
    <t>seven hundred fifty-six</t>
  </si>
  <si>
    <t>seven hundred fifty-seven</t>
  </si>
  <si>
    <t>seven hundred fifty-eight</t>
  </si>
  <si>
    <t>seven hundred fifty-nine</t>
  </si>
  <si>
    <t>seven hundred sixty</t>
  </si>
  <si>
    <t>seven hundred sixty-one</t>
  </si>
  <si>
    <t>seven hundred sixty-two</t>
  </si>
  <si>
    <t>seven hundred sixty-three</t>
  </si>
  <si>
    <t>seven hundred sixty-four</t>
  </si>
  <si>
    <t>seven hundred sixty-five</t>
  </si>
  <si>
    <t>seven hundred sixty-six</t>
  </si>
  <si>
    <t>seven hundred sixty-seven</t>
  </si>
  <si>
    <t>seven hundred sixty-eight</t>
  </si>
  <si>
    <t>seven hundred sixty-nine</t>
  </si>
  <si>
    <t>seven hundred seventy</t>
  </si>
  <si>
    <t>seven hundred seventy-one</t>
  </si>
  <si>
    <t>seven hundred seventy-two</t>
  </si>
  <si>
    <t>seven hundred seventy-three</t>
  </si>
  <si>
    <t>seven hundred seventy-four</t>
  </si>
  <si>
    <t>seven hundred seventy-five</t>
  </si>
  <si>
    <t>seven hundred seventy-six</t>
  </si>
  <si>
    <t>seven hundred seventy-seven</t>
  </si>
  <si>
    <t>seven hundred seventy-eight</t>
  </si>
  <si>
    <t>seven hundred seventy-nine</t>
  </si>
  <si>
    <t>seven hundred eighty</t>
  </si>
  <si>
    <t>seven hundred eighty-one</t>
  </si>
  <si>
    <t>seven hundred eighty-two</t>
  </si>
  <si>
    <t>seven hundred eighty-three</t>
  </si>
  <si>
    <t>seven hundred eighty-four</t>
  </si>
  <si>
    <t>seven hundred eighty-five</t>
  </si>
  <si>
    <t>seven hundred eighty-six</t>
  </si>
  <si>
    <t>seven hundred eighty-seven</t>
  </si>
  <si>
    <t>seven hundred eighty-eight</t>
  </si>
  <si>
    <t>seven hundred eighty-nine</t>
  </si>
  <si>
    <t>seven hundred ninety</t>
  </si>
  <si>
    <t>seven hundred ninety-one</t>
  </si>
  <si>
    <t>seven hundred ninety-two</t>
  </si>
  <si>
    <t>seven hundred ninety-three</t>
  </si>
  <si>
    <t>seven hundred ninety-four</t>
  </si>
  <si>
    <t>seven hundred ninety-five</t>
  </si>
  <si>
    <t>seven hundred ninety-six</t>
  </si>
  <si>
    <t>seven hundred ninety-seven</t>
  </si>
  <si>
    <t>seven hundred ninety-eight</t>
  </si>
  <si>
    <t>seven hundred ninety-nine</t>
  </si>
  <si>
    <t>eight hundred</t>
  </si>
  <si>
    <t>eight hundred one</t>
  </si>
  <si>
    <t>eight hundred two</t>
  </si>
  <si>
    <t>eight hundred three</t>
  </si>
  <si>
    <t>eight hundred four</t>
  </si>
  <si>
    <t>eight hundred five</t>
  </si>
  <si>
    <t>eight hundred six</t>
  </si>
  <si>
    <t>eight hundred seven</t>
  </si>
  <si>
    <t>eight hundred eight</t>
  </si>
  <si>
    <t>eight hundred nine</t>
  </si>
  <si>
    <t>eight hundred ten</t>
  </si>
  <si>
    <t>eight hundred eleven</t>
  </si>
  <si>
    <t>eight hundred twelve</t>
  </si>
  <si>
    <t>eight hundred thirteen</t>
  </si>
  <si>
    <t>eight hundred fourteen</t>
  </si>
  <si>
    <t>eight hundred fifteen</t>
  </si>
  <si>
    <t>eight hundred sixteen</t>
  </si>
  <si>
    <t>eight hundred seventeen</t>
  </si>
  <si>
    <t>eight hundred eighteen</t>
  </si>
  <si>
    <t>eight hundred nineteen</t>
  </si>
  <si>
    <t>eight hundred twenty</t>
  </si>
  <si>
    <t>eight hundred twenty-one</t>
  </si>
  <si>
    <t>eight hundred twenty-two</t>
  </si>
  <si>
    <t>eight hundred twenty-three</t>
  </si>
  <si>
    <t>eight hundred twenty-four</t>
  </si>
  <si>
    <t>eight hundred twenty-five</t>
  </si>
  <si>
    <t>eight hundred twenty-six</t>
  </si>
  <si>
    <t>eight hundred twenty-seven</t>
  </si>
  <si>
    <t>eight hundred twenty-eight</t>
  </si>
  <si>
    <t>eight hundred twenty-nine</t>
  </si>
  <si>
    <t>eight hundred thirty</t>
  </si>
  <si>
    <t>eight hundred thirty-one</t>
  </si>
  <si>
    <t>eight hundred thirty-two</t>
  </si>
  <si>
    <t>eight hundred thirty-three</t>
  </si>
  <si>
    <t>eight hundred thirty-four</t>
  </si>
  <si>
    <t>eight hundred thirty-five</t>
  </si>
  <si>
    <t>eight hundred thirty-six</t>
  </si>
  <si>
    <t>eight hundred thirty-seven</t>
  </si>
  <si>
    <t>eight hundred thirty-eight</t>
  </si>
  <si>
    <t>eight hundred thirty-nine</t>
  </si>
  <si>
    <t>eight hundred forty</t>
  </si>
  <si>
    <t>eight hundred forty-one</t>
  </si>
  <si>
    <t>eight hundred forty-two</t>
  </si>
  <si>
    <t>eight hundred forty-three</t>
  </si>
  <si>
    <t>eight hundred forty-four</t>
  </si>
  <si>
    <t>eight hundred forty-five</t>
  </si>
  <si>
    <t>eight hundred forty-six</t>
  </si>
  <si>
    <t>eight hundred forty-seven</t>
  </si>
  <si>
    <t>eight hundred forty-eight</t>
  </si>
  <si>
    <t>eight hundred forty-nine</t>
  </si>
  <si>
    <t>eight hundred fifty</t>
  </si>
  <si>
    <t>eight hundred fifty-one</t>
  </si>
  <si>
    <t>eight hundred fifty-two</t>
  </si>
  <si>
    <t>eight hundred fifty-three</t>
  </si>
  <si>
    <t>eight hundred fifty-four</t>
  </si>
  <si>
    <t>eight hundred fifty-five</t>
  </si>
  <si>
    <t>eight hundred fifty-six</t>
  </si>
  <si>
    <t>eight hundred fifty-seven</t>
  </si>
  <si>
    <t>eight hundred fifty-eight</t>
  </si>
  <si>
    <t>eight hundred fifty-nine</t>
  </si>
  <si>
    <t>eight hundred sixty</t>
  </si>
  <si>
    <t>eight hundred sixty-one</t>
  </si>
  <si>
    <t>eight hundred sixty-two</t>
  </si>
  <si>
    <t>eight hundred sixty-three</t>
  </si>
  <si>
    <t>eight hundred sixty-four</t>
  </si>
  <si>
    <t>eight hundred sixty-five</t>
  </si>
  <si>
    <t>eight hundred sixty-six</t>
  </si>
  <si>
    <t>eight hundred sixty-seven</t>
  </si>
  <si>
    <t>eight hundred sixty-eight</t>
  </si>
  <si>
    <t>eight hundred sixty-nine</t>
  </si>
  <si>
    <t>eight hundred seventy</t>
  </si>
  <si>
    <t>eight hundred seventy-one</t>
  </si>
  <si>
    <t>eight hundred seventy-two</t>
  </si>
  <si>
    <t>eight hundred seventy-three</t>
  </si>
  <si>
    <t>eight hundred seventy-four</t>
  </si>
  <si>
    <t>eight hundred seventy-five</t>
  </si>
  <si>
    <t>eight hundred seventy-six</t>
  </si>
  <si>
    <t>eight hundred seventy-seven</t>
  </si>
  <si>
    <t>eight hundred seventy-eight</t>
  </si>
  <si>
    <t>eight hundred seventy-nine</t>
  </si>
  <si>
    <t>eight hundred eighty</t>
  </si>
  <si>
    <t>eight hundred eighty-one</t>
  </si>
  <si>
    <t>eight hundred eighty-two</t>
  </si>
  <si>
    <t>eight hundred eighty-three</t>
  </si>
  <si>
    <t>eight hundred eighty-four</t>
  </si>
  <si>
    <t>eight hundred eighty-five</t>
  </si>
  <si>
    <t>eight hundred eighty-six</t>
  </si>
  <si>
    <t>eight hundred eighty-seven</t>
  </si>
  <si>
    <t>eight hundred eighty-eight</t>
  </si>
  <si>
    <t>eight hundred eighty-nine</t>
  </si>
  <si>
    <t>eight hundred ninety</t>
  </si>
  <si>
    <t>eight hundred ninety-one</t>
  </si>
  <si>
    <t>eight hundred ninety-two</t>
  </si>
  <si>
    <t>eight hundred ninety-three</t>
  </si>
  <si>
    <t>eight hundred ninety-four</t>
  </si>
  <si>
    <t>eight hundred ninety-five</t>
  </si>
  <si>
    <t>eight hundred ninety-six</t>
  </si>
  <si>
    <t>eight hundred ninety-seven</t>
  </si>
  <si>
    <t>eight hundred ninety-eight</t>
  </si>
  <si>
    <t>eight hundred ninety-nine</t>
  </si>
  <si>
    <t>nine hundred</t>
  </si>
  <si>
    <t>nine hundred one</t>
  </si>
  <si>
    <t>nine hundred two</t>
  </si>
  <si>
    <t>nine hundred three</t>
  </si>
  <si>
    <t>nine hundred four</t>
  </si>
  <si>
    <t>nine hundred five</t>
  </si>
  <si>
    <t>nine hundred six</t>
  </si>
  <si>
    <t>nine hundred seven</t>
  </si>
  <si>
    <t>nine hundred eight</t>
  </si>
  <si>
    <t>nine hundred nine</t>
  </si>
  <si>
    <t>nine hundred ten</t>
  </si>
  <si>
    <t>nine hundred eleven</t>
  </si>
  <si>
    <t>nine hundred twelve</t>
  </si>
  <si>
    <t>nine hundred thirteen</t>
  </si>
  <si>
    <t>nine hundred fourteen</t>
  </si>
  <si>
    <t>nine hundred fifteen</t>
  </si>
  <si>
    <t>nine hundred sixteen</t>
  </si>
  <si>
    <t>nine hundred seventeen</t>
  </si>
  <si>
    <t>nine hundred eighteen</t>
  </si>
  <si>
    <t>nine hundred nineteen</t>
  </si>
  <si>
    <t>nine hundred twenty</t>
  </si>
  <si>
    <t>nine hundred twenty-one</t>
  </si>
  <si>
    <t>nine hundred twenty-two</t>
  </si>
  <si>
    <t>nine hundred twenty-three</t>
  </si>
  <si>
    <t>nine hundred twenty-four</t>
  </si>
  <si>
    <t>nine hundred twenty-five</t>
  </si>
  <si>
    <t>nine hundred twenty-six</t>
  </si>
  <si>
    <t>nine hundred twenty-seven</t>
  </si>
  <si>
    <t>nine hundred twenty-eight</t>
  </si>
  <si>
    <t>nine hundred twenty-nine</t>
  </si>
  <si>
    <t>nine hundred thirty</t>
  </si>
  <si>
    <t>nine hundred thirty-one</t>
  </si>
  <si>
    <t>nine hundred thirty-two</t>
  </si>
  <si>
    <t>nine hundred thirty-three</t>
  </si>
  <si>
    <t>nine hundred thirty-four</t>
  </si>
  <si>
    <t>nine hundred thirty-five</t>
  </si>
  <si>
    <t>nine hundred thirty-six</t>
  </si>
  <si>
    <t>nine hundred thirty-seven</t>
  </si>
  <si>
    <t>nine hundred thirty-eight</t>
  </si>
  <si>
    <t>nine hundred thirty-nine</t>
  </si>
  <si>
    <t>nine hundred forty</t>
  </si>
  <si>
    <t>nine hundred forty-one</t>
  </si>
  <si>
    <t>nine hundred forty-two</t>
  </si>
  <si>
    <t>nine hundred forty-three</t>
  </si>
  <si>
    <t>nine hundred forty-four</t>
  </si>
  <si>
    <t>nine hundred forty-five</t>
  </si>
  <si>
    <t>nine hundred forty-six</t>
  </si>
  <si>
    <t>nine hundred forty-seven</t>
  </si>
  <si>
    <t>nine hundred forty-eight</t>
  </si>
  <si>
    <t>nine hundred forty-nine</t>
  </si>
  <si>
    <t>nine hundred fifty</t>
  </si>
  <si>
    <t>nine hundred fifty-one</t>
  </si>
  <si>
    <t>nine hundred fifty-two</t>
  </si>
  <si>
    <t>nine hundred fifty-three</t>
  </si>
  <si>
    <t>nine hundred fifty-four</t>
  </si>
  <si>
    <t>nine hundred fifty-five</t>
  </si>
  <si>
    <t>nine hundred fifty-six</t>
  </si>
  <si>
    <t>nine hundred fifty-seven</t>
  </si>
  <si>
    <t>nine hundred fifty-eight</t>
  </si>
  <si>
    <t>nine hundred fifty-nine</t>
  </si>
  <si>
    <t>nine hundred sixty</t>
  </si>
  <si>
    <t>nine hundred sixty-one</t>
  </si>
  <si>
    <t>nine hundred sixty-two</t>
  </si>
  <si>
    <t>nine hundred sixty-three</t>
  </si>
  <si>
    <t>nine hundred sixty-four</t>
  </si>
  <si>
    <t>nine hundred sixty-five</t>
  </si>
  <si>
    <t>nine hundred sixty-six</t>
  </si>
  <si>
    <t>nine hundred sixty-seven</t>
  </si>
  <si>
    <t>nine hundred sixty-eight</t>
  </si>
  <si>
    <t>nine hundred sixty-nine</t>
  </si>
  <si>
    <t>nine hundred seventy</t>
  </si>
  <si>
    <t>nine hundred seventy-one</t>
  </si>
  <si>
    <t>nine hundred seventy-two</t>
  </si>
  <si>
    <t>nine hundred seventy-three</t>
  </si>
  <si>
    <t>nine hundred seventy-four</t>
  </si>
  <si>
    <t>nine hundred seventy-five</t>
  </si>
  <si>
    <t>nine hundred seventy-six</t>
  </si>
  <si>
    <t>nine hundred seventy-seven</t>
  </si>
  <si>
    <t>nine hundred seventy-eight</t>
  </si>
  <si>
    <t>nine hundred seventy-nine</t>
  </si>
  <si>
    <t>nine hundred eighty</t>
  </si>
  <si>
    <t>nine hundred eighty-one</t>
  </si>
  <si>
    <t>nine hundred eighty-two</t>
  </si>
  <si>
    <t>nine hundred eighty-three</t>
  </si>
  <si>
    <t>nine hundred eighty-four</t>
  </si>
  <si>
    <t>nine hundred eighty-five</t>
  </si>
  <si>
    <t>nine hundred eighty-six</t>
  </si>
  <si>
    <t>nine hundred eighty-seven</t>
  </si>
  <si>
    <t>nine hundred eighty-eight</t>
  </si>
  <si>
    <t>nine hundred eighty-nine</t>
  </si>
  <si>
    <t>nine hundred ninety</t>
  </si>
  <si>
    <t>nine hundred ninety-one</t>
  </si>
  <si>
    <t>nine hundred ninety-two</t>
  </si>
  <si>
    <t>nine hundred ninety-three</t>
  </si>
  <si>
    <t>nine hundred ninety-four</t>
  </si>
  <si>
    <t>nine hundred ninety-five</t>
  </si>
  <si>
    <t>nine hundred ninety-six</t>
  </si>
  <si>
    <t>nine hundred ninety-seven</t>
  </si>
  <si>
    <t>nine hundred ninety-eight</t>
  </si>
  <si>
    <t>nine hundred ninety-nine</t>
  </si>
  <si>
    <t>one thousand</t>
  </si>
  <si>
    <t xml:space="preserve"> </t>
  </si>
  <si>
    <t>M</t>
  </si>
  <si>
    <t>Ordinal Number</t>
  </si>
  <si>
    <t>zeroth</t>
  </si>
  <si>
    <t>first</t>
  </si>
  <si>
    <t>second</t>
  </si>
  <si>
    <t>third</t>
  </si>
  <si>
    <t>fourth</t>
  </si>
  <si>
    <t>fifth</t>
  </si>
  <si>
    <t>sixth</t>
  </si>
  <si>
    <t>seventh</t>
  </si>
  <si>
    <t>eighth</t>
  </si>
  <si>
    <t>ninth</t>
  </si>
  <si>
    <t>tenth</t>
  </si>
  <si>
    <t>eleventh</t>
  </si>
  <si>
    <t>twelfth</t>
  </si>
  <si>
    <t>thirteenth</t>
  </si>
  <si>
    <t>fourteenth</t>
  </si>
  <si>
    <t>fifteenth</t>
  </si>
  <si>
    <t>sixteenth</t>
  </si>
  <si>
    <t>seventeenth</t>
  </si>
  <si>
    <t>eighteenth</t>
  </si>
  <si>
    <t>nineteenth</t>
  </si>
  <si>
    <t>twentieth</t>
  </si>
  <si>
    <t>twenty-first</t>
  </si>
  <si>
    <t>twenty-second</t>
  </si>
  <si>
    <t>twenty-third</t>
  </si>
  <si>
    <t>twenty-fourth</t>
  </si>
  <si>
    <t>twenty-fifth</t>
  </si>
  <si>
    <t>twenty-sixth</t>
  </si>
  <si>
    <t>twenty-seventh</t>
  </si>
  <si>
    <t>twenty-eighth</t>
  </si>
  <si>
    <t>twenty-ninth</t>
  </si>
  <si>
    <t>thirtieth</t>
  </si>
  <si>
    <t>thirty-first</t>
  </si>
  <si>
    <t>thirty-second</t>
  </si>
  <si>
    <t>thirty-third</t>
  </si>
  <si>
    <t>thirty-fourth</t>
  </si>
  <si>
    <t>thirty-fifth</t>
  </si>
  <si>
    <t>thirty-sixth</t>
  </si>
  <si>
    <t>thirty-seventh</t>
  </si>
  <si>
    <t>thirty-eighth</t>
  </si>
  <si>
    <t>thirty-ninth</t>
  </si>
  <si>
    <t>fortieth</t>
  </si>
  <si>
    <t>forty-first</t>
  </si>
  <si>
    <t>forty-second</t>
  </si>
  <si>
    <t>forty-third</t>
  </si>
  <si>
    <t>forty-fourth</t>
  </si>
  <si>
    <t>forty-fifth</t>
  </si>
  <si>
    <t>forty-sixth</t>
  </si>
  <si>
    <t>forty-seventh</t>
  </si>
  <si>
    <t>forty-eighth</t>
  </si>
  <si>
    <t>forty-ninth</t>
  </si>
  <si>
    <t>fiftieth</t>
  </si>
  <si>
    <t>fifty-first</t>
  </si>
  <si>
    <t>fifty-second</t>
  </si>
  <si>
    <t>fifty-third</t>
  </si>
  <si>
    <t>fifty-fourth</t>
  </si>
  <si>
    <t>fifty-fifth</t>
  </si>
  <si>
    <t>fifty-sixth</t>
  </si>
  <si>
    <t>fifty-seventh</t>
  </si>
  <si>
    <t>fifty-eighth</t>
  </si>
  <si>
    <t>fifty-ninth</t>
  </si>
  <si>
    <t>sixtieth</t>
  </si>
  <si>
    <t>sixty-first</t>
  </si>
  <si>
    <t>sixty-second</t>
  </si>
  <si>
    <t>sixty-third</t>
  </si>
  <si>
    <t>sixty-fourth</t>
  </si>
  <si>
    <t>sixty-fifth</t>
  </si>
  <si>
    <t>sixty-sixth</t>
  </si>
  <si>
    <t>sixty-seventh</t>
  </si>
  <si>
    <t>sixty-eighth</t>
  </si>
  <si>
    <t>sixty-ninth</t>
  </si>
  <si>
    <t>seventieth</t>
  </si>
  <si>
    <t>seventy-first</t>
  </si>
  <si>
    <t>seventy-second</t>
  </si>
  <si>
    <t>seventy-third</t>
  </si>
  <si>
    <t>seventy-fourth</t>
  </si>
  <si>
    <t>seventy-fifth</t>
  </si>
  <si>
    <t>seventy-sixth</t>
  </si>
  <si>
    <t>seventy-seventh</t>
  </si>
  <si>
    <t>seventy-eighth</t>
  </si>
  <si>
    <t>seventy-ninth</t>
  </si>
  <si>
    <t>eightieth</t>
  </si>
  <si>
    <t>eighty-first</t>
  </si>
  <si>
    <t>eighty-second</t>
  </si>
  <si>
    <t>eighty-third</t>
  </si>
  <si>
    <t>eighty-fourth</t>
  </si>
  <si>
    <t>eighty-fifth</t>
  </si>
  <si>
    <t>eighty-sixth</t>
  </si>
  <si>
    <t>eighty-seventh</t>
  </si>
  <si>
    <t>eighty-eighth</t>
  </si>
  <si>
    <t>eighty-ninth</t>
  </si>
  <si>
    <t>ninetieth</t>
  </si>
  <si>
    <t>ninety-first</t>
  </si>
  <si>
    <t>ninety-second</t>
  </si>
  <si>
    <t>ninety-third</t>
  </si>
  <si>
    <t>ninety-fourth</t>
  </si>
  <si>
    <t>ninety-fifth</t>
  </si>
  <si>
    <t>ninety-sixth</t>
  </si>
  <si>
    <t>ninety-seventh</t>
  </si>
  <si>
    <t>ninety-eighth</t>
  </si>
  <si>
    <t>ninety-ninth</t>
  </si>
  <si>
    <t>one hundredth</t>
  </si>
  <si>
    <t>one hundred first</t>
  </si>
  <si>
    <t>one hundred second</t>
  </si>
  <si>
    <t>one hundred third</t>
  </si>
  <si>
    <t>one hundred fourth</t>
  </si>
  <si>
    <t>one hundred fifth</t>
  </si>
  <si>
    <t>one hundred sixth</t>
  </si>
  <si>
    <t>one hundred seventh</t>
  </si>
  <si>
    <t>one hundred eighth</t>
  </si>
  <si>
    <t>one hundred ninth</t>
  </si>
  <si>
    <t>one hundred tenth</t>
  </si>
  <si>
    <t>one hundred eleventh</t>
  </si>
  <si>
    <t>one hundred twelfth</t>
  </si>
  <si>
    <t>one hundred thirteenth</t>
  </si>
  <si>
    <t>one hundred fourteenth</t>
  </si>
  <si>
    <t>one hundred fifteenth</t>
  </si>
  <si>
    <t>one hundred sixteenth</t>
  </si>
  <si>
    <t>one hundred seventeenth</t>
  </si>
  <si>
    <t>one hundred eighteenth</t>
  </si>
  <si>
    <t>one hundred nineteenth</t>
  </si>
  <si>
    <t>one hundred twentieth</t>
  </si>
  <si>
    <t>one hundred twenty-first</t>
  </si>
  <si>
    <t>one hundred twenty-second</t>
  </si>
  <si>
    <t>one hundred twenty-third</t>
  </si>
  <si>
    <t>one hundred twenty-fourth</t>
  </si>
  <si>
    <t>one hundred twenty-fifth</t>
  </si>
  <si>
    <t>one hundred twenty-sixth</t>
  </si>
  <si>
    <t>one hundred twenty-seventh</t>
  </si>
  <si>
    <t>one hundred twenty-eighth</t>
  </si>
  <si>
    <t>one hundred twenty-ninth</t>
  </si>
  <si>
    <t>one hundred thirtieth</t>
  </si>
  <si>
    <t>one hundred thirty-first</t>
  </si>
  <si>
    <t>one hundred thirty-second</t>
  </si>
  <si>
    <t>one hundred thirty-third</t>
  </si>
  <si>
    <t>one hundred thirty-fourth</t>
  </si>
  <si>
    <t>one hundred thirty-fifth</t>
  </si>
  <si>
    <t>one hundred thirty-sixth</t>
  </si>
  <si>
    <t>one hundred thirty-seventh</t>
  </si>
  <si>
    <t>one hundred thirty-eighth</t>
  </si>
  <si>
    <t>one hundred thirty-ninth</t>
  </si>
  <si>
    <t>one hundred fortieth</t>
  </si>
  <si>
    <t>one hundred forty-first</t>
  </si>
  <si>
    <t>one hundred forty-second</t>
  </si>
  <si>
    <t>one hundred forty-third</t>
  </si>
  <si>
    <t>one hundred forty-fourth</t>
  </si>
  <si>
    <t>one hundred forty-fifth</t>
  </si>
  <si>
    <t>one hundred forty-sixth</t>
  </si>
  <si>
    <t>one hundred forty-seventh</t>
  </si>
  <si>
    <t>one hundred forty-eighth</t>
  </si>
  <si>
    <t>one hundred forty-ninth</t>
  </si>
  <si>
    <t>one hundred fiftieth</t>
  </si>
  <si>
    <t>one hundred fifty-first</t>
  </si>
  <si>
    <t>one hundred fifty-second</t>
  </si>
  <si>
    <t>one hundred fifty-third</t>
  </si>
  <si>
    <t>one hundred fifty-fourth</t>
  </si>
  <si>
    <t>one hundred fifty-fifth</t>
  </si>
  <si>
    <t>one hundred fifty-sixth</t>
  </si>
  <si>
    <t>one hundred fifty-seventh</t>
  </si>
  <si>
    <t>one hundred fifty-eighth</t>
  </si>
  <si>
    <t>one hundred fifty-ninth</t>
  </si>
  <si>
    <t>one hundred sixtieth</t>
  </si>
  <si>
    <t>one hundred sixty-first</t>
  </si>
  <si>
    <t>one hundred sixty-second</t>
  </si>
  <si>
    <t>one hundred sixty-third</t>
  </si>
  <si>
    <t>one hundred sixty-fourth</t>
  </si>
  <si>
    <t>one hundred sixty-fifth</t>
  </si>
  <si>
    <t>one hundred sixty-sixth</t>
  </si>
  <si>
    <t>one hundred sixty-seventh</t>
  </si>
  <si>
    <t>one hundred sixty-eighth</t>
  </si>
  <si>
    <t>one hundred sixty-ninth</t>
  </si>
  <si>
    <t>one hundred seventieth</t>
  </si>
  <si>
    <t>one hundred seventy-first</t>
  </si>
  <si>
    <t>one hundred seventy-second</t>
  </si>
  <si>
    <t>one hundred seventy-third</t>
  </si>
  <si>
    <t>one hundred seventy-fourth</t>
  </si>
  <si>
    <t>one hundred seventy-fifth</t>
  </si>
  <si>
    <t>one hundred seventy-sixth</t>
  </si>
  <si>
    <t>one hundred seventy-seventh</t>
  </si>
  <si>
    <t>one hundred seventy-eighth</t>
  </si>
  <si>
    <t>one hundred seventy-ninth</t>
  </si>
  <si>
    <t>one hundred eightieth</t>
  </si>
  <si>
    <t>one hundred eighty-first</t>
  </si>
  <si>
    <t>one hundred eighty-second</t>
  </si>
  <si>
    <t>one hundred eighty-third</t>
  </si>
  <si>
    <t>one hundred eighty-fourth</t>
  </si>
  <si>
    <t>one hundred eighty-fifth</t>
  </si>
  <si>
    <t>one hundred eighty-sixth</t>
  </si>
  <si>
    <t>one hundred eighty-seventh</t>
  </si>
  <si>
    <t>one hundred eighty-eighth</t>
  </si>
  <si>
    <t>one hundred eighty-ninth</t>
  </si>
  <si>
    <t>one hundred ninetieth</t>
  </si>
  <si>
    <t>one hundred ninety-first</t>
  </si>
  <si>
    <t>one hundred ninety-second</t>
  </si>
  <si>
    <t>one hundred ninety-third</t>
  </si>
  <si>
    <t>one hundred ninety-fourth</t>
  </si>
  <si>
    <t>one hundred ninety-fifth</t>
  </si>
  <si>
    <t>one hundred ninety-sixth</t>
  </si>
  <si>
    <t>one hundred ninety-seventh</t>
  </si>
  <si>
    <t>one hundred ninety-eighth</t>
  </si>
  <si>
    <t>one hundred ninety-ninth</t>
  </si>
  <si>
    <t>two hundredth</t>
  </si>
  <si>
    <t>two hundred first</t>
  </si>
  <si>
    <t>two hundred second</t>
  </si>
  <si>
    <t>two hundred third</t>
  </si>
  <si>
    <t>two hundred fourth</t>
  </si>
  <si>
    <t>two hundred fifth</t>
  </si>
  <si>
    <t>two hundred sixth</t>
  </si>
  <si>
    <t>two hundred seventh</t>
  </si>
  <si>
    <t>two hundred eighth</t>
  </si>
  <si>
    <t>two hundred ninth</t>
  </si>
  <si>
    <t>two hundred tenth</t>
  </si>
  <si>
    <t>two hundred eleventh</t>
  </si>
  <si>
    <t>two hundred twelfth</t>
  </si>
  <si>
    <t>two hundred thirteenth</t>
  </si>
  <si>
    <t>two hundred fourteenth</t>
  </si>
  <si>
    <t>two hundred fifteenth</t>
  </si>
  <si>
    <t>two hundred sixteenth</t>
  </si>
  <si>
    <t>two hundred seventeenth</t>
  </si>
  <si>
    <t>two hundred eighteenth</t>
  </si>
  <si>
    <t>two hundred nineteenth</t>
  </si>
  <si>
    <t>two hundred twentieth</t>
  </si>
  <si>
    <t>two hundred twenty-first</t>
  </si>
  <si>
    <t>two hundred twenty-second</t>
  </si>
  <si>
    <t>two hundred twenty-third</t>
  </si>
  <si>
    <t>two hundred twenty-fourth</t>
  </si>
  <si>
    <t>two hundred twenty-fifth</t>
  </si>
  <si>
    <t>two hundred twenty-sixth</t>
  </si>
  <si>
    <t>two hundred twenty-seventh</t>
  </si>
  <si>
    <t>two hundred twenty-eighth</t>
  </si>
  <si>
    <t>two hundred twenty-ninth</t>
  </si>
  <si>
    <t>two hundred thirtieth</t>
  </si>
  <si>
    <t>two hundred thirty-first</t>
  </si>
  <si>
    <t>two hundred thirty-second</t>
  </si>
  <si>
    <t>two hundred thirty-third</t>
  </si>
  <si>
    <t>two hundred thirty-fourth</t>
  </si>
  <si>
    <t>two hundred thirty-fifth</t>
  </si>
  <si>
    <t>two hundred thirty-sixth</t>
  </si>
  <si>
    <t>two hundred thirty-seventh</t>
  </si>
  <si>
    <t>two hundred thirty-eighth</t>
  </si>
  <si>
    <t>two hundred thirty-ninth</t>
  </si>
  <si>
    <t>two hundred fortieth</t>
  </si>
  <si>
    <t>two hundred forty-first</t>
  </si>
  <si>
    <t>two hundred forty-second</t>
  </si>
  <si>
    <t>two hundred forty-third</t>
  </si>
  <si>
    <t>two hundred forty-fourth</t>
  </si>
  <si>
    <t>two hundred forty-fifth</t>
  </si>
  <si>
    <t>two hundred forty-sixth</t>
  </si>
  <si>
    <t>two hundred forty-seventh</t>
  </si>
  <si>
    <t>two hundred forty-eighth</t>
  </si>
  <si>
    <t>two hundred forty-ninth</t>
  </si>
  <si>
    <t>two hundred fiftieth</t>
  </si>
  <si>
    <t>two hundred fifty-first</t>
  </si>
  <si>
    <t>two hundred fifty-second</t>
  </si>
  <si>
    <t>two hundred fifty-third</t>
  </si>
  <si>
    <t>two hundred fifty-fourth</t>
  </si>
  <si>
    <t>two hundred fifty-fifth</t>
  </si>
  <si>
    <t>two hundred fifty-sixth</t>
  </si>
  <si>
    <t>two hundred fifty-seventh</t>
  </si>
  <si>
    <t>two hundred fifty-eighth</t>
  </si>
  <si>
    <t>two hundred fifty-ninth</t>
  </si>
  <si>
    <t>two hundred sixtieth</t>
  </si>
  <si>
    <t>two hundred sixty-first</t>
  </si>
  <si>
    <t>two hundred sixty-second</t>
  </si>
  <si>
    <t>two hundred sixty-third</t>
  </si>
  <si>
    <t>two hundred sixty-fourth</t>
  </si>
  <si>
    <t>two hundred sixty-fifth</t>
  </si>
  <si>
    <t>two hundred sixty-sixth</t>
  </si>
  <si>
    <t>two hundred sixty-seventh</t>
  </si>
  <si>
    <t>two hundred sixty-eighth</t>
  </si>
  <si>
    <t>two hundred sixty-ninth</t>
  </si>
  <si>
    <t>two hundred seventieth</t>
  </si>
  <si>
    <t>two hundred seventy-first</t>
  </si>
  <si>
    <t>two hundred seventy-second</t>
  </si>
  <si>
    <t>two hundred seventy-third</t>
  </si>
  <si>
    <t>two hundred seventy-fourth</t>
  </si>
  <si>
    <t>two hundred seventy-fifth</t>
  </si>
  <si>
    <t>two hundred seventy-sixth</t>
  </si>
  <si>
    <t>two hundred seventy-seventh</t>
  </si>
  <si>
    <t>two hundred seventy-eighth</t>
  </si>
  <si>
    <t>two hundred seventy-ninth</t>
  </si>
  <si>
    <t>two hundred eightieth</t>
  </si>
  <si>
    <t>two hundred eighty-first</t>
  </si>
  <si>
    <t>two hundred eighty-second</t>
  </si>
  <si>
    <t>two hundred eighty-third</t>
  </si>
  <si>
    <t>two hundred eighty-fourth</t>
  </si>
  <si>
    <t>two hundred eighty-fifth</t>
  </si>
  <si>
    <t>two hundred eighty-sixth</t>
  </si>
  <si>
    <t>two hundred eighty-seventh</t>
  </si>
  <si>
    <t>two hundred eighty-eighth</t>
  </si>
  <si>
    <t>two hundred eighty-ninth</t>
  </si>
  <si>
    <t>two hundred ninetieth</t>
  </si>
  <si>
    <t>two hundred ninety-first</t>
  </si>
  <si>
    <t>two hundred ninety-second</t>
  </si>
  <si>
    <t>two hundred ninety-third</t>
  </si>
  <si>
    <t>two hundred ninety-fourth</t>
  </si>
  <si>
    <t>two hundred ninety-fifth</t>
  </si>
  <si>
    <t>two hundred ninety-sixth</t>
  </si>
  <si>
    <t>two hundred ninety-seventh</t>
  </si>
  <si>
    <t>two hundred ninety-eighth</t>
  </si>
  <si>
    <t>two hundred ninety-ninth</t>
  </si>
  <si>
    <t>three hundredth</t>
  </si>
  <si>
    <t>three hundred first</t>
  </si>
  <si>
    <t>three hundred second</t>
  </si>
  <si>
    <t>three hundred third</t>
  </si>
  <si>
    <t>three hundred fourth</t>
  </si>
  <si>
    <t>three hundred fifth</t>
  </si>
  <si>
    <t>three hundred sixth</t>
  </si>
  <si>
    <t>three hundred seventh</t>
  </si>
  <si>
    <t>three hundred eighth</t>
  </si>
  <si>
    <t>three hundred ninth</t>
  </si>
  <si>
    <t>three hundred tenth</t>
  </si>
  <si>
    <t>three hundred eleventh</t>
  </si>
  <si>
    <t>three hundred twelfth</t>
  </si>
  <si>
    <t>three hundred thirteenth</t>
  </si>
  <si>
    <t>three hundred fourteenth</t>
  </si>
  <si>
    <t>three hundred fifteenth</t>
  </si>
  <si>
    <t>three hundred sixteenth</t>
  </si>
  <si>
    <t>three hundred seventeenth</t>
  </si>
  <si>
    <t>three hundred eighteenth</t>
  </si>
  <si>
    <t>three hundred nineteenth</t>
  </si>
  <si>
    <t>three hundred twentieth</t>
  </si>
  <si>
    <t>three hundred twenty-first</t>
  </si>
  <si>
    <t>three hundred twenty-second</t>
  </si>
  <si>
    <t>three hundred twenty-third</t>
  </si>
  <si>
    <t>three hundred twenty-fourth</t>
  </si>
  <si>
    <t>three hundred twenty-fifth</t>
  </si>
  <si>
    <t>three hundred twenty-sixth</t>
  </si>
  <si>
    <t>three hundred twenty-seventh</t>
  </si>
  <si>
    <t>three hundred twenty-eighth</t>
  </si>
  <si>
    <t>three hundred twenty-ninth</t>
  </si>
  <si>
    <t>three hundred thirtieth</t>
  </si>
  <si>
    <t>three hundred thirty-first</t>
  </si>
  <si>
    <t>three hundred thirty-second</t>
  </si>
  <si>
    <t>three hundred thirty-third</t>
  </si>
  <si>
    <t>three hundred thirty-fourth</t>
  </si>
  <si>
    <t>three hundred thirty-fifth</t>
  </si>
  <si>
    <t>three hundred thirty-sixth</t>
  </si>
  <si>
    <t>three hundred thirty-seventh</t>
  </si>
  <si>
    <t>three hundred thirty-eighth</t>
  </si>
  <si>
    <t>three hundred thirty-ninth</t>
  </si>
  <si>
    <t>three hundred fortieth</t>
  </si>
  <si>
    <t>three hundred forty-first</t>
  </si>
  <si>
    <t>three hundred forty-second</t>
  </si>
  <si>
    <t>three hundred forty-third</t>
  </si>
  <si>
    <t>three hundred forty-fourth</t>
  </si>
  <si>
    <t>three hundred forty-fifth</t>
  </si>
  <si>
    <t>three hundred forty-sixth</t>
  </si>
  <si>
    <t>three hundred forty-seventh</t>
  </si>
  <si>
    <t>three hundred forty-eighth</t>
  </si>
  <si>
    <t>three hundred forty-ninth</t>
  </si>
  <si>
    <t>three hundred fiftieth</t>
  </si>
  <si>
    <t>three hundred fifty-first</t>
  </si>
  <si>
    <t>three hundred fifty-second</t>
  </si>
  <si>
    <t>three hundred fifty-third</t>
  </si>
  <si>
    <t>three hundred fifty-fourth</t>
  </si>
  <si>
    <t>three hundred fifty-fifth</t>
  </si>
  <si>
    <t>three hundred fifty-sixth</t>
  </si>
  <si>
    <t>three hundred fifty-seventh</t>
  </si>
  <si>
    <t>three hundred fifty-eighth</t>
  </si>
  <si>
    <t>three hundred fifty-ninth</t>
  </si>
  <si>
    <t>three hundred sixtieth</t>
  </si>
  <si>
    <t>three hundred sixty-first</t>
  </si>
  <si>
    <t>three hundred sixty-second</t>
  </si>
  <si>
    <t>three hundred sixty-third</t>
  </si>
  <si>
    <t>three hundred sixty-fourth</t>
  </si>
  <si>
    <t>three hundred sixty-fifth</t>
  </si>
  <si>
    <t>three hundred sixty-sixth</t>
  </si>
  <si>
    <t>three hundred sixty-seventh</t>
  </si>
  <si>
    <t>three hundred sixty-eighth</t>
  </si>
  <si>
    <t>three hundred sixty-ninth</t>
  </si>
  <si>
    <t>three hundred seventieth</t>
  </si>
  <si>
    <t>three hundred seventy-first</t>
  </si>
  <si>
    <t>three hundred seventy-second</t>
  </si>
  <si>
    <t>three hundred seventy-third</t>
  </si>
  <si>
    <t>three hundred seventy-fourth</t>
  </si>
  <si>
    <t>three hundred seventy-fifth</t>
  </si>
  <si>
    <t>three hundred seventy-sixth</t>
  </si>
  <si>
    <t>three hundred seventy-seventh</t>
  </si>
  <si>
    <t>three hundred seventy-eighth</t>
  </si>
  <si>
    <t>three hundred seventy-ninth</t>
  </si>
  <si>
    <t>three hundred eightieth</t>
  </si>
  <si>
    <t>three hundred eighty-first</t>
  </si>
  <si>
    <t>three hundred eighty-second</t>
  </si>
  <si>
    <t>three hundred eighty-third</t>
  </si>
  <si>
    <t>three hundred eighty-fourth</t>
  </si>
  <si>
    <t>three hundred eighty-fifth</t>
  </si>
  <si>
    <t>three hundred eighty-sixth</t>
  </si>
  <si>
    <t>three hundred eighty-seventh</t>
  </si>
  <si>
    <t>three hundred eighty-eighth</t>
  </si>
  <si>
    <t>three hundred eighty-ninth</t>
  </si>
  <si>
    <t>three hundred ninetieth</t>
  </si>
  <si>
    <t>three hundred ninety-first</t>
  </si>
  <si>
    <t>three hundred ninety-second</t>
  </si>
  <si>
    <t>three hundred ninety-third</t>
  </si>
  <si>
    <t>three hundred ninety-fourth</t>
  </si>
  <si>
    <t>three hundred ninety-fifth</t>
  </si>
  <si>
    <t>three hundred ninety-sixth</t>
  </si>
  <si>
    <t>three hundred ninety-seventh</t>
  </si>
  <si>
    <t>three hundred ninety-eighth</t>
  </si>
  <si>
    <t>three hundred ninety-ninth</t>
  </si>
  <si>
    <t>four hundredth</t>
  </si>
  <si>
    <t>four hundred first</t>
  </si>
  <si>
    <t>four hundred second</t>
  </si>
  <si>
    <t>four hundred third</t>
  </si>
  <si>
    <t>four hundred fourth</t>
  </si>
  <si>
    <t>four hundred fifth</t>
  </si>
  <si>
    <t>four hundred sixth</t>
  </si>
  <si>
    <t>four hundred seventh</t>
  </si>
  <si>
    <t>four hundred eighth</t>
  </si>
  <si>
    <t>four hundred ninth</t>
  </si>
  <si>
    <t>four hundred tenth</t>
  </si>
  <si>
    <t>four hundred eleventh</t>
  </si>
  <si>
    <t>four hundred twelfth</t>
  </si>
  <si>
    <t>four hundred thirteenth</t>
  </si>
  <si>
    <t>four hundred fourteenth</t>
  </si>
  <si>
    <t>four hundred fifteenth</t>
  </si>
  <si>
    <t>four hundred sixteenth</t>
  </si>
  <si>
    <t>four hundred seventeenth</t>
  </si>
  <si>
    <t>four hundred eighteenth</t>
  </si>
  <si>
    <t>four hundred nineteenth</t>
  </si>
  <si>
    <t>four hundred twentieth</t>
  </si>
  <si>
    <t>four hundred twenty-first</t>
  </si>
  <si>
    <t>four hundred twenty-second</t>
  </si>
  <si>
    <t>four hundred twenty-third</t>
  </si>
  <si>
    <t>four hundred twenty-fourth</t>
  </si>
  <si>
    <t>four hundred twenty-fifth</t>
  </si>
  <si>
    <t>four hundred twenty-sixth</t>
  </si>
  <si>
    <t>four hundred twenty-seventh</t>
  </si>
  <si>
    <t>four hundred twenty-eighth</t>
  </si>
  <si>
    <t>four hundred twenty-ninth</t>
  </si>
  <si>
    <t>four hundred thirtieth</t>
  </si>
  <si>
    <t>four hundred thirty-first</t>
  </si>
  <si>
    <t>four hundred thirty-second</t>
  </si>
  <si>
    <t>four hundred thirty-third</t>
  </si>
  <si>
    <t>four hundred thirty-fourth</t>
  </si>
  <si>
    <t>four hundred thirty-fifth</t>
  </si>
  <si>
    <t>four hundred thirty-sixth</t>
  </si>
  <si>
    <t>four hundred thirty-seventh</t>
  </si>
  <si>
    <t>four hundred thirty-eighth</t>
  </si>
  <si>
    <t>four hundred thirty-ninth</t>
  </si>
  <si>
    <t>four hundred fortieth</t>
  </si>
  <si>
    <t>four hundred forty-first</t>
  </si>
  <si>
    <t>four hundred forty-second</t>
  </si>
  <si>
    <t>four hundred forty-third</t>
  </si>
  <si>
    <t>four hundred forty-fourth</t>
  </si>
  <si>
    <t>four hundred forty-fifth</t>
  </si>
  <si>
    <t>four hundred forty-sixth</t>
  </si>
  <si>
    <t>four hundred forty-seventh</t>
  </si>
  <si>
    <t>four hundred forty-eighth</t>
  </si>
  <si>
    <t>four hundred forty-ninth</t>
  </si>
  <si>
    <t>four hundred fiftieth</t>
  </si>
  <si>
    <t>four hundred fifty-first</t>
  </si>
  <si>
    <t>four hundred fifty-second</t>
  </si>
  <si>
    <t>four hundred fifty-third</t>
  </si>
  <si>
    <t>four hundred fifty-fourth</t>
  </si>
  <si>
    <t>four hundred fifty-fifth</t>
  </si>
  <si>
    <t>four hundred fifty-sixth</t>
  </si>
  <si>
    <t>four hundred fifty-seventh</t>
  </si>
  <si>
    <t>four hundred fifty-eighth</t>
  </si>
  <si>
    <t>four hundred fifty-ninth</t>
  </si>
  <si>
    <t>four hundred sixtieth</t>
  </si>
  <si>
    <t>four hundred sixty-first</t>
  </si>
  <si>
    <t>four hundred sixty-second</t>
  </si>
  <si>
    <t>four hundred sixty-third</t>
  </si>
  <si>
    <t>four hundred sixty-fourth</t>
  </si>
  <si>
    <t>four hundred sixty-fifth</t>
  </si>
  <si>
    <t>four hundred sixty-sixth</t>
  </si>
  <si>
    <t>four hundred sixty-seventh</t>
  </si>
  <si>
    <t>four hundred sixty-eighth</t>
  </si>
  <si>
    <t>four hundred sixty-ninth</t>
  </si>
  <si>
    <t>four hundred seventieth</t>
  </si>
  <si>
    <t>four hundred seventy-first</t>
  </si>
  <si>
    <t>four hundred seventy-second</t>
  </si>
  <si>
    <t>four hundred seventy-third</t>
  </si>
  <si>
    <t>four hundred seventy-fourth</t>
  </si>
  <si>
    <t>four hundred seventy-fifth</t>
  </si>
  <si>
    <t>four hundred seventy-sixth</t>
  </si>
  <si>
    <t>four hundred seventy-seventh</t>
  </si>
  <si>
    <t>four hundred seventy-eighth</t>
  </si>
  <si>
    <t>four hundred seventy-ninth</t>
  </si>
  <si>
    <t>four hundred eightieth</t>
  </si>
  <si>
    <t>four hundred eighty-first</t>
  </si>
  <si>
    <t>four hundred eighty-second</t>
  </si>
  <si>
    <t>four hundred eighty-third</t>
  </si>
  <si>
    <t>four hundred eighty-fourth</t>
  </si>
  <si>
    <t>four hundred eighty-fifth</t>
  </si>
  <si>
    <t>four hundred eighty-sixth</t>
  </si>
  <si>
    <t>four hundred eighty-seventh</t>
  </si>
  <si>
    <t>four hundred eighty-eighth</t>
  </si>
  <si>
    <t>four hundred eighty-ninth</t>
  </si>
  <si>
    <t>four hundred ninetieth</t>
  </si>
  <si>
    <t>four hundred ninety-first</t>
  </si>
  <si>
    <t>four hundred ninety-second</t>
  </si>
  <si>
    <t>four hundred ninety-third</t>
  </si>
  <si>
    <t>four hundred ninety-fourth</t>
  </si>
  <si>
    <t>four hundred ninety-fifth</t>
  </si>
  <si>
    <t>four hundred ninety-sixth</t>
  </si>
  <si>
    <t>four hundred ninety-seventh</t>
  </si>
  <si>
    <t>four hundred ninety-eighth</t>
  </si>
  <si>
    <t>four hundred ninety-ninth</t>
  </si>
  <si>
    <t>five hundredth</t>
  </si>
  <si>
    <t>five hundred first</t>
  </si>
  <si>
    <t>five hundred second</t>
  </si>
  <si>
    <t>five hundred third</t>
  </si>
  <si>
    <t>five hundred fourth</t>
  </si>
  <si>
    <t>five hundred fifth</t>
  </si>
  <si>
    <t>five hundred sixth</t>
  </si>
  <si>
    <t>five hundred seventh</t>
  </si>
  <si>
    <t>five hundred eighth</t>
  </si>
  <si>
    <t>five hundred ninth</t>
  </si>
  <si>
    <t>five hundred tenth</t>
  </si>
  <si>
    <t>five hundred eleventh</t>
  </si>
  <si>
    <t>five hundred twelfth</t>
  </si>
  <si>
    <t>five hundred thirteenth</t>
  </si>
  <si>
    <t>five hundred fourteenth</t>
  </si>
  <si>
    <t>five hundred fifteenth</t>
  </si>
  <si>
    <t>five hundred sixteenth</t>
  </si>
  <si>
    <t>five hundred seventeenth</t>
  </si>
  <si>
    <t>five hundred eighteenth</t>
  </si>
  <si>
    <t>five hundred nineteenth</t>
  </si>
  <si>
    <t>five hundred twentieth</t>
  </si>
  <si>
    <t>five hundred twenty-first</t>
  </si>
  <si>
    <t>five hundred twenty-second</t>
  </si>
  <si>
    <t>five hundred twenty-third</t>
  </si>
  <si>
    <t>five hundred twenty-fourth</t>
  </si>
  <si>
    <t>five hundred twenty-fifth</t>
  </si>
  <si>
    <t>five hundred twenty-sixth</t>
  </si>
  <si>
    <t>five hundred twenty-seventh</t>
  </si>
  <si>
    <t>five hundred twenty-eighth</t>
  </si>
  <si>
    <t>five hundred twenty-ninth</t>
  </si>
  <si>
    <t>five hundred thirtieth</t>
  </si>
  <si>
    <t>five hundred thirty-first</t>
  </si>
  <si>
    <t>five hundred thirty-second</t>
  </si>
  <si>
    <t>five hundred thirty-third</t>
  </si>
  <si>
    <t>five hundred thirty-fourth</t>
  </si>
  <si>
    <t>five hundred thirty-fifth</t>
  </si>
  <si>
    <t>five hundred thirty-sixth</t>
  </si>
  <si>
    <t>five hundred thirty-seventh</t>
  </si>
  <si>
    <t>five hundred thirty-eighth</t>
  </si>
  <si>
    <t>five hundred thirty-ninth</t>
  </si>
  <si>
    <t>five hundred fortieth</t>
  </si>
  <si>
    <t>five hundred forty-first</t>
  </si>
  <si>
    <t>five hundred forty-second</t>
  </si>
  <si>
    <t>five hundred forty-third</t>
  </si>
  <si>
    <t>five hundred forty-fourth</t>
  </si>
  <si>
    <t>five hundred forty-fifth</t>
  </si>
  <si>
    <t>five hundred forty-sixth</t>
  </si>
  <si>
    <t>five hundred forty-seventh</t>
  </si>
  <si>
    <t>five hundred forty-eighth</t>
  </si>
  <si>
    <t>five hundred forty-ninth</t>
  </si>
  <si>
    <t>five hundred fiftieth</t>
  </si>
  <si>
    <t>five hundred fifty-first</t>
  </si>
  <si>
    <t>five hundred fifty-second</t>
  </si>
  <si>
    <t>five hundred fifty-third</t>
  </si>
  <si>
    <t>five hundred fifty-fourth</t>
  </si>
  <si>
    <t>five hundred fifty-fifth</t>
  </si>
  <si>
    <t>five hundred fifty-sixth</t>
  </si>
  <si>
    <t>five hundred fifty-seventh</t>
  </si>
  <si>
    <t>five hundred fifty-eighth</t>
  </si>
  <si>
    <t>five hundred fifty-ninth</t>
  </si>
  <si>
    <t>five hundred sixtieth</t>
  </si>
  <si>
    <t>five hundred sixty-first</t>
  </si>
  <si>
    <t>five hundred sixty-second</t>
  </si>
  <si>
    <t>five hundred sixty-third</t>
  </si>
  <si>
    <t>five hundred sixty-fourth</t>
  </si>
  <si>
    <t>five hundred sixty-fifth</t>
  </si>
  <si>
    <t>five hundred sixty-sixth</t>
  </si>
  <si>
    <t>five hundred sixty-seventh</t>
  </si>
  <si>
    <t>five hundred sixty-eighth</t>
  </si>
  <si>
    <t>five hundred sixty-ninth</t>
  </si>
  <si>
    <t>five hundred seventieth</t>
  </si>
  <si>
    <t>five hundred seventy-first</t>
  </si>
  <si>
    <t>five hundred seventy-second</t>
  </si>
  <si>
    <t>five hundred seventy-third</t>
  </si>
  <si>
    <t>five hundred seventy-fourth</t>
  </si>
  <si>
    <t>five hundred seventy-fifth</t>
  </si>
  <si>
    <t>five hundred seventy-sixth</t>
  </si>
  <si>
    <t>five hundred seventy-seventh</t>
  </si>
  <si>
    <t>five hundred seventy-eighth</t>
  </si>
  <si>
    <t>five hundred seventy-ninth</t>
  </si>
  <si>
    <t>five hundred eightieth</t>
  </si>
  <si>
    <t>five hundred eighty-first</t>
  </si>
  <si>
    <t>five hundred eighty-second</t>
  </si>
  <si>
    <t>five hundred eighty-third</t>
  </si>
  <si>
    <t>five hundred eighty-fourth</t>
  </si>
  <si>
    <t>five hundred eighty-fifth</t>
  </si>
  <si>
    <t>five hundred eighty-sixth</t>
  </si>
  <si>
    <t>five hundred eighty-seventh</t>
  </si>
  <si>
    <t>five hundred eighty-eighth</t>
  </si>
  <si>
    <t>five hundred eighty-ninth</t>
  </si>
  <si>
    <t>five hundred ninetieth</t>
  </si>
  <si>
    <t>five hundred ninety-first</t>
  </si>
  <si>
    <t>five hundred ninety-second</t>
  </si>
  <si>
    <t>five hundred ninety-third</t>
  </si>
  <si>
    <t>five hundred ninety-fourth</t>
  </si>
  <si>
    <t>five hundred ninety-fifth</t>
  </si>
  <si>
    <t>five hundred ninety-sixth</t>
  </si>
  <si>
    <t>five hundred ninety-seventh</t>
  </si>
  <si>
    <t>five hundred ninety-eighth</t>
  </si>
  <si>
    <t>five hundred ninety-ninth</t>
  </si>
  <si>
    <t>six hundredth</t>
  </si>
  <si>
    <t>six hundred first</t>
  </si>
  <si>
    <t>six hundred second</t>
  </si>
  <si>
    <t>six hundred third</t>
  </si>
  <si>
    <t>six hundred fourth</t>
  </si>
  <si>
    <t>six hundred fifth</t>
  </si>
  <si>
    <t>six hundred sixth</t>
  </si>
  <si>
    <t>six hundred seventh</t>
  </si>
  <si>
    <t>six hundred eighth</t>
  </si>
  <si>
    <t>six hundred ninth</t>
  </si>
  <si>
    <t>six hundred tenth</t>
  </si>
  <si>
    <t>six hundred eleventh</t>
  </si>
  <si>
    <t>six hundred twelfth</t>
  </si>
  <si>
    <t>six hundred thirteenth</t>
  </si>
  <si>
    <t>six hundred fourteenth</t>
  </si>
  <si>
    <t>six hundred fifteenth</t>
  </si>
  <si>
    <t>six hundred sixteenth</t>
  </si>
  <si>
    <t>six hundred seventeenth</t>
  </si>
  <si>
    <t>six hundred eighteenth</t>
  </si>
  <si>
    <t>six hundred nineteenth</t>
  </si>
  <si>
    <t>six hundred twentieth</t>
  </si>
  <si>
    <t>six hundred twenty-first</t>
  </si>
  <si>
    <t>six hundred twenty-second</t>
  </si>
  <si>
    <t>six hundred twenty-third</t>
  </si>
  <si>
    <t>six hundred twenty-fourth</t>
  </si>
  <si>
    <t>six hundred twenty-fifth</t>
  </si>
  <si>
    <t>six hundred twenty-sixth</t>
  </si>
  <si>
    <t>six hundred twenty-seventh</t>
  </si>
  <si>
    <t>six hundred twenty-eighth</t>
  </si>
  <si>
    <t>six hundred twenty-ninth</t>
  </si>
  <si>
    <t>six hundred thirtieth</t>
  </si>
  <si>
    <t>six hundred thirty-first</t>
  </si>
  <si>
    <t>six hundred thirty-second</t>
  </si>
  <si>
    <t>six hundred thirty-third</t>
  </si>
  <si>
    <t>six hundred thirty-fourth</t>
  </si>
  <si>
    <t>six hundred thirty-fifth</t>
  </si>
  <si>
    <t>six hundred thirty-sixth</t>
  </si>
  <si>
    <t>six hundred thirty-seventh</t>
  </si>
  <si>
    <t>six hundred thirty-eighth</t>
  </si>
  <si>
    <t>six hundred thirty-ninth</t>
  </si>
  <si>
    <t>six hundred fortieth</t>
  </si>
  <si>
    <t>six hundred forty-first</t>
  </si>
  <si>
    <t>six hundred forty-second</t>
  </si>
  <si>
    <t>six hundred forty-third</t>
  </si>
  <si>
    <t>six hundred forty-fourth</t>
  </si>
  <si>
    <t>six hundred forty-fifth</t>
  </si>
  <si>
    <t>six hundred forty-sixth</t>
  </si>
  <si>
    <t>six hundred forty-seventh</t>
  </si>
  <si>
    <t>six hundred forty-eighth</t>
  </si>
  <si>
    <t>six hundred forty-ninth</t>
  </si>
  <si>
    <t>six hundred fiftieth</t>
  </si>
  <si>
    <t>six hundred fifty-first</t>
  </si>
  <si>
    <t>six hundred fifty-second</t>
  </si>
  <si>
    <t>six hundred fifty-third</t>
  </si>
  <si>
    <t>six hundred fifty-fourth</t>
  </si>
  <si>
    <t>six hundred fifty-fifth</t>
  </si>
  <si>
    <t>six hundred fifty-sixth</t>
  </si>
  <si>
    <t>six hundred fifty-seventh</t>
  </si>
  <si>
    <t>six hundred fifty-eighth</t>
  </si>
  <si>
    <t>six hundred fifty-ninth</t>
  </si>
  <si>
    <t>six hundred sixtieth</t>
  </si>
  <si>
    <t>six hundred sixty-first</t>
  </si>
  <si>
    <t>six hundred sixty-second</t>
  </si>
  <si>
    <t>six hundred sixty-third</t>
  </si>
  <si>
    <t>six hundred sixty-fourth</t>
  </si>
  <si>
    <t>six hundred sixty-fifth</t>
  </si>
  <si>
    <t>six hundred sixty-sixth</t>
  </si>
  <si>
    <t>six hundred sixty-seventh</t>
  </si>
  <si>
    <t>six hundred sixty-eighth</t>
  </si>
  <si>
    <t>six hundred sixty-ninth</t>
  </si>
  <si>
    <t>six hundred seventieth</t>
  </si>
  <si>
    <t>six hundred seventy-first</t>
  </si>
  <si>
    <t>six hundred seventy-second</t>
  </si>
  <si>
    <t>six hundred seventy-third</t>
  </si>
  <si>
    <t>six hundred seventy-fourth</t>
  </si>
  <si>
    <t>six hundred seventy-fifth</t>
  </si>
  <si>
    <t>six hundred seventy-sixth</t>
  </si>
  <si>
    <t>six hundred seventy-seventh</t>
  </si>
  <si>
    <t>six hundred seventy-eighth</t>
  </si>
  <si>
    <t>six hundred seventy-ninth</t>
  </si>
  <si>
    <t>six hundred eightieth</t>
  </si>
  <si>
    <t>six hundred eighty-first</t>
  </si>
  <si>
    <t>six hundred eighty-second</t>
  </si>
  <si>
    <t>six hundred eighty-third</t>
  </si>
  <si>
    <t>six hundred eighty-fourth</t>
  </si>
  <si>
    <t>six hundred eighty-fifth</t>
  </si>
  <si>
    <t>six hundred eighty-sixth</t>
  </si>
  <si>
    <t>six hundred eighty-seventh</t>
  </si>
  <si>
    <t>six hundred eighty-eighth</t>
  </si>
  <si>
    <t>six hundred eighty-ninth</t>
  </si>
  <si>
    <t>six hundred ninetieth</t>
  </si>
  <si>
    <t>six hundred ninety-first</t>
  </si>
  <si>
    <t>six hundred ninety-second</t>
  </si>
  <si>
    <t>six hundred ninety-third</t>
  </si>
  <si>
    <t>six hundred ninety-fourth</t>
  </si>
  <si>
    <t>six hundred ninety-fifth</t>
  </si>
  <si>
    <t>six hundred ninety-sixth</t>
  </si>
  <si>
    <t>six hundred ninety-seventh</t>
  </si>
  <si>
    <t>six hundred ninety-eighth</t>
  </si>
  <si>
    <t>six hundred ninety-ninth</t>
  </si>
  <si>
    <t>seven hundredth</t>
  </si>
  <si>
    <t>seven hundred first</t>
  </si>
  <si>
    <t>seven hundred second</t>
  </si>
  <si>
    <t>seven hundred third</t>
  </si>
  <si>
    <t>seven hundred fourth</t>
  </si>
  <si>
    <t>seven hundred fifth</t>
  </si>
  <si>
    <t>seven hundred sixth</t>
  </si>
  <si>
    <t>seven hundred seventh</t>
  </si>
  <si>
    <t>seven hundred eighth</t>
  </si>
  <si>
    <t>seven hundred ninth</t>
  </si>
  <si>
    <t>seven hundred tenth</t>
  </si>
  <si>
    <t>seven hundred eleventh</t>
  </si>
  <si>
    <t>seven hundred twelfth</t>
  </si>
  <si>
    <t>seven hundred thirteenth</t>
  </si>
  <si>
    <t>seven hundred fourteenth</t>
  </si>
  <si>
    <t>seven hundred fifteenth</t>
  </si>
  <si>
    <t>seven hundred sixteenth</t>
  </si>
  <si>
    <t>seven hundred seventeenth</t>
  </si>
  <si>
    <t>seven hundred eighteenth</t>
  </si>
  <si>
    <t>seven hundred nineteenth</t>
  </si>
  <si>
    <t>seven hundred twentieth</t>
  </si>
  <si>
    <t>seven hundred twenty-first</t>
  </si>
  <si>
    <t>seven hundred twenty-second</t>
  </si>
  <si>
    <t>seven hundred twenty-third</t>
  </si>
  <si>
    <t>seven hundred twenty-fourth</t>
  </si>
  <si>
    <t>seven hundred twenty-fifth</t>
  </si>
  <si>
    <t>seven hundred twenty-sixth</t>
  </si>
  <si>
    <t>seven hundred twenty-seventh</t>
  </si>
  <si>
    <t>seven hundred twenty-eighth</t>
  </si>
  <si>
    <t>seven hundred twenty-ninth</t>
  </si>
  <si>
    <t>seven hundred thirtieth</t>
  </si>
  <si>
    <t>seven hundred thirty-first</t>
  </si>
  <si>
    <t>seven hundred thirty-second</t>
  </si>
  <si>
    <t>seven hundred thirty-third</t>
  </si>
  <si>
    <t>seven hundred thirty-fourth</t>
  </si>
  <si>
    <t>seven hundred thirty-fifth</t>
  </si>
  <si>
    <t>seven hundred thirty-sixth</t>
  </si>
  <si>
    <t>seven hundred thirty-seventh</t>
  </si>
  <si>
    <t>seven hundred thirty-eighth</t>
  </si>
  <si>
    <t>seven hundred thirty-ninth</t>
  </si>
  <si>
    <t>seven hundred fortieth</t>
  </si>
  <si>
    <t>seven hundred forty-first</t>
  </si>
  <si>
    <t>seven hundred forty-second</t>
  </si>
  <si>
    <t>seven hundred forty-third</t>
  </si>
  <si>
    <t>seven hundred forty-fourth</t>
  </si>
  <si>
    <t>seven hundred forty-fifth</t>
  </si>
  <si>
    <t>seven hundred forty-sixth</t>
  </si>
  <si>
    <t>seven hundred forty-seventh</t>
  </si>
  <si>
    <t>seven hundred forty-eighth</t>
  </si>
  <si>
    <t>seven hundred forty-ninth</t>
  </si>
  <si>
    <t>seven hundred fiftieth</t>
  </si>
  <si>
    <t>seven hundred fifty-first</t>
  </si>
  <si>
    <t>seven hundred fifty-second</t>
  </si>
  <si>
    <t>seven hundred fifty-third</t>
  </si>
  <si>
    <t>seven hundred fifty-fourth</t>
  </si>
  <si>
    <t>seven hundred fifty-fifth</t>
  </si>
  <si>
    <t>seven hundred fifty-sixth</t>
  </si>
  <si>
    <t>seven hundred fifty-seventh</t>
  </si>
  <si>
    <t>seven hundred fifty-eighth</t>
  </si>
  <si>
    <t>seven hundred fifty-ninth</t>
  </si>
  <si>
    <t>seven hundred sixtieth</t>
  </si>
  <si>
    <t>seven hundred sixty-first</t>
  </si>
  <si>
    <t>seven hundred sixty-second</t>
  </si>
  <si>
    <t>seven hundred sixty-third</t>
  </si>
  <si>
    <t>seven hundred sixty-fourth</t>
  </si>
  <si>
    <t>seven hundred sixty-fifth</t>
  </si>
  <si>
    <t>seven hundred sixty-sixth</t>
  </si>
  <si>
    <t>seven hundred sixty-seventh</t>
  </si>
  <si>
    <t>seven hundred sixty-eighth</t>
  </si>
  <si>
    <t>seven hundred sixty-ninth</t>
  </si>
  <si>
    <t>seven hundred seventieth</t>
  </si>
  <si>
    <t>seven hundred seventy-first</t>
  </si>
  <si>
    <t>seven hundred seventy-second</t>
  </si>
  <si>
    <t>seven hundred seventy-third</t>
  </si>
  <si>
    <t>seven hundred seventy-fourth</t>
  </si>
  <si>
    <t>seven hundred seventy-fifth</t>
  </si>
  <si>
    <t>seven hundred seventy-sixth</t>
  </si>
  <si>
    <t>seven hundred seventy-seventh</t>
  </si>
  <si>
    <t>seven hundred seventy-eighth</t>
  </si>
  <si>
    <t>seven hundred seventy-ninth</t>
  </si>
  <si>
    <t>seven hundred eightieth</t>
  </si>
  <si>
    <t>seven hundred eighty-first</t>
  </si>
  <si>
    <t>seven hundred eighty-second</t>
  </si>
  <si>
    <t>seven hundred eighty-third</t>
  </si>
  <si>
    <t>seven hundred eighty-fourth</t>
  </si>
  <si>
    <t>seven hundred eighty-fifth</t>
  </si>
  <si>
    <t>seven hundred eighty-sixth</t>
  </si>
  <si>
    <t>seven hundred eighty-seventh</t>
  </si>
  <si>
    <t>seven hundred eighty-eighth</t>
  </si>
  <si>
    <t>seven hundred eighty-ninth</t>
  </si>
  <si>
    <t>seven hundred ninetieth</t>
  </si>
  <si>
    <t>seven hundred ninety-first</t>
  </si>
  <si>
    <t>seven hundred ninety-second</t>
  </si>
  <si>
    <t>seven hundred ninety-third</t>
  </si>
  <si>
    <t>seven hundred ninety-fourth</t>
  </si>
  <si>
    <t>seven hundred ninety-fifth</t>
  </si>
  <si>
    <t>seven hundred ninety-sixth</t>
  </si>
  <si>
    <t>seven hundred ninety-seventh</t>
  </si>
  <si>
    <t>seven hundred ninety-eighth</t>
  </si>
  <si>
    <t>seven hundred ninety-ninth</t>
  </si>
  <si>
    <t>eight hundredth</t>
  </si>
  <si>
    <t>eight hundred first</t>
  </si>
  <si>
    <t>eight hundred second</t>
  </si>
  <si>
    <t>eight hundred third</t>
  </si>
  <si>
    <t>eight hundred fourth</t>
  </si>
  <si>
    <t>eight hundred fifth</t>
  </si>
  <si>
    <t>eight hundred sixth</t>
  </si>
  <si>
    <t>eight hundred seventh</t>
  </si>
  <si>
    <t>eight hundred eighth</t>
  </si>
  <si>
    <t>eight hundred ninth</t>
  </si>
  <si>
    <t>eight hundred tenth</t>
  </si>
  <si>
    <t>eight hundred eleventh</t>
  </si>
  <si>
    <t>eight hundred twelfth</t>
  </si>
  <si>
    <t>eight hundred thirteenth</t>
  </si>
  <si>
    <t>eight hundred fourteenth</t>
  </si>
  <si>
    <t>eight hundred fifteenth</t>
  </si>
  <si>
    <t>eight hundred sixteenth</t>
  </si>
  <si>
    <t>eight hundred seventeenth</t>
  </si>
  <si>
    <t>eight hundred eighteenth</t>
  </si>
  <si>
    <t>eight hundred nineteenth</t>
  </si>
  <si>
    <t>eight hundred twentieth</t>
  </si>
  <si>
    <t>eight hundred twenty-first</t>
  </si>
  <si>
    <t>eight hundred twenty-second</t>
  </si>
  <si>
    <t>eight hundred twenty-third</t>
  </si>
  <si>
    <t>eight hundred twenty-fourth</t>
  </si>
  <si>
    <t>eight hundred twenty-fifth</t>
  </si>
  <si>
    <t>eight hundred twenty-sixth</t>
  </si>
  <si>
    <t>eight hundred twenty-seventh</t>
  </si>
  <si>
    <t>eight hundred twenty-eighth</t>
  </si>
  <si>
    <t>eight hundred twenty-ninth</t>
  </si>
  <si>
    <t>eight hundred thirtieth</t>
  </si>
  <si>
    <t>eight hundred thirty-first</t>
  </si>
  <si>
    <t>eight hundred thirty-second</t>
  </si>
  <si>
    <t>eight hundred thirty-third</t>
  </si>
  <si>
    <t>eight hundred thirty-fourth</t>
  </si>
  <si>
    <t>eight hundred thirty-fifth</t>
  </si>
  <si>
    <t>eight hundred thirty-sixth</t>
  </si>
  <si>
    <t>eight hundred thirty-seventh</t>
  </si>
  <si>
    <t>eight hundred thirty-eighth</t>
  </si>
  <si>
    <t>eight hundred thirty-ninth</t>
  </si>
  <si>
    <t>eight hundred fortieth</t>
  </si>
  <si>
    <t>eight hundred forty-first</t>
  </si>
  <si>
    <t>eight hundred forty-second</t>
  </si>
  <si>
    <t>eight hundred forty-third</t>
  </si>
  <si>
    <t>eight hundred forty-fourth</t>
  </si>
  <si>
    <t>eight hundred forty-fifth</t>
  </si>
  <si>
    <t>eight hundred forty-sixth</t>
  </si>
  <si>
    <t>eight hundred forty-seventh</t>
  </si>
  <si>
    <t>eight hundred forty-eighth</t>
  </si>
  <si>
    <t>eight hundred forty-ninth</t>
  </si>
  <si>
    <t>eight hundred fiftieth</t>
  </si>
  <si>
    <t>eight hundred fifty-first</t>
  </si>
  <si>
    <t>eight hundred fifty-second</t>
  </si>
  <si>
    <t>eight hundred fifty-third</t>
  </si>
  <si>
    <t>eight hundred fifty-fourth</t>
  </si>
  <si>
    <t>eight hundred fifty-fifth</t>
  </si>
  <si>
    <t>eight hundred fifty-sixth</t>
  </si>
  <si>
    <t>eight hundred fifty-seventh</t>
  </si>
  <si>
    <t>eight hundred fifty-eighth</t>
  </si>
  <si>
    <t>eight hundred fifty-ninth</t>
  </si>
  <si>
    <t>eight hundred sixtieth</t>
  </si>
  <si>
    <t>eight hundred sixty-first</t>
  </si>
  <si>
    <t>eight hundred sixty-second</t>
  </si>
  <si>
    <t>eight hundred sixty-third</t>
  </si>
  <si>
    <t>eight hundred sixty-fourth</t>
  </si>
  <si>
    <t>eight hundred sixty-fifth</t>
  </si>
  <si>
    <t>eight hundred sixty-sixth</t>
  </si>
  <si>
    <t>eight hundred sixty-seventh</t>
  </si>
  <si>
    <t>eight hundred sixty-eighth</t>
  </si>
  <si>
    <t>eight hundred sixty-ninth</t>
  </si>
  <si>
    <t>eight hundred seventieth</t>
  </si>
  <si>
    <t>eight hundred seventy-first</t>
  </si>
  <si>
    <t>eight hundred seventy-second</t>
  </si>
  <si>
    <t>eight hundred seventy-third</t>
  </si>
  <si>
    <t>eight hundred seventy-fourth</t>
  </si>
  <si>
    <t>eight hundred seventy-fifth</t>
  </si>
  <si>
    <t>eight hundred seventy-sixth</t>
  </si>
  <si>
    <t>eight hundred seventy-seventh</t>
  </si>
  <si>
    <t>eight hundred seventy-eighth</t>
  </si>
  <si>
    <t>eight hundred seventy-ninth</t>
  </si>
  <si>
    <t>eight hundred eightieth</t>
  </si>
  <si>
    <t>eight hundred eighty-first</t>
  </si>
  <si>
    <t>eight hundred eighty-second</t>
  </si>
  <si>
    <t>eight hundred eighty-third</t>
  </si>
  <si>
    <t>eight hundred eighty-fourth</t>
  </si>
  <si>
    <t>eight hundred eighty-fifth</t>
  </si>
  <si>
    <t>eight hundred eighty-sixth</t>
  </si>
  <si>
    <t>eight hundred eighty-seventh</t>
  </si>
  <si>
    <t>eight hundred eighty-eighth</t>
  </si>
  <si>
    <t>eight hundred eighty-ninth</t>
  </si>
  <si>
    <t>eight hundred ninetieth</t>
  </si>
  <si>
    <t>eight hundred ninety-first</t>
  </si>
  <si>
    <t>eight hundred ninety-second</t>
  </si>
  <si>
    <t>eight hundred ninety-third</t>
  </si>
  <si>
    <t>eight hundred ninety-fourth</t>
  </si>
  <si>
    <t>eight hundred ninety-fifth</t>
  </si>
  <si>
    <t>eight hundred ninety-sixth</t>
  </si>
  <si>
    <t>eight hundred ninety-seventh</t>
  </si>
  <si>
    <t>eight hundred ninety-eighth</t>
  </si>
  <si>
    <t>eight hundred ninety-ninth</t>
  </si>
  <si>
    <t>nine hundredth</t>
  </si>
  <si>
    <t>nine hundred first</t>
  </si>
  <si>
    <t>nine hundred second</t>
  </si>
  <si>
    <t>nine hundred third</t>
  </si>
  <si>
    <t>nine hundred fourth</t>
  </si>
  <si>
    <t>nine hundred fifth</t>
  </si>
  <si>
    <t>nine hundred sixth</t>
  </si>
  <si>
    <t>nine hundred seventh</t>
  </si>
  <si>
    <t>nine hundred eighth</t>
  </si>
  <si>
    <t>nine hundred ninth</t>
  </si>
  <si>
    <t>nine hundred tenth</t>
  </si>
  <si>
    <t>nine hundred eleventh</t>
  </si>
  <si>
    <t>nine hundred twelfth</t>
  </si>
  <si>
    <t>nine hundred thirteenth</t>
  </si>
  <si>
    <t>nine hundred fourteenth</t>
  </si>
  <si>
    <t>nine hundred fifteenth</t>
  </si>
  <si>
    <t>nine hundred sixteenth</t>
  </si>
  <si>
    <t>nine hundred seventeenth</t>
  </si>
  <si>
    <t>nine hundred eighteenth</t>
  </si>
  <si>
    <t>nine hundred nineteenth</t>
  </si>
  <si>
    <t>nine hundred twentieth</t>
  </si>
  <si>
    <t>nine hundred twenty-first</t>
  </si>
  <si>
    <t>nine hundred twenty-second</t>
  </si>
  <si>
    <t>nine hundred twenty-third</t>
  </si>
  <si>
    <t>nine hundred twenty-fourth</t>
  </si>
  <si>
    <t>nine hundred twenty-fifth</t>
  </si>
  <si>
    <t>nine hundred twenty-sixth</t>
  </si>
  <si>
    <t>nine hundred twenty-seventh</t>
  </si>
  <si>
    <t>nine hundred twenty-eighth</t>
  </si>
  <si>
    <t>nine hundred twenty-ninth</t>
  </si>
  <si>
    <t>nine hundred thirtieth</t>
  </si>
  <si>
    <t>nine hundred thirty-first</t>
  </si>
  <si>
    <t>nine hundred thirty-second</t>
  </si>
  <si>
    <t>nine hundred thirty-third</t>
  </si>
  <si>
    <t>nine hundred thirty-fourth</t>
  </si>
  <si>
    <t>nine hundred thirty-fifth</t>
  </si>
  <si>
    <t>nine hundred thirty-sixth</t>
  </si>
  <si>
    <t>nine hundred thirty-seventh</t>
  </si>
  <si>
    <t>nine hundred thirty-eighth</t>
  </si>
  <si>
    <t>nine hundred thirty-ninth</t>
  </si>
  <si>
    <t>nine hundred fortieth</t>
  </si>
  <si>
    <t>nine hundred forty-first</t>
  </si>
  <si>
    <t>nine hundred forty-second</t>
  </si>
  <si>
    <t>nine hundred forty-third</t>
  </si>
  <si>
    <t>nine hundred forty-fourth</t>
  </si>
  <si>
    <t>nine hundred forty-fifth</t>
  </si>
  <si>
    <t>nine hundred forty-sixth</t>
  </si>
  <si>
    <t>nine hundred forty-seventh</t>
  </si>
  <si>
    <t>nine hundred forty-eighth</t>
  </si>
  <si>
    <t>nine hundred forty-ninth</t>
  </si>
  <si>
    <t>nine hundred fiftieth</t>
  </si>
  <si>
    <t>nine hundred fifty-first</t>
  </si>
  <si>
    <t>nine hundred fifty-second</t>
  </si>
  <si>
    <t>nine hundred fifty-third</t>
  </si>
  <si>
    <t>nine hundred fifty-fourth</t>
  </si>
  <si>
    <t>nine hundred fifty-fifth</t>
  </si>
  <si>
    <t>nine hundred fifty-sixth</t>
  </si>
  <si>
    <t>nine hundred fifty-seventh</t>
  </si>
  <si>
    <t>nine hundred fifty-eighth</t>
  </si>
  <si>
    <t>nine hundred fifty-ninth</t>
  </si>
  <si>
    <t>nine hundred sixtieth</t>
  </si>
  <si>
    <t>nine hundred sixty-first</t>
  </si>
  <si>
    <t>nine hundred sixty-second</t>
  </si>
  <si>
    <t>nine hundred sixty-third</t>
  </si>
  <si>
    <t>nine hundred sixty-fourth</t>
  </si>
  <si>
    <t>nine hundred sixty-fifth</t>
  </si>
  <si>
    <t>nine hundred sixty-sixth</t>
  </si>
  <si>
    <t>nine hundred sixty-seventh</t>
  </si>
  <si>
    <t>nine hundred sixty-eighth</t>
  </si>
  <si>
    <t>nine hundred sixty-ninth</t>
  </si>
  <si>
    <t>nine hundred seventieth</t>
  </si>
  <si>
    <t>nine hundred seventy-first</t>
  </si>
  <si>
    <t>nine hundred seventy-second</t>
  </si>
  <si>
    <t>nine hundred seventy-third</t>
  </si>
  <si>
    <t>nine hundred seventy-fourth</t>
  </si>
  <si>
    <t>nine hundred seventy-fifth</t>
  </si>
  <si>
    <t>nine hundred seventy-sixth</t>
  </si>
  <si>
    <t>nine hundred seventy-seventh</t>
  </si>
  <si>
    <t>nine hundred seventy-eighth</t>
  </si>
  <si>
    <t>nine hundred seventy-ninth</t>
  </si>
  <si>
    <t>nine hundred eightieth</t>
  </si>
  <si>
    <t>nine hundred eighty-first</t>
  </si>
  <si>
    <t>nine hundred eighty-second</t>
  </si>
  <si>
    <t>nine hundred eighty-third</t>
  </si>
  <si>
    <t>nine hundred eighty-fourth</t>
  </si>
  <si>
    <t>nine hundred eighty-fifth</t>
  </si>
  <si>
    <t>nine hundred eighty-sixth</t>
  </si>
  <si>
    <t>nine hundred eighty-seventh</t>
  </si>
  <si>
    <t>nine hundred eighty-eighth</t>
  </si>
  <si>
    <t>nine hundred eighty-ninth</t>
  </si>
  <si>
    <t>nine hundred ninetieth</t>
  </si>
  <si>
    <t>nine hundred ninety-first</t>
  </si>
  <si>
    <t>nine hundred ninety-second</t>
  </si>
  <si>
    <t>nine hundred ninety-third</t>
  </si>
  <si>
    <t>nine hundred ninety-fourth</t>
  </si>
  <si>
    <t>nine hundred ninety-fifth</t>
  </si>
  <si>
    <t>nine hundred ninety-sixth</t>
  </si>
  <si>
    <t>nine hundred ninety-seventh</t>
  </si>
  <si>
    <t>nine hundred ninety-eighth</t>
  </si>
  <si>
    <t>nine hundred ninety-ninth</t>
  </si>
  <si>
    <t>one thousandth</t>
  </si>
  <si>
    <t>One of this</t>
  </si>
  <si>
    <t>is this many</t>
  </si>
  <si>
    <t>of this unit</t>
  </si>
  <si>
    <t>Card Suit</t>
  </si>
  <si>
    <t>Same Color</t>
  </si>
  <si>
    <t>O</t>
  </si>
  <si>
    <t>Day of Week</t>
  </si>
  <si>
    <t>Reminders:</t>
  </si>
  <si>
    <t>Quart</t>
  </si>
  <si>
    <t>Pint</t>
  </si>
  <si>
    <t>♠</t>
  </si>
  <si>
    <t>♣</t>
  </si>
  <si>
    <t>P</t>
  </si>
  <si>
    <t>Sunday</t>
  </si>
  <si>
    <t>Gallon</t>
  </si>
  <si>
    <t>Monday</t>
  </si>
  <si>
    <t>Debug Steps</t>
  </si>
  <si>
    <t>♥</t>
  </si>
  <si>
    <t>♦</t>
  </si>
  <si>
    <t>Tuesday</t>
  </si>
  <si>
    <t>1. Reread instructions</t>
  </si>
  <si>
    <t>Wednesday</t>
  </si>
  <si>
    <t>2. Check difference with example</t>
  </si>
  <si>
    <t>♤</t>
  </si>
  <si>
    <t>♧</t>
  </si>
  <si>
    <t>T</t>
  </si>
  <si>
    <t>Thursday</t>
  </si>
  <si>
    <t>3. Check formula refs</t>
  </si>
  <si>
    <t>Friday</t>
  </si>
  <si>
    <t>4. Move on or restart</t>
  </si>
  <si>
    <t>♡</t>
  </si>
  <si>
    <t>♢</t>
  </si>
  <si>
    <t>V</t>
  </si>
  <si>
    <t>Saturday</t>
  </si>
  <si>
    <t>X</t>
  </si>
  <si>
    <t>Y</t>
  </si>
  <si>
    <t>Z</t>
  </si>
  <si>
    <t>User-Defined Functions (VBA)</t>
  </si>
  <si>
    <t>get_color(cell)</t>
  </si>
  <si>
    <t>gives RGB hex value of the background color (both colors of a gradient fill). Requires ctrl-alt-F9 to update.</t>
  </si>
  <si>
    <t>sheet_data(sheet_names, range_ref, [flatten])</t>
  </si>
  <si>
    <t>vertically sacks the range_ref range from each sheet in the list of sheet_names. Flatten (0 by default) makes it one column per sheet and stacks them horizontally. Requires ctrl+alt+F9 to update</t>
  </si>
  <si>
    <t>sheet_names()</t>
  </si>
  <si>
    <t>returns a vertical array of all worksheet names in order. Requires ctrl+alt+F9 to update.</t>
  </si>
  <si>
    <t>xconvert(conversion_table, unit_from, quantity, unit_to)</t>
  </si>
  <si>
    <t>conversion_table has conversions in the format in A21:C22 of this sheet. Then you can convert quantity of unit_from to unit_to. Handles proportions, chains, self-conversions, and reverse conversions. Use singular forms only (e.g. "gram" not "grams"). Requires ctrl-alt-F9 to update.</t>
  </si>
  <si>
    <t>Regex Cheat Sheet</t>
  </si>
  <si>
    <t>Pattern</t>
  </si>
  <si>
    <t>Example Pattern</t>
  </si>
  <si>
    <t>Input</t>
  </si>
  <si>
    <t>Outputs</t>
  </si>
  <si>
    <t>\d</t>
  </si>
  <si>
    <t>any digit</t>
  </si>
  <si>
    <t>MEWC2025</t>
  </si>
  <si>
    <t>A1 - C35</t>
  </si>
  <si>
    <t>\d+</t>
  </si>
  <si>
    <t>one or more digits</t>
  </si>
  <si>
    <t>\d*</t>
  </si>
  <si>
    <t>zero or more digits</t>
  </si>
  <si>
    <t>A\d*</t>
  </si>
  <si>
    <t>AA2025</t>
  </si>
  <si>
    <t>\D</t>
  </si>
  <si>
    <t>any non-digit character</t>
  </si>
  <si>
    <t>\D+</t>
  </si>
  <si>
    <t>one or more non-digits</t>
  </si>
  <si>
    <t>.</t>
  </si>
  <si>
    <t>any character (one)</t>
  </si>
  <si>
    <t>C.</t>
  </si>
  <si>
    <t>.+</t>
  </si>
  <si>
    <t>one or more of any characters</t>
  </si>
  <si>
    <t>C.+</t>
  </si>
  <si>
    <t>?</t>
  </si>
  <si>
    <t>optional character</t>
  </si>
  <si>
    <t>-?\d+</t>
  </si>
  <si>
    <t>3 and -5</t>
  </si>
  <si>
    <t>9 and -3 and 0</t>
  </si>
  <si>
    <t>\w</t>
  </si>
  <si>
    <t>"word" character - letters, digits, and underscore</t>
  </si>
  <si>
    <t>a. 4! - _3</t>
  </si>
  <si>
    <t>Hi, 2 u!</t>
  </si>
  <si>
    <t>\p{P}</t>
  </si>
  <si>
    <t>punctuation  (unicode property punctuation)</t>
  </si>
  <si>
    <t>\s</t>
  </si>
  <si>
    <t>whitespace</t>
  </si>
  <si>
    <t>\S</t>
  </si>
  <si>
    <t>non-whitespace</t>
  </si>
  <si>
    <t xml:space="preserve">   x    9    </t>
  </si>
  <si>
    <t>\X</t>
  </si>
  <si>
    <t>visible character (including combined emoji)</t>
  </si>
  <si>
    <t>x😍🏴‍☠️👪</t>
  </si>
  <si>
    <t>AB🍌</t>
  </si>
  <si>
    <t>[]</t>
  </si>
  <si>
    <t>choice of characters</t>
  </si>
  <si>
    <t>[dh]og</t>
  </si>
  <si>
    <t>hog</t>
  </si>
  <si>
    <t>bog</t>
  </si>
  <si>
    <t>[^]</t>
  </si>
  <si>
    <t>non-characters</t>
  </si>
  <si>
    <t>[^dh]og</t>
  </si>
  <si>
    <t>[-]</t>
  </si>
  <si>
    <t>range of characters</t>
  </si>
  <si>
    <t>[A-Za-d]</t>
  </si>
  <si>
    <t>MEwc 2025</t>
  </si>
  <si>
    <t>{}</t>
  </si>
  <si>
    <t>exactly N repeats - no overlap</t>
  </si>
  <si>
    <t>x{3}</t>
  </si>
  <si>
    <t>xxxxxxx</t>
  </si>
  <si>
    <t>xxxxx xx-xx</t>
  </si>
  <si>
    <t>{,}</t>
  </si>
  <si>
    <t>range of repeats - no overlap, picks bigger if possible</t>
  </si>
  <si>
    <t>x{1,2}</t>
  </si>
  <si>
    <t>xxxxx xx-x</t>
  </si>
  <si>
    <t>^</t>
  </si>
  <si>
    <t>start of input</t>
  </si>
  <si>
    <t>^.</t>
  </si>
  <si>
    <t>hi
yes?</t>
  </si>
  <si>
    <t>^a</t>
  </si>
  <si>
    <t>alpha</t>
  </si>
  <si>
    <t>beta</t>
  </si>
  <si>
    <t>$</t>
  </si>
  <si>
    <t>end of input</t>
  </si>
  <si>
    <t>.$</t>
  </si>
  <si>
    <t>\b</t>
  </si>
  <si>
    <t>word boundary (a non-word character plus start and end of input)</t>
  </si>
  <si>
    <t>\b[A-Z]{1,3}\d{1,7}\b</t>
  </si>
  <si>
    <t>A1-HELLO73 D9 9aa9</t>
  </si>
  <si>
    <t>A4VBZ4399999111D1</t>
  </si>
  <si>
    <t>\bcat\b</t>
  </si>
  <si>
    <t xml:space="preserve">cat </t>
  </si>
  <si>
    <t>bobcatfish</t>
  </si>
  <si>
    <t>\B</t>
  </si>
  <si>
    <t>no boundary (use on one or both sides)</t>
  </si>
  <si>
    <t>\Bcat\B</t>
  </si>
  <si>
    <t>catfish</t>
  </si>
  <si>
    <t>=UNICHAR(10) 
(note: invisible)</t>
  </si>
  <si>
    <t>line breaks but not first line- UNICHAR(10)</t>
  </si>
  <si>
    <t>-?\d+(?:\.\d+)?</t>
  </si>
  <si>
    <t>Full numbers with sign and decimals</t>
  </si>
  <si>
    <t>The first number is 2 the next one is -3.2 and 99.0323141</t>
  </si>
  <si>
    <t>[A-Z]{1,3}\d{1,7}</t>
  </si>
  <si>
    <t>A1 address (works without seperator, if too many chars pulls partial)</t>
  </si>
  <si>
    <t>Python</t>
  </si>
  <si>
    <t>''def salesman_route(df_nodes, start_node=None)'''
import itertools
def salesman_route(df_nodes, start_node=None):
    """
    Solves the Traveling Salesman Problem using a brute-force approach.
    Args:
        df_nodes (pd.DataFrame): A DataFrame representing the distance matrix.
                                 The first column must contain the node names.
        start_node (str, optional): The name of the node to start the route from.
                                    If None, finds the best route starting from any node.
    Returns:
        tuple: A tuple containing the minimum cost (float) and the route (str).
    """
    # Use the first column as the index for easy lookups
    df_nodes = df_nodes.set_index(df_nodes.columns[0])
    nodes = list(df_nodes.index)
    if start_node and start_node not in nodes:
        return ("Start node not found", "")
    best_route = None
    min_cost = float('inf')
    # Determine which nodes to generate permutations for
    if start_node:
        nodes_to_permute = [n for n in nodes if n != start_node]
        permutations = itertools.permutations(nodes_to_permute)
    else:
        permutations = itertools.permutations(nodes)
    # Iterate through all possible routes
    for p in permutations:
        current_cost = 0
        # Prepend the start_node if one was specified
        current_route = [start_node] + list(p) if start_node else list(p)
        # Calculate the cost of the current route
        for i in range(len(current_route) - 1):
            from_node = current_route[i]
            to_node = current_route[i+1]
            current_cost += df_nodes.loc[from_node, to_node]
        # If this route is the best so far, save it
        if current_cost &lt; min_cost:
            min_cost = current_cost
            best_route = current_route
    # Format the output string
    route_string = " -&gt; ".join(best_route)
    return (min_cost, route_string)
'''def salesman_route(df_nodes, start_node=None):'''</t>
  </si>
  <si>
    <t>computes the shortest route for a "travelling salesman" problem. Input df with cost to travel between nodes must have the same node names in the first row and the first column. Can optionally set a fixed starting node with a string.</t>
  </si>
  <si>
    <t xml:space="preserve">''def bouncy_trip(rng, start, dir, stopper=None, i=100, origin="A1")'''
import re
def a1_to_rc(a1_ref: str) -&gt; tuple[int, int]:
    text = a1_ref.upper().replace("$", "")
    m = re.match(r"([A-Z]+)(\d+)", text)
    if not m:
        raise ValueError(f"Invalid A1 reference: {a1_ref}")
    col_letters, row_text = m.groups()
    row = int(row_text)
    col = 0
    for ch in col_letters:
        col = col * 26 + (ord(ch) - 64)
    return row, col
def rc_to_a1(row: int, col: int) -&gt; str:
    letters = []
    n = col
    while n &gt; 0:
        n, rem = divmod(n - 1, 26)
        letters.append(chr(65 + rem))
    return f"{''.join(reversed(letters))}{row}"
def bouncy_trip(rng, start, dir, stopper=None, i=100, origin="A1"):
    """
    rng      : DataFrame from xl(...)
    start    : A1 reference in the sheet (e.g. 'C1')
    dir      : one of '↑','↓','←','→','↖','↗','↘','↙'
    stopper  : optional value that causes a bounce; stopper cell is never entered
    i        : number of output rows
    origin   : A1 address of the top-left cell of rng in the sheet
    """
    df = rng
    n_rows, n_cols = df.shape
    origin_row, origin_col = a1_to_rc(origin)
    start_row, start_col = a1_to_rc(start)
    # Ensure start is inside the rectangle covered by df+origin
    if not (origin_row &lt;= start_row &lt; origin_row + n_rows and
            origin_col &lt;= start_col &lt; origin_col + n_cols):
        raise ValueError("start is outside the given range dataframe + origin")
    top_row = origin_row
    left_col = origin_col
    bottom_row = origin_row + n_rows - 1
    right_col = origin_col + n_cols - 1
    arrow_map = {
        "↑": (-1, 0),
        "↓": (1, 0),
        "←": (0, -1),
        "→": (0, 1),
        "↖": (-1, -1),
        "↗": (-1, 1),
        "↘": (1, 1),
        "↙": (1, -1),
    }
    if dir not in arrow_map:
        raise ValueError(f"Invalid direction arrow: {dir}")
    row_delta, col_delta = arrow_map[dir]
    cur_row, cur_col = start_row, start_col
    records: list[tuple[str, object]] = []
    def cell_is_valid(r: int, c: int) -&gt; bool:
        """Inside bounds and (if stopper is set) not equal to stopper."""
        if not (top_row &lt;= r &lt;= bottom_row and left_col &lt;= c &lt;= right_col):
            return False
        if stopper is None:
            return True
        rr = r - origin_row
        cc = c - origin_col
        val = df.iloc[rr, cc]
        val_norm = "" if pd.isna(val) else val
        return val_norm != stopper
    for _ in range(i):
        # Current cell
        r_idx = cur_row - origin_row
        c_idx = cur_col - origin_col
        val = df.iloc[r_idx, c_idx]
        out_val = "" if pd.isna(val) else val
        records.append((rc_to_a1(cur_row, cur_col), out_val))
        # Straight diagonal / cardinal candidate
        next_row = cur_row + row_delta
        next_col = cur_col + col_delta
        straight_valid = cell_is_valid(next_row, next_col)
        if not straight_valid:
            if abs(row_delta) == 1 and abs(col_delta) == 1:
                # Diagonal case: check vertical-only and horizontal-only components
                vert_valid = cell_is_valid(cur_row + row_delta, cur_col)
                horiz_valid = cell_is_valid(cur_row, cur_col + col_delta)
                if vert_valid and not horiz_valid:
                    # Row direction is open, col is blocked -&gt; flip col only
                    col_delta *= -1
                elif horiz_valid and not vert_valid:
                    # Col direction is open, row is blocked -&gt; flip row only
                    row_delta *= -1
                else:
                    # Both open or both blocked -&gt; full 180° reverse
                    row_delta *= -1
                    col_delta *= -1
            else:
                # Non-diagonal: always 180°
                row_delta *= -1
                col_delta *= -1
            # Recompute next step after bounce
            next_row = cur_row + row_delta
            next_col = cur_col + col_delta
        # Final move for this step
        cur_row, cur_col = next_row, next_col
    return pd.DataFrame(records, columns=["addr", "value"])
'''def bouncy_trip(rng, start, dir, stopper=None, i=100, origin="A1"):'''    </t>
  </si>
  <si>
    <t>like lambda arrow trip but makes a bouncy path through rng dataframe with start (a1 string), in arrow dir. Bounces off walls or stoppers with diagonal bounces going sideways if appropriate. If the range dataframe does not include A1 then set that string as the origin</t>
  </si>
  <si>
    <t>''def route_on_graph(df_graph, start_node, end_node=None):'''
import heapq
def route_on_graph(df_graph, start_node, end_node=None):
    # --- Standardize Column Names ---
    # Create a copy to avoid modifying the Excel object directly
    df = df_graph.copy()
    # Normalize headers to lowercase and strip spaces
    df.columns = df.columns.astype(str).str.lower().str.strip()
    # 1. Build Graph and track all unique nodes
    graph = {}
    all_nodes = set()
    for row in df.itertuples(index=False):
        u, v, w = row.start, row.end, row.cost
        all_nodes.add(u)
        all_nodes.add(v)
        if u not in graph:
            graph[u] = []
        graph[u].append((v, w))
    # 2. Dijkstra's Algorithm
    pq = [(0, start_node)]
    # Initialize all distances to infinity
    min_dists = {node: float('inf') for node in all_nodes}
    min_dists[start_node] = 0
    predecessors = {start_node: None}
    while pq:
        current_cost, current_node = heapq.heappop(pq)
        if current_cost &gt; min_dists[current_node]:
            continue
        # OPTIMIZATION: Stop early ONLY if we have a specific target
        if end_node is not None and current_node == end_node:
            break
        # Explore neighbors
        if current_node in graph:
            for neighbor, weight in graph[current_node]:
                distance = current_cost + weight
                if distance &lt; min_dists[neighbor]:
                    min_dists[neighbor] = distance
                    predecessors[neighbor] = current_node
                    heapq.heappush(pq, (distance, neighbor))
    # 3. Return Logic
    # Case A: Specific End Node -&gt; Return Tuple (Cost, Path List)
    if end_node is not None:
        final_cost = min_dists[end_node]
        if final_cost == float('inf'):
            return (float('inf'), [])
        # Reconstruct path
        route = []
        curr = end_node
        while curr is not None:
            route.append(curr)
            curr = predecessors.get(curr)
        route.reverse()
        return (final_cost, route)
    # Case B: No End Node -&gt; Return DataFrame (Node, Distance)
    else:
        results = []
        # sort nodes for cleaner output
        for node in sorted(list(all_nodes)):
            dist = min_dists[node]
            results.append({"Node": node, "Distance": dist})
        return pd.DataFrame(results)
'''def route_on_graph(df_graph, start_node, end_node=None):'''</t>
  </si>
  <si>
    <t>Dijkstra's algorithm on a graph described as a df with one row per node. df column headers must be exactly: "start" "end" "cost"   start and end are node names which can be anything hashable (e.g. "A1"), cost has to be non-negative numeric. Returns tuple with shortest route cost and route list.</t>
  </si>
  <si>
    <t xml:space="preserve">''def route_cost(cell_costs,start=None,end=None,dirs="↑↓←→↖↗↙↘",mid=None, origin="A1",count_start=False,count_end=True,print_route=False): '''
import re,math,heapq
import numpy as np
import pandas as pd
def a1_to_rc(s):
    t=s.upper().replace("$","")
    m=re.match(r"^([A-Z]+)(\d+)$",t)
    if not m: raise ValueError(f"Invalid A1 reference: {s}")
    cols,rows=m.groups()
    r=int(rows)
    c=0
    for ch in cols:
        c=c*26+(ord(ch)-64)
    return r,c
def rc_to_a1(r,c):
    letters=[]
    n=c
    while n&gt;0:
        n,rem=divmod(n-1,26)
        letters.append(chr(65+rem))
    return "".join(reversed(letters))+str(r)
ARROW_DELTAS={
    "↑":(-1,0),"↓":(1,0),"←":(0,-1),"→":(0,1),
    "↖":(-1,-1),"↗":(-1,1),"↙":(1,-1),"↘":(1,1)
}
def make_neighbors(dir_str):
    seen=set();d=[]
    for ch in dir_str:
        if ch in ARROW_DELTAS and ch not in seen:
            d.append(ARROW_DELTAS[ch]);seen.add(ch)
    return d
def dijkstra_grid(cg,nb,start_idx):
    rN,cN=cg.shape
    INF=math.inf
    dist=np.full((rN,cN),INF)
    prev=[[None]*cN for _ in range(rN)]
    sr,sc=start_idx
    dist[sr,sc]=0.0
    h=[(0.0,sr,sc)]
    while h:
        d,r,c=heapq.heappop(h)
        if d!=dist[r,c]: continue
        for dr,dc in nb:
            nr,nc=r+dr,c+dc
            if 0&lt;=nr&lt;rN and 0&lt;=nc&lt;cN:
                v=cg[nr,nc]
                if math.isnan(v) or v&lt;0: continue
                nd=d+float(v)
                if nd&lt;dist[nr,nc]:
                    dist[nr,nc]=nd
                    prev[nr][nc]=(r,c)
                    heapq.heappush(h,(nd,nr,nc))
    return dist,prev
def route_cost(cell_costs,start=None,end=None,dirs="↑↓←→↖↗↙↘",mid=None,origin="A1",count_start=False,count_end=True,print_route=False):
    if not isinstance(cell_costs,pd.DataFrame):
        raise TypeError("cell_costs must be a DataFrame from xl('A1:J10').")
    df=cell_costs
    cg=df.apply(pd.to_numeric,errors="coerce").to_numpy(dtype=float)
    rN,cN=cg.shape
    orow,ocol=a1_to_rc(origin)
    def in_bounds(sr,sc):
        ri=sr-orow;ci=sc-ocol
        return 0&lt;=ri&lt;rN and 0&lt;=ci&lt;cN
    def ref_to_idx(ref):
        if ref is None: return None
        r,c=a1_to_rc(ref)
        if not in_bounds(r,c):
            raise ValueError(f"Reference {ref} is outside cell_costs+origin.")
        return r-orow,c-ocol
    def idx_to_ref(ri,ci):
        return rc_to_a1(orow+ri,ocol+ci)
    def is_passable_idx(idx):
        ri,ci=idx
        v=cg[ri,ci]
        return (not math.isnan(v)) and v&gt;=0
    nb=make_neighbors(dirs)
    if not nb: raise ValueError("dirs did not contain any valid arrows.")
    has_start=start is not None
    has_end=end is not None
    has_mid=mid is not None
    s_idx=ref_to_idx(start) if has_start else None
    e_idx=ref_to_idx(end) if has_end else None
    m_idx=ref_to_idx(mid) if has_mid else None
    if has_mid and not is_passable_idx(m_idx):
        raise ValueError("mid must be passable.")
    if has_start and count_start and not is_passable_idx(s_idx):
        raise ValueError("start must be passable when count_start=True.")
    if has_end and count_end and not is_passable_idx(e_idx):
        raise ValueError("end must be passable when count_end=True.")
    def run_from(idx): return dijkstra_grid(cg,nb,idx)
    def cell_cost_idx(idx):
        ri,ci=idx
        return cg[ri,ci]
    def adjust(base,s_idx,e_idx):
        if math.isinf(base): return math.inf
        total=base
        if s_idx is not None and count_start:
            v=cell_cost_idx(s_idx)
            if not math.isnan(v): total+=v
        if e_idx is not None and not count_end:
            v=cell_cost_idx(e_idx)
            if not math.isnan(v): total-=v
        return total
    def reconstruct(prev,s_idx,e_idx):
        if e_idx is None: return []
        er,ec=e_idx
        if prev[er][ec] is None and (er,ec)!=s_idx: return []
        path=[];cur=(er,ec)
        while True:
            path.append(cur)
            if cur==s_idx: break
            cur=prev[cur[0]][cur[1]]
            if cur is None: break
        path.reverse()
        return path
    all_idx=[(r,c) for r in range(rN) for c in range(cN)]
    addr_labels=[idx_to_ref(r,c) for (r,c) in all_idx]
    if not has_mid and has_start and has_end:
        dist,prev=run_from(s_idx)
        base=dist[e_idx]
        total=adjust(base,s_idx,e_idx)
        if not print_route: return total
        path=reconstruct(prev,s_idx,e_idx)
        data=[{"addr":idx_to_ref(r,c),"row":orow+r,"col":ocol+c,"cell_cost":(None if math.isnan(cg[r,c]) else cg[r,c])} for (r,c) in path]
        return pd.DataFrame(data)
    if has_mid and has_start and has_end:
        dist_sm,prev_sm=run_from(s_idx)
        base1=dist_sm[m_idx]
        dist_me,prev_me=run_from(m_idx)
        base2=dist_me[e_idx]
        if math.isinf(base1) or math.isinf(base2):
            total=math.inf
            if not print_route: return total
            return pd.DataFrame(columns=["addr","row","col","cell_cost"])
        base_total=base1+base2
        total=adjust(base_total,s_idx,e_idx)
        if not print_route: return total
        p1=reconstruct(prev_sm,s_idx,m_idx)
        p2=reconstruct(prev_me,m_idx,e_idx)
        if p1 and p2 and p1[-1]==p2[0]:
            path=p1+p2[1:]
        else:
            path=p1+p2
        data=[{"addr":idx_to_ref(r,c),"row":orow+r,"col":ocol+c,"cell_cost":(None if math.isnan(cg[r,c]) else cg[r,c])} for (r,c) in path]
        return pd.DataFrame(data)
    if print_route:
        raise ValueError("print_route=True only allowed when start and end are both set.")
    if not has_mid and not has_start and not has_end:
        mat=np.full((len(all_idx),len(all_idx)),math.inf)
        for si,(sr,sc) in enumerate(all_idx):
            dist,_=run_from((sr,sc))
            for ei,(er,ec) in enumerate(all_idx):
                base=dist[er,ec]
                mat[si,ei]=adjust(base,(sr,sc),(er,ec))
        out=pd.DataFrame(mat,index=addr_labels,columns=addr_labels)
        out.replace(math.inf,np.nan,inplace=True)
        return out
    if not has_mid and has_start and not has_end:
        dist,_=run_from(s_idx)
        costs=[adjust(dist[er,ec],s_idx,(er,ec)) for (er,ec) in all_idx]
        ser=pd.Series(costs,index=addr_labels,name="cost")
        ser.replace(math.inf,np.nan,inplace=True)
        return ser.to_frame()
    if not has_mid and not has_start and has_end:
        dist,_=run_from(e_idx)
        costs=[adjust(dist[sr,sc],(sr,sc),e_idx) for (sr,sc) in all_idx]
        ser=pd.Series(costs,index=addr_labels,name="cost")
        ser.replace(math.inf,np.nan,inplace=True)
        return ser.to_frame()
    if has_mid and not has_start and not has_end:
        dist_mid,_=run_from(m_idx)
        mat=np.full((len(all_idx),len(all_idx)),math.inf)
        for si,(sr,sc) in enumerate(all_idx):
            dist_s,_=run_from((sr,sc))
            base1=dist_s[m_idx]
            for ei,(er,ec) in enumerate(all_idx):
                base2=dist_mid[er,ec]
                mat[si,ei]=adjust(base1+base2,(sr,sc),(er,ec))
        out=pd.DataFrame(mat,index=addr_labels,columns=addr_labels)
        out.replace(math.inf,np.nan,inplace=True)
        return out
    if has_mid and has_start and not has_end:
        dist_s,_=run_from(s_idx)
        dist_mid,_=run_from(m_idx)
        base1=dist_s[m_idx]
        costs=[]
        for (er,ec) in all_idx:
            base2=dist_mid[er,ec]
            costs.append(adjust(base1+base2,s_idx,(er,ec)))
        ser=pd.Series(costs,index=addr_labels,name="cost")
        ser.replace(math.inf,np.nan,inplace=True)
        return ser.to_frame()
    if has_mid and not has_start and has_end:
        dist_mid,_=run_from(m_idx)
        base2=dist_mid[e_idx]
        costs=[]
        for (sr,sc) in all_idx:
            dist_s,_=run_from((sr,sc))
            base1=dist_s[m_idx]
            costs.append(adjust(base1+base2,(sr,sc),e_idx))
        ser=pd.Series(costs,index=addr_labels,name="cost")
        ser.replace(math.inf,np.nan,inplace=True)
        return ser.to_frame()
    raise RuntimeError("Unhandled combination of start/end/mid.")
'''def route_cost(cell_costs,start=None,end=None,dirs="↑↓←→↖↗↙↘",mid=None, origin="A1",count_start=False,count_end=True,print_route=False): '''
</t>
  </si>
  <si>
    <t xml:space="preserve"> Python version of route_cost with customizable directions, midpoint, and turning off/on start end.
    cell_costs : DataFrame from xl().
                 Numeric &gt;=0 = passable with that cost; NaN/non-numeric/&lt;0 = impassable.
    start      : A1 reference of start cell, or None.
    end        : A1 reference of end cell, or None.
    dirs       : string of arrow chars controlling movement (default: 8 directions).
    mid        : optional A1 reference that path must go through.
    origin     : A1 reference of top-left cell of cell_costs in the sheet.
    count_start: include start cell's cost in route total?
    count_end  : include end cell's cost in route total?
    print_route: 
        - If start &amp; end (and optional mid) are set:
            False -&gt; return scalar cost
            True  -&gt; return path as DataFrame (addr,row,col,cell_cost)
        - If either start or end is None:
            Must be False. Function returns a DataFrame of costs.
    """</t>
  </si>
  <si>
    <t>Comment (255 Char)</t>
  </si>
  <si>
    <t>Description (Full)</t>
  </si>
  <si>
    <t>arrow(str)</t>
  </si>
  <si>
    <t>arrow_move(start_ad, arrow, [steps], [board_rng], [push_mode])</t>
  </si>
  <si>
    <t>arrow_trip(rng, start_ad, dir, [stopper])</t>
  </si>
  <si>
    <t>biggest(check, return)</t>
  </si>
  <si>
    <t>Finds the biggest number in "check" and returns the first matching value in "return" (an XLOOKUP on MAX).</t>
  </si>
  <si>
    <t>clamp(num_or_arr, [bottom], [top])</t>
  </si>
  <si>
    <t>Restricts a number (or array) to be no lower than bottom and/or no higher than top; each is optional (no limit by default). Returns the same shape, blanking out text cells.</t>
  </si>
  <si>
    <t>=LAMBDA(num_or_arr, [bottom], [top], LET(
   clamp_one, LAMBDA(x,
      IF(
         ISERROR(x),
         x,
         IF(
            OR(x = "", ISTEXT(x)),
            "",
            LET(
               hi, IF(ISOMITTED(top), x, MIN(top, x)),
               lo, IF(ISOMITTED(bottom), hi, MAX(bottom, hi)),
               lo
            )
         )
      )
   ),
   IF(
      AND(ROWS(num_or_arr) = 1, COLUMNS(num_or_arr) = 1),
      clamp_one(num_or_arr),
      MAP(num_or_arr, clamp_one)
   )
))</t>
  </si>
  <si>
    <t>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t>
  </si>
  <si>
    <t>count_substring(str, sub, [case_sensitive])</t>
  </si>
  <si>
    <t>Counts how many times sub appears in str. case_sensitive is 0 by default. Either argument may be an array (but not both) to map the count across it.</t>
  </si>
  <si>
    <t>=LAMBDA(input_text,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t>
  </si>
  <si>
    <t>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t>
  </si>
  <si>
    <t>ctotal(arr)</t>
  </si>
  <si>
    <t>Cumulative (running) total of an array. Returns an array of the same size where each value is the sum of itself and all values before it, in row-major order.</t>
  </si>
  <si>
    <t>=LAMBDA(arr, SCAN(0, arr, LAMBDA(a, b, a + b)))</t>
  </si>
  <si>
    <t>Running cumulative total of an array.
Arguments:
  arr - an array of numbers.
Returns:
  An array the same size as arr; each element is the sum of that element and all elements before it (row-major order).
Example:
  ctotal({1;2;3})  -&gt;  {1;3;6}</t>
  </si>
  <si>
    <t>cycles(outer_n, inner_n)</t>
  </si>
  <si>
    <t>Simulates two nested loops: a 2-column array with outer_n*inner_n rows. Column 1 counts 1..outer_n, repeating each value inner_n times; column 2 cycles 1..inner_n.</t>
  </si>
  <si>
    <t>=LAMBDA(outer_n, inner_n, LET(
   seq, SEQUENCE(outer_n * inner_n, 1, 0),
   HSTACK(INT(seq / inner_n) + 1, MOD(seq, inner_n) + 1)
))</t>
  </si>
  <si>
    <t>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t>
  </si>
  <si>
    <t>die_pips(st)</t>
  </si>
  <si>
    <t>Converts die-face pip characters (⚀-⚅) to their numbers. Handles a concatenated string of dice or an array with one die per cell (concatenate first for multiple dice per cell).</t>
  </si>
  <si>
    <t>dist(start_ad, end_ad, [diag_allowed], [print_components])</t>
  </si>
  <si>
    <t>Distance from start_ad to end_ad (each numeric or A1). diag_allowed: 1 chessboard (default), 0 taxicab, -1 pythagorean. If print_components is 1 (not default) returns the component arrows and magnitudes instead.</t>
  </si>
  <si>
    <t>=LAMBDA(start_ad,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t>
  </si>
  <si>
    <t>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t>
  </si>
  <si>
    <t>exists(arr, value)</t>
  </si>
  <si>
    <t>Checks whether value is present anywhere in arr; returns 1 or 0.</t>
  </si>
  <si>
    <t>=LAMBDA(Arr, Val, IF(ISNUMBER(XMATCH(Val, TOCOL(Arr), 0)), 1, 0))</t>
  </si>
  <si>
    <t>Membership test: is a value present in an array.
Arguments:
  arr   - array to search (flattened before testing).
  value - the scalar value to look for.
Returns:
  1 if value occurs in arr, otherwise 0.
Example:
  exists(list, "x")  -&gt;  1</t>
  </si>
  <si>
    <t>freq_table(array, [min_freq])</t>
  </si>
  <si>
    <t>Turns an array into a frequency table sorted by frequency descending. min_freq filters out rows below that count. Ignores blanks and ""; errors if every row is filtered out.</t>
  </si>
  <si>
    <t>=LAMBDA(array, [min_freq], LET(
   mf, IF(ISOMITTED(min_freq), 1, min_freq),
   vec0, TOCOL(array, 1),
   vec, IFERROR(FILTER(vec0, vec0 &lt;&gt; ""), NA()),
   u, IFERROR(UNIQUE(vec), NA()),
   cnt, IFERROR(MAP(u, LAMBDA(x, SUM(--(vec = x)))), NA()),
   tab, IFERROR(FILTER(HSTACK(u, cnt), cnt &gt;= mf), NA()),
   IFERROR(SORT(tab, {2, 1}, {-1, 1}), NA())
))</t>
  </si>
  <si>
    <t>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t>
  </si>
  <si>
    <t>is_unique(arr)</t>
  </si>
  <si>
    <t>=LAMBDA(Arr, LET(
   flatArr, TOCOL(Arr, 1, 4),
   filtArr, FILTER(flatArr, flatArr &lt;&gt; ""),
   rowCount, ROWS(filtArr),
   matchMatrix, --(filtArr = TRANSPOSE(filtArr)),
   freq, MMULT(matchMatrix, SEQUENCE(rowCount, 1, 1, 0)),
   IF(MAX(freq) &gt; 1, 0, 1)
))</t>
  </si>
  <si>
    <t>knight_moves(start_ad, end_ad)</t>
  </si>
  <si>
    <t>Minimum number of chess knight moves between two cells on an unbounded board. start_ad and end_ad each accept a numeric address (1e6*row+col) or an A1 string.</t>
  </si>
  <si>
    <t>=LAMBDA(start_ad,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t>
  </si>
  <si>
    <t>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t>
  </si>
  <si>
    <t>label_lookup(arr,row_label,column_label)</t>
  </si>
  <si>
    <t>Two-way lookup in a labelled 2D array: finds row_label in the first column and column_label in the first row and returns the value at their intersection.</t>
  </si>
  <si>
    <t>load_array(input_string,[col_delimiter],[row_delimiter])</t>
  </si>
  <si>
    <t>Rebuilds an array from a delimited string (inverse of save_array). Defaults match save_array: "|" separates columns and ";" separates rows.</t>
  </si>
  <si>
    <t>=LAMBDA(input_string, [col_delimiter], [row_delimiter],
   IF(
      input_string = "",
      "",
      LET(
         cd, IF(ISOMITTED(col_delimiter), "|", col_delimiter),
         rd, IF(ISOMITTED(row_delimiter), ";", row_delimiter),
         LET(
            arr, TEXTSPLIT(input_string, cd, rd, FALSE),
            MAP(arr, LAMBDA(val, IF(val = "", "", IFERROR(--val, val))))
         )
      )
   )
)</t>
  </si>
  <si>
    <t>Parses a delimited string back into a 2D array (inverse of save_array).
Arguments:
  input_string    - the delimited text to parse.
  [col_delimiter] - column separator (default "|").
  [row_delimiter] - row separator (default ";").
Returns:
  The reconstructed array.
Example:
  load_array("1|2;3|4")  -&gt;  {1,2;3,4}</t>
  </si>
  <si>
    <t>neighbors_count(arr, val, dist, [diag_allowed], [self_count])</t>
  </si>
  <si>
    <t>Returns an array the same size as arr where each value is the count of val within dist cells. diag_allowed and self_count are both 1 (on) by default.</t>
  </si>
  <si>
    <t>=LAMBDA(arr,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t>
  </si>
  <si>
    <t>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t>
  </si>
  <si>
    <t>neighbors_list(center_ad, [size], [boundary_rng], [diag_allowed])</t>
  </si>
  <si>
    <t>Lists the A1 addresses around a center cell within size (default 1), bounded by boundary_rng (default whole sheet). center_ad accepts a numeric address or an A1 string. diag_allowed 1 = chessboard (default), 0 = Manhattan.</t>
  </si>
  <si>
    <t>=LAMBDA(center_ad,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t>
  </si>
  <si>
    <t>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t>
  </si>
  <si>
    <t>offset_letter(st, offset)</t>
  </si>
  <si>
    <t>Shifts each letter in a string by an integer offset with wraparound (e.g. "xyz" +2 = "zab"). Preserves case and non-letter characters; works on arrays.</t>
  </si>
  <si>
    <t>=LAMBDA(st,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t>
  </si>
  <si>
    <t>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t>
  </si>
  <si>
    <t>only_letters(st)</t>
  </si>
  <si>
    <t>Keeps only the letters in a string (or array), dropping all other characters.</t>
  </si>
  <si>
    <t>=LAMBDA(arr, LET(
   f, LAMBDA(x, IFERROR(CONCAT(REGEXEXTRACT(x, "[a-z]", 1, 1)), "")),
   IF(ROWS(arr) * COLUMNS(arr) = 1, f(arr), MAP(arr, f))
))</t>
  </si>
  <si>
    <t>Strips everything except letters from text.
Arguments:
  st - a string or array of strings.
Returns:
  The input with all non-letter characters removed.
Example:
  only_letters("A12")  -&gt;  "A"</t>
  </si>
  <si>
    <t>only_numbers(st)</t>
  </si>
  <si>
    <t>Pulls numbers out of a string via regex "-?\d+(?:\.\d+)?". Can return several numbers from one string, so it does not map over arrays (use MAP when it is 1-to-1).</t>
  </si>
  <si>
    <t>=LAMBDA(txt, LET(
   matches, IFERROR(--REGEXEXTRACT(txt, "-?\d+(?:\.\d+)?", 1), ""),
   IF(ROWS(matches) * COLUMNS(matches) = 1, INDEX(matches, 1), matches)
))</t>
  </si>
  <si>
    <t>Extracts numeric values from a string.
Arguments:
  st - the text to pull numbers from.
Returns:
  The number(s) found, using the pattern -?\d+(?:\.\d+)?. A single string can yield several numbers, so this is not array-safe; wrap in MAP when applying one-to-one across an array.
Example:
  only_numbers("A12.5")  -&gt;  12.5</t>
  </si>
  <si>
    <t>rev(arr)</t>
  </si>
  <si>
    <t>Cleans and reverses an array (same as xtocol(arr, 0, , "←↑")).</t>
  </si>
  <si>
    <t>=LAMBDA(arr, xtocol(arr, 0, , arrow("L") &amp; arrow("U")))</t>
  </si>
  <si>
    <t>Reverses the order of an array.
Arguments:
  arr - the array to reverse.
Returns:
  The cleaned, fully reversed array (equivalent to xtocol(arr, 0, , "←↑")).
Example:
  rev({1;2;3})  -&gt;  {3;2;1}</t>
  </si>
  <si>
    <t>route_cost(cost_map, start_ref, [diag_allowed])</t>
  </si>
  <si>
    <t>Dijkstra over cost_map (numbers = cost, text = walls): least cost to reach each cell from start_ref. start_ref may be A1 text, a numeric address, or {row,col} coords. Diagonals on by default; end cell counts, start ignored.</t>
  </si>
  <si>
    <t>save_array(input_array,[col_delimiter],[row_delimiter])</t>
  </si>
  <si>
    <t>Flattens an array into a delimited text string (inverse of load_array). Defaults match load_array: "|" between columns and ";" between rows.</t>
  </si>
  <si>
    <t>=LAMBDA(input_array, [col_delimiter], [row_delimiter], LET(
   cd, IF(ISOMITTED(col_delimiter), "|", col_delimiter),
   rd, IF(ISOMITTED(row_delimiter), ";", row_delimiter),
   TEXTJOIN(
      rd,
      FALSE,
      BYROW(input_array, LAMBDA(row, TEXTJOIN(cd, FALSE, row)))
   )
))</t>
  </si>
  <si>
    <t>Serializes a 2D array into a single delimited string (inverse of load_array).
Arguments:
  input_array     - the array to serialize.
  [col_delimiter] - column separator (default "|").
  [row_delimiter] - row separator (default ";").
Returns:
  A text string encoding the array.
Example:
  save_array({1,2;3,4})  -&gt;  "1|2;3|4"</t>
  </si>
  <si>
    <t>selections(arr, n, [order_matters], [repeats_allowed], [countdown_mode], [clean_inputs])</t>
  </si>
  <si>
    <t>Permutations (order_matters=1) or combinations (=0) of size n from arr. countdown_mode stacks sizes n..1. clean_input (default 1) de-dupes/drops blanks; other flags default 0.</t>
  </si>
  <si>
    <t>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t>
  </si>
  <si>
    <t>set(rng, [as_row])</t>
  </si>
  <si>
    <t>Turns a range into a set: flattens, removes blanks and errors, uniques, and sorts. Returns a column by default, or a row if as_row = 1.</t>
  </si>
  <si>
    <t>=LAMBDA(data_rng, [as_row],
   IFERROR(
      LET(
         _flat, TOCOL(data_rng, 3),
         _clean, FILTER(_flat, _flat &lt;&gt; ""),
         _res, SORT(UNIQUE(_clean)),
         IF(IF(ISOMITTED(as_row), 0, as_row), TOROW(_res), _res)
      ),
      ""
   )
)</t>
  </si>
  <si>
    <t>Reduces a range to a clean, sorted set of unique values.
Arguments:
  rng      - the source range.
  [as_row] - 1 to return a horizontal row; default 0 returns a vertical column.
Returns:
  The unique, sorted values with blanks and errors removed.
Example:
  set(A1:A20)</t>
  </si>
  <si>
    <t>set_d(a, b, [as_row])</t>
  </si>
  <si>
    <t>Set difference: the values in set a that are not in set b.</t>
  </si>
  <si>
    <t>=LAMBDA(val_a, val_b, [as_row],
   IFERROR(
      LET(
         list_a, set(val_a),
         list_b, set(val_b),
         res, FILTER(list_a, ISNA(XMATCH(list_a, list_b))),
         IF(IF(ISOMITTED(as_row), 0, as_row), TOROW(res), res)
      ),
      ""
   )
)</t>
  </si>
  <si>
    <t>Set difference of two ranges (a minus b).
Arguments:
  a        - first range/set.
  b        - second range/set.
  [as_row] - 1 for a horizontal result; default 0 vertical.
Returns:
  The cleaned, sorted values that appear in a but not in b.
Example:
  set_d(A1:A5, B1:B5)</t>
  </si>
  <si>
    <t>set_i(a, b, [as_row])</t>
  </si>
  <si>
    <t>Set intersection: the values present in both set a and set b.</t>
  </si>
  <si>
    <t>=LAMBDA(val_a, val_b, [as_row],
   IFERROR(
      LET(
         list_a, set(val_a),
         list_b, set(val_b),
         res, FILTER(list_a, ISNUMBER(XMATCH(list_a, list_b))),
         IF(IF(ISOMITTED(as_row), 0, as_row), TOROW(res), res)
      ),
      ""
   )
)</t>
  </si>
  <si>
    <t>Set intersection of two ranges.
Arguments:
  a        - first range/set.
  b        - second range/set.
  [as_row] - 1 for a horizontal result; default 0 vertical.
Returns:
  The cleaned, sorted values common to both a and b.
Example:
  set_i(A1:A5, B1:B5)</t>
  </si>
  <si>
    <t>set_u(a, b, [as_row])</t>
  </si>
  <si>
    <t>Set union: all distinct values from set a and set b combined.</t>
  </si>
  <si>
    <t>=LAMBDA(val_a, val_b, [as_row],
   set(VSTACK(val_a, val_b), IF(ISOMITTED(as_row), 0, as_row))
)</t>
  </si>
  <si>
    <t>Set union of two ranges.
Arguments:
  a        - first range/set.
  b        - second range/set.
  [as_row] - 1 for a horizontal result; default 0 vertical.
Returns:
  The cleaned, sorted values found in either a or b.
Example:
  set_u(A1:A5, B1:B5)</t>
  </si>
  <si>
    <t>smallest(check, return)</t>
  </si>
  <si>
    <t>Finds the smallest number in "check" and returns the first matching value in "return" (an XLOOKUP on MIN).</t>
  </si>
  <si>
    <t>Splits a string into a vertical array (horizontal if as_row=1), keeping multi-char Unicode symbols whole. 1D input splits into the unused axis; 2D concatenates row-major first. Digits become numbers.</t>
  </si>
  <si>
    <t>=LAMBDA(str_or_array,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t>
  </si>
  <si>
    <t>str_rev(str)</t>
  </si>
  <si>
    <t>Reverses a string (character by character), respecting whole multi-character symbols.</t>
  </si>
  <si>
    <t>=LAMBDA(str,
   IF(
      ROWS(str) * COLUMNS(str) = 1,
      TEXTJOIN("", , MID(str, SEQUENCE(LEN(str), , LEN(str), -1), 1)),
      BYROW(
         str,
         LAMBDA(x, TEXTJOIN("", , MID(x, SEQUENCE(LEN(x), , LEN(x), -1), 1)))
      )
   )
)</t>
  </si>
  <si>
    <t>Reverses the characters of a string.
Arguments:
  str - the text to reverse.
Returns:
  The string reversed. Works on arrays of strings.
Example:
  str_rev("abc")  -&gt;  "cba"</t>
  </si>
  <si>
    <t>textbetween(str_or_arr, prefix, suffix)</t>
  </si>
  <si>
    <t>Returns the text between a prefix and a suffix. Trims the result and converts to a number when possible. Works on arrays, returning an array of the same size.</t>
  </si>
  <si>
    <t>=LAMBDA(str_or_arr,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t>
  </si>
  <si>
    <t>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t>
  </si>
  <si>
    <t>transform_array(arr, dir)</t>
  </si>
  <si>
    <t>Rotates 90 degrees or flips an array, once or twice, using one or two of ↺↻↕↔. For two operations pass them concatenated, e.g. "↕↔" or "↺↺".</t>
  </si>
  <si>
    <t>update_arr( array, r, c, value)</t>
  </si>
  <si>
    <t>Returns a copy of the array with the cell at row r, column c replaced by value.</t>
  </si>
  <si>
    <t>=LAMBDA(array, r, c, value, LET(
   arr, array,
   MAKEARRAY(
      ROWS(arr),
      COLUMNS(arr),
      LAMBDA(i, j, IF((i = r) * (j = c), value, INDEX(arr, i, j)))
   )
))</t>
  </si>
  <si>
    <t>Returns an array with a single cell replaced.
Arguments:
  array - the source array.
  r     - row index of the cell to change.
  c     - column index of the cell to change.
  value - the new value for that cell.
Returns:
  A copy of array with (r, c) set to value.
Example:
  update_arr(grid, 2, 3, "x")</t>
  </si>
  <si>
    <t>xbyrow(arr, function)</t>
  </si>
  <si>
    <t>BYROW that allows array-returning functions: each row's result is flattened to a row (TOROW) and stacked; ragged #N/A padding is blanked (IFNA). Use for per-row transforms that expand each item into a row.</t>
  </si>
  <si>
    <t>=LAMBDA(arr, function,
  IFNA(z_xbyrow_ix(arr, function, 1, ROWS(arr)), "")
)</t>
  </si>
  <si>
    <t>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t>
  </si>
  <si>
    <t>xcountif(arr, criteria)</t>
  </si>
  <si>
    <t>Like COUNTIF but both arguments may be arrays. Uses FILTER internally and correctly returns 0 (not an error) when nothing matches.</t>
  </si>
  <si>
    <t>=LAMBDA(arr, criteria, LET(
   flat, TOCOL(arr, 0),
   count_fx, LAMBDA(x, IFERROR(ROWS(FILTER(flat, flat = x)), 0)),
   IF(
      ROWS(criteria) * COLUMNS(criteria) = 1,
      count_fx(criteria),
      MAP(criteria, count_fx)
   )
))</t>
  </si>
  <si>
    <t>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t>
  </si>
  <si>
    <t>xdec2bin(number, [places])</t>
  </si>
  <si>
    <t>Like DEC2BIN but handles up to 53 binary places instead of 10 (beyond 53 the value exceeds the exact-integer range of a double).</t>
  </si>
  <si>
    <t>=LAMBDA(number, [places], LET(
   n, ROUND(number, 0),
   p, IF(ISOMITTED(places), 0, places),
   IF(
      n &gt;= 0,
      BASE(n, 2, MAX(p, 1)),
      LET(
         bits, IF(p = 0, 64, p),
         IF(
            bits &gt; 53,
            "Error: Precision Limit",
            BASE(POWER(2, bits) + n, 2, bits)
         )
      )
   )
))</t>
  </si>
  <si>
    <t>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t>
  </si>
  <si>
    <t>Multi-criteria FILTER. ANDs up to 5 boolean masks. A column-vector mask filters rows; a row-vector mask filters columns - so you can filter BOTH directions in one call. Omitted masks default to 1. Returns "" if nothing matches.</t>
  </si>
  <si>
    <t>xmod(a, b)</t>
  </si>
  <si>
    <t>One-based modulo: like MOD but cycles 1..b instead of 0..b-1. Equal to MOD(a,b) except when that is 0, where it returns b.</t>
  </si>
  <si>
    <t>=LAMBDA(a, b, IF(MOD(a, b) = 0, b, MOD(a, b)))</t>
  </si>
  <si>
    <t>Modulo that returns the divisor instead of zero (1-based).
Arguments:
  a - the dividend.
  b - the divisor.
Returns:
  MOD(a, b), except returns b when MOD(a, b) would be 0. Useful for 1-based cycling.
Example:
  xmod(6, 3)  -&gt;  3</t>
  </si>
  <si>
    <t>xn(value_or_array)</t>
  </si>
  <si>
    <t>Converts numeric strings to numbers (like N). Non-numeric strings pass through unchanged, TRUE/FALSE become 1/0, blanks become "", "" stays "". Works on arrays.</t>
  </si>
  <si>
    <t>=LAMBDA(val_or_arr, LET(
   fn_convert, LAMBDA(x,
      IF(
         x = "",
         "",
         IF(ISNUMBER(x), x, IF(ISLOGICAL(x), N(x), IFERROR(VALUE(x), x)))
      )
   ),
   IF(
      ROWS(val_or_arr) * COLUMNS(val_or_arr) = 1,
      fn_convert(val_or_arr),
      MAP(val_or_arr, fn_convert)
   )
))</t>
  </si>
  <si>
    <t>Coerces values to numbers where sensible.
Arguments:
  value_or_array - a value or array to convert.
Returns:
  Numeric strings become numbers; TRUE/FALSE become 1/0; blanks and "" become ""; non-numeric text is left unchanged. Works on arrays.
Example:
  xn("42")  -&gt;  42</t>
  </si>
  <si>
    <t>xrank(value, array, [order])</t>
  </si>
  <si>
    <t>Like the built-in RANK but works on arrays.</t>
  </si>
  <si>
    <t>xsequence(start, stop, [step], [repeat_element], [repeat_array])</t>
  </si>
  <si>
    <t>Vertical sequence from start to stop inclusive, counting by step. Can repeat each element or repeat the whole array. Optional args default to 1. Decimal steps may cause floating-point drift.</t>
  </si>
  <si>
    <t>xtextsplit(str,[delim],[as_row])</t>
  </si>
  <si>
    <t>Like TEXTSPLIT but trims items, returns a vertical array (horizontal if as_row=1), and converts to numbers. If delim is omitted, the first non-alphanumeric char (incl. whitespace) is used.</t>
  </si>
  <si>
    <t>=LAMBDA(str,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t>
  </si>
  <si>
    <t>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t>
  </si>
  <si>
    <t>xtocol(rng, [show_addr], [clean], [dir], [snake])</t>
  </si>
  <si>
    <t>Flattens a 2D range to a column. show_addr (default 1) adds an address column; clean (default 1) drops blanks/errors/""; dir sets scan order ("→↓" default); snake (default 0) zig-zags.</t>
  </si>
  <si>
    <t>z_route_worker(_s, _p, _f2, cost_map, _nr, _nc, _rd, _cd, _sq)</t>
  </si>
  <si>
    <t>Private recursive worker for route_cost - do not call directly. Runs one Dijkstra relaxation pass over the frontier and recurses until no cell's cost improves. Extra args carry route_cost's grid, size and move deltas.</t>
  </si>
  <si>
    <t>=LAMBDA(_s, _p, _f2, cost_map, _nr, _nc, _rd, _cd, _sq, LET(
   _tr, TOCOL(_rd + INDEX(_f2, 0, 1)),
   _tc, TOCOL(_cd + INDEX(_f2, 0, 2)),
   _db, TOCOL(
      INDEX(_p, INDEX(_f2, 0, 1), INDEX(_f2, 0, 2))
         + SEQUENCE(, COUNTA(_rd), 0, 0)
   ),
   _nf, IF(
      NOT((_tr &gt;= 1) * (_tr &lt;= _nr) * (_tc &gt;= 1) * (_tc &lt;= _nc)),
      {0, 0, 0},
      IF(
         NOT(ISNUMBER(INDEX(cost_map, _tr, _tc))),
         {0, 0, 0},
         IF(
            INDEX(cost_map, _tr, _tc) + _db &lt; INDEX(_p, _tr, _tc),
            HSTACK(_tr, _tc, _db + INDEX(cost_map, _tr, _tc)),
            {0, 0, 0}
         )
      )
   ),
   _sn, SORT(_nf, 3, 1),
   _ps, XMATCH(
      UNIQUE(INDEX(_sn, 0, 1) &amp; "|" &amp; INDEX(_sn, 0, 2)),
      INDEX(_sn, 0, 1) &amp; "|" &amp; INDEX(_sn, 0, 2)
   ),
   _fs, FILTER(
      INDEX(_sn, _ps, SEQUENCE(, 3)),
      INDEX(_sn, _ps, 1) &gt; 0,
      0
   ),
   _um, IFERROR(
      INDEX(
         _fs,
         XMATCH(_sq, INDEX(_fs, 0, 1) &amp; "|" &amp; INDEX(_fs, 0, 2)),
         3
      ),
      _p
   ),
   IF(SUM(_fs) = 0, _p, _s(_s, _um, _fs, cost_map, _nr, _nc, _rd, _cd, _sq))
))</t>
  </si>
  <si>
    <t>Private recursive worker for route_cost - do not call directly.
Performs one relaxation pass: for the current frontier cells (_f2) it checks each neighbor (via move deltas _rd/_cd), keeps the cheapest cost improvement per cell, writes them into the running cost matrix _p, and recurses on the newly-improved cells. Stops when no cell improves.
Arguments:
  _s       - self reference (for recursion).
  _p       - current cost matrix (same shape as cost_map).
  _f2      - frontier: rows of {row, col, cost} to expand.
  cost_map, _nr, _nc, _rd, _cd, _sq - route_cost's grid, size, move deltas and cell keys, passed through.
Returns:
  The final cost matrix once no further improvement is possible.</t>
  </si>
  <si>
    <t>z_xbyrow_ix(arr, function, first, last)</t>
  </si>
  <si>
    <t>Private recursive worker for xbyrow (don't call directly). Applies function to each row, flattens the result to a row with TOROW, and VSTACKs the pieces via divide-and-conquer.</t>
  </si>
  <si>
    <t>=LAMBDA(arr, function, first, last,
  IF(first = last,
     TOROW(
       IF(COLUMNS(arr) = 1,
          function(@CHOOSEROWS(arr, first)),
          function(CHOOSEROWS(arr, first)))),
     LET(
       mid_row, INT((first + last) / 2),
       VSTACK(
         z_xbyrow_ix(arr, function, first, mid_row),
         z_xbyrow_ix(arr, function, mid_row + 1, last)
       )
     )
  )
)</t>
  </si>
  <si>
    <t>Private recursive worker for xbyrow - do not call directly.
Splits the row index range [first, last] in half, recurses on each half, and VSTACKs the pieces (divide-and-conquer). At a single row it applies function to that row (dereferencing a lone cell with @) and flattens the result to a row with TOROW.
Arguments:
  arr      - the full array (passed through unchanged).
  function - the LAMBDA to apply to each row.
  first    - first row index of the current window.
  last     - last row index of the current window.
Returns:
  The stacked, one-row-per-input results for rows first..last. Called by xbyrow as z_xbyrow_ix(arr, function, 1, ROWS(arr)).</t>
  </si>
  <si>
    <t>Lambda Test Summary</t>
  </si>
  <si>
    <t>PASS/FAIL counts per lambda (updates after fix_test_formulas recalculates).</t>
  </si>
  <si>
    <t>Lambda</t>
  </si>
  <si>
    <t>Pass</t>
  </si>
  <si>
    <t>Fail</t>
  </si>
  <si>
    <t>Total</t>
  </si>
  <si>
    <t>Status</t>
  </si>
  <si>
    <t>TOTAL</t>
  </si>
  <si>
    <t>grid D7:F9</t>
  </si>
  <si>
    <t>addr array</t>
  </si>
  <si>
    <t>D7</t>
  </si>
  <si>
    <t>F9</t>
  </si>
  <si>
    <t>numeric 8000005 (E8) -&gt; 50</t>
  </si>
  <si>
    <t>addr array {D7;F9} -&gt; {10;90}</t>
  </si>
  <si>
    <t>arrow(str) - normalise a direction keyword/glyph to a standard arrow (EXACT, case-sensitive lookup)</t>
  </si>
  <si>
    <t>U -&gt; up</t>
  </si>
  <si>
    <t>DL -&gt; down-left</t>
  </si>
  <si>
    <t>NE -&gt; up-right</t>
  </si>
  <si>
    <t>North -&gt; up</t>
  </si>
  <si>
    <t>glyph ⇧ -&gt; up</t>
  </si>
  <si>
    <t>glyph 🖢 -&gt; up</t>
  </si>
  <si>
    <t>arrow_move(start_ad,arrow,[steps],[board_rng],[push_mode]) - returns NUMERIC address. push_mode flag: 1 stop-at-edge(def), 0 stay-at-start, -1 'oob'</t>
  </si>
  <si>
    <t>A1 -&gt; right 3</t>
  </si>
  <si>
    <t>A1</t>
  </si>
  <si>
    <t>A1 -&gt; down 2</t>
  </si>
  <si>
    <t>A3 up 5, push=1 stop@edge</t>
  </si>
  <si>
    <t>A3</t>
  </si>
  <si>
    <t>A3 up 5, push=0 stay</t>
  </si>
  <si>
    <t>A3 up 5, push=-1 -&gt; 'oob'</t>
  </si>
  <si>
    <t>oob</t>
  </si>
  <si>
    <t>arrow_trip(rng,start_ad,dir,[stopper]) - path of NUMERIC addresses + values until edge or (inclusive) stopper</t>
  </si>
  <si>
    <t>Exp addr</t>
  </si>
  <si>
    <t>val</t>
  </si>
  <si>
    <t>Act addr</t>
  </si>
  <si>
    <t>board D7:H7</t>
  </si>
  <si>
    <t>a</t>
  </si>
  <si>
    <t>b</t>
  </si>
  <si>
    <t>d</t>
  </si>
  <si>
    <t>e</t>
  </si>
  <si>
    <t>no stopper -&gt; full trip</t>
  </si>
  <si>
    <t>stopper 'X' (stops incl.)</t>
  </si>
  <si>
    <t>stopper 'Z' absent -&gt; full</t>
  </si>
  <si>
    <t>biggest(check,return) - value from `return` paired with MAX(check); ties -&gt; first</t>
  </si>
  <si>
    <t>max{30;70;50}-&gt;b</t>
  </si>
  <si>
    <t>c</t>
  </si>
  <si>
    <t>tie max{5;9;9;2}-&gt;q (first)</t>
  </si>
  <si>
    <t>p</t>
  </si>
  <si>
    <t>q</t>
  </si>
  <si>
    <t>r</t>
  </si>
  <si>
    <t>s</t>
  </si>
  <si>
    <t>clamp(num_or_arr,[bottom],[top]) - text/blank -&gt; '' , errors pass through; array-aware</t>
  </si>
  <si>
    <t>{5;-3;120} lo0 hi100</t>
  </si>
  <si>
    <t>scalar 150, only top=100</t>
  </si>
  <si>
    <t>only bottom=0 on -5</t>
  </si>
  <si>
    <t>mix num/text/blank {5;'x';(blank);8}</t>
  </si>
  <si>
    <t>x</t>
  </si>
  <si>
    <t>scalar error passthrough</t>
  </si>
  <si>
    <t>count_substring(str, sub, [case_sensitive]) - non-overlapping count; array in str OR sub (not both); non-text-&gt;0</t>
  </si>
  <si>
    <t>banana / a</t>
  </si>
  <si>
    <t>banana</t>
  </si>
  <si>
    <t>banana / na</t>
  </si>
  <si>
    <t>na</t>
  </si>
  <si>
    <t>AaAa / a  case=1</t>
  </si>
  <si>
    <t>AaAa</t>
  </si>
  <si>
    <t>AaAa / a  default(ci)</t>
  </si>
  <si>
    <t>sub is array {a;n}</t>
  </si>
  <si>
    <t>n</t>
  </si>
  <si>
    <t>str is array</t>
  </si>
  <si>
    <t>apple</t>
  </si>
  <si>
    <t>ctotal(arr) - running cumulative total (SCAN). A blank cell counts as 0 (does NOT break it); text/error would.</t>
  </si>
  <si>
    <t>{1;2;3}</t>
  </si>
  <si>
    <t>{5;-2;10}</t>
  </si>
  <si>
    <t>blank in middle {1;(blank);3}</t>
  </si>
  <si>
    <t>row {1,2,3,4}</t>
  </si>
  <si>
    <t>cycles(outer_n,inner_n) - nested-loop index pairs (2 columns)</t>
  </si>
  <si>
    <t>3 x 2</t>
  </si>
  <si>
    <t>2 x 3</t>
  </si>
  <si>
    <t>die_pips(st) - die glyphs to pip values; multiple dice in one string -&gt; column; array-aware</t>
  </si>
  <si>
    <t>die 5</t>
  </si>
  <si>
    <t>⚄</t>
  </si>
  <si>
    <t>die 2</t>
  </si>
  <si>
    <t>⚁</t>
  </si>
  <si>
    <t>two dice in one cell</t>
  </si>
  <si>
    <t>⚀⚅</t>
  </si>
  <si>
    <t>array col of dice</t>
  </si>
  <si>
    <t>⚂</t>
  </si>
  <si>
    <t>dist(start,end,[diag],[print_components]) - flags: diag 1=Chebyshev(def) 0=taxicab -1=Euclidean; print_components=1 breaks it into arrows+legs</t>
  </si>
  <si>
    <t>A1-&gt;C3 Chebyshev</t>
  </si>
  <si>
    <t>C3</t>
  </si>
  <si>
    <t>A1-&gt;C3 taxicab (diag 0)</t>
  </si>
  <si>
    <t>A1-&gt;C3 Euclidean (diag -1)</t>
  </si>
  <si>
    <t>A1-&gt;D2 Chebyshev</t>
  </si>
  <si>
    <t>D2</t>
  </si>
  <si>
    <t>components: A1-&gt;C3 cheby (flag=1)</t>
  </si>
  <si>
    <t>components: A1-&gt;C4 cheby (has legs)</t>
  </si>
  <si>
    <t>C4</t>
  </si>
  <si>
    <t>components: A1-&gt;C3 taxicab (flag=1)</t>
  </si>
  <si>
    <t>exists(arr,value) - membership 1/0. value can be an ARRAY (returns an array of 1/0, same shape as value).</t>
  </si>
  <si>
    <t>2 in {1;2;3}</t>
  </si>
  <si>
    <t>'x' in {a;b;c}</t>
  </si>
  <si>
    <t>value array {2;9}</t>
  </si>
  <si>
    <t>value array {a;z} in {a;b;c}</t>
  </si>
  <si>
    <t>z</t>
  </si>
  <si>
    <t>freq_table(array,[min_freq]) - value|count sorted by count desc. Blanks IGNORED; an ERROR in the input makes it return #N/A.</t>
  </si>
  <si>
    <t>{1;1;2}</t>
  </si>
  <si>
    <t>{a;a;a;b;b;c}</t>
  </si>
  <si>
    <t>blank ignored {1;1;(blank);2}</t>
  </si>
  <si>
    <t>min_freq=2 on {1;1;2;3;3;3}</t>
  </si>
  <si>
    <t>ERROR breaks it -&gt; #N/A</t>
  </si>
  <si>
    <t>is_unique(arr) - TRUE(1) if all distinct. Case-insensitive; blanks ignored.</t>
  </si>
  <si>
    <t>{1;2;2}</t>
  </si>
  <si>
    <t>{a;A} case-insensitive -&gt; 0</t>
  </si>
  <si>
    <t>blanks ignored {1;(blank);2;3}</t>
  </si>
  <si>
    <t>knight_moves(start_ad,end_ad) - min knight moves on an unbounded board. Each cell accepts a NUMERIC address OR an A1 string.</t>
  </si>
  <si>
    <t>'A1'-&gt;'B3'</t>
  </si>
  <si>
    <t>B3</t>
  </si>
  <si>
    <t>'A1'-&gt;'C3' (tricky, 4)</t>
  </si>
  <si>
    <t>'A1'-&gt;'A1' (0)</t>
  </si>
  <si>
    <t>'A1'-&gt;'B1' (adjacent, 3)</t>
  </si>
  <si>
    <t>B1</t>
  </si>
  <si>
    <t>'A1'-&gt;'H8' (6)</t>
  </si>
  <si>
    <t>H8</t>
  </si>
  <si>
    <t>NUMERIC 1000001-&gt;8000008 (=A1-&gt;H8)</t>
  </si>
  <si>
    <t>MIXED 1000001-&gt;'C3'</t>
  </si>
  <si>
    <t>label_lookup(arr,row_label,column_label) - value at intersection of matching row/column headers</t>
  </si>
  <si>
    <t>labelled grid D7:G9</t>
  </si>
  <si>
    <t>Mon</t>
  </si>
  <si>
    <t>Tue</t>
  </si>
  <si>
    <t>Wed</t>
  </si>
  <si>
    <t>B / Tue -&gt; 5</t>
  </si>
  <si>
    <t>A / Wed -&gt; 3</t>
  </si>
  <si>
    <t>B / Mon -&gt; 4</t>
  </si>
  <si>
    <t>load_array(string,[col_delim],[row_delim]) - parse delimited text to 2D array</t>
  </si>
  <si>
    <t>1|2;3|4</t>
  </si>
  <si>
    <t>a|b;c|d</t>
  </si>
  <si>
    <t>custom , /</t>
  </si>
  <si>
    <t>1,2/3,4</t>
  </si>
  <si>
    <t>,</t>
  </si>
  <si>
    <t>/</t>
  </si>
  <si>
    <t>neighbors_count(arr,val,dist,[diag],[self]) - count of val near each cell. Flags: diag 1=Moore(def)/0=orthogonal ; self 1=include(def)/0=exclude</t>
  </si>
  <si>
    <t>grid (val=1, dist=1)</t>
  </si>
  <si>
    <t>input grid D7:F9</t>
  </si>
  <si>
    <t>default (diag+self)</t>
  </si>
  <si>
    <t>self=0 (exclude center)</t>
  </si>
  <si>
    <t>diag=0 (orthogonal)</t>
  </si>
  <si>
    <t>neighbors_list(center_ad,[size],[boundary],[diag]) - addresses around a cell (nearest first). center_ad accepts a NUMERIC address OR an A1 string. diag flag 0 = orthogonal only</t>
  </si>
  <si>
    <t>string 'B2', diag 0 (orthogonal)</t>
  </si>
  <si>
    <t>B2</t>
  </si>
  <si>
    <t>A2</t>
  </si>
  <si>
    <t>C2</t>
  </si>
  <si>
    <t>string 'B2' (8 neighbours)</t>
  </si>
  <si>
    <t>C1</t>
  </si>
  <si>
    <t>NUMERIC 2000002 (=B2)</t>
  </si>
  <si>
    <t>NUMERIC 2000002, diag 0</t>
  </si>
  <si>
    <t>NUMERIC 3000003 (=C3), 8 neighbours</t>
  </si>
  <si>
    <t>D3</t>
  </si>
  <si>
    <t>B4</t>
  </si>
  <si>
    <t>D4</t>
  </si>
  <si>
    <t>D3 -&gt; 3000004</t>
  </si>
  <si>
    <t>already numeric passes</t>
  </si>
  <si>
    <t>non-address text 'hi'</t>
  </si>
  <si>
    <t>hi</t>
  </si>
  <si>
    <t>$B$2 (strip $)</t>
  </si>
  <si>
    <t>$B$2</t>
  </si>
  <si>
    <t>array {A1;B2}</t>
  </si>
  <si>
    <t>offset_letter(st, offset) - Caesar shift; preserves case, non-letters untouched; array-aware</t>
  </si>
  <si>
    <t>xyz +2 (wrap)</t>
  </si>
  <si>
    <t>xyz</t>
  </si>
  <si>
    <t>zab</t>
  </si>
  <si>
    <t>abc +1</t>
  </si>
  <si>
    <t>abc</t>
  </si>
  <si>
    <t>bcd</t>
  </si>
  <si>
    <t>Hello +1 (case kept)</t>
  </si>
  <si>
    <t>Hello</t>
  </si>
  <si>
    <t>Ifmmp</t>
  </si>
  <si>
    <t>a1b +1 (digit kept)</t>
  </si>
  <si>
    <t>a1b</t>
  </si>
  <si>
    <t>b1c</t>
  </si>
  <si>
    <t>bcd -1 (neg)</t>
  </si>
  <si>
    <t>array col + scalar offset</t>
  </si>
  <si>
    <t>XYZ</t>
  </si>
  <si>
    <t>YZA</t>
  </si>
  <si>
    <t>only_letters(st) - keeps letters only (case-insensitive; original case preserved); array-aware</t>
  </si>
  <si>
    <t>aB3c! -&gt; aBc</t>
  </si>
  <si>
    <t>aB3c!</t>
  </si>
  <si>
    <t>aBc</t>
  </si>
  <si>
    <t>Hello -&gt; Hello</t>
  </si>
  <si>
    <t>XYz9 -&gt; XYz</t>
  </si>
  <si>
    <t>XYz9</t>
  </si>
  <si>
    <t>XYz</t>
  </si>
  <si>
    <t>no letters '123!'</t>
  </si>
  <si>
    <t>123!</t>
  </si>
  <si>
    <t>array col</t>
  </si>
  <si>
    <t>ab</t>
  </si>
  <si>
    <t>2C3d</t>
  </si>
  <si>
    <t>Cd</t>
  </si>
  <si>
    <t>only_numbers(st) - pulls -?\d+(\.\d+)? from text; one string can yield several numbers (wrap TOCOL for the column)</t>
  </si>
  <si>
    <t>X10 -&gt; 10</t>
  </si>
  <si>
    <t>X10</t>
  </si>
  <si>
    <t>$3.5k -&gt; 3.5</t>
  </si>
  <si>
    <t>$3.5k</t>
  </si>
  <si>
    <t>abc -&gt; '' (none)</t>
  </si>
  <si>
    <t>a1b2c3 (many)</t>
  </si>
  <si>
    <t>a1b2c3</t>
  </si>
  <si>
    <t>temp -5 to 12</t>
  </si>
  <si>
    <t>rev(arr) - cleans (drops blanks/errors/'') then fully reverses</t>
  </si>
  <si>
    <t>{a;b;c}</t>
  </si>
  <si>
    <t>blank dropped {1;(blank);3}</t>
  </si>
  <si>
    <t>rotate_arrow(arrow, steps, [dir]) - rotate 45deg per step; dir="ccw" reverses (default clockwise)</t>
  </si>
  <si>
    <t>-&gt; +1 cw</t>
  </si>
  <si>
    <t>up +2 cw</t>
  </si>
  <si>
    <t>up +1 ccw</t>
  </si>
  <si>
    <t>ccw</t>
  </si>
  <si>
    <t>up +4 (opposite)</t>
  </si>
  <si>
    <t>-&gt; +1 ccw</t>
  </si>
  <si>
    <t>route_cost(cost_map,start,[diag]) - least-cost (Dijkstra) to every cell. start: A1 text, a NUMERIC address, or {row,col} coords. diag 1=diagonals(def)/0=orthogonal</t>
  </si>
  <si>
    <t>cost_map D7:E8 (all 1)</t>
  </si>
  <si>
    <t>coords {1,1}, diag 0</t>
  </si>
  <si>
    <t>string 'D7', diag 0</t>
  </si>
  <si>
    <t>NUMERIC 7000004 (=D7), diag 0</t>
  </si>
  <si>
    <t>coords {1,1}, diag 1</t>
  </si>
  <si>
    <t>save_array(array,[col_delim],[row_delim]) - serialize a 2D array to text</t>
  </si>
  <si>
    <t>2x2 default</t>
  </si>
  <si>
    <t>row {a,b}</t>
  </si>
  <si>
    <t>a|b</t>
  </si>
  <si>
    <t>selections(arr,n,[order_matters],[repeats],[countdown],[clean]) - permutations/combinations</t>
  </si>
  <si>
    <t>{a;b;c} choose 2 (combos)</t>
  </si>
  <si>
    <t>{1;2;3;4} choose 2</t>
  </si>
  <si>
    <t>{a;b;c} choose 2 PERMUTATIONS (order=1)</t>
  </si>
  <si>
    <t>{a;b} choose 2 with REPEATS</t>
  </si>
  <si>
    <t>set(rng,[as_row]) - unique, sorted, cleaned. Blanks removed. as_row=1 -&gt; horizontal</t>
  </si>
  <si>
    <t>{3;1;2;1}</t>
  </si>
  <si>
    <t>{c;a;b;a}</t>
  </si>
  <si>
    <t>blanks removed {3;(blank);1;2}</t>
  </si>
  <si>
    <t>as_row=1 {3;1;2}</t>
  </si>
  <si>
    <t>set_d(a,b,[as_row]) - sorted difference a minus b</t>
  </si>
  <si>
    <t>{1;2;3} - {2}</t>
  </si>
  <si>
    <t>{a;b;c;d} - {b;d}</t>
  </si>
  <si>
    <t>set_i(a,b,[as_row]) - sorted intersection</t>
  </si>
  <si>
    <t>{1;2;3} &amp; {2;3;4}</t>
  </si>
  <si>
    <t>{a;b;c} &amp; {b;c}</t>
  </si>
  <si>
    <t>no overlap -&gt; ''</t>
  </si>
  <si>
    <t>set_u(a,b,[as_row]) - sorted union of two ranges</t>
  </si>
  <si>
    <t>{1;2} U {2;3}</t>
  </si>
  <si>
    <t>{a;b} U {b;c;d}</t>
  </si>
  <si>
    <t>as_row {1;3} U {2}</t>
  </si>
  <si>
    <t>shift_arr(arr,dir,[steps],[fill]) - shift contents; omit fill to wrap around</t>
  </si>
  <si>
    <t>col {1;2;3} D wrap</t>
  </si>
  <si>
    <t>col {1;2;3} U wrap</t>
  </si>
  <si>
    <t>2x2 R wrap</t>
  </si>
  <si>
    <t>smallest(check,return) - value from `return` paired with MIN(check); ties -&gt; first</t>
  </si>
  <si>
    <t>min{30;70;50}-&gt;a</t>
  </si>
  <si>
    <t>min{5;9;2;2}-&gt;r (first)</t>
  </si>
  <si>
    <t>str2arr(str,[as_row]) - explode to characters (digits become numbers); default column, as_row=1 -&gt; row</t>
  </si>
  <si>
    <t>abc -&gt; column</t>
  </si>
  <si>
    <t>x1y (digit-&gt;num)</t>
  </si>
  <si>
    <t>x1y</t>
  </si>
  <si>
    <t>y</t>
  </si>
  <si>
    <t>abc as_row=1</t>
  </si>
  <si>
    <t>3000004 -&gt; D3</t>
  </si>
  <si>
    <t>D3 string passes</t>
  </si>
  <si>
    <t>2000000 (col 0) unchanged</t>
  </si>
  <si>
    <t>array {1000001;2000002}</t>
  </si>
  <si>
    <t>str_rev(str) - reverses characters; array-aware</t>
  </si>
  <si>
    <t>cba</t>
  </si>
  <si>
    <t>hello</t>
  </si>
  <si>
    <t>olleh</t>
  </si>
  <si>
    <t>A1b (mixed)</t>
  </si>
  <si>
    <t>A1b</t>
  </si>
  <si>
    <t>b1A</t>
  </si>
  <si>
    <t>xy</t>
  </si>
  <si>
    <t>yx</t>
  </si>
  <si>
    <t>textbetween(str, prefix, suffix) - text between markers (case-insensitive), numeric-coerced; array-aware</t>
  </si>
  <si>
    <t>[x] -&gt; x</t>
  </si>
  <si>
    <t>[x]</t>
  </si>
  <si>
    <t>[</t>
  </si>
  <si>
    <t>]</t>
  </si>
  <si>
    <t>&lt;&lt;hi&gt;&gt; -&gt; hi</t>
  </si>
  <si>
    <t>&lt;&lt;hi&gt;&gt;</t>
  </si>
  <si>
    <t>&lt;&lt;</t>
  </si>
  <si>
    <t>&gt;&gt;</t>
  </si>
  <si>
    <t>a=5; -&gt; 5 (num)</t>
  </si>
  <si>
    <t>a=5;</t>
  </si>
  <si>
    <t>=</t>
  </si>
  <si>
    <t>;</t>
  </si>
  <si>
    <t>not found -&gt; ''</t>
  </si>
  <si>
    <t>[a]</t>
  </si>
  <si>
    <t>[bc]</t>
  </si>
  <si>
    <t>bc</t>
  </si>
  <si>
    <t>transform_array(arr,dir) - rotate/flip a 2D array; concatenate two ops for a double transform</t>
  </si>
  <si>
    <t>2x2 flipH ↔</t>
  </si>
  <si>
    <t>2x2 flipV ↕</t>
  </si>
  <si>
    <t>2x2 rotCW ↻</t>
  </si>
  <si>
    <t>2x2 rotCCW ↺</t>
  </si>
  <si>
    <t>2x2 double ↕↔ (180)</t>
  </si>
  <si>
    <t>↕↔</t>
  </si>
  <si>
    <t>2x3 rotCW ↻</t>
  </si>
  <si>
    <t>update_arr(array,r,c,value) - copy of array with one cell replaced</t>
  </si>
  <si>
    <t>2x2 set (2,1)=9</t>
  </si>
  <si>
    <t>row set (1,3)=0</t>
  </si>
  <si>
    <t>xbyrow(arr,function) - BYROW allowing an array per row. `function` may be a LAMBDA, a bare built-in (min), or a defined lambda name (neighbors_list).</t>
  </si>
  <si>
    <t>{1;2;3}, LAMBDA x*10</t>
  </si>
  <si>
    <t>{1;2;3}, SEQUENCE(1,2,x)</t>
  </si>
  <si>
    <t>bare MIN per row</t>
  </si>
  <si>
    <t>bare neighbors_list per addr</t>
  </si>
  <si>
    <t>B5</t>
  </si>
  <si>
    <t>A4</t>
  </si>
  <si>
    <t>A5</t>
  </si>
  <si>
    <t>C5</t>
  </si>
  <si>
    <t>A6</t>
  </si>
  <si>
    <t>B6</t>
  </si>
  <si>
    <t>C6</t>
  </si>
  <si>
    <t>xcountif(arr,criteria) - count matches; criteria may be an array. Blanks count as 0; an ERROR in arr makes it return 0.</t>
  </si>
  <si>
    <t>{1;2;2;3} crit 2</t>
  </si>
  <si>
    <t>{a;b;a} crit 'a'</t>
  </si>
  <si>
    <t>crit array {2;3}</t>
  </si>
  <si>
    <t>blanks count as 0: crit 0 on {1;2;(blank);0}</t>
  </si>
  <si>
    <t>ERROR in arr -&gt; 0</t>
  </si>
  <si>
    <t>xdec2bin(number, [places]) - decimal to binary text (extended range); negatives use two's complement</t>
  </si>
  <si>
    <t>5 -&gt; 101</t>
  </si>
  <si>
    <t>101</t>
  </si>
  <si>
    <t>5, places 8</t>
  </si>
  <si>
    <t>00000101</t>
  </si>
  <si>
    <t>0 -&gt; 0  (bugfix)</t>
  </si>
  <si>
    <t>0</t>
  </si>
  <si>
    <t>0, places 4</t>
  </si>
  <si>
    <t>0000</t>
  </si>
  <si>
    <t>10 -&gt; 1010</t>
  </si>
  <si>
    <t>1010</t>
  </si>
  <si>
    <t>-1, places 4 (2s-comp)</t>
  </si>
  <si>
    <t>1111</t>
  </si>
  <si>
    <t>xmod(a, b) - MOD but returns b instead of 0 (1-based cycling)</t>
  </si>
  <si>
    <t>6 mod 3</t>
  </si>
  <si>
    <t>7 mod 3</t>
  </si>
  <si>
    <t>5 mod 5</t>
  </si>
  <si>
    <t>10 mod 4</t>
  </si>
  <si>
    <t>12 mod 6</t>
  </si>
  <si>
    <t>1 mod 4</t>
  </si>
  <si>
    <t>xn(value_or_array) - numeric strings-&gt;numbers, TRUE/FALSE-&gt;1/0, blanks/''-&gt;'' , other text unchanged; array-aware</t>
  </si>
  <si>
    <t>'42' (text) -&gt; 42</t>
  </si>
  <si>
    <t>42</t>
  </si>
  <si>
    <t>TRUE -&gt; 1</t>
  </si>
  <si>
    <t>abc -&gt; abc</t>
  </si>
  <si>
    <t>'' -&gt; ''</t>
  </si>
  <si>
    <t>array {'1';'2';'x'}</t>
  </si>
  <si>
    <t>xrank(value, array, [order]) - 1-based rank; order 0=desc default,1=asc. TOCOL guard handles horizontal arrays</t>
  </si>
  <si>
    <t>50 in col{10,50,30} desc</t>
  </si>
  <si>
    <t>30 in col desc</t>
  </si>
  <si>
    <t>10 in col asc(order 1)</t>
  </si>
  <si>
    <t>50 in ROW{10,50,30} desc (orientation)</t>
  </si>
  <si>
    <t>dup 20 in {10,20,20,30} desc</t>
  </si>
  <si>
    <t>xsequence(start,stop,[step],[repeat_element],[repeat_array])</t>
  </si>
  <si>
    <t>1..5</t>
  </si>
  <si>
    <t>2..6 step2</t>
  </si>
  <si>
    <t>1..3 repeat each 2</t>
  </si>
  <si>
    <t>1..3 repeat whole 2</t>
  </si>
  <si>
    <t>5..1 (desc default step)</t>
  </si>
  <si>
    <t>xtextsplit(str,[delim],[as_row]) - split (delim inferred if omitted), trim, numeric-coerce; single token returns the string</t>
  </si>
  <si>
    <t>'a,b,c' infer</t>
  </si>
  <si>
    <t>a,b,c</t>
  </si>
  <si>
    <t>'1 2 3' infer -&gt; nums</t>
  </si>
  <si>
    <t>1 2 3</t>
  </si>
  <si>
    <t>'a-b-c' delim -</t>
  </si>
  <si>
    <t>a-b-c</t>
  </si>
  <si>
    <t>-</t>
  </si>
  <si>
    <t>as_row 'a,b,c'</t>
  </si>
  <si>
    <t>single 'abc' -&gt; 'abc'</t>
  </si>
  <si>
    <t>xtocol(rng,[show_addr],[clean],[dir],[snake]) - flatten to a column with scan/clean options</t>
  </si>
  <si>
    <t>2x2 row-major (show_addr 0)</t>
  </si>
  <si>
    <t>2x2 col-major ↓→</t>
  </si>
  <si>
    <t>clean drops blank {1,(blank),3}</t>
  </si>
  <si>
    <t>2x2 snake →↓</t>
  </si>
  <si>
    <t>ZZ -&gt; "" (not in table)</t>
  </si>
  <si>
    <t>ZZ</t>
  </si>
  <si>
    <t>Converts a direction string to a standard arrow. Accepts letter codes ("U","DL"), compass points ("NE"), and non-standard arrows (⇧, ➶). Returns one of ↑↓←→↖↗↙↘↺↻↕↔⤡⤢, or "" if not recognized.</t>
  </si>
  <si>
    <t>=LAMBDA(str, IFNA(XLOOKUP(TRUE, EXACT(str, Prep!$V$13:$ALY$13), Prep!$V$14:$ALY$14), ""))</t>
  </si>
  <si>
    <t>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t>
  </si>
  <si>
    <t>start outside board -&gt; "X"</t>
  </si>
  <si>
    <t>bad dir -&gt; ""</t>
  </si>
  <si>
    <t>all-text check -&gt; ""</t>
  </si>
  <si>
    <t>v</t>
  </si>
  <si>
    <t>no die glyph -&gt; ""</t>
  </si>
  <si>
    <t>missing row label -&gt; ""</t>
  </si>
  <si>
    <t>unknown arrow -&gt; ""</t>
  </si>
  <si>
    <t>start out of bounds -&gt; "X"</t>
  </si>
  <si>
    <t>bad op -&gt; #VALUE!</t>
  </si>
  <si>
    <t>#VALUE!</t>
  </si>
  <si>
    <t>value not in array -&gt; ""</t>
  </si>
  <si>
    <t>wrong-dir step -&gt; #VALUE!</t>
  </si>
  <si>
    <t>bad dir -&gt; #VALUE!</t>
  </si>
  <si>
    <t>=LAMBDA(check, return, IFNA(XLOOKUP(MAX(check), check, return), ""))</t>
  </si>
  <si>
    <t>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t>
  </si>
  <si>
    <t>=LAMBDA(st, LET(
   toVals, LAMBDA(txt, LET(
      seq, SEQUENCE(LEN(txt)),
      chars, MID(txt, seq, 1),
      codes, UNICODE(chars),
      isDie, (codes &gt;= 9856) * (codes &lt;= 9861),
      vals, FILTER(codes - 9855, isDie, ""),
      IF(ROWS(vals) * COLUMNS(vals) = 1, INDEX(vals, 1), vals)
   )),
   IF(
      ROWS(st) * COLUMNS(st) = 1,
      toVals(st),
      MAP(st, LAMBDA(cell, toVals(cell)))
   )
))</t>
  </si>
  <si>
    <t>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t>
  </si>
  <si>
    <t>=LAMBDA(arr, row_label, column_label,
   IFNA(
      INDEX(
         arr,
         XMATCH(row_label, INDEX(arr, , 1), 0),
         XMATCH(column_label, INDEX(arr, 1, ), 0)
      ),
      ""
   )
)</t>
  </si>
  <si>
    <t>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t>
  </si>
  <si>
    <t>=LAMBDA(cost_map,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t>
  </si>
  <si>
    <t>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t>
  </si>
  <si>
    <t>=LAMBDA(check, return, IFNA(XLOOKUP(MIN(check), check, return), ""))</t>
  </si>
  <si>
    <t>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t>
  </si>
  <si>
    <t>=LAMBDA(arr,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t>
  </si>
  <si>
    <t>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t>
  </si>
  <si>
    <t>=LAMBDA(value, array, [order], LET(
   rank_style_order, IF(ISOMITTED(order), 0, order),
   sort_style_order, IF(rank_style_order = 0, -1, 1),
   IFNA(XMATCH(value, SORT(TOCOL(array), 1, sort_style_order)), "")
))</t>
  </si>
  <si>
    <t>Rank of a value within an array.
Arguments:
  value   - the value to rank.
  array   - the set of values to rank within.
  [order] - 0 = descending (default), 1 = ascending.
Returns:
  The 1-based rank of value among array, or "" if value is not found in array.
Example:
  xrank(50, scores)</t>
  </si>
  <si>
    <t>=LAMBDA(rng,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t>
  </si>
  <si>
    <t>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t>
  </si>
  <si>
    <t>VBA Unit Tests</t>
  </si>
  <si>
    <t>Group</t>
  </si>
  <si>
    <t>Result</t>
  </si>
  <si>
    <t>UNICODE_SPLIT</t>
  </si>
  <si>
    <t>abc -&gt; 3 rows</t>
  </si>
  <si>
    <t>3x1[a|b|c]</t>
  </si>
  <si>
    <t>PASS</t>
  </si>
  <si>
    <t>ab -&gt; 2 rows</t>
  </si>
  <si>
    <t>2x1[a|b]</t>
  </si>
  <si>
    <t>empty -&gt; ''</t>
  </si>
  <si>
    <t/>
  </si>
  <si>
    <t>get_color</t>
  </si>
  <si>
    <t>solid red</t>
  </si>
  <si>
    <t>#FF0000</t>
  </si>
  <si>
    <t>unfilled -&gt; white</t>
  </si>
  <si>
    <t>#FFFFFF</t>
  </si>
  <si>
    <t>solid black</t>
  </si>
  <si>
    <t>#000000</t>
  </si>
  <si>
    <t>sheet_names</t>
  </si>
  <si>
    <t>count matches workbook</t>
  </si>
  <si>
    <t>TRUE</t>
  </si>
  <si>
    <t>vertical (1 column)</t>
  </si>
  <si>
    <t>first element = sheet 1</t>
  </si>
  <si>
    <t>sheet_data</t>
  </si>
  <si>
    <t>stacked 2 sheets x B2:C3</t>
  </si>
  <si>
    <t>5x4[Sheet|Row|B|C|zz_fx1|2|1|2|zz_fx1|3|3|4|zz_fx2|2|5|6|zz_fx2|3|7|8]</t>
  </si>
  <si>
    <t>invalid sheet name -&gt; error</t>
  </si>
  <si>
    <t>C:\Users\easht\OneDrive\Documents\Excel Fun\MEWC\Cases\Knife Thrower</t>
  </si>
  <si>
    <t>Knife-Thrower-Mikoja-Rakotoalisoa-Case-and-Answers-wefug22.xlsx</t>
  </si>
  <si>
    <t>debug.xlsm</t>
  </si>
  <si>
    <t>get_color: A1 red / A2 unfilled / A3 black</t>
  </si>
  <si>
    <t>m</t>
  </si>
  <si>
    <t>cm</t>
  </si>
  <si>
    <t>km</t>
  </si>
  <si>
    <t>xconvert conversion table (From | Factor | To)</t>
  </si>
  <si>
    <t>no-diag open (A2:C4)</t>
  </si>
  <si>
    <t>with-diag open (E2:G4)</t>
  </si>
  <si>
    <t>no-diag + wall at B7:B8 (A7:C9)</t>
  </si>
  <si>
    <t>write_background_color: A1 was red, A2 was black</t>
  </si>
  <si>
    <t>fill_color: A1="X"/red (source, selected); A2 red (filled); A3 blue (untouched); B1 red formula (untouched)</t>
  </si>
  <si>
    <t>flood_fill: A1:B3 is the color-boundary case; D1:D2 is the border-boundary case</t>
  </si>
  <si>
    <t>Unique Values</t>
  </si>
  <si>
    <t>Counts</t>
  </si>
  <si>
    <t>aab</t>
  </si>
  <si>
    <t>Address</t>
  </si>
  <si>
    <t>ok</t>
  </si>
  <si>
    <t>=XLOOKUP(A2,Case!C1:C369,Case!H1:H369)</t>
  </si>
  <si>
    <t>=SUM(A1)</t>
  </si>
  <si>
    <t>GetReturnColumnNumber: C1 has a realistic XLOOKUP formula; C2 has too few colons</t>
  </si>
  <si>
    <t>Game</t>
  </si>
  <si>
    <t>Answer</t>
  </si>
  <si>
    <t>foo</t>
  </si>
  <si>
    <t>xconvert</t>
  </si>
  <si>
    <t>direct m-&gt;cm (2)</t>
  </si>
  <si>
    <t>200</t>
  </si>
  <si>
    <t>reverse cm-&gt;m (200)</t>
  </si>
  <si>
    <t>same unit m-&gt;m (5)</t>
  </si>
  <si>
    <t>multi-hop km-&gt;cm (2)</t>
  </si>
  <si>
    <t>200000</t>
  </si>
  <si>
    <t>no path -&gt; error</t>
  </si>
  <si>
    <t>malformed 2-col -&gt; #VALUE!</t>
  </si>
  <si>
    <t>maze_solver</t>
  </si>
  <si>
    <t>no-diag open 3x3</t>
  </si>
  <si>
    <t>3x3[0|1|2|1|2|3|2|3|4]</t>
  </si>
  <si>
    <t>with-diag open 3x3</t>
  </si>
  <si>
    <t>3x3[0|1|2|1|1|2|2|2|2]</t>
  </si>
  <si>
    <t>no-diag wall</t>
  </si>
  <si>
    <t>3x3[0|&lt;empty&gt;|6|1|&lt;empty&gt;|5|2|3|4]</t>
  </si>
  <si>
    <t>select_sheets</t>
  </si>
  <si>
    <t>first sheet active</t>
  </si>
  <si>
    <t>last sheet active</t>
  </si>
  <si>
    <t>write_background_color</t>
  </si>
  <si>
    <t>red -&gt; #FF0000</t>
  </si>
  <si>
    <t>black -&gt; #000000</t>
  </si>
  <si>
    <t>fill_color</t>
  </si>
  <si>
    <t>same-color blank filled with source value</t>
  </si>
  <si>
    <t>different-color blank left untouched</t>
  </si>
  <si>
    <t>&lt;empty&gt;</t>
  </si>
  <si>
    <t>formula cell not overwritten</t>
  </si>
  <si>
    <t>flood_fill</t>
  </si>
  <si>
    <t>flood-fills a same-color blank neighbor</t>
  </si>
  <si>
    <t>flood-fills through a chain of same-color blanks</t>
  </si>
  <si>
    <t>stops at a color-mismatched neighbor</t>
  </si>
  <si>
    <t>stops at a border even with matching color</t>
  </si>
  <si>
    <t>frequency_table</t>
  </si>
  <si>
    <t>creates a new Freqs* sheet</t>
  </si>
  <si>
    <t>new sheet name starts with Freqs</t>
  </si>
  <si>
    <t>header A1</t>
  </si>
  <si>
    <t>header B1</t>
  </si>
  <si>
    <t>row2 (sorted desc) value</t>
  </si>
  <si>
    <t>row2 count</t>
  </si>
  <si>
    <t>row3 value</t>
  </si>
  <si>
    <t>row3 count</t>
  </si>
  <si>
    <t>frequency_table_by_char</t>
  </si>
  <si>
    <t>creates a new FreqsChar* sheet</t>
  </si>
  <si>
    <t>new sheet name starts with FreqsChar</t>
  </si>
  <si>
    <t>row2 char (sorted desc)</t>
  </si>
  <si>
    <t>row2 unicode (AscW of 'a')</t>
  </si>
  <si>
    <t>97</t>
  </si>
  <si>
    <t>row3 char</t>
  </si>
  <si>
    <t>row3 unicode (AscW of 'b')</t>
  </si>
  <si>
    <t>98</t>
  </si>
  <si>
    <t>tall_board</t>
  </si>
  <si>
    <t>creates a new tall_board* sheet</t>
  </si>
  <si>
    <t>new sheet name starts with tall_board</t>
  </si>
  <si>
    <t>row2 Address</t>
  </si>
  <si>
    <t>row2 Value</t>
  </si>
  <si>
    <t>row2 Background Color</t>
  </si>
  <si>
    <t>ColNumToLetter</t>
  </si>
  <si>
    <t>column 1 -&gt; A</t>
  </si>
  <si>
    <t>column 26 -&gt; Z</t>
  </si>
  <si>
    <t>column 27 -&gt; AA</t>
  </si>
  <si>
    <t>AA</t>
  </si>
  <si>
    <t>column 28 -&gt; AB</t>
  </si>
  <si>
    <t>AB</t>
  </si>
  <si>
    <t>SheetExists</t>
  </si>
  <si>
    <t>existing sheet -&gt; True</t>
  </si>
  <si>
    <t>nonexistent sheet -&gt; False</t>
  </si>
  <si>
    <t>SanitizeRow</t>
  </si>
  <si>
    <t>2D row: error element -&gt; ''</t>
  </si>
  <si>
    <t>1x3[ok||5]</t>
  </si>
  <si>
    <t>scalar error -&gt; ''</t>
  </si>
  <si>
    <t>CountErrorCells</t>
  </si>
  <si>
    <t>counts the 2 error cells in UsedRange</t>
  </si>
  <si>
    <t>GetLastUsedRow/Col</t>
  </si>
  <si>
    <t>last used row = 5</t>
  </si>
  <si>
    <t>last used col = D (4)</t>
  </si>
  <si>
    <t>find_yellow</t>
  </si>
  <si>
    <t>finds the yellow cell's row in column B</t>
  </si>
  <si>
    <t>GetReturnColumnNumber</t>
  </si>
  <si>
    <t>XLOOKUP formula (real target is H) -&gt; currently always F (bug)</t>
  </si>
  <si>
    <t>formula with &lt;2 colons -&gt; 0</t>
  </si>
  <si>
    <t>make_level_data_table</t>
  </si>
  <si>
    <t>creates a new _Tn sheet</t>
  </si>
  <si>
    <t>new sheet name starts with _T</t>
  </si>
  <si>
    <t>header A1 copied</t>
  </si>
  <si>
    <t>header B1 copied</t>
  </si>
  <si>
    <t>A2 = first game number</t>
  </si>
  <si>
    <t>B4 yellow fill (drop target formula here)</t>
  </si>
  <si>
    <t>#FFFF00</t>
  </si>
  <si>
    <t>A5 = game numbers list starts here</t>
  </si>
  <si>
    <t>B2 XLOOKUP formula spills the matching row</t>
  </si>
  <si>
    <t>=XLOOKUP(A2,zz_tmsrc!$A$2,zz_tmsrc!$B$2)</t>
  </si>
  <si>
    <t>3 / 3 PASS</t>
  </si>
  <si>
    <t>2 / 2 PASS</t>
  </si>
  <si>
    <t>6 / 6 PASS</t>
  </si>
  <si>
    <t>4 / 4 PASS</t>
  </si>
  <si>
    <t>8 / 8 PASS</t>
  </si>
  <si>
    <t>1 / 1 PASS</t>
  </si>
  <si>
    <t>A1 string "D3"</t>
  </si>
  <si>
    <t>numeric 3000004 passes</t>
  </si>
  <si>
    <t>$D$3 absolute stripped</t>
  </si>
  <si>
    <t>$D$3</t>
  </si>
  <si>
    <t>as_row=1 -&gt; horizontal</t>
  </si>
  <si>
    <t>junk text -&gt; #VALUE!</t>
  </si>
  <si>
    <t>row 0 out of range</t>
  </si>
  <si>
    <t>max bounds XFD1048576</t>
  </si>
  <si>
    <t>XFD1048576</t>
  </si>
  <si>
    <t>numeric default (3,4)</t>
  </si>
  <si>
    <t>str=1 -&gt; A1 string</t>
  </si>
  <si>
    <t>row 0 -&gt; #VALUE!</t>
  </si>
  <si>
    <t>col past XFD -&gt; #VALUE!</t>
  </si>
  <si>
    <t>non-integer row -&gt; #VALUE!</t>
  </si>
  <si>
    <t>max bounds as string</t>
  </si>
  <si>
    <t>round-trips with ref_to_rc</t>
  </si>
  <si>
    <t>=LAMBDA(row_n, col_n, [str],
  LET(
    want_str, IF(ISOMITTED(str), 0, str),
    ok, IFERROR(AND(ISNUMBER(row_n), ISNUMBER(col_n),
                    row_n = INT(row_n), col_n = INT(col_n),
                    row_n &gt;= 1, row_n &lt;= 1048576,
                    col_n &gt;= 1, col_n &lt;= 16384), FALSE),
    IF(NOT(ok), #VALUE!,
       IF(want_str,
          str_ad(1000000 * row_n + col_n),
          1000000 * row_n + col_n))
  )
)</t>
  </si>
  <si>
    <t>empty sheet row = 0</t>
  </si>
  <si>
    <t>empty sheet col = 0</t>
  </si>
  <si>
    <t>row from inactive sheet = 5</t>
  </si>
  <si>
    <t>col from inactive sheet = 4</t>
  </si>
  <si>
    <t>z_ad_box(ref)</t>
  </si>
  <si>
    <t>z_is_ad(ref)</t>
  </si>
  <si>
    <t>=LAMBDA(ref, NOT(ISERROR(z_ad_box(ref))))</t>
  </si>
  <si>
    <t>is_lambda_test_sheet</t>
  </si>
  <si>
    <t>a lambda sheet is one</t>
  </si>
  <si>
    <t>Prep is not</t>
  </si>
  <si>
    <t>Lamb is not</t>
  </si>
  <si>
    <t>lambda_tests is not</t>
  </si>
  <si>
    <t>vba_tests is not</t>
  </si>
  <si>
    <t>zz_ fixture is not</t>
  </si>
  <si>
    <t>zz_ match is case-insensitive</t>
  </si>
  <si>
    <t>z_ helper name is one</t>
  </si>
  <si>
    <t>ad_to_cont(ad_or_rng, arr) - non-volatile INDIRECT: contents of arr at an address or range. Empty cells return "" (never 0). No overlap or a non-address returns "". Fixture: D7:F9 holds 10..90.</t>
  </si>
  <si>
    <t>A1 "E8" -&gt; 50</t>
  </si>
  <si>
    <t>A1 range "D7:E8" -&gt; 2x2</t>
  </si>
  <si>
    <t>numeric range "7000004:8000005" -&gt; 2x2</t>
  </si>
  <si>
    <t>out of bounds "Z99" -&gt; ""</t>
  </si>
  <si>
    <t>empty cell -&gt; "" (not 0)</t>
  </si>
  <si>
    <t>real zero preserved -&gt; 0</t>
  </si>
  <si>
    <t>ad_to_rc(ad, [as_row]) - split one address (numeric or A1 string) into its row and column. Vertical {row;col} by default, horizontal when as_row=1. A range, an array, or a non-address returns #VALUE!.</t>
  </si>
  <si>
    <t>cont_to_ad(cont, arr, [str]) - reverse lookup: value -&gt; address. Numeric by default, A1 when str=1; multiple matches joined by ";" in row-major order; not found returns "". Fixture: D7:F8.</t>
  </si>
  <si>
    <t>single match 9 -&gt; 7000006 (F7)</t>
  </si>
  <si>
    <t>multi 7 -&gt; "7000005;8000004"</t>
  </si>
  <si>
    <t>7000005;8000004</t>
  </si>
  <si>
    <t>str form: 9 -&gt; "F7"</t>
  </si>
  <si>
    <t>F7</t>
  </si>
  <si>
    <t>not found 100 -&gt; ""</t>
  </si>
  <si>
    <t>array {9;1} -&gt; {7000006;8000006}</t>
  </si>
  <si>
    <t>expand_rng(ad_or_rng,[r_down],[c_right],[r_up],[c_left]) - grow an address/range into a bigger rectangle, returned as a range string in the input's format. Clamps at row 1 / col 1. Array input -&gt; #VALUE!.</t>
  </si>
  <si>
    <t>grow "J10:K11" 1,2,0,4 -&gt; "F10:M12"</t>
  </si>
  <si>
    <t>grow "J10:K11" 1,2,0,4</t>
  </si>
  <si>
    <t>F10:M12</t>
  </si>
  <si>
    <t>grow "B3" up 10 -&gt; "B1:B3" (clamp)</t>
  </si>
  <si>
    <t>grow "B3" up 10</t>
  </si>
  <si>
    <t>B1:B3</t>
  </si>
  <si>
    <t>grow "B3" left 10 -&gt; "A3:B3" (clamp)</t>
  </si>
  <si>
    <t>grow "B3" left 10</t>
  </si>
  <si>
    <t>A3:B3</t>
  </si>
  <si>
    <t>numeric range down 1 -&gt; "1000001:2000002"</t>
  </si>
  <si>
    <t>numeric range down 1</t>
  </si>
  <si>
    <t>1000001:2000002</t>
  </si>
  <si>
    <t>single numeric, no grow -&gt; "3000004:3000004"</t>
  </si>
  <si>
    <t>single numeric, no grow</t>
  </si>
  <si>
    <t>3000004:3000004</t>
  </si>
  <si>
    <t>array input -&gt; #VALUE!</t>
  </si>
  <si>
    <t>negative/non-int arg -&gt; #VALUE!</t>
  </si>
  <si>
    <t>num_ad(ad_or_rng) - any address/range -&gt; numeric address(es). String address -&gt; number; range -&gt; array; empty -&gt; ""; else passthrough.</t>
  </si>
  <si>
    <t>range "A1:B2" -&gt; 2x2 numeric</t>
  </si>
  <si>
    <t>A1:B2</t>
  </si>
  <si>
    <t>numeric range "1000001:1000002" -&gt; {1000001,1000002}</t>
  </si>
  <si>
    <t>1000001:1000002</t>
  </si>
  <si>
    <t>empty -&gt; "" (not 0)</t>
  </si>
  <si>
    <t>rc_to_ad(row_n, col_n, [str]) - build an address from a row and column. Numeric address by default, A1 string when str=1. Out-of-range or non-integer inputs return #VALUE!.</t>
  </si>
  <si>
    <t>str_ad(ad_or_rng) - any address/range -&gt; A1 string address(es). Numeric address -&gt; "D3"; range -&gt; array of A1 strings; empty -&gt; ""; else passthrough.</t>
  </si>
  <si>
    <t>numeric range "1000001:2000002" -&gt; A1 2x2</t>
  </si>
  <si>
    <t>A1 range "B2:C2" -&gt; {"B2","C2"}</t>
  </si>
  <si>
    <t>B2:C2</t>
  </si>
  <si>
    <t>ad_to_cont(ad_or_rng, arr)</t>
  </si>
  <si>
    <t>Non-volatile INDIRECT: the contents of arr at an address or range. A single address gives one value; a range gives the array of contents where it overlaps arr; an array of addresses gives their contents element-wise. Empty cells return "" (never 0). No overlap, or a non-address, returns "".</t>
  </si>
  <si>
    <t>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t>
  </si>
  <si>
    <t>ad_to_rc(ad, [as_row])</t>
  </si>
  <si>
    <t>Split a single address (numeric or A1 string) into its row and column numbers. Returns {row; col} vertically by default, or {row, col} horizontally when as_row = 1. A range, an array, or any non-address returns #VALUE!.</t>
  </si>
  <si>
    <t>=LAMBDA(ad, [as_row],
  LET(
    wide, IF(ISOMITTED(as_row), 0, as_row),
    single, ROWS(ad) * COLUMNS(ad) = 1,
    box, IFERROR(z_ad_box(ad), 0),
    ok, IFERROR(AND(single, COUNT(box) = 4, INDEX(box, 1) = INDEX(box, 3), INDEX(box, 2) = INDEX(box, 4)), FALSE),
    IF(NOT(ok), #VALUE!,
       IF(wide, HSTACK(INDEX(box, 1), INDEX(box, 2)),
                VSTACK(INDEX(box, 1), INDEX(box, 2))))
  )
)</t>
  </si>
  <si>
    <t>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t>
  </si>
  <si>
    <t>cont_to_ad(cont, arr, [str])</t>
  </si>
  <si>
    <t>Reverse lookup: find a value in arr and return its address. Numeric address by default, A1 string when str = 1. A value appearing several times returns all its addresses in row-major order joined by ";". A value not found returns "". An array of values is evaluated element-wise.</t>
  </si>
  <si>
    <t>=LAMBDA(cont,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t>
  </si>
  <si>
    <t>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t>
  </si>
  <si>
    <t>expand_rng(ad_or_rng, [r_down], [c_right], [r_up], [c_left])</t>
  </si>
  <si>
    <t>Grow an address or range into a bigger rectangle and return it as a range string. Expands r_down rows down, c_right cols right, r_up rows up, c_left cols left (all 0 by default, non-negative integers). Clamps at row 1 / col 1. Output format mirrors the input (A1 or numeric). An array input, or a bad optional, returns #VALUE!.</t>
  </si>
  <si>
    <t>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t>
  </si>
  <si>
    <t>Checks whether all values in the array are unique; returns TRUE/FALSE. Case-insensitive, so {"A","a"} is not unique. Combine with str_to_arr to test character by character.</t>
  </si>
  <si>
    <t>Tests whether every value in an array is distinct.
Arguments:
  arr - the array to test.
Returns:
  TRUE if all values are unique, FALSE otherwise. Comparison is case-insensitive ({"A","a"} is not unique).
Notes:
  Combine with str_to_arr to check a string character by character.</t>
  </si>
  <si>
    <t>num_ad(ad_or_rng)</t>
  </si>
  <si>
    <t>rc_to_ad(row_n, col_n, [str])</t>
  </si>
  <si>
    <t>Build an address from a row and column number. Returns the numeric address (1e6*row+col) by default, or an A1 string ("D3") when str = 1. Out-of-range or non-integer inputs return #VALUE!.</t>
  </si>
  <si>
    <t>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t>
  </si>
  <si>
    <t>str_ad(ad_or_rng)</t>
  </si>
  <si>
    <t>Convert any address or range to an A1 string address or an array of them. A numeric address becomes its A1 string; a range (A1 or numeric) expands to an array of A1 strings top-left to bottom-right; empty becomes ""; anything else passes through. Element-wise over an array (ranges inside an array pass through).</t>
  </si>
  <si>
    <t>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t>
  </si>
  <si>
    <t>str_to_arr(str_or_array, [as_row])</t>
  </si>
  <si>
    <t>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t>
  </si>
  <si>
    <t>z_a1n(a1_str)</t>
  </si>
  <si>
    <t>Helper: one A1 string ("D3", "$D$3", "Sheet1!D3") to its numeric address (1e6*row+col). Returns #VALUE! for anything that is not a single valid A1 cell reference - including numbers, ranges, and junk text.</t>
  </si>
  <si>
    <t>=LAMBDA(a1_str,
  IFERROR(
    LET(
      s, UPPER(SUBSTITUTE(IFERROR(TEXTAFTER(a1_str, "!"), a1_str), "$", "")),
      IF(NOT(REGEXTEST(s, "^[A-Z]{1,3}[0-9]+$")), #VALUE!,
        LET(
          letters, REGEXEXTRACT(s, "[A-Z]+"),
          row_num, VALUE(REGEXEXTRACT(s, "[0-9]+")),
          nlet, LEN(letters),
          seq, SEQUENCE(nlet),
          col, SUM((CODE(MID(letters, seq, 1)) - 64) * 26 ^ (nlet - seq)),
          IF(OR(col &gt; 16384, row_num &gt; 1048576, row_num &lt; 1), #VALUE!, 1000000 * row_num + col)))
    ), #VALUE!)
)</t>
  </si>
  <si>
    <t>Private leaf helper - the single place that knows how to turn an A1 string into the project's packed numeric address (1e6 * row + col).
Kept separate from num_ad so that z_ad_box (and through it num_ad itself) can parse A1 strings without any lambda calling back into num_ad, which would be a circular reference.
Strips a "$" absolute marker and a "Sheet!" prefix, and is case-insensitive. Rejects a reference whose column exceeds XFD (16384) or whose row exceeds 1048576.
Arguments:
  a1_str - a single A1 cell reference as text.
Returns:
  The numeric address, or #VALUE! if a1_str is not a single valid A1 reference (a number, a range with ":", or junk all return #VALUE!).
Example:
  z_a1n("D3")        -&gt;  3000004
  z_a1n("$D$3")      -&gt;  3000004
  z_a1n("A1:B4")     -&gt;  #VALUE!
  z_a1n(3000004)     -&gt;  #VALUE!</t>
  </si>
  <si>
    <t>Helper: bounding box of any address or range, as {top; left; bottom; right} absolute row/column numbers. Accepts all four types - numeric address, A1 string, A1 range ("B2:D4"), numeric range ("1000001:4000002"). Returns #VALUE! for anything else.</t>
  </si>
  <si>
    <t>=LAMBDA(ref,
  IFERROR(
    IF(AND(ISTEXT(ref), ISNUMBER(SEARCH(":", ref))),
      LET(
        clean, UPPER(SUBSTITUTE(ref, "$", "")),
        part_a, TEXTBEFORE(clean, ":"), part_b, TEXTAFTER(clean, ":"),
        addr_a, IFERROR(z_a1n(part_a), -1), addr_b, IFERROR(z_a1n(part_b), -1),
        num_a, IFERROR(z_numval(part_a), -1), num_b, IFERROR(z_numval(part_b), -1),
        IF(AND(addr_a &gt; 0, addr_b &gt; 0),
          VSTACK(MIN(INT(addr_a / 1000000), INT(addr_b / 1000000)), MIN(MOD(addr_a, 1000000), MOD(addr_b, 1000000)),
                 MAX(INT(addr_a / 1000000), INT(addr_b / 1000000)), MAX(MOD(addr_a, 1000000), MOD(addr_b, 1000000))),
          IF(AND(num_a &gt; 0, num_b &gt; 0, INT(num_a / 1000000) &lt;= INT(num_b / 1000000), MOD(num_a, 1000000) &lt;= MOD(num_b, 1000000)),
            VSTACK(INT(num_a / 1000000), MOD(num_a, 1000000), INT(num_b / 1000000), MOD(num_b, 1000000)),
            #VALUE!))),
      LET(
        packed, IF(ISNUMBER(ref), z_numval(ref), z_a1n(ref)),
        row_num, INT(packed / 1000000), col_num, MOD(packed, 1000000),
        VSTACK(row_num, col_num, row_num, col_num))
    ), #VALUE!)
)</t>
  </si>
  <si>
    <t>Private helper - the one parser the whole address library shares, so callers do not each re-implement address/range validation. num_ad, str_ad, ad_to_rc, ad_to_cont and expand_rng all build on it.
Handles every supported form:
  numeric address (3000004)              -&gt; degenerate box, top = bottom
  A1 string ("D3")                       -&gt; degenerate box
  A1 range ("B2:D4", reversed ok)        -&gt; normalised box, top &lt;= bottom
  numeric range ("1000001:4000002")      -&gt; box, but ONLY if first &lt;= second
A1 ranges are normalised with MIN/MAX so "D4:B2" and "B2:D4" give the same box. Numeric ranges are held to the stricter rule from the spec: the first address's row and column must each be &lt;= the second's, otherwise it is not a valid numeric range.
A single cell is the degenerate box where top = bottom and left = right - that is how a caller tells a cell from a range. Parsing is delegated to z_a1n and z_numval, never to num_ad, so there is no circular reference.
Arguments:
  ref - a numeric address, an A1 string, an A1 range, or a numeric range.
Returns:
  A 4-row vertical array {top; left; bottom; right} of absolute row/column numbers, or #VALUE! if ref is not one of the four supported forms.
Example:
  z_ad_box("D3")                -&gt;  {3; 4; 3; 4}
  z_ad_box("B2:D4")             -&gt;  {2; 2; 4; 4}
  z_ad_box("1000001:4000002")   -&gt;  {1; 1; 4; 2}
  z_ad_box("hi")                -&gt;  #VALUE!</t>
  </si>
  <si>
    <t>Helper: TRUE if ref is a valid address or range of any of the four types (numeric address, A1 string, A1 range, numeric range). FALSE for plain data values.</t>
  </si>
  <si>
    <t>Private helper. Answers "is this an address/range, or is it data?" - the yes/no needed whenever a lambda has to tell a coordinate from a value.
Thin wrapper over z_ad_box, so the two can never disagree about what counts as valid. Use z_is_ad when you only need the boolean; use z_ad_box when you also need the bounds, so the parse is done once.
Validity is about form, not about any particular sheet: an address well outside your data is still a valid address. A number only reads as an address if it decodes to a real cell, so ordinary small values (1, 42, 5000) are correctly seen as data.
Arguments:
  ref - the value to test. Pass a single value, not an array.
Returns:
  TRUE or FALSE.
Example:
  z_is_ad("D3")                -&gt;  TRUE
  z_is_ad(3000004)             -&gt;  TRUE
  z_is_ad("B2:D4")             -&gt;  TRUE
  z_is_ad("1000001:4000002")   -&gt;  TRUE
  z_is_ad("hi")                -&gt;  FALSE
  z_is_ad(42)                  -&gt;  FALSE</t>
  </si>
  <si>
    <t>z_numval(val)</t>
  </si>
  <si>
    <t>Helper: validate val as a numeric address. Returns the number when val (a number, or a digit string like "1000001") is a positive integer with row in 1..1048576 and column in 1..16384; otherwise #VALUE!.</t>
  </si>
  <si>
    <t>=LAMBDA(val,
  IFERROR(
    LET(num, val * 1,
      IF(AND(num = INT(num), num &gt; 0,
             MOD(num, 1000000) &gt;= 1, MOD(num, 1000000) &lt;= 16384,
             INT(num / 1000000) &gt;= 1, INT(num / 1000000) &lt;= 1048576),
         num, #VALUE!)),
    #VALUE!)
)</t>
  </si>
  <si>
    <t>Private leaf helper - the single definition of "is this number a valid numeric address", using the exact rule: a positive integer where MOD(x, 1e6) is 1..16384 (the column) and INT(x / 1e6) is 1..1048576 (the row).
Accepts either a real number or a digit string ("1000001"), because the halves of a numeric range ("1000001:4000002") arrive as strings after splitting on ":". Coercion is a bare val * 1, so genuine text ("A1", "hi") errors out to #VALUE!.
Arguments:
  val - a number or a numeric string to validate.
Returns:
  The number itself when it is a valid numeric address, else #VALUE!.
Example:
  z_numval(3000004)    -&gt;  3000004
  z_numval("1000001")  -&gt;  1000001
  z_numval(42)         -&gt;  #VALUE!
  z_numval("A1")       -&gt;  #VALUE!</t>
  </si>
  <si>
    <t>79 / 79 PASS</t>
  </si>
  <si>
    <t>=LAMBDA(ad_or_rng,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t>
  </si>
  <si>
    <t>=LAMBDA(ad_or_rng,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t>
  </si>
  <si>
    <t>=LAMBDA(ad_or_rng,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t>
  </si>
  <si>
    <t>make_change(coins, price)</t>
  </si>
  <si>
    <t>scan2(start_a, start_b, arr, lambda_a, lambda_b)</t>
  </si>
  <si>
    <t>Like SCAN but carries TWO accumulators. For each item of arr it updates a and b together; lambda_a and lambda_b each receive (a, b, item) and return the next a and next b. Returns a 2-column array of the running (a, b) after each item.</t>
  </si>
  <si>
    <t>=LAMBDA(start_a, start_b, arr, lambda_a, lambda_b, LET(
   vec, TOCOL(arr),
   seeded, REDUCE(HSTACK(start_a, start_b), vec, LAMBDA(acc, item, LET(
      cur_a, INDEX(acc, ROWS(acc), 1),
      cur_b, INDEX(acc, ROWS(acc), 2),
      VSTACK(acc, HSTACK(lambda_a(cur_a, cur_b, item), lambda_b(cur_a, cur_b, item)))
   ))),
   DROP(seeded, 1)
))</t>
  </si>
  <si>
    <t>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t>
  </si>
  <si>
    <t>scan3(start_a, start_b, start_c, arr, lambda_a, lambda_b, lambda_c)</t>
  </si>
  <si>
    <t>Like SCAN but carries THREE accumulators. For each item of arr it updates a, b and c together; lambda_a/lambda_b/lambda_c each receive (a, b, c, item) and return the next value of that accumulator. Returns a 3-column array of the running (a, b, c) after each item.</t>
  </si>
  <si>
    <t>=LAMBDA(start_a,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t>
  </si>
  <si>
    <t>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t>
  </si>
  <si>
    <t>{1;0.5;0.25;0.05} @ 4.34 -&gt; 4,0,1,1</t>
  </si>
  <si>
    <t>{2;1;0.5} @ 5 -&gt; 2,1,0</t>
  </si>
  <si>
    <t>price below smallest coin -&gt; all zeros</t>
  </si>
  <si>
    <t>barbell plates {50;40;30;20;10;5;2.5} @ 117.5 -&gt; 2,0,0,0,1,1,1 (heaviest-first)</t>
  </si>
  <si>
    <t>scan2(start_a, start_b, arr, lambda_a, lambda_b) - two-accumulator SCAN; running (a,b) per item as 2 columns</t>
  </si>
  <si>
    <t>Expected (a,b)</t>
  </si>
  <si>
    <t>running sum &amp; running max over {3;1;4;1;5}, start 0,0</t>
  </si>
  <si>
    <t>running sum &amp; running count over {10;20;30}, start 0,0</t>
  </si>
  <si>
    <t>cross-ref Fibonacci: a'=b, b'=a+b, start 0,1</t>
  </si>
  <si>
    <t>scan3(start_a, start_b, start_c, arr, lambda_a, lambda_b, lambda_c) - three-accumulator SCAN; running (a,b,c) per item as 3 columns</t>
  </si>
  <si>
    <t>Expected (a,b,c)</t>
  </si>
  <si>
    <t>sum, product, count over {2;3;4}, start 0,1,0</t>
  </si>
  <si>
    <t>sum, max, min over {5;2;8}, start 0,0,1E9</t>
  </si>
  <si>
    <t>A1 -&gt; right 3 (numeric dir 1)</t>
  </si>
  <si>
    <t>A1 -&gt; down 2 (numeric 1000000)</t>
  </si>
  <si>
    <t>A1 -&gt; right 3 (letter R)</t>
  </si>
  <si>
    <t>numeric dir 1 -&gt; full trip</t>
  </si>
  <si>
    <t>letter "R" -&gt; full trip</t>
  </si>
  <si>
    <t>make_change(coins, price) - greedy: take as many of the biggest denomination as fit without going over, then the next; array shaped like coins</t>
  </si>
  <si>
    <t>{0.25;0.10} @ 0.30 -&gt; 1,0 (greedy: prefer the higher denomination)</t>
  </si>
  <si>
    <t>{5;3} @ 6 -&gt; 1,0 (greedy takes one 5; leftover 1 &lt; 3)</t>
  </si>
  <si>
    <t>arrow -&gt; -&gt; 1</t>
  </si>
  <si>
    <t>array {D3, up} -&gt; {3000004,-1000000}</t>
  </si>
  <si>
    <t>numeric 1 (-&gt;) +2 cw -&gt; down</t>
  </si>
  <si>
    <t>-&gt; +1 cw, as_num=1 -&gt; 1000001</t>
  </si>
  <si>
    <t>-&gt; +1 ccw (clockwise=0) -&gt; up-right</t>
  </si>
  <si>
    <t>letter "R" +1 cw -&gt; down-right</t>
  </si>
  <si>
    <t>col {1;2;3} D, fill 0, steps 1 (new arg order)</t>
  </si>
  <si>
    <t>col {1;2;3} down, numeric 1000000 (wrap)</t>
  </si>
  <si>
    <t>col {1;2;3} D, fill 9, steps 2 (letter + new order)</t>
  </si>
  <si>
    <t>Moves a start address (numeric or A1) 'steps' (default 1) in an arrow direction (arrow glyph, its numeric equivalent, or a letter code like "R"/"UL"), bounded by board_rng (default whole sheet). Returns a NUMERIC address. Out of bounds, push_mode: 1 stop at edge (default), 0 stay, -1 'oob'.</t>
  </si>
  <si>
    <t>=LAMBDA(start_ad,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t>
  </si>
  <si>
    <t>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t>
  </si>
  <si>
    <t>Walks from start_ad (numeric or A1) in a straight arrow direction (arrow glyph, its numeric equivalent, or a letter code like "R"/"UL") across rng until the edge (or the optional stopper value). Returns a 2-column array of NUMERIC addresses and their values, including the start cell.</t>
  </si>
  <si>
    <t>=LAMBDA(rng,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t>
  </si>
  <si>
    <t>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t>
  </si>
  <si>
    <t>Greedy change: takes as many of the largest denomination as fit without exceeding price, then the next largest, and so on. coins is a vertical array of denominations; returns a matching array of counts. Prefers higher denominations even when a lower-denomination mix would land closer to the price.</t>
  </si>
  <si>
    <t>=LAMBDA(coins,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t>
  </si>
  <si>
    <t>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t>
  </si>
  <si>
    <t>Convert any address or range to a numeric address (1e6*row+col) or an array of them. A string address becomes its number; a standard direction arrow becomes its numeric delta (→ 1, ↑ -1000000, ...); a range (A1 or numeric) expands to an array of numeric addresses top-left to bottom-right; empty becomes ""; anything else passes through. Element-wise over an array (ranges inside an array pass through).</t>
  </si>
  <si>
    <t>=LAMBDA(ad_or_rng,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t>
  </si>
  <si>
    <t>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t>
  </si>
  <si>
    <t>rotate_arrow(arrow, steps, [clockwise], [as_num])</t>
  </si>
  <si>
    <t>Rotates an arrow by 45 degrees times steps. arrow may be a standard arrow, its numeric equivalent, or a letter code (U D L R UL UR DL DR). clockwise = 1 (default) rotates clockwise, 0 counter-clockwise. as_num = 0 (default) returns an arrow, 1 returns the numeric equivalent.</t>
  </si>
  <si>
    <t>=LAMBDA(arrow,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t>
  </si>
  <si>
    <t>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t>
  </si>
  <si>
    <t>shift_arr(arr, dir, [fill], [steps])</t>
  </si>
  <si>
    <t>Shifts a 1D or 2D array by "steps" (default 1) in the dir direction (arrow glyph, its numeric equivalent, or a letter code like "R"/"UL"). With no fill, items wrap around; if fill is a value, it fills the vacated cells instead.</t>
  </si>
  <si>
    <t>=LAMBDA(arr,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t>
  </si>
  <si>
    <t>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t>
  </si>
  <si>
    <t>z_arrow_to_num(x)</t>
  </si>
  <si>
    <t>Helper: if x is one of the 8 standard direction arrows, return its numeric-address delta (up -1000000, down 1000000, left -1, right 1, and the four diagonals); anything else (numbers, other text) passes through unchanged.</t>
  </si>
  <si>
    <t>=LAMBDA(x, LET(
   arrows, "↑↓←→↖↗↙↘",
   nums, {-1000000; 1000000; -1; 1; -1000001; -999999; 999999; 1000001},
   i, IFERROR(XMATCH(x, MID(arrows, SEQUENCE(8), 1)), 0),
   IF(AND(ISTEXT(x), i &gt;= 1), INDEX(nums, i), x)
))</t>
  </si>
  <si>
    <t>Maps a standard direction arrow to the numeric-address delta you add to a packed address (1e6*row+col) to move one cell that way.
Arguments:
  x - any value. If it is one of the 8 standard arrows the delta is returned; otherwise x is returned unchanged.
Mapping:
  up -1000000, down 1000000, left -1, right 1, up-left -1000001, up-right -999999, down-left 999999, down-right 1000001.
Returns:
  The numeric delta for a standard arrow, else x unchanged. Used to let arrow-taking lambdas accept either an arrow or its number, and by num_ad to convert arrows.
Example:
  z_arrow_to_num("→")   -&gt;  1
  z_arrow_to_num("↘")   -&gt;  1000001
  z_arrow_to_num("hi")  -&gt;  "hi"</t>
  </si>
  <si>
    <t>z_dir_to_arrow(x)</t>
  </si>
  <si>
    <t>Helper: normalize a direction to a standard arrow glyph. Accepts a numeric-address delta (1, -1000000, ...) or a letter code (U D L R UL UR DL DR) and returns the matching arrow; an arrow or anything unrecognized passes through unchanged.</t>
  </si>
  <si>
    <t>=LAMBDA(x, LET(
   arrows, "↑↓←→↖↗↙↘",
   nums, {-1000000; 1000000; -1; 1; -1000001; -999999; 999999; 1000001},
   codes, {"U"; "D"; "L"; "R"; "UL"; "UR"; "DL"; "DR"},
   i_num, IFERROR(XMATCH(x, nums), 0),
   i_code, IFERROR(XMATCH(x, codes), 0),
   IF(AND(ISNUMBER(x), i_num &gt;= 1), MID(arrows, i_num, 1),
      IF(AND(ISTEXT(x), i_code &gt;= 1), MID(arrows, i_code, 1), x))
))</t>
  </si>
  <si>
    <t>Normalizes any accepted direction spec to the standard arrow glyph, so the direction-taking lambdas (arrow_move, arrow_trip, rotate_arrow, shift_arr) can accept an arrow, its numeric-address delta, or a letter code interchangeably.
Arguments:
  x - any value. Converted to a standard arrow when it is one of the 8 numeric deltas or one of the letter codes U/D/L/R/UL/UR/DL/DR; otherwise returned unchanged (an arrow glyph passes through, as does anything unrecognized).
Mapping (letter code / number -&gt; arrow):
  U/-1000000 up, D/1000000 down, L/-1 left, R/1 right, UL/-1000001, UR/-999999, DL/999999, DR/1000001.
Returns:
  The standard arrow for a known number or code, else x unchanged. Letter codes are matched case-insensitively.
Example:
  z_dir_to_arrow("R")        -&gt;  "→"
  z_dir_to_arrow(1)          -&gt;  "→"
  z_dir_to_arrow("UL")       -&gt;  "↖"
  z_dir_to_arrow("↓")        -&gt;  "↓"</t>
  </si>
  <si>
    <t>Inputs (board)</t>
  </si>
  <si>
    <t>3-4-5 directional distances from center (cost by dir)</t>
  </si>
  <si>
    <t>start outside board -&gt; X</t>
  </si>
  <si>
    <t>ROWS() sees full size (regression)</t>
  </si>
  <si>
    <t>max_steps too small -&gt; MORE STEPS</t>
  </si>
  <si>
    <t>MORE STEPS</t>
  </si>
  <si>
    <t>=LAMBDA(arr,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t>
  </si>
  <si>
    <t>=LAMBDA(start,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t>
  </si>
  <si>
    <t>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t>
  </si>
  <si>
    <t>ftd_maze_cost(board,start_ref,ftd_lambda,[max_steps]) - directed maze costs; ftd_lambda(from,to,dir) cost or NA()/text illegal</t>
  </si>
  <si>
    <t>maze 8-dir; wall (#) unreachable = blank</t>
  </si>
  <si>
    <t>ftd_maze_cost(board, start_ref, ftd_lambda, [max_steps])</t>
  </si>
  <si>
    <t>Directed maze costs. ftd_lambda(from,to,dir) returns a nonnegative edge cost or NA()/text for an illegal move. Returns least cost to every cell; start is 0.</t>
  </si>
  <si>
    <t>=LAMBDA(board,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t>
  </si>
  <si>
    <t>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t>
  </si>
  <si>
    <t>xtextjoin(arr, [delim], [str_arr_set])</t>
  </si>
  <si>
    <t>TEXTJOIN that can also split back into an array or set, and beats the arg-count and 32k-char limits. delim (default ";") both joins output and splits input. Blanks, errors and "" are ignored; explicit zeros are kept. str_arr_set: 1=string (default), 2=array, 3=sorted-unique set.</t>
  </si>
  <si>
    <t>=LAMBDA(arr, [delim], [str_arr_set],
  LET(
    sep, IF(ISOMITTED(delim), ";", delim),
    mode, IF(ISOMITTED(str_arr_set), 1, str_arr_set),
    row_strings, BYROW(arr, LAMBDA(one_row,
      TEXTJOIN(sep, TRUE, IFERROR(one_row &amp; "",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</si>
  <si>
    <t>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</si>
  <si>
    <t>z_ftd_maze_cost_candidates(costs, frontier, board, ftd_lambda, dir_list, row_delta, col_delta, infinity)</t>
  </si>
  <si>
    <t>Private helper for ftd_maze_cost; do not call directly. Returns all valid cost improvements reachable from the current frontier.</t>
  </si>
  <si>
    <t>=LAMBDA(costs, frontier, board, ftd_lambda, dir_list, row_delta, col_delta, infinity,
  LET(
    row_count, ROWS(board),
    col_count, COLUMNS(board),
    dir_count, ROWS(dir_list),
    source_count, ROWS(frontier),
    source_rows, INDEX(frontier, 0, 1),
    source_cols, INDEX(frontier, 0, 2),
    source_costs, INDEX(frontier, 0, 3),
    target_rows, TOCOL(source_rows + TRANSPOSE(row_delta)),
    target_cols, TOCOL(source_cols + TRANSPOSE(col_delta)),
    base_costs, TOCOL(source_costs + SEQUENCE(, dir_count, 0, 0)),
    valid_targets, (target_rows &gt;= 1) * (target_rows &lt;= row_count) * (target_cols &gt;= 1) * (target_cols &lt;= col_count),
    safe_rows, MAP(target_rows, LAMBDA(row_ix, MIN(row_count, MAX(1, row_ix)))),
    safe_cols, MAP(target_cols, LAMBDA(col_ix, MIN(col_count, MAX(1, col_ix)))),
    from_cells, TOCOL(MAKEARRAY(
      source_count,
      dir_count,
      LAMBDA(row_ix, dir_ix, INDEX(board, INDEX(source_rows, row_ix), INDEX(source_cols, row_ix)))
    )),
    to_cells, MAP(safe_rows, safe_cols, LAMBDA(row_ix, col_ix, INDEX(board, row_ix, col_ix))),
    dir_values, TOCOL(MAKEARRAY(
      source_count,
      dir_count,
      LAMBDA(row_ix, dir_ix, INDEX(dir_list, dir_ix))
    )),
    edge_costs, MAP(
      from_cells,
      to_cells,
      dir_values,
      LAMBDA(from_cell, to_cell, dir, IFNA(ftd_lambda(from_cell, to_cell, dir), infinity))
    ),
    clean_edges, MAP(
      edge_costs,
      LAMBDA(edge, IF(NOT(ISNUMBER(edge)), infinity, IF(edge &lt; 0, infinity, edge)))
    ),
    candidate_costs, MAP(base_costs, clean_edges, LAMBDA(base_cost, edge, MIN(infinity, base_cost + edge))),
    IF(
      valid_targets * (candidate_costs &lt; INDEX(costs, safe_rows, safe_cols)),
      HSTACK(target_rows, target_cols, candidate_costs),
      {0, 0, 0}
    )
  )
)</t>
  </si>
  <si>
    <t>Private candidate-generation helper for ftd_maze_cost.
For every cell in the current frontier, it constructs all eight adjacent moves, calls ftd_lambda(from_cell, to_cell, dir), and returns {row, column, cost} for moves that improve the destination's current cost. Out-of-bounds moves, #N/A, text, and negative move costs are treated as illegal. Other Excel errors remain visible.
Arguments:
  costs       - current least-known cost array.
  frontier    - rows of {row, column, cost} whose outgoing moves must be examined.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infinity    - numeric sentinel used for unreachable cells and illegal moves.
Returns:
  Rows of {destination row, destination column, proposed cost}. Non-improving and illegal candidates are represented by zero rows for the worker to discard.</t>
  </si>
  <si>
    <t>z_ftd_maze_cost_worker(self, costs, frontier, board, ftd_lambda, dir_list, row_delta, col_delta, cell_keys, infinity, steps_left)</t>
  </si>
  <si>
    <t>Private recursive worker for ftd_maze_cost; do not call directly. Relaxes only outgoing edges from cells whose costs improved in the prior pass.</t>
  </si>
  <si>
    <t>=LAMBDA(self, costs, frontier, board, ftd_lambda, dir_list, row_delta, col_delta, cell_keys, infinity, steps_left,
  LET(
    improvements, z_ftd_maze_cost_candidates(
      costs,
      frontier,
      board,
      ftd_lambda,
      dir_list,
      row_delta,
      col_delta,
      infinity
    ),
    sorted_improvements, SORT(improvements, 3, 1),
    first_matches, XMATCH(
      UNIQUE(INDEX(sorted_improvements, 0, 1) &amp; "|" &amp; INDEX(sorted_improvements, 0, 2)),
      INDEX(sorted_improvements, 0, 1) &amp; "|" &amp; INDEX(sorted_improvements, 0, 2)
    ),
    next_frontier, FILTER(
      INDEX(sorted_improvements, first_matches, SEQUENCE(, 3)),
      INDEX(sorted_improvements, first_matches, 1) &gt; 0,
      0
    ),
    updated_costs, IFNA(
      INDEX(
        next_frontier,
        XMATCH(cell_keys, INDEX(next_frontier, 0, 1) &amp; "|" &amp; INDEX(next_frontier, 0, 2)),
        3
      ),
      costs
    ),
    IF(
      SUM(next_frontier) = 0,
      costs,
      IF(
        steps_left = 0,
        "MORE STEPS",
        self(
          self,
          updated_costs,
          next_frontier,
          board,
          ftd_lambda,
          dir_list,
          row_delta,
          col_delta,
          cell_keys,
          infinity,
          steps_left - 1
        )
      )
    )
  )
)</t>
  </si>
  <si>
    <t>Private recursive frontier worker for ftd_maze_cost.
It asks z_ftd_maze_cost_candidates for all cost improvements reachable from the current frontier, keeps the cheapest proposal for each destination, writes those proposals into the cost array, and recurses using only the newly improved cells. It stops when no destination improves. If an additional improvement exists after max_steps passes, it returns "MORE STEPS" instead of an incomplete map.
Arguments:
  self        - reference to this Lambda for recursion.
  costs       - current least-known cost array.
  frontier    - rows of {row, column, cost} improved in the prior pass.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cell_keys   - board-shaped array of row|column keys used to update the cost array.
  infinity    - numeric sentinel used for unreachable cells and illegal moves.
  steps_left  - remaining edge-relaxation passes allowed before returning "MORE STEPS".
Returns:
  The completed least-cost array, or "MORE STEPS" when the supplied limit is insufficient.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</si>
</sst>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00000000000000"/>
    <numFmt numFmtId="165" formatCode="0.000000000000"/>
    <numFmt numFmtId="166" formatCode="0.00000000000000000000"/>
    <numFmt numFmtId="167" formatCode="0.000000000000000000000"/>
    <numFmt numFmtId="168" formatCode="#,##0_);\(#,##0\);\-_)"/>
  </numFmts>
  <fonts count="22" x14ac:knownFonts="1">
    <font>
      <sz val="16"/>
      <color theme="1"/>
      <name val="Aptos Narrow"/>
      <family val="2"/>
      <scheme val="minor"/>
    </font>
    <font>
      <sz val="14"/>
      <color theme="1"/>
      <name val="Aptos Narrow"/>
      <family val="2"/>
      <scheme val="minor"/>
    </font>
    <font>
      <sz val="11"/>
      <color theme="1"/>
      <name val="Aptos Narrow"/>
      <family val="2"/>
      <scheme val="minor"/>
    </font>
    <font>
      <b/>
      <sz val="14"/>
      <color theme="1"/>
      <name val="Aptos Narrow"/>
      <family val="2"/>
      <scheme val="minor"/>
    </font>
    <font>
      <u/>
      <sz val="11"/>
      <color theme="10"/>
      <name val="Aptos Narrow"/>
      <family val="2"/>
      <scheme val="minor"/>
    </font>
    <font>
      <u/>
      <sz val="16"/>
      <color theme="10"/>
      <name val="Aptos Narrow"/>
      <family val="2"/>
      <scheme val="minor"/>
    </font>
    <font>
      <u/>
      <sz val="14"/>
      <color theme="10"/>
      <name val="Aptos Narrow"/>
      <family val="2"/>
      <scheme val="minor"/>
    </font>
    <font>
      <b/>
      <sz val="11"/>
      <color theme="0"/>
      <name val="Roboto"/>
    </font>
    <font>
      <b/>
      <sz val="16"/>
      <color theme="1"/>
      <name val="Aptos Narrow"/>
      <family val="2"/>
      <scheme val="minor"/>
    </font>
    <font>
      <b/>
      <i/>
      <sz val="14"/>
      <color theme="0"/>
      <name val="Roboto"/>
    </font>
    <font>
      <sz val="10"/>
      <color theme="1"/>
      <name val="Arial"/>
      <family val="2"/>
    </font>
    <font>
      <b/>
      <sz val="10"/>
      <color theme="0" tint="-4.9989318521683403E-2"/>
      <name val="Arial"/>
      <family val="2"/>
    </font>
    <font>
      <sz val="14"/>
      <name val="Aptos Narrow"/>
      <family val="2"/>
      <scheme val="minor"/>
    </font>
    <font>
      <sz val="14"/>
      <color rgb="FFFF0000"/>
      <name val="Aptos Narrow"/>
      <family val="2"/>
      <scheme val="minor"/>
    </font>
    <font>
      <sz val="10"/>
      <color theme="1"/>
      <name val="Aptos Narrow"/>
      <family val="2"/>
      <scheme val="minor"/>
    </font>
    <font>
      <sz val="14"/>
      <color theme="0"/>
      <name val="Aptos Narrow"/>
      <family val="2"/>
      <scheme val="minor"/>
    </font>
    <font>
      <b/>
      <sz val="12"/>
      <name val="Aptos Narrow"/>
      <family val="2"/>
    </font>
    <font>
      <sz val="12"/>
      <name val="Aptos Narrow"/>
      <family val="2"/>
    </font>
    <font>
      <sz val="16"/>
      <color rgb="FF000000"/>
      <name val="Aptos Narrow"/>
      <family val="2"/>
    </font>
    <font>
      <sz val="12"/>
      <name val="Aptos Narrow"/>
      <family val="2"/>
    </font>
    <font>
      <b/>
      <sz val="14"/>
      <name val="Aptos Narrow"/>
      <family val="2"/>
    </font>
    <font>
      <sz val="14"/>
      <name val="Aptos Narrow"/>
      <family val="2"/>
    </font>
  </fonts>
  <fills count="17">
    <fill>
      <patternFill patternType="none"/>
    </fill>
    <fill>
      <patternFill patternType="gray125"/>
    </fill>
    <fill>
      <patternFill patternType="solid">
        <fgColor theme="0" tint="-4.9989318521683403E-2"/>
        <bgColor indexed="64"/>
      </patternFill>
    </fill>
    <fill>
      <patternFill patternType="solid">
        <fgColor theme="9" tint="-0.499984740745262"/>
        <bgColor indexed="64"/>
      </patternFill>
    </fill>
    <fill>
      <patternFill patternType="solid">
        <fgColor theme="3" tint="-0.499984740745262"/>
        <bgColor indexed="64"/>
      </patternFill>
    </fill>
    <fill>
      <patternFill patternType="solid">
        <fgColor rgb="FFE2EFDA"/>
      </patternFill>
    </fill>
    <fill>
      <patternFill patternType="solid">
        <fgColor rgb="FFFFF2CC"/>
      </patternFill>
    </fill>
    <fill>
      <patternFill patternType="solid">
        <fgColor rgb="FFFCE4D6"/>
      </patternFill>
    </fill>
    <fill>
      <patternFill patternType="solid">
        <fgColor rgb="FFDDEBF7"/>
      </patternFill>
    </fill>
    <fill>
      <patternFill patternType="solid">
        <fgColor rgb="FFF2F2F2"/>
      </patternFill>
    </fill>
    <fill>
      <patternFill patternType="solid">
        <fgColor rgb="FFC6EFCE"/>
        <bgColor indexed="64"/>
      </patternFill>
    </fill>
    <fill>
      <patternFill patternType="solid">
        <fgColor rgb="FFFF0000"/>
        <bgColor indexed="64"/>
      </patternFill>
    </fill>
    <fill>
      <patternFill patternType="solid">
        <fgColor rgb="FF000000"/>
        <bgColor indexed="64"/>
      </patternFill>
    </fill>
    <fill>
      <patternFill patternType="solid">
        <fgColor rgb="FFFFFFFF"/>
        <bgColor indexed="64"/>
      </patternFill>
    </fill>
    <fill>
      <patternFill patternType="solid">
        <fgColor rgb="FF0000FF"/>
        <bgColor indexed="64"/>
      </patternFill>
    </fill>
    <fill>
      <patternFill patternType="solid">
        <fgColor rgb="FF00FF00"/>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medium">
        <color theme="1"/>
      </left>
      <right style="medium">
        <color theme="1"/>
      </right>
      <top style="medium">
        <color theme="1"/>
      </top>
      <bottom style="medium">
        <color theme="1"/>
      </bottom>
      <diagonal/>
    </border>
    <border>
      <left style="thin">
        <color rgb="FF9BA7B0"/>
      </left>
      <right style="thin">
        <color rgb="FF9BA7B0"/>
      </right>
      <top style="thin">
        <color rgb="FF9BA7B0"/>
      </top>
      <bottom style="thin">
        <color rgb="FF9BA7B0"/>
      </bottom>
      <diagonal/>
    </border>
    <border>
      <left/>
      <right/>
      <top style="thin">
        <color rgb="FF9BA7B0"/>
      </top>
      <bottom style="thin">
        <color rgb="FF9BA7B0"/>
      </bottom>
      <diagonal/>
    </border>
    <border>
      <left/>
      <right style="thin">
        <color rgb="FF9BA7B0"/>
      </right>
      <top style="thin">
        <color rgb="FF9BA7B0"/>
      </top>
      <bottom style="thin">
        <color rgb="FF9BA7B0"/>
      </bottom>
      <diagonal/>
    </border>
  </borders>
  <cellStyleXfs count="6">
    <xf numFmtId="0" fontId="0" fillId="0" borderId="0"/>
    <xf numFmtId="0" fontId="2" fillId="0" borderId="0"/>
    <xf numFmtId="0" fontId="4" fillId="0" borderId="0"/>
    <xf numFmtId="0" fontId="5" fillId="0" borderId="0"/>
    <xf numFmtId="168" fontId="10" fillId="0" borderId="0"/>
    <xf numFmtId="168" fontId="11" fillId="4" borderId="16">
      <alignment horizontal="centerContinuous"/>
    </xf>
  </cellStyleXfs>
  <cellXfs count="102">
    <xf numFmtId="0" fontId="0" fillId="0" borderId="0" xfId="0"/>
    <xf numFmtId="0" fontId="1" fillId="0" borderId="1" xfId="0" applyFont="1" applyBorder="1" applyAlignment="1">
      <alignment horizontal="left"/>
    </xf>
    <xf numFmtId="0" fontId="1" fillId="0" borderId="0" xfId="0" applyFont="1" applyAlignment="1">
      <alignment horizontal="left"/>
    </xf>
    <xf numFmtId="0" fontId="1" fillId="0" borderId="1" xfId="1" applyFont="1" applyBorder="1" applyAlignment="1">
      <alignment horizontal="left"/>
    </xf>
    <xf numFmtId="0" fontId="1" fillId="0" borderId="0" xfId="1" applyFont="1" applyAlignment="1">
      <alignment horizontal="left"/>
    </xf>
    <xf numFmtId="0" fontId="1" fillId="0" borderId="1" xfId="1" applyFont="1" applyBorder="1" applyAlignment="1">
      <alignment horizontal="center"/>
    </xf>
    <xf numFmtId="0" fontId="1" fillId="0" borderId="1" xfId="1" quotePrefix="1" applyFont="1" applyBorder="1" applyAlignment="1">
      <alignment horizontal="center"/>
    </xf>
    <xf numFmtId="14" fontId="1" fillId="0" borderId="1" xfId="1" applyNumberFormat="1" applyFont="1" applyBorder="1" applyAlignment="1">
      <alignment horizontal="center"/>
    </xf>
    <xf numFmtId="0" fontId="1" fillId="0" borderId="0" xfId="0" quotePrefix="1" applyFont="1" applyAlignment="1">
      <alignment horizontal="left"/>
    </xf>
    <xf numFmtId="0" fontId="1" fillId="0" borderId="7" xfId="0" applyFont="1" applyBorder="1" applyAlignment="1">
      <alignment horizontal="left"/>
    </xf>
    <xf numFmtId="0" fontId="1" fillId="0" borderId="6"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6" fillId="0" borderId="8" xfId="3" applyFont="1" applyBorder="1" applyAlignment="1">
      <alignment horizontal="left"/>
    </xf>
    <xf numFmtId="0" fontId="5" fillId="0" borderId="6" xfId="3" applyBorder="1" applyAlignment="1">
      <alignment horizontal="left"/>
    </xf>
    <xf numFmtId="0" fontId="8"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1" xfId="0" quotePrefix="1" applyFont="1" applyBorder="1"/>
    <xf numFmtId="0" fontId="1" fillId="0" borderId="1" xfId="0" applyFont="1" applyBorder="1" applyAlignment="1">
      <alignment wrapText="1"/>
    </xf>
    <xf numFmtId="0" fontId="1" fillId="2" borderId="1" xfId="0" applyFont="1" applyFill="1" applyBorder="1"/>
    <xf numFmtId="0" fontId="1" fillId="2" borderId="0" xfId="0" applyFont="1" applyFill="1" applyAlignment="1">
      <alignment horizontal="left"/>
    </xf>
    <xf numFmtId="0" fontId="1" fillId="0" borderId="1" xfId="0" quotePrefix="1" applyFont="1" applyBorder="1" applyAlignment="1">
      <alignment wrapText="1"/>
    </xf>
    <xf numFmtId="0" fontId="3" fillId="0" borderId="0" xfId="0" applyFont="1"/>
    <xf numFmtId="0" fontId="1" fillId="0" borderId="0" xfId="0" applyFont="1"/>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vertical="center" wrapText="1"/>
    </xf>
    <xf numFmtId="3" fontId="7" fillId="3" borderId="14" xfId="0" applyNumberFormat="1" applyFont="1" applyFill="1" applyBorder="1" applyAlignment="1">
      <alignment vertical="center" wrapText="1"/>
    </xf>
    <xf numFmtId="3" fontId="7" fillId="3" borderId="13" xfId="0" applyNumberFormat="1" applyFont="1" applyFill="1" applyBorder="1" applyAlignment="1">
      <alignment vertical="center" wrapText="1"/>
    </xf>
    <xf numFmtId="3" fontId="7" fillId="3" borderId="12" xfId="0" applyNumberFormat="1" applyFont="1" applyFill="1" applyBorder="1" applyAlignment="1">
      <alignment horizontal="center" vertical="center" wrapText="1"/>
    </xf>
    <xf numFmtId="0" fontId="0" fillId="0" borderId="1" xfId="0" applyBorder="1"/>
    <xf numFmtId="3" fontId="7" fillId="3" borderId="15" xfId="0" applyNumberFormat="1" applyFont="1" applyFill="1" applyBorder="1" applyAlignment="1">
      <alignment vertical="center"/>
    </xf>
    <xf numFmtId="0" fontId="13" fillId="0" borderId="1" xfId="1" applyFont="1" applyBorder="1" applyAlignment="1">
      <alignment horizontal="center"/>
    </xf>
    <xf numFmtId="0" fontId="12" fillId="0" borderId="1" xfId="1" applyFont="1" applyBorder="1" applyAlignment="1">
      <alignment horizontal="center"/>
    </xf>
    <xf numFmtId="0" fontId="1" fillId="2" borderId="0" xfId="0" applyFont="1" applyFill="1"/>
    <xf numFmtId="0" fontId="2" fillId="0" borderId="1" xfId="0" applyFont="1" applyBorder="1" applyAlignment="1">
      <alignment wrapText="1"/>
    </xf>
    <xf numFmtId="0" fontId="1" fillId="2" borderId="1" xfId="0" applyFont="1" applyFill="1" applyBorder="1" applyAlignment="1">
      <alignment horizontal="left"/>
    </xf>
    <xf numFmtId="0" fontId="14" fillId="0" borderId="0" xfId="0" applyFont="1" applyAlignment="1">
      <alignment horizontal="left"/>
    </xf>
    <xf numFmtId="3" fontId="7" fillId="3" borderId="1" xfId="0" applyNumberFormat="1" applyFont="1" applyFill="1" applyBorder="1" applyAlignment="1">
      <alignment horizontal="center" vertical="center" wrapText="1"/>
    </xf>
    <xf numFmtId="164" fontId="0" fillId="0" borderId="0" xfId="0" applyNumberFormat="1"/>
    <xf numFmtId="165" fontId="1" fillId="0" borderId="0" xfId="0" applyNumberFormat="1" applyFont="1" applyAlignment="1">
      <alignment horizontal="left"/>
    </xf>
    <xf numFmtId="166" fontId="1" fillId="0" borderId="0" xfId="0" applyNumberFormat="1" applyFont="1" applyAlignment="1">
      <alignment horizontal="left"/>
    </xf>
    <xf numFmtId="167" fontId="1" fillId="0" borderId="0" xfId="0" applyNumberFormat="1" applyFont="1" applyAlignment="1">
      <alignment horizontal="left"/>
    </xf>
    <xf numFmtId="0" fontId="16" fillId="0" borderId="17" xfId="0" applyFont="1" applyBorder="1" applyAlignment="1">
      <alignment horizontal="left" vertical="top"/>
    </xf>
    <xf numFmtId="0" fontId="17" fillId="0" borderId="17" xfId="0" applyFont="1" applyBorder="1" applyAlignment="1">
      <alignment horizontal="left" vertical="top"/>
    </xf>
    <xf numFmtId="0" fontId="17" fillId="0" borderId="17" xfId="0" applyFont="1" applyBorder="1" applyAlignment="1">
      <alignment horizontal="left" vertical="top" wrapText="1"/>
    </xf>
    <xf numFmtId="0" fontId="16" fillId="5" borderId="17" xfId="0" applyFont="1" applyFill="1" applyBorder="1" applyAlignment="1">
      <alignment horizontal="left" vertical="top"/>
    </xf>
    <xf numFmtId="0" fontId="16" fillId="6" borderId="17" xfId="0" applyFont="1" applyFill="1" applyBorder="1" applyAlignment="1">
      <alignment horizontal="left" vertical="top"/>
    </xf>
    <xf numFmtId="0" fontId="16" fillId="7" borderId="17" xfId="0" applyFont="1" applyFill="1" applyBorder="1" applyAlignment="1">
      <alignment horizontal="left" vertical="top"/>
    </xf>
    <xf numFmtId="0" fontId="17" fillId="8" borderId="17" xfId="0" applyFont="1" applyFill="1" applyBorder="1" applyAlignment="1">
      <alignment horizontal="left" vertical="top"/>
    </xf>
    <xf numFmtId="0" fontId="17" fillId="5" borderId="17" xfId="0" applyFont="1" applyFill="1" applyBorder="1" applyAlignment="1">
      <alignment horizontal="left" vertical="top"/>
    </xf>
    <xf numFmtId="0" fontId="17" fillId="6" borderId="17" xfId="0" applyFont="1" applyFill="1" applyBorder="1" applyAlignment="1">
      <alignment horizontal="left" vertical="top"/>
    </xf>
    <xf numFmtId="0" fontId="17" fillId="7" borderId="17" xfId="0" applyFont="1" applyFill="1" applyBorder="1" applyAlignment="1">
      <alignment horizontal="left" vertical="top"/>
    </xf>
    <xf numFmtId="0" fontId="17" fillId="9" borderId="17" xfId="0" applyFont="1" applyFill="1" applyBorder="1" applyAlignment="1">
      <alignment horizontal="left" vertical="top"/>
    </xf>
    <xf numFmtId="49" fontId="0" fillId="0" borderId="0" xfId="0" applyNumberFormat="1"/>
    <xf numFmtId="49" fontId="8" fillId="0" borderId="0" xfId="0" applyNumberFormat="1" applyFont="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5" borderId="6" xfId="0" applyFill="1" applyBorder="1"/>
    <xf numFmtId="0" fontId="0" fillId="16" borderId="0" xfId="0" applyFill="1"/>
    <xf numFmtId="3" fontId="7" fillId="3" borderId="12" xfId="0" applyNumberFormat="1" applyFont="1" applyFill="1" applyBorder="1" applyAlignment="1">
      <alignment horizontal="left" vertical="top" wrapText="1"/>
    </xf>
    <xf numFmtId="3" fontId="7" fillId="3" borderId="12" xfId="0" applyNumberFormat="1" applyFont="1" applyFill="1" applyBorder="1" applyAlignment="1">
      <alignment vertical="top" wrapText="1"/>
    </xf>
    <xf numFmtId="3" fontId="7" fillId="3" borderId="14" xfId="0" applyNumberFormat="1" applyFont="1" applyFill="1" applyBorder="1" applyAlignment="1">
      <alignment vertical="top" wrapText="1"/>
    </xf>
    <xf numFmtId="3" fontId="7" fillId="3" borderId="13" xfId="0" applyNumberFormat="1" applyFont="1" applyFill="1" applyBorder="1" applyAlignment="1">
      <alignment vertical="top" wrapText="1"/>
    </xf>
    <xf numFmtId="0" fontId="15" fillId="0" borderId="0" xfId="0" applyFont="1" applyAlignment="1">
      <alignment horizontal="left" vertical="top"/>
    </xf>
    <xf numFmtId="0" fontId="20" fillId="0" borderId="0" xfId="0" applyFont="1" applyAlignment="1">
      <alignment vertical="top"/>
    </xf>
    <xf numFmtId="0" fontId="21" fillId="0" borderId="0" xfId="0" applyFont="1" applyAlignment="1">
      <alignment vertical="top"/>
    </xf>
    <xf numFmtId="0" fontId="21" fillId="0" borderId="0" xfId="0" quotePrefix="1" applyFont="1" applyAlignment="1">
      <alignment vertical="top" wrapText="1"/>
    </xf>
    <xf numFmtId="0" fontId="21" fillId="0" borderId="0" xfId="0" applyFont="1" applyAlignment="1">
      <alignment vertical="top" wrapText="1"/>
    </xf>
    <xf numFmtId="0" fontId="1" fillId="0" borderId="0" xfId="0" applyFont="1" applyAlignment="1">
      <alignment horizontal="left" vertical="top"/>
    </xf>
    <xf numFmtId="0" fontId="0" fillId="0" borderId="0" xfId="0" applyAlignment="1">
      <alignment vertical="top"/>
    </xf>
    <xf numFmtId="0" fontId="5" fillId="0" borderId="0" xfId="3"/>
    <xf numFmtId="0" fontId="17" fillId="0" borderId="17" xfId="0" applyFont="1" applyBorder="1" applyAlignment="1">
      <alignment horizontal="left" vertical="top" wrapText="1"/>
    </xf>
    <xf numFmtId="0" fontId="0" fillId="0" borderId="18" xfId="0" applyBorder="1"/>
    <xf numFmtId="0" fontId="0" fillId="0" borderId="19" xfId="0" applyBorder="1"/>
    <xf numFmtId="0" fontId="17" fillId="0" borderId="0" xfId="0" quotePrefix="1" applyFont="1" applyAlignment="1">
      <alignment horizontal="left" vertical="top" wrapText="1"/>
    </xf>
    <xf numFmtId="0" fontId="0" fillId="0" borderId="0" xfId="0"/>
    <xf numFmtId="0" fontId="17" fillId="0" borderId="17" xfId="0" applyFont="1" applyBorder="1" applyAlignment="1">
      <alignment horizontal="left" vertical="top"/>
    </xf>
    <xf numFmtId="0" fontId="3" fillId="0" borderId="0" xfId="0" applyFont="1"/>
    <xf numFmtId="0" fontId="1" fillId="0" borderId="0" xfId="0" applyFont="1" applyAlignment="1">
      <alignment horizontal="left"/>
    </xf>
    <xf numFmtId="3" fontId="7" fillId="3" borderId="11" xfId="0" applyNumberFormat="1" applyFont="1" applyFill="1" applyBorder="1" applyAlignment="1">
      <alignment horizontal="left" vertical="center" wrapText="1"/>
    </xf>
    <xf numFmtId="0" fontId="0" fillId="0" borderId="14" xfId="0" applyBorder="1"/>
    <xf numFmtId="0" fontId="0" fillId="0" borderId="13" xfId="0" applyBorder="1"/>
    <xf numFmtId="0" fontId="3" fillId="0" borderId="0" xfId="0" quotePrefix="1" applyFont="1" applyAlignment="1">
      <alignment horizontal="left" vertical="top" wrapText="1"/>
    </xf>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0" fontId="3" fillId="0" borderId="0" xfId="0" applyFont="1" applyAlignment="1">
      <alignment horizontal="left"/>
    </xf>
    <xf numFmtId="0" fontId="1" fillId="0" borderId="0" xfId="0" quotePrefix="1" applyFont="1" applyAlignment="1">
      <alignment horizontal="left" vertical="top" wrapText="1"/>
    </xf>
    <xf numFmtId="0" fontId="0" fillId="0" borderId="5" xfId="0" applyBorder="1"/>
    <xf numFmtId="3" fontId="9" fillId="3" borderId="11" xfId="0" applyNumberFormat="1" applyFont="1" applyFill="1" applyBorder="1" applyAlignment="1">
      <alignment horizontal="center" vertical="center" wrapText="1"/>
    </xf>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horizontal="left" vertical="top" wrapText="1"/>
    </xf>
    <xf numFmtId="0" fontId="0" fillId="0" borderId="14" xfId="0" applyBorder="1" applyAlignment="1">
      <alignment vertical="top"/>
    </xf>
    <xf numFmtId="0" fontId="19" fillId="0" borderId="17" xfId="0" applyFont="1" applyBorder="1" applyAlignment="1">
      <alignment horizontal="left" vertical="top" wrapText="1"/>
    </xf>
    <xf numFmtId="0" fontId="0" fillId="0" borderId="0" xfId="0" applyFill="1"/>
  </cellXfs>
  <cellStyles count="6">
    <cellStyle name="F-C 0dp Num" xfId="4" xr:uid="{00000000-0005-0000-0000-000004000000}"/>
    <cellStyle name="F-Group T3" xfId="5" xr:uid="{00000000-0005-0000-0000-000005000000}"/>
    <cellStyle name="Hyperlink" xfId="3" builtinId="8"/>
    <cellStyle name="Hyperlink 2" xfId="2" xr:uid="{00000000-0005-0000-0000-000002000000}"/>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sheetMetadata" Target="metadata.xml"/><Relationship Id="rId95" Type="http://schemas.microsoft.com/office/2006/relationships/vbaProject" Target="vbaProject.bin"/><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tyles" Target="styles.xml"/><Relationship Id="rId91"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17/06/relationships/rdRichValueStructure" Target="richData/rdrichvaluestructure.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theme" Target="theme/theme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96" Type="http://schemas.openxmlformats.org/officeDocument/2006/relationships/worksheet" Target="worksheets/sheet87.xml"/><Relationship Id="rId97" Type="http://schemas.openxmlformats.org/officeDocument/2006/relationships/worksheet" Target="worksheets/sheet88.xml"/><Relationship Id="rId98" Type="http://schemas.openxmlformats.org/officeDocument/2006/relationships/worksheet" Target="worksheets/sheet89.xml"/><Relationship Id="rId99" Type="http://schemas.openxmlformats.org/officeDocument/2006/relationships/worksheet" Target="worksheets/sheet90.xml"/><Relationship Id="rId100" Type="http://schemas.openxmlformats.org/officeDocument/2006/relationships/worksheet" Target="worksheets/sheet91.xml"/><Relationship Id="rId101" Type="http://schemas.openxmlformats.org/officeDocument/2006/relationships/worksheet" Target="worksheets/sheet92.xml"/><Relationship Id="rId102" Type="http://schemas.openxmlformats.org/officeDocument/2006/relationships/worksheet" Target="worksheets/sheet9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158750</xdr:colOff>
          <xdr:row>0</xdr:row>
          <xdr:rowOff>31750</xdr:rowOff>
        </xdr:from>
        <xdr:to>
          <xdr:col>9</xdr:col>
          <xdr:colOff>101600</xdr:colOff>
          <xdr:row>2</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Setup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787400</xdr:colOff>
          <xdr:row>0</xdr:row>
          <xdr:rowOff>50800</xdr:rowOff>
        </xdr:from>
        <xdr:to>
          <xdr:col>11</xdr:col>
          <xdr:colOff>330200</xdr:colOff>
          <xdr:row>2</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Safe Setup</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fb>
    <v>6</v>
    <v>7</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youtu.be/MHZXi6s6fGk" TargetMode="External"/><Relationship Id="rId7" Type="http://schemas.openxmlformats.org/officeDocument/2006/relationships/ctrlProp" Target="../ctrlProps/ctrlProp2.xml"/><Relationship Id="rId2" Type="http://schemas.openxmlformats.org/officeDocument/2006/relationships/hyperlink" Target="https://youtu.be/MHZXi6s6fGk" TargetMode="External"/><Relationship Id="rId1" Type="http://schemas.openxmlformats.org/officeDocument/2006/relationships/hyperlink" Target="https://youtu.be/MHZXi6s6fGk"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DD83-F3B0-43EB-A733-0D42CAB2A5A3}">
  <sheetPr codeName="Sheet1">
    <tabColor theme="8" tint="0.79998168889431442"/>
  </sheetPr>
  <dimension ref="A1:AMH74"/>
  <sheetViews>
    <sheetView showGridLines="0" zoomScale="115" zoomScaleNormal="115" workbookViewId="0">
      <selection activeCell="M3" sqref="M3"/>
    </sheetView>
  </sheetViews>
  <sheetFormatPr defaultColWidth="4.8125" defaultRowHeight="19.25" customHeight="1" x14ac:dyDescent="0.45"/>
  <cols>
    <col min="1" max="6" width="12.5625" style="2" customWidth="1"/>
    <col min="7" max="17" width="9.25" style="2" customWidth="1"/>
    <col min="18" max="18" width="24.125" style="2" customWidth="1"/>
    <col min="19" max="20" width="9.25" style="2" customWidth="1"/>
    <col min="21" max="21" width="13.8125" style="2" customWidth="1"/>
    <col min="22" max="23" width="4.75" style="2" customWidth="1"/>
    <col min="24" max="30" width="4.8125" style="2" customWidth="1"/>
    <col min="31" max="31" width="5.3125" style="2" customWidth="1"/>
    <col min="32" max="1022" width="4.8125" style="2" customWidth="1"/>
    <col min="1023" max="1024" width="4.75" style="2" customWidth="1"/>
    <col min="1025" max="1031" width="4.8125" style="2" customWidth="1"/>
    <col min="1032" max="16384" width="4.8125" style="2"/>
  </cols>
  <sheetData>
    <row r="1" spans="1:1022" ht="19.25" customHeight="1" thickBot="1" x14ac:dyDescent="0.5">
      <c r="A1" s="27" t="s">
        <v>19</v>
      </c>
      <c r="B1" s="90" t="s">
        <v>3335</v>
      </c>
      <c r="C1" s="91"/>
      <c r="D1" s="91"/>
      <c r="E1" s="91"/>
      <c r="F1" s="91"/>
      <c r="G1" s="92"/>
    </row>
    <row r="2" spans="1:1022" ht="19.25" customHeight="1" thickBot="1" x14ac:dyDescent="0.5">
      <c r="A2" s="27" t="s">
        <v>20</v>
      </c>
      <c r="B2" s="90" t="s">
        <v>3336</v>
      </c>
      <c r="C2" s="91"/>
      <c r="D2" s="91"/>
      <c r="E2" s="91"/>
      <c r="F2" s="91"/>
      <c r="G2" s="92"/>
      <c r="U2" s="27" t="s">
        <v>21</v>
      </c>
      <c r="V2" s="3" t="s">
        <v>22</v>
      </c>
      <c r="W2" s="3" t="s">
        <v>23</v>
      </c>
      <c r="X2" s="3" t="s">
        <v>24</v>
      </c>
      <c r="Y2" s="3" t="s">
        <v>25</v>
      </c>
      <c r="Z2" s="3" t="s">
        <v>26</v>
      </c>
      <c r="AA2" s="3" t="s">
        <v>27</v>
      </c>
      <c r="AB2" s="3" t="s">
        <v>28</v>
      </c>
      <c r="AC2" s="3" t="s">
        <v>29</v>
      </c>
      <c r="AD2" s="3" t="s">
        <v>30</v>
      </c>
      <c r="AE2" s="3" t="s">
        <v>31</v>
      </c>
      <c r="AF2" s="3" t="s">
        <v>32</v>
      </c>
      <c r="AG2" s="3" t="s">
        <v>33</v>
      </c>
      <c r="AH2" s="3" t="s">
        <v>34</v>
      </c>
      <c r="AI2" s="3" t="s">
        <v>35</v>
      </c>
      <c r="AJ2" s="3" t="s">
        <v>36</v>
      </c>
      <c r="AK2" s="3" t="s">
        <v>37</v>
      </c>
      <c r="AL2" s="3" t="s">
        <v>38</v>
      </c>
      <c r="AM2" s="3" t="s">
        <v>39</v>
      </c>
      <c r="AN2" s="3" t="s">
        <v>40</v>
      </c>
      <c r="AO2" s="3" t="s">
        <v>41</v>
      </c>
      <c r="AP2" s="3" t="s">
        <v>42</v>
      </c>
      <c r="AQ2" s="3" t="s">
        <v>43</v>
      </c>
      <c r="AR2" s="3" t="s">
        <v>44</v>
      </c>
      <c r="AS2" s="3" t="s">
        <v>45</v>
      </c>
      <c r="AT2" s="3" t="s">
        <v>46</v>
      </c>
      <c r="AU2" s="3" t="s">
        <v>47</v>
      </c>
      <c r="AV2" s="3" t="s">
        <v>48</v>
      </c>
      <c r="AW2" s="3" t="s">
        <v>49</v>
      </c>
      <c r="AX2" s="3" t="s">
        <v>50</v>
      </c>
      <c r="AY2" s="3" t="s">
        <v>51</v>
      </c>
      <c r="AZ2" s="3" t="s">
        <v>52</v>
      </c>
      <c r="BA2" s="3" t="s">
        <v>53</v>
      </c>
      <c r="BB2" s="3" t="s">
        <v>54</v>
      </c>
      <c r="BC2" s="3" t="s">
        <v>55</v>
      </c>
      <c r="BD2" s="3" t="s">
        <v>56</v>
      </c>
      <c r="BE2" s="3" t="s">
        <v>57</v>
      </c>
      <c r="BF2" s="3" t="s">
        <v>58</v>
      </c>
      <c r="BG2" s="3" t="s">
        <v>59</v>
      </c>
      <c r="BH2" s="3" t="s">
        <v>60</v>
      </c>
      <c r="BI2" s="3" t="s">
        <v>61</v>
      </c>
      <c r="BJ2" s="3" t="s">
        <v>62</v>
      </c>
      <c r="BK2" s="3" t="s">
        <v>63</v>
      </c>
      <c r="BL2" s="3" t="s">
        <v>64</v>
      </c>
      <c r="BM2" s="3" t="s">
        <v>65</v>
      </c>
      <c r="BN2" s="3" t="s">
        <v>66</v>
      </c>
      <c r="BO2" s="3" t="s">
        <v>67</v>
      </c>
      <c r="BP2" s="3" t="s">
        <v>68</v>
      </c>
      <c r="BQ2" s="3" t="s">
        <v>69</v>
      </c>
      <c r="BR2" s="3" t="s">
        <v>70</v>
      </c>
      <c r="BS2" s="3" t="s">
        <v>71</v>
      </c>
      <c r="BT2" s="3" t="s">
        <v>72</v>
      </c>
      <c r="BU2" s="3" t="s">
        <v>73</v>
      </c>
      <c r="BV2" s="3" t="s">
        <v>74</v>
      </c>
      <c r="BW2" s="3" t="s">
        <v>75</v>
      </c>
      <c r="BX2" s="3" t="s">
        <v>76</v>
      </c>
      <c r="BY2" s="3" t="s">
        <v>77</v>
      </c>
      <c r="BZ2" s="3" t="s">
        <v>78</v>
      </c>
      <c r="CA2" s="3" t="s">
        <v>79</v>
      </c>
      <c r="CB2" s="3" t="s">
        <v>80</v>
      </c>
      <c r="CC2" s="3" t="s">
        <v>81</v>
      </c>
      <c r="CD2" s="3" t="s">
        <v>82</v>
      </c>
      <c r="CE2" s="3" t="s">
        <v>83</v>
      </c>
      <c r="CF2" s="3" t="s">
        <v>84</v>
      </c>
      <c r="CG2" s="3" t="s">
        <v>85</v>
      </c>
      <c r="CH2" s="3" t="s">
        <v>86</v>
      </c>
      <c r="CI2" s="3" t="s">
        <v>87</v>
      </c>
      <c r="CJ2" s="3" t="s">
        <v>88</v>
      </c>
      <c r="CK2" s="3" t="s">
        <v>89</v>
      </c>
      <c r="CL2" s="3" t="s">
        <v>90</v>
      </c>
      <c r="CM2" s="3" t="s">
        <v>91</v>
      </c>
      <c r="CN2" s="3" t="s">
        <v>92</v>
      </c>
      <c r="CO2" s="3" t="s">
        <v>93</v>
      </c>
      <c r="CP2" s="3" t="s">
        <v>94</v>
      </c>
      <c r="CQ2" s="3" t="s">
        <v>95</v>
      </c>
      <c r="CR2" s="3" t="s">
        <v>96</v>
      </c>
      <c r="CS2" s="3" t="s">
        <v>97</v>
      </c>
      <c r="CT2" s="3" t="s">
        <v>98</v>
      </c>
      <c r="CU2" s="3" t="s">
        <v>99</v>
      </c>
      <c r="CV2" s="3" t="s">
        <v>100</v>
      </c>
      <c r="CW2" s="3" t="s">
        <v>101</v>
      </c>
      <c r="CX2" s="3" t="s">
        <v>102</v>
      </c>
      <c r="CY2" s="3" t="s">
        <v>103</v>
      </c>
      <c r="CZ2" s="3" t="s">
        <v>104</v>
      </c>
      <c r="DA2" s="3" t="s">
        <v>105</v>
      </c>
      <c r="DB2" s="3" t="s">
        <v>106</v>
      </c>
      <c r="DC2" s="3" t="s">
        <v>107</v>
      </c>
      <c r="DD2" s="3" t="s">
        <v>108</v>
      </c>
      <c r="DE2" s="3" t="s">
        <v>109</v>
      </c>
      <c r="DF2" s="3" t="s">
        <v>110</v>
      </c>
      <c r="DG2" s="3" t="s">
        <v>111</v>
      </c>
      <c r="DH2" s="3" t="s">
        <v>112</v>
      </c>
      <c r="DI2" s="3" t="s">
        <v>113</v>
      </c>
      <c r="DJ2" s="3" t="s">
        <v>114</v>
      </c>
      <c r="DK2" s="3" t="s">
        <v>115</v>
      </c>
      <c r="DL2" s="3" t="s">
        <v>116</v>
      </c>
      <c r="DM2" s="3" t="s">
        <v>117</v>
      </c>
      <c r="DN2" s="3" t="s">
        <v>118</v>
      </c>
      <c r="DO2" s="3" t="s">
        <v>119</v>
      </c>
      <c r="DP2" s="3" t="s">
        <v>120</v>
      </c>
    </row>
    <row r="3" spans="1:1022" ht="19.25" customHeight="1" thickBot="1" x14ac:dyDescent="0.5">
      <c r="A3" s="27" t="s">
        <v>121</v>
      </c>
      <c r="B3" s="90" t="s">
        <v>3337</v>
      </c>
      <c r="C3" s="91"/>
      <c r="D3" s="91"/>
      <c r="E3" s="91"/>
      <c r="F3" s="91"/>
      <c r="G3" s="92"/>
      <c r="U3" s="27" t="s">
        <v>122</v>
      </c>
      <c r="V3" s="3">
        <v>0</v>
      </c>
      <c r="W3" s="3">
        <v>0</v>
      </c>
      <c r="X3" s="3">
        <v>0</v>
      </c>
      <c r="Y3" s="3">
        <v>0</v>
      </c>
      <c r="Z3" s="3">
        <v>0</v>
      </c>
      <c r="AA3" s="3">
        <v>0</v>
      </c>
      <c r="AB3" s="3">
        <v>0</v>
      </c>
      <c r="AC3" s="3">
        <v>1</v>
      </c>
      <c r="AD3" s="3">
        <v>1</v>
      </c>
      <c r="AE3" s="3">
        <v>1</v>
      </c>
      <c r="AF3" s="3">
        <v>1</v>
      </c>
      <c r="AG3" s="3">
        <v>1</v>
      </c>
      <c r="AH3" s="3">
        <v>1</v>
      </c>
      <c r="AI3" s="3">
        <v>1</v>
      </c>
      <c r="AJ3" s="3">
        <v>2</v>
      </c>
      <c r="AK3" s="3">
        <v>2</v>
      </c>
      <c r="AL3" s="3">
        <v>2</v>
      </c>
      <c r="AM3" s="3">
        <v>2</v>
      </c>
      <c r="AN3" s="3">
        <v>2</v>
      </c>
      <c r="AO3" s="3">
        <v>2</v>
      </c>
      <c r="AP3" s="3">
        <v>3</v>
      </c>
      <c r="AQ3" s="3">
        <v>3</v>
      </c>
      <c r="AR3" s="3">
        <v>3</v>
      </c>
      <c r="AS3" s="3">
        <v>3</v>
      </c>
      <c r="AT3" s="3">
        <v>3</v>
      </c>
      <c r="AU3" s="3">
        <v>3</v>
      </c>
      <c r="AV3" s="3">
        <v>3</v>
      </c>
      <c r="AW3" s="3">
        <v>4</v>
      </c>
      <c r="AX3" s="3">
        <v>4</v>
      </c>
      <c r="AY3" s="3">
        <v>4</v>
      </c>
      <c r="AZ3" s="3">
        <v>4</v>
      </c>
      <c r="BA3" s="3">
        <v>4</v>
      </c>
      <c r="BB3" s="3">
        <v>4</v>
      </c>
      <c r="BC3" s="3">
        <v>4</v>
      </c>
      <c r="BD3" s="3">
        <v>5</v>
      </c>
      <c r="BE3" s="3">
        <v>5</v>
      </c>
      <c r="BF3" s="3">
        <v>5</v>
      </c>
      <c r="BG3" s="3">
        <v>5</v>
      </c>
      <c r="BH3" s="3">
        <v>5</v>
      </c>
      <c r="BI3" s="3">
        <v>5</v>
      </c>
      <c r="BJ3" s="3">
        <v>5</v>
      </c>
      <c r="BK3" s="3">
        <v>9</v>
      </c>
      <c r="BL3" s="3">
        <v>6</v>
      </c>
      <c r="BM3" s="3">
        <v>6</v>
      </c>
      <c r="BN3" s="3">
        <v>6</v>
      </c>
      <c r="BO3" s="3">
        <v>6</v>
      </c>
      <c r="BP3" s="3">
        <v>6</v>
      </c>
      <c r="BQ3" s="3">
        <v>6</v>
      </c>
      <c r="BR3" s="3">
        <v>0</v>
      </c>
      <c r="BS3" s="3">
        <v>0</v>
      </c>
      <c r="BT3" s="3">
        <v>0</v>
      </c>
      <c r="BU3" s="3">
        <v>0</v>
      </c>
      <c r="BV3" s="3">
        <v>0</v>
      </c>
      <c r="BW3" s="3">
        <v>0</v>
      </c>
      <c r="BX3" s="3">
        <v>0</v>
      </c>
      <c r="BY3" s="3">
        <v>0</v>
      </c>
      <c r="BZ3" s="3">
        <v>1</v>
      </c>
      <c r="CA3" s="3">
        <v>1</v>
      </c>
      <c r="CB3" s="3">
        <v>1</v>
      </c>
      <c r="CC3" s="3">
        <v>1</v>
      </c>
      <c r="CD3" s="3">
        <v>1</v>
      </c>
      <c r="CE3" s="3">
        <v>1</v>
      </c>
      <c r="CF3" s="3">
        <v>1</v>
      </c>
      <c r="CG3" s="3">
        <v>2</v>
      </c>
      <c r="CH3" s="3">
        <v>2</v>
      </c>
      <c r="CI3" s="3">
        <v>2</v>
      </c>
      <c r="CJ3" s="3">
        <v>2</v>
      </c>
      <c r="CK3" s="3">
        <v>2</v>
      </c>
      <c r="CL3" s="3">
        <v>2</v>
      </c>
      <c r="CM3" s="3">
        <v>2</v>
      </c>
      <c r="CN3" s="3">
        <v>3</v>
      </c>
      <c r="CO3" s="3">
        <v>3</v>
      </c>
      <c r="CP3" s="3">
        <v>3</v>
      </c>
      <c r="CQ3" s="3">
        <v>3</v>
      </c>
      <c r="CR3" s="3">
        <v>3</v>
      </c>
      <c r="CS3" s="3">
        <v>3</v>
      </c>
      <c r="CT3" s="3">
        <v>3</v>
      </c>
      <c r="CU3" s="3">
        <v>4</v>
      </c>
      <c r="CV3" s="3">
        <v>4</v>
      </c>
      <c r="CW3" s="3">
        <v>4</v>
      </c>
      <c r="CX3" s="3">
        <v>4</v>
      </c>
      <c r="CY3" s="3">
        <v>4</v>
      </c>
      <c r="CZ3" s="3">
        <v>4</v>
      </c>
      <c r="DA3" s="3">
        <v>4</v>
      </c>
      <c r="DB3" s="3">
        <v>5</v>
      </c>
      <c r="DC3" s="3">
        <v>5</v>
      </c>
      <c r="DD3" s="3">
        <v>5</v>
      </c>
      <c r="DE3" s="3">
        <v>5</v>
      </c>
      <c r="DF3" s="3">
        <v>5</v>
      </c>
      <c r="DG3" s="3">
        <v>5</v>
      </c>
      <c r="DH3" s="3">
        <v>5</v>
      </c>
      <c r="DI3" s="3">
        <v>6</v>
      </c>
      <c r="DJ3" s="3">
        <v>6</v>
      </c>
      <c r="DK3" s="3">
        <v>6</v>
      </c>
      <c r="DL3" s="3">
        <v>6</v>
      </c>
      <c r="DM3" s="3">
        <v>6</v>
      </c>
      <c r="DN3" s="3">
        <v>6</v>
      </c>
      <c r="DO3" s="3">
        <v>6</v>
      </c>
      <c r="DP3" s="3">
        <v>0</v>
      </c>
    </row>
    <row r="4" spans="1:1022" ht="19.25" customHeight="1" thickBot="1" x14ac:dyDescent="0.5">
      <c r="U4" s="27" t="s">
        <v>123</v>
      </c>
      <c r="V4" s="3">
        <v>0</v>
      </c>
      <c r="W4" s="3">
        <v>1</v>
      </c>
      <c r="X4" s="3">
        <v>2</v>
      </c>
      <c r="Y4" s="3">
        <v>3</v>
      </c>
      <c r="Z4" s="3">
        <v>4</v>
      </c>
      <c r="AA4" s="3">
        <v>5</v>
      </c>
      <c r="AB4" s="3">
        <v>6</v>
      </c>
      <c r="AC4" s="3">
        <v>0</v>
      </c>
      <c r="AD4" s="3">
        <v>1</v>
      </c>
      <c r="AE4" s="3">
        <v>2</v>
      </c>
      <c r="AF4" s="3">
        <v>3</v>
      </c>
      <c r="AG4" s="3">
        <v>4</v>
      </c>
      <c r="AH4" s="3">
        <v>5</v>
      </c>
      <c r="AI4" s="3">
        <v>6</v>
      </c>
      <c r="AJ4" s="3">
        <v>1</v>
      </c>
      <c r="AK4" s="3">
        <v>2</v>
      </c>
      <c r="AL4" s="3">
        <v>3</v>
      </c>
      <c r="AM4" s="3">
        <v>4</v>
      </c>
      <c r="AN4" s="3">
        <v>5</v>
      </c>
      <c r="AO4" s="3">
        <v>6</v>
      </c>
      <c r="AP4" s="3">
        <v>0</v>
      </c>
      <c r="AQ4" s="3">
        <v>1</v>
      </c>
      <c r="AR4" s="3">
        <v>2</v>
      </c>
      <c r="AS4" s="3">
        <v>3</v>
      </c>
      <c r="AT4" s="3">
        <v>4</v>
      </c>
      <c r="AU4" s="3">
        <v>5</v>
      </c>
      <c r="AV4" s="3">
        <v>6</v>
      </c>
      <c r="AW4" s="3">
        <v>0</v>
      </c>
      <c r="AX4" s="3">
        <v>1</v>
      </c>
      <c r="AY4" s="3">
        <v>2</v>
      </c>
      <c r="AZ4" s="3">
        <v>3</v>
      </c>
      <c r="BA4" s="3">
        <v>4</v>
      </c>
      <c r="BB4" s="3">
        <v>5</v>
      </c>
      <c r="BC4" s="3">
        <v>6</v>
      </c>
      <c r="BD4" s="3">
        <v>0</v>
      </c>
      <c r="BE4" s="3">
        <v>1</v>
      </c>
      <c r="BF4" s="3">
        <v>2</v>
      </c>
      <c r="BG4" s="3">
        <v>3</v>
      </c>
      <c r="BH4" s="3">
        <v>4</v>
      </c>
      <c r="BI4" s="3">
        <v>5</v>
      </c>
      <c r="BJ4" s="3">
        <v>6</v>
      </c>
      <c r="BK4" s="3">
        <v>0</v>
      </c>
      <c r="BL4" s="3">
        <v>1</v>
      </c>
      <c r="BM4" s="3">
        <v>2</v>
      </c>
      <c r="BN4" s="3">
        <v>3</v>
      </c>
      <c r="BO4" s="3">
        <v>4</v>
      </c>
      <c r="BP4" s="3">
        <v>5</v>
      </c>
      <c r="BQ4" s="3">
        <v>6</v>
      </c>
      <c r="BR4" s="3">
        <v>0</v>
      </c>
      <c r="BS4" s="3">
        <v>0</v>
      </c>
      <c r="BT4" s="3">
        <v>1</v>
      </c>
      <c r="BU4" s="3">
        <v>2</v>
      </c>
      <c r="BV4" s="3">
        <v>3</v>
      </c>
      <c r="BW4" s="3">
        <v>4</v>
      </c>
      <c r="BX4" s="3">
        <v>5</v>
      </c>
      <c r="BY4" s="3">
        <v>6</v>
      </c>
      <c r="BZ4" s="3">
        <v>0</v>
      </c>
      <c r="CA4" s="3">
        <v>1</v>
      </c>
      <c r="CB4" s="3">
        <v>2</v>
      </c>
      <c r="CC4" s="3">
        <v>3</v>
      </c>
      <c r="CD4" s="3">
        <v>4</v>
      </c>
      <c r="CE4" s="3">
        <v>5</v>
      </c>
      <c r="CF4" s="3">
        <v>6</v>
      </c>
      <c r="CG4" s="3">
        <v>0</v>
      </c>
      <c r="CH4" s="3">
        <v>1</v>
      </c>
      <c r="CI4" s="3">
        <v>2</v>
      </c>
      <c r="CJ4" s="3">
        <v>3</v>
      </c>
      <c r="CK4" s="3">
        <v>4</v>
      </c>
      <c r="CL4" s="3">
        <v>5</v>
      </c>
      <c r="CM4" s="3">
        <v>6</v>
      </c>
      <c r="CN4" s="3">
        <v>0</v>
      </c>
      <c r="CO4" s="3">
        <v>1</v>
      </c>
      <c r="CP4" s="3">
        <v>2</v>
      </c>
      <c r="CQ4" s="3">
        <v>3</v>
      </c>
      <c r="CR4" s="3">
        <v>4</v>
      </c>
      <c r="CS4" s="3">
        <v>5</v>
      </c>
      <c r="CT4" s="3">
        <v>6</v>
      </c>
      <c r="CU4" s="3">
        <v>0</v>
      </c>
      <c r="CV4" s="3">
        <v>1</v>
      </c>
      <c r="CW4" s="3">
        <v>2</v>
      </c>
      <c r="CX4" s="3">
        <v>3</v>
      </c>
      <c r="CY4" s="3">
        <v>4</v>
      </c>
      <c r="CZ4" s="3">
        <v>5</v>
      </c>
      <c r="DA4" s="3">
        <v>6</v>
      </c>
      <c r="DB4" s="3">
        <v>0</v>
      </c>
      <c r="DC4" s="3">
        <v>1</v>
      </c>
      <c r="DD4" s="3">
        <v>2</v>
      </c>
      <c r="DE4" s="3">
        <v>3</v>
      </c>
      <c r="DF4" s="3">
        <v>4</v>
      </c>
      <c r="DG4" s="3">
        <v>5</v>
      </c>
      <c r="DH4" s="3">
        <v>6</v>
      </c>
      <c r="DI4" s="3">
        <v>0</v>
      </c>
      <c r="DJ4" s="3">
        <v>1</v>
      </c>
      <c r="DK4" s="3">
        <v>2</v>
      </c>
      <c r="DL4" s="3">
        <v>3</v>
      </c>
      <c r="DM4" s="3">
        <v>4</v>
      </c>
      <c r="DN4" s="3">
        <v>5</v>
      </c>
      <c r="DO4" s="3">
        <v>6</v>
      </c>
      <c r="DP4" s="3">
        <v>0</v>
      </c>
    </row>
    <row r="5" spans="1:1022" ht="29.4" customHeight="1" thickBot="1" x14ac:dyDescent="0.55000000000000004">
      <c r="A5" s="96" t="s">
        <v>124</v>
      </c>
      <c r="B5" s="87"/>
      <c r="C5" s="87"/>
      <c r="D5" s="87"/>
      <c r="E5" s="88"/>
      <c r="G5" s="27" t="s">
        <v>125</v>
      </c>
      <c r="H5" s="27" t="s">
        <v>126</v>
      </c>
      <c r="I5" s="27" t="s">
        <v>127</v>
      </c>
      <c r="K5" s="27" t="s">
        <v>128</v>
      </c>
      <c r="L5" s="27" t="s">
        <v>129</v>
      </c>
      <c r="M5" s="27" t="s">
        <v>130</v>
      </c>
      <c r="O5" s="27" t="s">
        <v>128</v>
      </c>
      <c r="P5" s="27" t="s">
        <v>131</v>
      </c>
      <c r="Q5" s="27" t="s">
        <v>132</v>
      </c>
      <c r="R5" s="27" t="s">
        <v>133</v>
      </c>
      <c r="S5" s="27" t="s">
        <v>134</v>
      </c>
    </row>
    <row r="6" spans="1:1022" ht="18.899999999999999" customHeight="1" thickBot="1" x14ac:dyDescent="0.5">
      <c r="A6" s="9" t="s">
        <v>135</v>
      </c>
      <c r="E6" s="12"/>
      <c r="G6" s="6" t="s">
        <v>136</v>
      </c>
      <c r="H6" s="5">
        <v>2</v>
      </c>
      <c r="I6" s="5">
        <v>2</v>
      </c>
      <c r="K6" s="5">
        <v>1</v>
      </c>
      <c r="L6" s="5" t="s">
        <v>137</v>
      </c>
      <c r="M6" s="5" t="s">
        <v>138</v>
      </c>
      <c r="O6" s="5">
        <v>1</v>
      </c>
      <c r="P6" s="5" t="s">
        <v>139</v>
      </c>
      <c r="Q6" s="5">
        <v>31</v>
      </c>
      <c r="R6" s="7">
        <v>46023</v>
      </c>
      <c r="S6" s="7">
        <v>46053</v>
      </c>
      <c r="U6" s="31" t="s">
        <v>140</v>
      </c>
      <c r="V6" s="3">
        <v>2</v>
      </c>
      <c r="W6" s="1">
        <v>3</v>
      </c>
      <c r="X6" s="1">
        <v>5</v>
      </c>
      <c r="Y6" s="1">
        <v>7</v>
      </c>
      <c r="Z6" s="1">
        <v>11</v>
      </c>
      <c r="AA6" s="1">
        <v>13</v>
      </c>
      <c r="AB6" s="1">
        <v>17</v>
      </c>
      <c r="AC6" s="1">
        <v>19</v>
      </c>
      <c r="AD6" s="1">
        <v>23</v>
      </c>
      <c r="AE6" s="1">
        <v>29</v>
      </c>
      <c r="AF6" s="1">
        <v>31</v>
      </c>
      <c r="AG6" s="1">
        <v>37</v>
      </c>
      <c r="AH6" s="1">
        <v>41</v>
      </c>
      <c r="AI6" s="1">
        <v>43</v>
      </c>
      <c r="AJ6" s="1">
        <v>47</v>
      </c>
      <c r="AK6" s="1">
        <v>53</v>
      </c>
      <c r="AL6" s="1">
        <v>59</v>
      </c>
      <c r="AM6" s="1">
        <v>61</v>
      </c>
      <c r="AN6" s="1">
        <v>67</v>
      </c>
      <c r="AO6" s="1">
        <v>71</v>
      </c>
      <c r="AP6" s="1">
        <v>73</v>
      </c>
      <c r="AQ6" s="1">
        <v>79</v>
      </c>
      <c r="AR6" s="1">
        <v>83</v>
      </c>
      <c r="AS6" s="1">
        <v>89</v>
      </c>
      <c r="AT6" s="1">
        <v>97</v>
      </c>
      <c r="AU6" s="1">
        <v>101</v>
      </c>
      <c r="AV6" s="1">
        <v>103</v>
      </c>
      <c r="AW6" s="1">
        <v>107</v>
      </c>
      <c r="AX6" s="1">
        <v>109</v>
      </c>
      <c r="AY6" s="1">
        <v>113</v>
      </c>
      <c r="AZ6" s="1">
        <v>127</v>
      </c>
      <c r="BA6" s="1">
        <v>131</v>
      </c>
      <c r="BB6" s="1">
        <v>137</v>
      </c>
      <c r="BC6" s="1">
        <v>139</v>
      </c>
      <c r="BD6" s="1">
        <v>149</v>
      </c>
      <c r="BE6" s="1">
        <v>151</v>
      </c>
      <c r="BF6" s="1">
        <v>157</v>
      </c>
      <c r="BG6" s="1">
        <v>163</v>
      </c>
      <c r="BH6" s="1">
        <v>167</v>
      </c>
      <c r="BI6" s="1">
        <v>173</v>
      </c>
      <c r="BJ6" s="1">
        <v>179</v>
      </c>
      <c r="BK6" s="1">
        <v>181</v>
      </c>
      <c r="BL6" s="1">
        <v>191</v>
      </c>
      <c r="BM6" s="1">
        <v>193</v>
      </c>
      <c r="BN6" s="1">
        <v>197</v>
      </c>
      <c r="BO6" s="1">
        <v>199</v>
      </c>
      <c r="BP6" s="1">
        <v>211</v>
      </c>
      <c r="BQ6" s="1">
        <v>223</v>
      </c>
      <c r="BR6" s="1">
        <v>227</v>
      </c>
      <c r="BS6" s="1">
        <v>229</v>
      </c>
      <c r="BT6" s="1">
        <v>233</v>
      </c>
      <c r="BU6" s="1">
        <v>239</v>
      </c>
      <c r="BV6" s="1">
        <v>241</v>
      </c>
      <c r="BW6" s="1">
        <v>251</v>
      </c>
      <c r="BX6" s="1">
        <v>257</v>
      </c>
      <c r="BY6" s="1">
        <v>263</v>
      </c>
      <c r="BZ6" s="1">
        <v>269</v>
      </c>
      <c r="CA6" s="1">
        <v>271</v>
      </c>
      <c r="CB6" s="1">
        <v>277</v>
      </c>
      <c r="CC6" s="1">
        <v>281</v>
      </c>
      <c r="CD6" s="1">
        <v>283</v>
      </c>
      <c r="CE6" s="1">
        <v>293</v>
      </c>
      <c r="CF6" s="1">
        <v>307</v>
      </c>
      <c r="CG6" s="1">
        <v>311</v>
      </c>
      <c r="CH6" s="1">
        <v>313</v>
      </c>
      <c r="CI6" s="1">
        <v>317</v>
      </c>
      <c r="CJ6" s="1">
        <v>331</v>
      </c>
      <c r="CK6" s="1">
        <v>337</v>
      </c>
      <c r="CL6" s="1">
        <v>347</v>
      </c>
      <c r="CM6" s="1">
        <v>349</v>
      </c>
      <c r="CN6" s="1">
        <v>353</v>
      </c>
      <c r="CO6" s="1">
        <v>359</v>
      </c>
      <c r="CP6" s="1">
        <v>367</v>
      </c>
      <c r="CQ6" s="1">
        <v>373</v>
      </c>
      <c r="CR6" s="1">
        <v>379</v>
      </c>
      <c r="CS6" s="1">
        <v>383</v>
      </c>
      <c r="CT6" s="1">
        <v>389</v>
      </c>
      <c r="CU6" s="1">
        <v>397</v>
      </c>
      <c r="CV6" s="1">
        <v>401</v>
      </c>
      <c r="CW6" s="1">
        <v>409</v>
      </c>
      <c r="CX6" s="1">
        <v>419</v>
      </c>
      <c r="CY6" s="1">
        <v>421</v>
      </c>
      <c r="CZ6" s="1">
        <v>431</v>
      </c>
      <c r="DA6" s="1">
        <v>433</v>
      </c>
      <c r="DB6" s="1">
        <v>439</v>
      </c>
      <c r="DC6" s="1">
        <v>443</v>
      </c>
      <c r="DD6" s="1">
        <v>449</v>
      </c>
      <c r="DE6" s="1">
        <v>457</v>
      </c>
      <c r="DF6" s="1">
        <v>461</v>
      </c>
      <c r="DG6" s="1">
        <v>463</v>
      </c>
      <c r="DH6" s="1">
        <v>467</v>
      </c>
      <c r="DI6" s="1">
        <v>479</v>
      </c>
      <c r="DJ6" s="1">
        <v>487</v>
      </c>
      <c r="DK6" s="1">
        <v>491</v>
      </c>
      <c r="DL6" s="1">
        <v>499</v>
      </c>
      <c r="DM6" s="1">
        <v>503</v>
      </c>
      <c r="DN6" s="1">
        <v>509</v>
      </c>
      <c r="DO6" s="1">
        <v>521</v>
      </c>
      <c r="DP6" s="1">
        <v>523</v>
      </c>
      <c r="DQ6" s="1">
        <v>541</v>
      </c>
      <c r="DR6" s="1">
        <v>547</v>
      </c>
      <c r="DS6" s="1">
        <v>557</v>
      </c>
      <c r="DT6" s="1">
        <v>563</v>
      </c>
      <c r="DU6" s="1">
        <v>569</v>
      </c>
      <c r="DV6" s="1">
        <v>571</v>
      </c>
      <c r="DW6" s="1">
        <v>577</v>
      </c>
      <c r="DX6" s="1">
        <v>587</v>
      </c>
      <c r="DY6" s="1">
        <v>593</v>
      </c>
      <c r="DZ6" s="1">
        <v>599</v>
      </c>
      <c r="EA6" s="1">
        <v>601</v>
      </c>
      <c r="EB6" s="1">
        <v>607</v>
      </c>
      <c r="EC6" s="1">
        <v>613</v>
      </c>
      <c r="ED6" s="1">
        <v>617</v>
      </c>
      <c r="EE6" s="1">
        <v>619</v>
      </c>
      <c r="EF6" s="1">
        <v>631</v>
      </c>
      <c r="EG6" s="1">
        <v>641</v>
      </c>
      <c r="EH6" s="1">
        <v>643</v>
      </c>
      <c r="EI6" s="1">
        <v>647</v>
      </c>
      <c r="EJ6" s="1">
        <v>653</v>
      </c>
      <c r="EK6" s="1">
        <v>659</v>
      </c>
      <c r="EL6" s="1">
        <v>661</v>
      </c>
      <c r="EM6" s="1">
        <v>673</v>
      </c>
      <c r="EN6" s="1">
        <v>677</v>
      </c>
      <c r="EO6" s="1">
        <v>683</v>
      </c>
      <c r="EP6" s="1">
        <v>691</v>
      </c>
      <c r="EQ6" s="1">
        <v>701</v>
      </c>
      <c r="ER6" s="1">
        <v>709</v>
      </c>
      <c r="ES6" s="1">
        <v>719</v>
      </c>
      <c r="ET6" s="1">
        <v>727</v>
      </c>
      <c r="EU6" s="1">
        <v>733</v>
      </c>
      <c r="EV6" s="1">
        <v>739</v>
      </c>
      <c r="EW6" s="1">
        <v>743</v>
      </c>
      <c r="EX6" s="1">
        <v>751</v>
      </c>
      <c r="EY6" s="1">
        <v>757</v>
      </c>
      <c r="EZ6" s="1">
        <v>761</v>
      </c>
      <c r="FA6" s="1">
        <v>769</v>
      </c>
      <c r="FB6" s="1">
        <v>773</v>
      </c>
      <c r="FC6" s="1">
        <v>787</v>
      </c>
      <c r="FD6" s="1">
        <v>797</v>
      </c>
      <c r="FE6" s="1">
        <v>809</v>
      </c>
      <c r="FF6" s="1">
        <v>811</v>
      </c>
      <c r="FG6" s="1">
        <v>821</v>
      </c>
      <c r="FH6" s="1">
        <v>823</v>
      </c>
      <c r="FI6" s="1">
        <v>827</v>
      </c>
      <c r="FJ6" s="1">
        <v>829</v>
      </c>
      <c r="FK6" s="1">
        <v>839</v>
      </c>
      <c r="FL6" s="1">
        <v>853</v>
      </c>
      <c r="FM6" s="1">
        <v>857</v>
      </c>
      <c r="FN6" s="1">
        <v>859</v>
      </c>
      <c r="FO6" s="1">
        <v>863</v>
      </c>
      <c r="FP6" s="1">
        <v>877</v>
      </c>
      <c r="FQ6" s="1">
        <v>881</v>
      </c>
      <c r="FR6" s="1">
        <v>883</v>
      </c>
      <c r="FS6" s="1">
        <v>887</v>
      </c>
      <c r="FT6" s="1">
        <v>907</v>
      </c>
      <c r="FU6" s="1">
        <v>911</v>
      </c>
      <c r="FV6" s="1">
        <v>919</v>
      </c>
      <c r="FW6" s="1">
        <v>929</v>
      </c>
      <c r="FX6" s="1">
        <v>937</v>
      </c>
      <c r="FY6" s="1">
        <v>941</v>
      </c>
      <c r="FZ6" s="1">
        <v>947</v>
      </c>
      <c r="GA6" s="1">
        <v>953</v>
      </c>
      <c r="GB6" s="1">
        <v>967</v>
      </c>
      <c r="GC6" s="1">
        <v>971</v>
      </c>
      <c r="GD6" s="1">
        <v>977</v>
      </c>
      <c r="GE6" s="1">
        <v>983</v>
      </c>
      <c r="GF6" s="1">
        <v>991</v>
      </c>
      <c r="GG6" s="1">
        <v>997</v>
      </c>
      <c r="GH6" s="1">
        <v>1009</v>
      </c>
      <c r="GI6" s="1">
        <v>1013</v>
      </c>
      <c r="GJ6" s="1">
        <v>1019</v>
      </c>
      <c r="GK6" s="1">
        <v>1021</v>
      </c>
      <c r="GL6" s="1">
        <v>1031</v>
      </c>
      <c r="GM6" s="1">
        <v>1033</v>
      </c>
      <c r="GN6" s="1">
        <v>1039</v>
      </c>
      <c r="GO6" s="1">
        <v>1049</v>
      </c>
      <c r="GP6" s="1">
        <v>1051</v>
      </c>
      <c r="GQ6" s="1">
        <v>1061</v>
      </c>
      <c r="GR6" s="1">
        <v>1063</v>
      </c>
      <c r="GS6" s="1">
        <v>1069</v>
      </c>
      <c r="GT6" s="1">
        <v>1087</v>
      </c>
      <c r="GU6" s="1">
        <v>1091</v>
      </c>
      <c r="GV6" s="1">
        <v>1093</v>
      </c>
      <c r="GW6" s="1">
        <v>1097</v>
      </c>
      <c r="GX6" s="1">
        <v>1103</v>
      </c>
      <c r="GY6" s="1">
        <v>1109</v>
      </c>
      <c r="GZ6" s="1">
        <v>1117</v>
      </c>
      <c r="HA6" s="1">
        <v>1123</v>
      </c>
      <c r="HB6" s="1">
        <v>1129</v>
      </c>
      <c r="HC6" s="1">
        <v>1151</v>
      </c>
      <c r="HD6" s="1">
        <v>1153</v>
      </c>
      <c r="HE6" s="1">
        <v>1163</v>
      </c>
      <c r="HF6" s="1">
        <v>1171</v>
      </c>
      <c r="HG6" s="1">
        <v>1181</v>
      </c>
      <c r="HH6" s="1">
        <v>1187</v>
      </c>
      <c r="HI6" s="1">
        <v>1193</v>
      </c>
      <c r="HJ6" s="1">
        <v>1201</v>
      </c>
      <c r="HK6" s="1">
        <v>1213</v>
      </c>
      <c r="HL6" s="1">
        <v>1217</v>
      </c>
      <c r="HM6" s="1">
        <v>1223</v>
      </c>
      <c r="HN6" s="1">
        <v>1229</v>
      </c>
      <c r="HO6" s="1">
        <v>1231</v>
      </c>
      <c r="HP6" s="1">
        <v>1237</v>
      </c>
      <c r="HQ6" s="1">
        <v>1249</v>
      </c>
      <c r="HR6" s="1">
        <v>1259</v>
      </c>
      <c r="HS6" s="1">
        <v>1277</v>
      </c>
      <c r="HT6" s="1">
        <v>1279</v>
      </c>
      <c r="HU6" s="1">
        <v>1283</v>
      </c>
      <c r="HV6" s="1">
        <v>1289</v>
      </c>
      <c r="HW6" s="1">
        <v>1291</v>
      </c>
      <c r="HX6" s="1">
        <v>1297</v>
      </c>
      <c r="HY6" s="1">
        <v>1301</v>
      </c>
      <c r="HZ6" s="1">
        <v>1303</v>
      </c>
      <c r="IA6" s="1">
        <v>1307</v>
      </c>
      <c r="IB6" s="1">
        <v>1319</v>
      </c>
      <c r="IC6" s="1">
        <v>1321</v>
      </c>
      <c r="ID6" s="1">
        <v>1327</v>
      </c>
      <c r="IE6" s="1">
        <v>1361</v>
      </c>
      <c r="IF6" s="1">
        <v>1367</v>
      </c>
      <c r="IG6" s="1">
        <v>1373</v>
      </c>
      <c r="IH6" s="1">
        <v>1381</v>
      </c>
      <c r="II6" s="1">
        <v>1399</v>
      </c>
      <c r="IJ6" s="1">
        <v>1409</v>
      </c>
      <c r="IK6" s="1">
        <v>1423</v>
      </c>
      <c r="IL6" s="1">
        <v>1427</v>
      </c>
      <c r="IM6" s="1">
        <v>1429</v>
      </c>
      <c r="IN6" s="1">
        <v>1433</v>
      </c>
      <c r="IO6" s="1">
        <v>1439</v>
      </c>
      <c r="IP6" s="1">
        <v>1447</v>
      </c>
      <c r="IQ6" s="1">
        <v>1451</v>
      </c>
      <c r="IR6" s="1">
        <v>1453</v>
      </c>
      <c r="IS6" s="1">
        <v>1459</v>
      </c>
      <c r="IT6" s="1">
        <v>1471</v>
      </c>
      <c r="IU6" s="1">
        <v>1481</v>
      </c>
      <c r="IV6" s="1">
        <v>1483</v>
      </c>
      <c r="IW6" s="1">
        <v>1487</v>
      </c>
      <c r="IX6" s="1">
        <v>1489</v>
      </c>
      <c r="IY6" s="1">
        <v>1493</v>
      </c>
      <c r="IZ6" s="1">
        <v>1499</v>
      </c>
      <c r="JA6" s="1">
        <v>1511</v>
      </c>
      <c r="JB6" s="1">
        <v>1523</v>
      </c>
      <c r="JC6" s="1">
        <v>1531</v>
      </c>
      <c r="JD6" s="1">
        <v>1543</v>
      </c>
      <c r="JE6" s="1">
        <v>1549</v>
      </c>
      <c r="JF6" s="1">
        <v>1553</v>
      </c>
      <c r="JG6" s="1">
        <v>1559</v>
      </c>
      <c r="JH6" s="1">
        <v>1567</v>
      </c>
      <c r="JI6" s="1">
        <v>1571</v>
      </c>
      <c r="JJ6" s="1">
        <v>1579</v>
      </c>
      <c r="JK6" s="1">
        <v>1583</v>
      </c>
      <c r="JL6" s="1">
        <v>1597</v>
      </c>
      <c r="JM6" s="1">
        <v>1601</v>
      </c>
      <c r="JN6" s="1">
        <v>1607</v>
      </c>
      <c r="JO6" s="1">
        <v>1609</v>
      </c>
      <c r="JP6" s="1">
        <v>1613</v>
      </c>
      <c r="JQ6" s="1">
        <v>1619</v>
      </c>
      <c r="JR6" s="1">
        <v>1621</v>
      </c>
      <c r="JS6" s="1">
        <v>1627</v>
      </c>
      <c r="JT6" s="1">
        <v>1637</v>
      </c>
      <c r="JU6" s="1">
        <v>1657</v>
      </c>
      <c r="JV6" s="1">
        <v>1663</v>
      </c>
      <c r="JW6" s="1">
        <v>1667</v>
      </c>
      <c r="JX6" s="1">
        <v>1669</v>
      </c>
      <c r="JY6" s="1">
        <v>1693</v>
      </c>
      <c r="JZ6" s="1">
        <v>1697</v>
      </c>
      <c r="KA6" s="1">
        <v>1699</v>
      </c>
      <c r="KB6" s="1">
        <v>1709</v>
      </c>
      <c r="KC6" s="1">
        <v>1721</v>
      </c>
      <c r="KD6" s="1">
        <v>1723</v>
      </c>
      <c r="KE6" s="1">
        <v>1733</v>
      </c>
      <c r="KF6" s="1">
        <v>1741</v>
      </c>
      <c r="KG6" s="1">
        <v>1747</v>
      </c>
      <c r="KH6" s="1">
        <v>1753</v>
      </c>
      <c r="KI6" s="1">
        <v>1759</v>
      </c>
      <c r="KJ6" s="1">
        <v>1777</v>
      </c>
      <c r="KK6" s="1">
        <v>1783</v>
      </c>
      <c r="KL6" s="1">
        <v>1787</v>
      </c>
      <c r="KM6" s="1">
        <v>1789</v>
      </c>
      <c r="KN6" s="1">
        <v>1801</v>
      </c>
      <c r="KO6" s="1">
        <v>1811</v>
      </c>
      <c r="KP6" s="1">
        <v>1823</v>
      </c>
      <c r="KQ6" s="1">
        <v>1831</v>
      </c>
      <c r="KR6" s="1">
        <v>1847</v>
      </c>
      <c r="KS6" s="1">
        <v>1861</v>
      </c>
      <c r="KT6" s="1">
        <v>1867</v>
      </c>
      <c r="KU6" s="1">
        <v>1871</v>
      </c>
      <c r="KV6" s="1">
        <v>1873</v>
      </c>
      <c r="KW6" s="1">
        <v>1877</v>
      </c>
      <c r="KX6" s="1">
        <v>1879</v>
      </c>
      <c r="KY6" s="1">
        <v>1889</v>
      </c>
      <c r="KZ6" s="1">
        <v>1901</v>
      </c>
      <c r="LA6" s="1">
        <v>1907</v>
      </c>
      <c r="LB6" s="1">
        <v>1913</v>
      </c>
      <c r="LC6" s="1">
        <v>1931</v>
      </c>
      <c r="LD6" s="1">
        <v>1933</v>
      </c>
      <c r="LE6" s="1">
        <v>1949</v>
      </c>
      <c r="LF6" s="1">
        <v>1951</v>
      </c>
      <c r="LG6" s="1">
        <v>1973</v>
      </c>
      <c r="LH6" s="1">
        <v>1979</v>
      </c>
      <c r="LI6" s="1">
        <v>1987</v>
      </c>
      <c r="LJ6" s="1">
        <v>1993</v>
      </c>
      <c r="LK6" s="1">
        <v>1997</v>
      </c>
      <c r="LL6" s="1">
        <v>1999</v>
      </c>
      <c r="LM6" s="1">
        <v>2003</v>
      </c>
      <c r="LN6" s="1">
        <v>2011</v>
      </c>
      <c r="LO6" s="1">
        <v>2017</v>
      </c>
      <c r="LP6" s="1">
        <v>2027</v>
      </c>
      <c r="LQ6" s="1">
        <v>2029</v>
      </c>
      <c r="LR6" s="1">
        <v>2039</v>
      </c>
      <c r="LS6" s="1">
        <v>2053</v>
      </c>
      <c r="LT6" s="1">
        <v>2063</v>
      </c>
      <c r="LU6" s="1">
        <v>2069</v>
      </c>
      <c r="LV6" s="1">
        <v>2081</v>
      </c>
      <c r="LW6" s="1">
        <v>2083</v>
      </c>
      <c r="LX6" s="1">
        <v>2087</v>
      </c>
      <c r="LY6" s="1">
        <v>2089</v>
      </c>
      <c r="LZ6" s="1">
        <v>2099</v>
      </c>
      <c r="MA6" s="1">
        <v>2111</v>
      </c>
      <c r="MB6" s="1">
        <v>2113</v>
      </c>
      <c r="MC6" s="1">
        <v>2129</v>
      </c>
      <c r="MD6" s="1">
        <v>2131</v>
      </c>
      <c r="ME6" s="1">
        <v>2137</v>
      </c>
      <c r="MF6" s="1">
        <v>2141</v>
      </c>
      <c r="MG6" s="1">
        <v>2143</v>
      </c>
      <c r="MH6" s="1">
        <v>2153</v>
      </c>
      <c r="MI6" s="1">
        <v>2161</v>
      </c>
      <c r="MJ6" s="1">
        <v>2179</v>
      </c>
      <c r="MK6" s="1">
        <v>2203</v>
      </c>
      <c r="ML6" s="1">
        <v>2207</v>
      </c>
      <c r="MM6" s="1">
        <v>2213</v>
      </c>
      <c r="MN6" s="1">
        <v>2221</v>
      </c>
      <c r="MO6" s="1">
        <v>2237</v>
      </c>
      <c r="MP6" s="1">
        <v>2239</v>
      </c>
      <c r="MQ6" s="1">
        <v>2243</v>
      </c>
      <c r="MR6" s="1">
        <v>2251</v>
      </c>
      <c r="MS6" s="1">
        <v>2267</v>
      </c>
      <c r="MT6" s="1">
        <v>2269</v>
      </c>
      <c r="MU6" s="1">
        <v>2273</v>
      </c>
      <c r="MV6" s="1">
        <v>2281</v>
      </c>
      <c r="MW6" s="1">
        <v>2287</v>
      </c>
      <c r="MX6" s="1">
        <v>2293</v>
      </c>
      <c r="MY6" s="1">
        <v>2297</v>
      </c>
      <c r="MZ6" s="1">
        <v>2309</v>
      </c>
      <c r="NA6" s="1">
        <v>2311</v>
      </c>
      <c r="NB6" s="1">
        <v>2333</v>
      </c>
      <c r="NC6" s="1">
        <v>2339</v>
      </c>
      <c r="ND6" s="1">
        <v>2341</v>
      </c>
      <c r="NE6" s="1">
        <v>2347</v>
      </c>
      <c r="NF6" s="1">
        <v>2351</v>
      </c>
      <c r="NG6" s="1">
        <v>2357</v>
      </c>
      <c r="NH6" s="1">
        <v>2371</v>
      </c>
      <c r="NI6" s="1">
        <v>2377</v>
      </c>
      <c r="NJ6" s="1">
        <v>2381</v>
      </c>
      <c r="NK6" s="1">
        <v>2383</v>
      </c>
      <c r="NL6" s="1">
        <v>2389</v>
      </c>
      <c r="NM6" s="1">
        <v>2393</v>
      </c>
      <c r="NN6" s="1">
        <v>2399</v>
      </c>
      <c r="NO6" s="1">
        <v>2411</v>
      </c>
      <c r="NP6" s="1">
        <v>2417</v>
      </c>
      <c r="NQ6" s="1">
        <v>2423</v>
      </c>
      <c r="NR6" s="1">
        <v>2437</v>
      </c>
      <c r="NS6" s="1">
        <v>2441</v>
      </c>
      <c r="NT6" s="1">
        <v>2447</v>
      </c>
      <c r="NU6" s="1">
        <v>2459</v>
      </c>
      <c r="NV6" s="1">
        <v>2467</v>
      </c>
      <c r="NW6" s="1">
        <v>2473</v>
      </c>
      <c r="NX6" s="1">
        <v>2477</v>
      </c>
      <c r="NY6" s="1">
        <v>2503</v>
      </c>
      <c r="NZ6" s="1">
        <v>2521</v>
      </c>
      <c r="OA6" s="1">
        <v>2531</v>
      </c>
      <c r="OB6" s="1">
        <v>2539</v>
      </c>
      <c r="OC6" s="1">
        <v>2543</v>
      </c>
      <c r="OD6" s="1">
        <v>2549</v>
      </c>
      <c r="OE6" s="1">
        <v>2551</v>
      </c>
      <c r="OF6" s="1">
        <v>2557</v>
      </c>
      <c r="OG6" s="1">
        <v>2579</v>
      </c>
      <c r="OH6" s="1">
        <v>2591</v>
      </c>
      <c r="OI6" s="1">
        <v>2593</v>
      </c>
      <c r="OJ6" s="1">
        <v>2609</v>
      </c>
      <c r="OK6" s="1">
        <v>2617</v>
      </c>
      <c r="OL6" s="1">
        <v>2621</v>
      </c>
      <c r="OM6" s="1">
        <v>2633</v>
      </c>
      <c r="ON6" s="1">
        <v>2647</v>
      </c>
      <c r="OO6" s="1">
        <v>2657</v>
      </c>
      <c r="OP6" s="1">
        <v>2659</v>
      </c>
      <c r="OQ6" s="1">
        <v>2663</v>
      </c>
      <c r="OR6" s="1">
        <v>2671</v>
      </c>
      <c r="OS6" s="1">
        <v>2677</v>
      </c>
      <c r="OT6" s="1">
        <v>2683</v>
      </c>
      <c r="OU6" s="1">
        <v>2687</v>
      </c>
      <c r="OV6" s="1">
        <v>2689</v>
      </c>
      <c r="OW6" s="1">
        <v>2693</v>
      </c>
      <c r="OX6" s="1">
        <v>2699</v>
      </c>
      <c r="OY6" s="1">
        <v>2707</v>
      </c>
      <c r="OZ6" s="1">
        <v>2711</v>
      </c>
      <c r="PA6" s="1">
        <v>2713</v>
      </c>
      <c r="PB6" s="1">
        <v>2719</v>
      </c>
      <c r="PC6" s="1">
        <v>2729</v>
      </c>
      <c r="PD6" s="1">
        <v>2731</v>
      </c>
      <c r="PE6" s="1">
        <v>2741</v>
      </c>
      <c r="PF6" s="1">
        <v>2749</v>
      </c>
      <c r="PG6" s="1">
        <v>2753</v>
      </c>
      <c r="PH6" s="1">
        <v>2767</v>
      </c>
      <c r="PI6" s="1">
        <v>2777</v>
      </c>
      <c r="PJ6" s="1">
        <v>2789</v>
      </c>
      <c r="PK6" s="1">
        <v>2791</v>
      </c>
      <c r="PL6" s="1">
        <v>2797</v>
      </c>
      <c r="PM6" s="1">
        <v>2801</v>
      </c>
      <c r="PN6" s="1">
        <v>2803</v>
      </c>
      <c r="PO6" s="1">
        <v>2819</v>
      </c>
      <c r="PP6" s="1">
        <v>2833</v>
      </c>
      <c r="PQ6" s="1">
        <v>2837</v>
      </c>
      <c r="PR6" s="1">
        <v>2843</v>
      </c>
      <c r="PS6" s="1">
        <v>2851</v>
      </c>
      <c r="PT6" s="1">
        <v>2857</v>
      </c>
      <c r="PU6" s="1">
        <v>2861</v>
      </c>
      <c r="PV6" s="1">
        <v>2879</v>
      </c>
      <c r="PW6" s="1">
        <v>2887</v>
      </c>
      <c r="PX6" s="1">
        <v>2897</v>
      </c>
      <c r="PY6" s="1">
        <v>2903</v>
      </c>
      <c r="PZ6" s="1">
        <v>2909</v>
      </c>
      <c r="QA6" s="1">
        <v>2917</v>
      </c>
      <c r="QB6" s="1">
        <v>2927</v>
      </c>
      <c r="QC6" s="1">
        <v>2939</v>
      </c>
      <c r="QD6" s="1">
        <v>2953</v>
      </c>
      <c r="QE6" s="1">
        <v>2957</v>
      </c>
      <c r="QF6" s="1">
        <v>2963</v>
      </c>
      <c r="QG6" s="1">
        <v>2969</v>
      </c>
      <c r="QH6" s="1">
        <v>2971</v>
      </c>
      <c r="QI6" s="1">
        <v>2999</v>
      </c>
      <c r="QJ6" s="1">
        <v>3001</v>
      </c>
      <c r="QK6" s="1">
        <v>3011</v>
      </c>
      <c r="QL6" s="1">
        <v>3019</v>
      </c>
      <c r="QM6" s="1">
        <v>3023</v>
      </c>
      <c r="QN6" s="1">
        <v>3037</v>
      </c>
      <c r="QO6" s="1">
        <v>3041</v>
      </c>
      <c r="QP6" s="1">
        <v>3049</v>
      </c>
      <c r="QQ6" s="1">
        <v>3061</v>
      </c>
      <c r="QR6" s="1">
        <v>3067</v>
      </c>
      <c r="QS6" s="1">
        <v>3079</v>
      </c>
      <c r="QT6" s="1">
        <v>3083</v>
      </c>
      <c r="QU6" s="1">
        <v>3089</v>
      </c>
      <c r="QV6" s="1">
        <v>3109</v>
      </c>
      <c r="QW6" s="1">
        <v>3119</v>
      </c>
      <c r="QX6" s="1">
        <v>3121</v>
      </c>
      <c r="QY6" s="1">
        <v>3137</v>
      </c>
      <c r="QZ6" s="1">
        <v>3163</v>
      </c>
      <c r="RA6" s="1">
        <v>3167</v>
      </c>
      <c r="RB6" s="1">
        <v>3169</v>
      </c>
      <c r="RC6" s="1">
        <v>3181</v>
      </c>
      <c r="RD6" s="1">
        <v>3187</v>
      </c>
      <c r="RE6" s="1">
        <v>3191</v>
      </c>
      <c r="RF6" s="1">
        <v>3203</v>
      </c>
      <c r="RG6" s="1">
        <v>3209</v>
      </c>
      <c r="RH6" s="1">
        <v>3217</v>
      </c>
      <c r="RI6" s="1">
        <v>3221</v>
      </c>
      <c r="RJ6" s="1">
        <v>3229</v>
      </c>
      <c r="RK6" s="1">
        <v>3251</v>
      </c>
      <c r="RL6" s="1">
        <v>3253</v>
      </c>
      <c r="RM6" s="1">
        <v>3257</v>
      </c>
      <c r="RN6" s="1">
        <v>3259</v>
      </c>
      <c r="RO6" s="1">
        <v>3271</v>
      </c>
      <c r="RP6" s="1">
        <v>3299</v>
      </c>
      <c r="RQ6" s="1">
        <v>3301</v>
      </c>
      <c r="RR6" s="1">
        <v>3307</v>
      </c>
      <c r="RS6" s="1">
        <v>3313</v>
      </c>
      <c r="RT6" s="1">
        <v>3319</v>
      </c>
      <c r="RU6" s="1">
        <v>3323</v>
      </c>
      <c r="RV6" s="1">
        <v>3329</v>
      </c>
      <c r="RW6" s="1">
        <v>3331</v>
      </c>
      <c r="RX6" s="1">
        <v>3343</v>
      </c>
      <c r="RY6" s="1">
        <v>3347</v>
      </c>
      <c r="RZ6" s="1">
        <v>3359</v>
      </c>
      <c r="SA6" s="1">
        <v>3361</v>
      </c>
      <c r="SB6" s="1">
        <v>3371</v>
      </c>
      <c r="SC6" s="1">
        <v>3373</v>
      </c>
      <c r="SD6" s="1">
        <v>3389</v>
      </c>
      <c r="SE6" s="1">
        <v>3391</v>
      </c>
      <c r="SF6" s="1">
        <v>3407</v>
      </c>
      <c r="SG6" s="1">
        <v>3413</v>
      </c>
      <c r="SH6" s="1">
        <v>3433</v>
      </c>
      <c r="SI6" s="1">
        <v>3449</v>
      </c>
      <c r="SJ6" s="1">
        <v>3457</v>
      </c>
      <c r="SK6" s="1">
        <v>3461</v>
      </c>
      <c r="SL6" s="1">
        <v>3463</v>
      </c>
      <c r="SM6" s="1">
        <v>3467</v>
      </c>
      <c r="SN6" s="1">
        <v>3469</v>
      </c>
      <c r="SO6" s="1">
        <v>3491</v>
      </c>
      <c r="SP6" s="1">
        <v>3499</v>
      </c>
      <c r="SQ6" s="1">
        <v>3511</v>
      </c>
      <c r="SR6" s="1">
        <v>3517</v>
      </c>
      <c r="SS6" s="1">
        <v>3527</v>
      </c>
      <c r="ST6" s="1">
        <v>3529</v>
      </c>
      <c r="SU6" s="1">
        <v>3533</v>
      </c>
      <c r="SV6" s="1">
        <v>3539</v>
      </c>
      <c r="SW6" s="1">
        <v>3541</v>
      </c>
      <c r="SX6" s="1">
        <v>3547</v>
      </c>
      <c r="SY6" s="1">
        <v>3557</v>
      </c>
      <c r="SZ6" s="1">
        <v>3559</v>
      </c>
      <c r="TA6" s="1">
        <v>3571</v>
      </c>
      <c r="TB6" s="1">
        <v>3581</v>
      </c>
      <c r="TC6" s="1">
        <v>3583</v>
      </c>
      <c r="TD6" s="1">
        <v>3593</v>
      </c>
      <c r="TE6" s="1">
        <v>3607</v>
      </c>
      <c r="TF6" s="1">
        <v>3613</v>
      </c>
      <c r="TG6" s="1">
        <v>3617</v>
      </c>
      <c r="TH6" s="1">
        <v>3623</v>
      </c>
      <c r="TI6" s="1">
        <v>3631</v>
      </c>
      <c r="TJ6" s="1">
        <v>3637</v>
      </c>
      <c r="TK6" s="1">
        <v>3643</v>
      </c>
      <c r="TL6" s="1">
        <v>3659</v>
      </c>
      <c r="TM6" s="1">
        <v>3671</v>
      </c>
      <c r="TN6" s="1">
        <v>3673</v>
      </c>
      <c r="TO6" s="1">
        <v>3677</v>
      </c>
      <c r="TP6" s="1">
        <v>3691</v>
      </c>
      <c r="TQ6" s="1">
        <v>3697</v>
      </c>
      <c r="TR6" s="1">
        <v>3701</v>
      </c>
      <c r="TS6" s="1">
        <v>3709</v>
      </c>
      <c r="TT6" s="1">
        <v>3719</v>
      </c>
      <c r="TU6" s="1">
        <v>3727</v>
      </c>
      <c r="TV6" s="1">
        <v>3733</v>
      </c>
      <c r="TW6" s="1">
        <v>3739</v>
      </c>
      <c r="TX6" s="1">
        <v>3761</v>
      </c>
      <c r="TY6" s="1">
        <v>3767</v>
      </c>
      <c r="TZ6" s="1">
        <v>3769</v>
      </c>
      <c r="UA6" s="1">
        <v>3779</v>
      </c>
      <c r="UB6" s="1">
        <v>3793</v>
      </c>
      <c r="UC6" s="1">
        <v>3797</v>
      </c>
      <c r="UD6" s="1">
        <v>3803</v>
      </c>
      <c r="UE6" s="1">
        <v>3821</v>
      </c>
      <c r="UF6" s="1">
        <v>3823</v>
      </c>
      <c r="UG6" s="1">
        <v>3833</v>
      </c>
      <c r="UH6" s="1">
        <v>3847</v>
      </c>
      <c r="UI6" s="1">
        <v>3851</v>
      </c>
      <c r="UJ6" s="1">
        <v>3853</v>
      </c>
      <c r="UK6" s="1">
        <v>3863</v>
      </c>
      <c r="UL6" s="1">
        <v>3877</v>
      </c>
      <c r="UM6" s="1">
        <v>3881</v>
      </c>
      <c r="UN6" s="1">
        <v>3889</v>
      </c>
      <c r="UO6" s="1">
        <v>3907</v>
      </c>
      <c r="UP6" s="1">
        <v>3911</v>
      </c>
      <c r="UQ6" s="1">
        <v>3917</v>
      </c>
      <c r="UR6" s="1">
        <v>3919</v>
      </c>
      <c r="US6" s="1">
        <v>3923</v>
      </c>
      <c r="UT6" s="1">
        <v>3929</v>
      </c>
      <c r="UU6" s="1">
        <v>3931</v>
      </c>
      <c r="UV6" s="1">
        <v>3943</v>
      </c>
      <c r="UW6" s="1">
        <v>3947</v>
      </c>
      <c r="UX6" s="1">
        <v>3967</v>
      </c>
      <c r="UY6" s="1">
        <v>3989</v>
      </c>
      <c r="UZ6" s="1">
        <v>4001</v>
      </c>
      <c r="VA6" s="1">
        <v>4003</v>
      </c>
      <c r="VB6" s="1">
        <v>4007</v>
      </c>
      <c r="VC6" s="1">
        <v>4013</v>
      </c>
      <c r="VD6" s="1">
        <v>4019</v>
      </c>
      <c r="VE6" s="1">
        <v>4021</v>
      </c>
      <c r="VF6" s="1">
        <v>4027</v>
      </c>
      <c r="VG6" s="1">
        <v>4049</v>
      </c>
      <c r="VH6" s="1">
        <v>4051</v>
      </c>
      <c r="VI6" s="1">
        <v>4057</v>
      </c>
      <c r="VJ6" s="1">
        <v>4073</v>
      </c>
      <c r="VK6" s="1">
        <v>4079</v>
      </c>
      <c r="VL6" s="1">
        <v>4091</v>
      </c>
      <c r="VM6" s="1">
        <v>4093</v>
      </c>
      <c r="VN6" s="1">
        <v>4099</v>
      </c>
      <c r="VO6" s="1">
        <v>4111</v>
      </c>
      <c r="VP6" s="1">
        <v>4127</v>
      </c>
      <c r="VQ6" s="1">
        <v>4129</v>
      </c>
      <c r="VR6" s="1">
        <v>4133</v>
      </c>
      <c r="VS6" s="1">
        <v>4139</v>
      </c>
      <c r="VT6" s="1">
        <v>4153</v>
      </c>
      <c r="VU6" s="1">
        <v>4157</v>
      </c>
      <c r="VV6" s="1">
        <v>4159</v>
      </c>
      <c r="VW6" s="1">
        <v>4177</v>
      </c>
      <c r="VX6" s="1">
        <v>4201</v>
      </c>
      <c r="VY6" s="1">
        <v>4211</v>
      </c>
      <c r="VZ6" s="1">
        <v>4217</v>
      </c>
      <c r="WA6" s="1">
        <v>4219</v>
      </c>
      <c r="WB6" s="1">
        <v>4229</v>
      </c>
      <c r="WC6" s="1">
        <v>4231</v>
      </c>
      <c r="WD6" s="1">
        <v>4241</v>
      </c>
      <c r="WE6" s="1">
        <v>4243</v>
      </c>
      <c r="WF6" s="1">
        <v>4253</v>
      </c>
      <c r="WG6" s="1">
        <v>4259</v>
      </c>
      <c r="WH6" s="1">
        <v>4261</v>
      </c>
      <c r="WI6" s="1">
        <v>4271</v>
      </c>
      <c r="WJ6" s="1">
        <v>4273</v>
      </c>
      <c r="WK6" s="1">
        <v>4283</v>
      </c>
      <c r="WL6" s="1">
        <v>4289</v>
      </c>
      <c r="WM6" s="1">
        <v>4297</v>
      </c>
      <c r="WN6" s="1">
        <v>4327</v>
      </c>
      <c r="WO6" s="1">
        <v>4337</v>
      </c>
      <c r="WP6" s="1">
        <v>4339</v>
      </c>
      <c r="WQ6" s="1">
        <v>4349</v>
      </c>
      <c r="WR6" s="1">
        <v>4357</v>
      </c>
      <c r="WS6" s="1">
        <v>4363</v>
      </c>
      <c r="WT6" s="1">
        <v>4373</v>
      </c>
      <c r="WU6" s="1">
        <v>4391</v>
      </c>
      <c r="WV6" s="1">
        <v>4397</v>
      </c>
      <c r="WW6" s="1">
        <v>4409</v>
      </c>
      <c r="WX6" s="1">
        <v>4421</v>
      </c>
      <c r="WY6" s="1">
        <v>4423</v>
      </c>
      <c r="WZ6" s="1">
        <v>4441</v>
      </c>
      <c r="XA6" s="1">
        <v>4447</v>
      </c>
      <c r="XB6" s="1">
        <v>4451</v>
      </c>
      <c r="XC6" s="1">
        <v>4457</v>
      </c>
      <c r="XD6" s="1">
        <v>4463</v>
      </c>
      <c r="XE6" s="1">
        <v>4481</v>
      </c>
      <c r="XF6" s="1">
        <v>4483</v>
      </c>
      <c r="XG6" s="1">
        <v>4493</v>
      </c>
      <c r="XH6" s="1">
        <v>4507</v>
      </c>
      <c r="XI6" s="1">
        <v>4513</v>
      </c>
      <c r="XJ6" s="1">
        <v>4517</v>
      </c>
      <c r="XK6" s="1">
        <v>4519</v>
      </c>
      <c r="XL6" s="1">
        <v>4523</v>
      </c>
      <c r="XM6" s="1">
        <v>4547</v>
      </c>
      <c r="XN6" s="1">
        <v>4549</v>
      </c>
      <c r="XO6" s="1">
        <v>4561</v>
      </c>
      <c r="XP6" s="1">
        <v>4567</v>
      </c>
      <c r="XQ6" s="1">
        <v>4583</v>
      </c>
      <c r="XR6" s="1">
        <v>4591</v>
      </c>
      <c r="XS6" s="1">
        <v>4597</v>
      </c>
      <c r="XT6" s="1">
        <v>4603</v>
      </c>
      <c r="XU6" s="1">
        <v>4621</v>
      </c>
      <c r="XV6" s="1">
        <v>4637</v>
      </c>
      <c r="XW6" s="1">
        <v>4639</v>
      </c>
      <c r="XX6" s="1">
        <v>4643</v>
      </c>
      <c r="XY6" s="1">
        <v>4649</v>
      </c>
      <c r="XZ6" s="1">
        <v>4651</v>
      </c>
      <c r="YA6" s="1">
        <v>4657</v>
      </c>
      <c r="YB6" s="1">
        <v>4663</v>
      </c>
      <c r="YC6" s="1">
        <v>4673</v>
      </c>
      <c r="YD6" s="1">
        <v>4679</v>
      </c>
      <c r="YE6" s="1">
        <v>4691</v>
      </c>
      <c r="YF6" s="1">
        <v>4703</v>
      </c>
      <c r="YG6" s="1">
        <v>4721</v>
      </c>
      <c r="YH6" s="1">
        <v>4723</v>
      </c>
      <c r="YI6" s="1">
        <v>4729</v>
      </c>
      <c r="YJ6" s="1">
        <v>4733</v>
      </c>
      <c r="YK6" s="1">
        <v>4751</v>
      </c>
      <c r="YL6" s="1">
        <v>4759</v>
      </c>
      <c r="YM6" s="1">
        <v>4783</v>
      </c>
      <c r="YN6" s="1">
        <v>4787</v>
      </c>
      <c r="YO6" s="1">
        <v>4789</v>
      </c>
      <c r="YP6" s="1">
        <v>4793</v>
      </c>
      <c r="YQ6" s="1">
        <v>4799</v>
      </c>
      <c r="YR6" s="1">
        <v>4801</v>
      </c>
      <c r="YS6" s="1">
        <v>4813</v>
      </c>
      <c r="YT6" s="1">
        <v>4817</v>
      </c>
      <c r="YU6" s="1">
        <v>4831</v>
      </c>
      <c r="YV6" s="1">
        <v>4861</v>
      </c>
      <c r="YW6" s="1">
        <v>4871</v>
      </c>
      <c r="YX6" s="1">
        <v>4877</v>
      </c>
      <c r="YY6" s="1">
        <v>4889</v>
      </c>
      <c r="YZ6" s="1">
        <v>4903</v>
      </c>
      <c r="ZA6" s="1">
        <v>4909</v>
      </c>
      <c r="ZB6" s="1">
        <v>4919</v>
      </c>
      <c r="ZC6" s="1">
        <v>4931</v>
      </c>
      <c r="ZD6" s="1">
        <v>4933</v>
      </c>
      <c r="ZE6" s="1">
        <v>4937</v>
      </c>
      <c r="ZF6" s="1">
        <v>4943</v>
      </c>
      <c r="ZG6" s="1">
        <v>4951</v>
      </c>
      <c r="ZH6" s="1">
        <v>4957</v>
      </c>
      <c r="ZI6" s="1">
        <v>4967</v>
      </c>
      <c r="ZJ6" s="1">
        <v>4969</v>
      </c>
      <c r="ZK6" s="1">
        <v>4973</v>
      </c>
      <c r="ZL6" s="1">
        <v>4987</v>
      </c>
      <c r="ZM6" s="1">
        <v>4993</v>
      </c>
      <c r="ZN6" s="1">
        <v>4999</v>
      </c>
      <c r="ZO6" s="1">
        <v>5003</v>
      </c>
      <c r="ZP6" s="1">
        <v>5009</v>
      </c>
      <c r="ZQ6" s="1">
        <v>5011</v>
      </c>
      <c r="ZR6" s="1">
        <v>5021</v>
      </c>
      <c r="ZS6" s="1">
        <v>5023</v>
      </c>
      <c r="ZT6" s="1">
        <v>5039</v>
      </c>
      <c r="ZU6" s="1">
        <v>5051</v>
      </c>
      <c r="ZV6" s="1">
        <v>5059</v>
      </c>
      <c r="ZW6" s="1">
        <v>5077</v>
      </c>
      <c r="ZX6" s="1">
        <v>5081</v>
      </c>
      <c r="ZY6" s="1">
        <v>5087</v>
      </c>
      <c r="ZZ6" s="1">
        <v>5099</v>
      </c>
      <c r="AAA6" s="1">
        <v>5101</v>
      </c>
      <c r="AAB6" s="1">
        <v>5107</v>
      </c>
      <c r="AAC6" s="1">
        <v>5113</v>
      </c>
      <c r="AAD6" s="1">
        <v>5119</v>
      </c>
      <c r="AAE6" s="1">
        <v>5147</v>
      </c>
      <c r="AAF6" s="1">
        <v>5153</v>
      </c>
      <c r="AAG6" s="1">
        <v>5167</v>
      </c>
      <c r="AAH6" s="1">
        <v>5171</v>
      </c>
      <c r="AAI6" s="1">
        <v>5179</v>
      </c>
      <c r="AAJ6" s="1">
        <v>5189</v>
      </c>
      <c r="AAK6" s="1">
        <v>5197</v>
      </c>
      <c r="AAL6" s="1">
        <v>5209</v>
      </c>
      <c r="AAM6" s="1">
        <v>5227</v>
      </c>
      <c r="AAN6" s="1">
        <v>5231</v>
      </c>
      <c r="AAO6" s="1">
        <v>5233</v>
      </c>
      <c r="AAP6" s="1">
        <v>5237</v>
      </c>
      <c r="AAQ6" s="1">
        <v>5261</v>
      </c>
      <c r="AAR6" s="1">
        <v>5273</v>
      </c>
      <c r="AAS6" s="1">
        <v>5279</v>
      </c>
      <c r="AAT6" s="1">
        <v>5281</v>
      </c>
      <c r="AAU6" s="1">
        <v>5297</v>
      </c>
      <c r="AAV6" s="1">
        <v>5303</v>
      </c>
      <c r="AAW6" s="1">
        <v>5309</v>
      </c>
      <c r="AAX6" s="1">
        <v>5323</v>
      </c>
      <c r="AAY6" s="1">
        <v>5333</v>
      </c>
      <c r="AAZ6" s="1">
        <v>5347</v>
      </c>
      <c r="ABA6" s="1">
        <v>5351</v>
      </c>
      <c r="ABB6" s="1">
        <v>5381</v>
      </c>
      <c r="ABC6" s="1">
        <v>5387</v>
      </c>
      <c r="ABD6" s="1">
        <v>5393</v>
      </c>
      <c r="ABE6" s="1">
        <v>5399</v>
      </c>
      <c r="ABF6" s="1">
        <v>5407</v>
      </c>
      <c r="ABG6" s="1">
        <v>5413</v>
      </c>
      <c r="ABH6" s="1">
        <v>5417</v>
      </c>
      <c r="ABI6" s="1">
        <v>5419</v>
      </c>
      <c r="ABJ6" s="1">
        <v>5431</v>
      </c>
      <c r="ABK6" s="1">
        <v>5437</v>
      </c>
      <c r="ABL6" s="1">
        <v>5441</v>
      </c>
      <c r="ABM6" s="1">
        <v>5443</v>
      </c>
      <c r="ABN6" s="1">
        <v>5449</v>
      </c>
      <c r="ABO6" s="1">
        <v>5471</v>
      </c>
      <c r="ABP6" s="1">
        <v>5477</v>
      </c>
      <c r="ABQ6" s="1">
        <v>5479</v>
      </c>
      <c r="ABR6" s="1">
        <v>5483</v>
      </c>
      <c r="ABS6" s="1">
        <v>5501</v>
      </c>
      <c r="ABT6" s="1">
        <v>5503</v>
      </c>
      <c r="ABU6" s="1">
        <v>5507</v>
      </c>
      <c r="ABV6" s="1">
        <v>5519</v>
      </c>
      <c r="ABW6" s="1">
        <v>5521</v>
      </c>
      <c r="ABX6" s="1">
        <v>5527</v>
      </c>
      <c r="ABY6" s="1">
        <v>5531</v>
      </c>
      <c r="ABZ6" s="1">
        <v>5557</v>
      </c>
      <c r="ACA6" s="1">
        <v>5563</v>
      </c>
      <c r="ACB6" s="1">
        <v>5569</v>
      </c>
      <c r="ACC6" s="1">
        <v>5573</v>
      </c>
      <c r="ACD6" s="1">
        <v>5581</v>
      </c>
      <c r="ACE6" s="1">
        <v>5591</v>
      </c>
      <c r="ACF6" s="1">
        <v>5623</v>
      </c>
      <c r="ACG6" s="1">
        <v>5639</v>
      </c>
      <c r="ACH6" s="1">
        <v>5641</v>
      </c>
      <c r="ACI6" s="1">
        <v>5647</v>
      </c>
      <c r="ACJ6" s="1">
        <v>5651</v>
      </c>
      <c r="ACK6" s="1">
        <v>5653</v>
      </c>
      <c r="ACL6" s="1">
        <v>5657</v>
      </c>
      <c r="ACM6" s="1">
        <v>5659</v>
      </c>
      <c r="ACN6" s="1">
        <v>5669</v>
      </c>
      <c r="ACO6" s="1">
        <v>5683</v>
      </c>
      <c r="ACP6" s="1">
        <v>5689</v>
      </c>
      <c r="ACQ6" s="1">
        <v>5693</v>
      </c>
      <c r="ACR6" s="1">
        <v>5701</v>
      </c>
      <c r="ACS6" s="1">
        <v>5711</v>
      </c>
      <c r="ACT6" s="1">
        <v>5717</v>
      </c>
      <c r="ACU6" s="1">
        <v>5737</v>
      </c>
      <c r="ACV6" s="1">
        <v>5741</v>
      </c>
      <c r="ACW6" s="1">
        <v>5743</v>
      </c>
      <c r="ACX6" s="1">
        <v>5749</v>
      </c>
      <c r="ACY6" s="1">
        <v>5779</v>
      </c>
      <c r="ACZ6" s="1">
        <v>5783</v>
      </c>
      <c r="ADA6" s="1">
        <v>5791</v>
      </c>
      <c r="ADB6" s="1">
        <v>5801</v>
      </c>
      <c r="ADC6" s="1">
        <v>5807</v>
      </c>
      <c r="ADD6" s="1">
        <v>5813</v>
      </c>
      <c r="ADE6" s="1">
        <v>5821</v>
      </c>
      <c r="ADF6" s="1">
        <v>5827</v>
      </c>
      <c r="ADG6" s="1">
        <v>5839</v>
      </c>
      <c r="ADH6" s="1">
        <v>5843</v>
      </c>
      <c r="ADI6" s="1">
        <v>5849</v>
      </c>
      <c r="ADJ6" s="1">
        <v>5851</v>
      </c>
      <c r="ADK6" s="1">
        <v>5857</v>
      </c>
      <c r="ADL6" s="1">
        <v>5861</v>
      </c>
      <c r="ADM6" s="1">
        <v>5867</v>
      </c>
      <c r="ADN6" s="1">
        <v>5869</v>
      </c>
      <c r="ADO6" s="1">
        <v>5879</v>
      </c>
      <c r="ADP6" s="1">
        <v>5881</v>
      </c>
      <c r="ADQ6" s="1">
        <v>5897</v>
      </c>
      <c r="ADR6" s="1">
        <v>5903</v>
      </c>
      <c r="ADS6" s="1">
        <v>5923</v>
      </c>
      <c r="ADT6" s="1">
        <v>5927</v>
      </c>
      <c r="ADU6" s="1">
        <v>5939</v>
      </c>
      <c r="ADV6" s="1">
        <v>5953</v>
      </c>
      <c r="ADW6" s="1">
        <v>5981</v>
      </c>
      <c r="ADX6" s="1">
        <v>5987</v>
      </c>
      <c r="ADY6" s="1">
        <v>6007</v>
      </c>
      <c r="ADZ6" s="1">
        <v>6011</v>
      </c>
      <c r="AEA6" s="1">
        <v>6029</v>
      </c>
      <c r="AEB6" s="1">
        <v>6037</v>
      </c>
      <c r="AEC6" s="1">
        <v>6043</v>
      </c>
      <c r="AED6" s="1">
        <v>6047</v>
      </c>
      <c r="AEE6" s="1">
        <v>6053</v>
      </c>
      <c r="AEF6" s="1">
        <v>6067</v>
      </c>
      <c r="AEG6" s="1">
        <v>6073</v>
      </c>
      <c r="AEH6" s="1">
        <v>6079</v>
      </c>
      <c r="AEI6" s="1">
        <v>6089</v>
      </c>
      <c r="AEJ6" s="1">
        <v>6091</v>
      </c>
      <c r="AEK6" s="1">
        <v>6101</v>
      </c>
      <c r="AEL6" s="1">
        <v>6113</v>
      </c>
      <c r="AEM6" s="1">
        <v>6121</v>
      </c>
      <c r="AEN6" s="1">
        <v>6131</v>
      </c>
      <c r="AEO6" s="1">
        <v>6133</v>
      </c>
      <c r="AEP6" s="1">
        <v>6143</v>
      </c>
      <c r="AEQ6" s="1">
        <v>6151</v>
      </c>
      <c r="AER6" s="1">
        <v>6163</v>
      </c>
      <c r="AES6" s="1">
        <v>6173</v>
      </c>
      <c r="AET6" s="1">
        <v>6197</v>
      </c>
      <c r="AEU6" s="1">
        <v>6199</v>
      </c>
      <c r="AEV6" s="1">
        <v>6203</v>
      </c>
      <c r="AEW6" s="1">
        <v>6211</v>
      </c>
      <c r="AEX6" s="1">
        <v>6217</v>
      </c>
      <c r="AEY6" s="1">
        <v>6221</v>
      </c>
      <c r="AEZ6" s="1">
        <v>6229</v>
      </c>
      <c r="AFA6" s="1">
        <v>6247</v>
      </c>
      <c r="AFB6" s="1">
        <v>6257</v>
      </c>
      <c r="AFC6" s="1">
        <v>6263</v>
      </c>
      <c r="AFD6" s="1">
        <v>6269</v>
      </c>
      <c r="AFE6" s="1">
        <v>6271</v>
      </c>
      <c r="AFF6" s="1">
        <v>6277</v>
      </c>
      <c r="AFG6" s="1">
        <v>6287</v>
      </c>
      <c r="AFH6" s="1">
        <v>6299</v>
      </c>
      <c r="AFI6" s="1">
        <v>6301</v>
      </c>
      <c r="AFJ6" s="1">
        <v>6311</v>
      </c>
      <c r="AFK6" s="1">
        <v>6317</v>
      </c>
      <c r="AFL6" s="1">
        <v>6323</v>
      </c>
      <c r="AFM6" s="1">
        <v>6329</v>
      </c>
      <c r="AFN6" s="1">
        <v>6337</v>
      </c>
      <c r="AFO6" s="1">
        <v>6343</v>
      </c>
      <c r="AFP6" s="1">
        <v>6353</v>
      </c>
      <c r="AFQ6" s="1">
        <v>6359</v>
      </c>
      <c r="AFR6" s="1">
        <v>6361</v>
      </c>
      <c r="AFS6" s="1">
        <v>6367</v>
      </c>
      <c r="AFT6" s="1">
        <v>6373</v>
      </c>
      <c r="AFU6" s="1">
        <v>6379</v>
      </c>
      <c r="AFV6" s="1">
        <v>6389</v>
      </c>
      <c r="AFW6" s="1">
        <v>6397</v>
      </c>
      <c r="AFX6" s="1">
        <v>6421</v>
      </c>
      <c r="AFY6" s="1">
        <v>6427</v>
      </c>
      <c r="AFZ6" s="1">
        <v>6449</v>
      </c>
      <c r="AGA6" s="1">
        <v>6451</v>
      </c>
      <c r="AGB6" s="1">
        <v>6469</v>
      </c>
      <c r="AGC6" s="1">
        <v>6473</v>
      </c>
      <c r="AGD6" s="1">
        <v>6481</v>
      </c>
      <c r="AGE6" s="1">
        <v>6491</v>
      </c>
      <c r="AGF6" s="1">
        <v>6521</v>
      </c>
      <c r="AGG6" s="1">
        <v>6529</v>
      </c>
      <c r="AGH6" s="1">
        <v>6547</v>
      </c>
      <c r="AGI6" s="1">
        <v>6551</v>
      </c>
      <c r="AGJ6" s="1">
        <v>6553</v>
      </c>
      <c r="AGK6" s="1">
        <v>6563</v>
      </c>
      <c r="AGL6" s="1">
        <v>6569</v>
      </c>
      <c r="AGM6" s="1">
        <v>6571</v>
      </c>
      <c r="AGN6" s="1">
        <v>6577</v>
      </c>
      <c r="AGO6" s="1">
        <v>6581</v>
      </c>
      <c r="AGP6" s="1">
        <v>6599</v>
      </c>
      <c r="AGQ6" s="1">
        <v>6607</v>
      </c>
      <c r="AGR6" s="1">
        <v>6619</v>
      </c>
      <c r="AGS6" s="1">
        <v>6637</v>
      </c>
      <c r="AGT6" s="1">
        <v>6653</v>
      </c>
      <c r="AGU6" s="1">
        <v>6659</v>
      </c>
      <c r="AGV6" s="1">
        <v>6661</v>
      </c>
      <c r="AGW6" s="1">
        <v>6673</v>
      </c>
      <c r="AGX6" s="1">
        <v>6679</v>
      </c>
      <c r="AGY6" s="1">
        <v>6689</v>
      </c>
      <c r="AGZ6" s="1">
        <v>6691</v>
      </c>
      <c r="AHA6" s="1">
        <v>6701</v>
      </c>
      <c r="AHB6" s="1">
        <v>6703</v>
      </c>
      <c r="AHC6" s="1">
        <v>6709</v>
      </c>
      <c r="AHD6" s="1">
        <v>6719</v>
      </c>
      <c r="AHE6" s="1">
        <v>6733</v>
      </c>
      <c r="AHF6" s="1">
        <v>6737</v>
      </c>
      <c r="AHG6" s="1">
        <v>6761</v>
      </c>
      <c r="AHH6" s="1">
        <v>6763</v>
      </c>
      <c r="AHI6" s="1">
        <v>6779</v>
      </c>
      <c r="AHJ6" s="1">
        <v>6781</v>
      </c>
      <c r="AHK6" s="1">
        <v>6791</v>
      </c>
      <c r="AHL6" s="1">
        <v>6793</v>
      </c>
      <c r="AHM6" s="1">
        <v>6803</v>
      </c>
      <c r="AHN6" s="1">
        <v>6823</v>
      </c>
      <c r="AHO6" s="1">
        <v>6827</v>
      </c>
      <c r="AHP6" s="1">
        <v>6829</v>
      </c>
      <c r="AHQ6" s="1">
        <v>6833</v>
      </c>
      <c r="AHR6" s="1">
        <v>6841</v>
      </c>
      <c r="AHS6" s="1">
        <v>6857</v>
      </c>
      <c r="AHT6" s="1">
        <v>6863</v>
      </c>
      <c r="AHU6" s="1">
        <v>6869</v>
      </c>
      <c r="AHV6" s="1">
        <v>6871</v>
      </c>
      <c r="AHW6" s="1">
        <v>6883</v>
      </c>
      <c r="AHX6" s="1">
        <v>6899</v>
      </c>
      <c r="AHY6" s="1">
        <v>6907</v>
      </c>
      <c r="AHZ6" s="1">
        <v>6911</v>
      </c>
      <c r="AIA6" s="1">
        <v>6917</v>
      </c>
      <c r="AIB6" s="1">
        <v>6947</v>
      </c>
      <c r="AIC6" s="1">
        <v>6949</v>
      </c>
      <c r="AID6" s="1">
        <v>6959</v>
      </c>
      <c r="AIE6" s="1">
        <v>6961</v>
      </c>
      <c r="AIF6" s="1">
        <v>6967</v>
      </c>
      <c r="AIG6" s="1">
        <v>6971</v>
      </c>
      <c r="AIH6" s="1">
        <v>6977</v>
      </c>
      <c r="AII6" s="1">
        <v>6983</v>
      </c>
      <c r="AIJ6" s="1">
        <v>6991</v>
      </c>
      <c r="AIK6" s="1">
        <v>6997</v>
      </c>
      <c r="AIL6" s="1">
        <v>7001</v>
      </c>
      <c r="AIM6" s="1">
        <v>7013</v>
      </c>
      <c r="AIN6" s="1">
        <v>7019</v>
      </c>
      <c r="AIO6" s="1">
        <v>7027</v>
      </c>
      <c r="AIP6" s="1">
        <v>7039</v>
      </c>
      <c r="AIQ6" s="1">
        <v>7043</v>
      </c>
      <c r="AIR6" s="1">
        <v>7057</v>
      </c>
      <c r="AIS6" s="1">
        <v>7069</v>
      </c>
      <c r="AIT6" s="1">
        <v>7079</v>
      </c>
      <c r="AIU6" s="1">
        <v>7103</v>
      </c>
      <c r="AIV6" s="1">
        <v>7109</v>
      </c>
      <c r="AIW6" s="1">
        <v>7121</v>
      </c>
      <c r="AIX6" s="1">
        <v>7127</v>
      </c>
      <c r="AIY6" s="1">
        <v>7129</v>
      </c>
      <c r="AIZ6" s="1">
        <v>7151</v>
      </c>
      <c r="AJA6" s="1">
        <v>7159</v>
      </c>
      <c r="AJB6" s="1">
        <v>7177</v>
      </c>
      <c r="AJC6" s="1">
        <v>7187</v>
      </c>
      <c r="AJD6" s="1">
        <v>7193</v>
      </c>
      <c r="AJE6" s="1">
        <v>7207</v>
      </c>
      <c r="AJF6" s="1">
        <v>7211</v>
      </c>
      <c r="AJG6" s="1">
        <v>7213</v>
      </c>
      <c r="AJH6" s="1">
        <v>7219</v>
      </c>
      <c r="AJI6" s="1">
        <v>7229</v>
      </c>
      <c r="AJJ6" s="1">
        <v>7237</v>
      </c>
      <c r="AJK6" s="1">
        <v>7243</v>
      </c>
      <c r="AJL6" s="1">
        <v>7247</v>
      </c>
      <c r="AJM6" s="1">
        <v>7253</v>
      </c>
      <c r="AJN6" s="1">
        <v>7283</v>
      </c>
      <c r="AJO6" s="1">
        <v>7297</v>
      </c>
      <c r="AJP6" s="1">
        <v>7307</v>
      </c>
      <c r="AJQ6" s="1">
        <v>7309</v>
      </c>
      <c r="AJR6" s="1">
        <v>7321</v>
      </c>
      <c r="AJS6" s="1">
        <v>7331</v>
      </c>
      <c r="AJT6" s="1">
        <v>7333</v>
      </c>
      <c r="AJU6" s="1">
        <v>7349</v>
      </c>
      <c r="AJV6" s="1">
        <v>7351</v>
      </c>
      <c r="AJW6" s="1">
        <v>7369</v>
      </c>
      <c r="AJX6" s="1">
        <v>7393</v>
      </c>
      <c r="AJY6" s="1">
        <v>7411</v>
      </c>
      <c r="AJZ6" s="1">
        <v>7417</v>
      </c>
      <c r="AKA6" s="1">
        <v>7433</v>
      </c>
      <c r="AKB6" s="1">
        <v>7451</v>
      </c>
      <c r="AKC6" s="1">
        <v>7457</v>
      </c>
      <c r="AKD6" s="1">
        <v>7459</v>
      </c>
      <c r="AKE6" s="1">
        <v>7477</v>
      </c>
      <c r="AKF6" s="1">
        <v>7481</v>
      </c>
      <c r="AKG6" s="1">
        <v>7487</v>
      </c>
      <c r="AKH6" s="1">
        <v>7489</v>
      </c>
      <c r="AKI6" s="1">
        <v>7499</v>
      </c>
      <c r="AKJ6" s="1">
        <v>7507</v>
      </c>
      <c r="AKK6" s="1">
        <v>7517</v>
      </c>
      <c r="AKL6" s="1">
        <v>7523</v>
      </c>
      <c r="AKM6" s="1">
        <v>7529</v>
      </c>
      <c r="AKN6" s="1">
        <v>7537</v>
      </c>
      <c r="AKO6" s="1">
        <v>7541</v>
      </c>
      <c r="AKP6" s="1">
        <v>7547</v>
      </c>
      <c r="AKQ6" s="1">
        <v>7549</v>
      </c>
      <c r="AKR6" s="1">
        <v>7559</v>
      </c>
      <c r="AKS6" s="1">
        <v>7561</v>
      </c>
      <c r="AKT6" s="1">
        <v>7573</v>
      </c>
      <c r="AKU6" s="1">
        <v>7577</v>
      </c>
      <c r="AKV6" s="1">
        <v>7583</v>
      </c>
      <c r="AKW6" s="1">
        <v>7589</v>
      </c>
      <c r="AKX6" s="1">
        <v>7591</v>
      </c>
      <c r="AKY6" s="1">
        <v>7603</v>
      </c>
      <c r="AKZ6" s="1">
        <v>7607</v>
      </c>
      <c r="ALA6" s="1">
        <v>7621</v>
      </c>
      <c r="ALB6" s="1">
        <v>7639</v>
      </c>
      <c r="ALC6" s="1">
        <v>7643</v>
      </c>
      <c r="ALD6" s="1">
        <v>7649</v>
      </c>
      <c r="ALE6" s="1">
        <v>7669</v>
      </c>
      <c r="ALF6" s="1">
        <v>7673</v>
      </c>
      <c r="ALG6" s="1">
        <v>7681</v>
      </c>
      <c r="ALH6" s="1">
        <v>7687</v>
      </c>
      <c r="ALI6" s="1">
        <v>7691</v>
      </c>
      <c r="ALJ6" s="1">
        <v>7699</v>
      </c>
      <c r="ALK6" s="1">
        <v>7703</v>
      </c>
      <c r="ALL6" s="1">
        <v>7717</v>
      </c>
      <c r="ALM6" s="1">
        <v>7723</v>
      </c>
      <c r="ALN6" s="1">
        <v>7727</v>
      </c>
      <c r="ALO6" s="1">
        <v>7741</v>
      </c>
      <c r="ALP6" s="1">
        <v>7753</v>
      </c>
      <c r="ALQ6" s="1">
        <v>7757</v>
      </c>
      <c r="ALR6" s="1">
        <v>7759</v>
      </c>
      <c r="ALS6" s="1">
        <v>7789</v>
      </c>
      <c r="ALT6" s="1">
        <v>7793</v>
      </c>
      <c r="ALU6" s="1">
        <v>7817</v>
      </c>
      <c r="ALV6" s="1">
        <v>7823</v>
      </c>
      <c r="ALW6" s="1">
        <v>7829</v>
      </c>
      <c r="ALX6" s="1">
        <v>7841</v>
      </c>
      <c r="ALY6" s="1">
        <v>7853</v>
      </c>
      <c r="ALZ6" s="1">
        <v>7867</v>
      </c>
      <c r="AMA6" s="1">
        <v>7873</v>
      </c>
      <c r="AMB6" s="1">
        <v>7877</v>
      </c>
      <c r="AMC6" s="1">
        <v>7879</v>
      </c>
      <c r="AMD6" s="1">
        <v>7883</v>
      </c>
      <c r="AME6" s="1">
        <v>7901</v>
      </c>
      <c r="AMF6" s="1">
        <v>7907</v>
      </c>
      <c r="AMG6" s="1">
        <v>7919</v>
      </c>
    </row>
    <row r="7" spans="1:1022" ht="18.899999999999999" customHeight="1" thickBot="1" x14ac:dyDescent="0.55000000000000004">
      <c r="A7" s="13" t="s">
        <v>141</v>
      </c>
      <c r="B7" s="14" t="s">
        <v>142</v>
      </c>
      <c r="C7" s="14" t="s">
        <v>142</v>
      </c>
      <c r="D7" s="10"/>
      <c r="E7" s="11"/>
      <c r="G7" s="5" t="s">
        <v>143</v>
      </c>
      <c r="H7" s="5">
        <v>3</v>
      </c>
      <c r="I7" s="5">
        <v>3</v>
      </c>
      <c r="K7" s="5">
        <v>2</v>
      </c>
      <c r="L7" s="5" t="s">
        <v>144</v>
      </c>
      <c r="M7" s="5" t="s">
        <v>145</v>
      </c>
      <c r="O7" s="5">
        <v>2</v>
      </c>
      <c r="P7" s="5" t="s">
        <v>146</v>
      </c>
      <c r="Q7" s="5">
        <v>28</v>
      </c>
      <c r="R7" s="7">
        <v>46054</v>
      </c>
      <c r="S7" s="7">
        <v>46081</v>
      </c>
    </row>
    <row r="8" spans="1:1022" ht="18.899999999999999" customHeight="1" thickBot="1" x14ac:dyDescent="0.55000000000000004">
      <c r="G8" s="5" t="s">
        <v>147</v>
      </c>
      <c r="H8" s="5">
        <v>4</v>
      </c>
      <c r="I8" s="5">
        <v>4</v>
      </c>
      <c r="K8" s="5">
        <v>3</v>
      </c>
      <c r="L8" s="5" t="s">
        <v>148</v>
      </c>
      <c r="M8" s="5" t="s">
        <v>145</v>
      </c>
      <c r="O8" s="5">
        <v>3</v>
      </c>
      <c r="P8" s="5" t="s">
        <v>149</v>
      </c>
      <c r="Q8" s="5">
        <v>31</v>
      </c>
      <c r="R8" s="7">
        <v>46082</v>
      </c>
      <c r="S8" s="7">
        <v>46112</v>
      </c>
      <c r="U8" s="97" t="s">
        <v>150</v>
      </c>
      <c r="V8" s="88"/>
      <c r="W8" s="1">
        <f t="array" ref="W8:BB8">_xlfn.TOROW(_xlfn.LAMBDA(_xlpm.rounds,_xlfn.REDUCE(1,_xlfn.SEQUENCE(_xlpm.rounds),_xlfn.LAMBDA(_xlpm.acc,_xlpm.r,_xlfn.TOCOL(_xlfn.HSTACK(_xlpm.acc,2^_xlpm.r+1-_xlpm.acc)))))(5))</f>
        <v>1</v>
      </c>
      <c r="X8" s="1">
        <v>32</v>
      </c>
      <c r="Y8" s="1">
        <v>16</v>
      </c>
      <c r="Z8" s="1">
        <v>17</v>
      </c>
      <c r="AA8" s="1">
        <v>8</v>
      </c>
      <c r="AB8" s="1">
        <v>25</v>
      </c>
      <c r="AC8" s="1">
        <v>9</v>
      </c>
      <c r="AD8" s="1">
        <v>24</v>
      </c>
      <c r="AE8" s="1">
        <v>4</v>
      </c>
      <c r="AF8" s="1">
        <v>29</v>
      </c>
      <c r="AG8" s="1">
        <v>13</v>
      </c>
      <c r="AH8" s="1">
        <v>20</v>
      </c>
      <c r="AI8" s="1">
        <v>5</v>
      </c>
      <c r="AJ8" s="1">
        <v>28</v>
      </c>
      <c r="AK8" s="1">
        <v>12</v>
      </c>
      <c r="AL8" s="1">
        <v>21</v>
      </c>
      <c r="AM8" s="1">
        <v>2</v>
      </c>
      <c r="AN8" s="1">
        <v>31</v>
      </c>
      <c r="AO8" s="1">
        <v>15</v>
      </c>
      <c r="AP8" s="1">
        <v>18</v>
      </c>
      <c r="AQ8" s="1">
        <v>7</v>
      </c>
      <c r="AR8" s="1">
        <v>26</v>
      </c>
      <c r="AS8" s="1">
        <v>10</v>
      </c>
      <c r="AT8" s="1">
        <v>23</v>
      </c>
      <c r="AU8" s="1">
        <v>3</v>
      </c>
      <c r="AV8" s="1">
        <v>30</v>
      </c>
      <c r="AW8" s="1">
        <v>14</v>
      </c>
      <c r="AX8" s="1">
        <v>19</v>
      </c>
      <c r="AY8" s="1">
        <v>6</v>
      </c>
      <c r="AZ8" s="1">
        <v>27</v>
      </c>
      <c r="BA8" s="1">
        <v>11</v>
      </c>
      <c r="BB8" s="2">
        <v>22</v>
      </c>
    </row>
    <row r="9" spans="1:1022" ht="24" customHeight="1" thickBot="1" x14ac:dyDescent="0.5">
      <c r="A9" s="27" t="s">
        <v>151</v>
      </c>
      <c r="B9" s="27" t="s">
        <v>152</v>
      </c>
      <c r="C9" s="27" t="s">
        <v>153</v>
      </c>
      <c r="D9" s="27" t="s">
        <v>154</v>
      </c>
      <c r="E9" s="27" t="s">
        <v>155</v>
      </c>
      <c r="G9" s="5" t="s">
        <v>156</v>
      </c>
      <c r="H9" s="5">
        <v>5</v>
      </c>
      <c r="I9" s="5">
        <v>5</v>
      </c>
      <c r="K9" s="5">
        <v>4</v>
      </c>
      <c r="L9" s="5" t="s">
        <v>157</v>
      </c>
      <c r="M9" s="5" t="s">
        <v>145</v>
      </c>
      <c r="O9" s="5">
        <v>4</v>
      </c>
      <c r="P9" s="5" t="s">
        <v>158</v>
      </c>
      <c r="Q9" s="5">
        <v>30</v>
      </c>
      <c r="R9" s="7">
        <v>46113</v>
      </c>
      <c r="S9" s="7">
        <v>46142</v>
      </c>
      <c r="W9" s="8"/>
    </row>
    <row r="10" spans="1:1022" ht="18.899999999999999" customHeight="1" thickBot="1" x14ac:dyDescent="0.5">
      <c r="A10" s="5" t="s">
        <v>159</v>
      </c>
      <c r="B10" s="5" t="s">
        <v>160</v>
      </c>
      <c r="C10" s="5" t="s">
        <v>160</v>
      </c>
      <c r="D10" s="5">
        <v>-1</v>
      </c>
      <c r="E10" s="5">
        <v>0</v>
      </c>
      <c r="G10" s="5" t="s">
        <v>161</v>
      </c>
      <c r="H10" s="5">
        <v>6</v>
      </c>
      <c r="I10" s="5">
        <v>6</v>
      </c>
      <c r="K10" s="5">
        <v>5</v>
      </c>
      <c r="L10" s="5" t="s">
        <v>162</v>
      </c>
      <c r="M10" s="5" t="s">
        <v>138</v>
      </c>
      <c r="O10" s="5">
        <v>5</v>
      </c>
      <c r="P10" s="5" t="s">
        <v>163</v>
      </c>
      <c r="Q10" s="5">
        <v>31</v>
      </c>
      <c r="R10" s="7">
        <v>46143</v>
      </c>
      <c r="S10" s="7">
        <v>46173</v>
      </c>
      <c r="U10" s="31" t="s">
        <v>164</v>
      </c>
      <c r="V10" s="1" t="s">
        <v>165</v>
      </c>
      <c r="W10" s="1" t="s">
        <v>166</v>
      </c>
      <c r="X10" s="1" t="s">
        <v>167</v>
      </c>
      <c r="Y10" s="1" t="s">
        <v>168</v>
      </c>
      <c r="Z10" s="1" t="s">
        <v>169</v>
      </c>
      <c r="AA10" s="1" t="s">
        <v>170</v>
      </c>
      <c r="AB10" s="1" t="s">
        <v>171</v>
      </c>
      <c r="AC10" s="1" t="s">
        <v>172</v>
      </c>
      <c r="AD10" s="1" t="s">
        <v>173</v>
      </c>
      <c r="AE10" s="1" t="s">
        <v>174</v>
      </c>
      <c r="AF10" s="1" t="s">
        <v>175</v>
      </c>
      <c r="AG10" s="1" t="s">
        <v>176</v>
      </c>
      <c r="AH10" s="1" t="s">
        <v>177</v>
      </c>
      <c r="AI10" s="1" t="s">
        <v>178</v>
      </c>
      <c r="AJ10" s="1" t="s">
        <v>179</v>
      </c>
      <c r="AK10" s="1" t="s">
        <v>180</v>
      </c>
    </row>
    <row r="11" spans="1:1022" ht="18.899999999999999" customHeight="1" thickBot="1" x14ac:dyDescent="0.5">
      <c r="A11" s="5" t="s">
        <v>157</v>
      </c>
      <c r="B11" s="5" t="s">
        <v>181</v>
      </c>
      <c r="C11" s="5" t="s">
        <v>181</v>
      </c>
      <c r="D11" s="5">
        <v>1</v>
      </c>
      <c r="E11" s="5">
        <v>0</v>
      </c>
      <c r="G11" s="5" t="s">
        <v>182</v>
      </c>
      <c r="H11" s="5">
        <v>7</v>
      </c>
      <c r="I11" s="5">
        <v>7</v>
      </c>
      <c r="K11" s="5">
        <v>6</v>
      </c>
      <c r="L11" s="5" t="s">
        <v>183</v>
      </c>
      <c r="M11" s="5" t="s">
        <v>145</v>
      </c>
      <c r="O11" s="5">
        <v>6</v>
      </c>
      <c r="P11" s="5" t="s">
        <v>184</v>
      </c>
      <c r="Q11" s="5">
        <v>30</v>
      </c>
      <c r="R11" s="7">
        <v>46174</v>
      </c>
      <c r="S11" s="7">
        <v>46203</v>
      </c>
      <c r="U11" s="31" t="s">
        <v>185</v>
      </c>
      <c r="V11" s="1">
        <v>0.25</v>
      </c>
      <c r="W11" s="1">
        <v>0.5</v>
      </c>
      <c r="X11" s="1">
        <v>0.75</v>
      </c>
      <c r="Y11" s="1">
        <v>0.33333333333333331</v>
      </c>
      <c r="Z11" s="1">
        <v>0.66666666666666663</v>
      </c>
      <c r="AA11" s="1">
        <v>0.2</v>
      </c>
      <c r="AB11" s="1">
        <v>0.4</v>
      </c>
      <c r="AC11" s="1">
        <v>0.6</v>
      </c>
      <c r="AD11" s="1">
        <v>0.8</v>
      </c>
      <c r="AE11" s="1">
        <v>0.16666666666666671</v>
      </c>
      <c r="AF11" s="1">
        <v>0.83333333333333337</v>
      </c>
      <c r="AG11" s="1">
        <v>0.125</v>
      </c>
      <c r="AH11" s="1">
        <v>0.375</v>
      </c>
      <c r="AI11" s="1">
        <v>0.625</v>
      </c>
      <c r="AJ11" s="1">
        <v>0.875</v>
      </c>
      <c r="AK11" s="1">
        <v>0</v>
      </c>
    </row>
    <row r="12" spans="1:1022" ht="18.899999999999999" customHeight="1" thickBot="1" x14ac:dyDescent="0.5">
      <c r="A12" s="5" t="s">
        <v>186</v>
      </c>
      <c r="B12" s="5" t="s">
        <v>187</v>
      </c>
      <c r="C12" s="5" t="s">
        <v>187</v>
      </c>
      <c r="D12" s="5">
        <v>0</v>
      </c>
      <c r="E12" s="5">
        <v>-1</v>
      </c>
      <c r="G12" s="5" t="s">
        <v>188</v>
      </c>
      <c r="H12" s="5">
        <v>8</v>
      </c>
      <c r="I12" s="5">
        <v>8</v>
      </c>
      <c r="K12" s="5">
        <v>7</v>
      </c>
      <c r="L12" s="5" t="s">
        <v>189</v>
      </c>
      <c r="M12" s="5" t="s">
        <v>145</v>
      </c>
      <c r="O12" s="5">
        <v>7</v>
      </c>
      <c r="P12" s="5" t="s">
        <v>190</v>
      </c>
      <c r="Q12" s="5">
        <v>31</v>
      </c>
      <c r="R12" s="7">
        <v>46204</v>
      </c>
      <c r="S12" s="7">
        <v>46234</v>
      </c>
    </row>
    <row r="13" spans="1:1022" ht="18.899999999999999" customHeight="1" thickBot="1" x14ac:dyDescent="0.55000000000000004">
      <c r="A13" s="5" t="s">
        <v>191</v>
      </c>
      <c r="B13" s="5" t="s">
        <v>192</v>
      </c>
      <c r="C13" s="5" t="s">
        <v>192</v>
      </c>
      <c r="D13" s="5">
        <v>0</v>
      </c>
      <c r="E13" s="5">
        <v>1</v>
      </c>
      <c r="G13" s="5" t="s">
        <v>193</v>
      </c>
      <c r="H13" s="5">
        <v>9</v>
      </c>
      <c r="I13" s="5">
        <v>9</v>
      </c>
      <c r="K13" s="5">
        <v>8</v>
      </c>
      <c r="L13" s="5" t="s">
        <v>194</v>
      </c>
      <c r="M13" s="5" t="s">
        <v>145</v>
      </c>
      <c r="O13" s="5">
        <v>8</v>
      </c>
      <c r="P13" s="5" t="s">
        <v>195</v>
      </c>
      <c r="Q13" s="5">
        <v>31</v>
      </c>
      <c r="R13" s="7">
        <v>46235</v>
      </c>
      <c r="S13" s="7">
        <v>46265</v>
      </c>
      <c r="U13" s="31" t="s">
        <v>196</v>
      </c>
      <c r="V13" s="1" t="s">
        <v>197</v>
      </c>
      <c r="W13" s="1" t="s">
        <v>198</v>
      </c>
      <c r="X13" s="1" t="s">
        <v>199</v>
      </c>
      <c r="Y13" s="1" t="s">
        <v>200</v>
      </c>
      <c r="Z13" s="1" t="s">
        <v>201</v>
      </c>
      <c r="AA13" s="1" t="s">
        <v>202</v>
      </c>
      <c r="AB13" s="1" t="s">
        <v>203</v>
      </c>
      <c r="AC13" s="1" t="s">
        <v>204</v>
      </c>
      <c r="AD13" s="1" t="s">
        <v>205</v>
      </c>
      <c r="AE13" s="1" t="s">
        <v>206</v>
      </c>
      <c r="AF13" s="1" t="s">
        <v>207</v>
      </c>
      <c r="AG13" s="1" t="s">
        <v>208</v>
      </c>
      <c r="AH13" s="1" t="s">
        <v>209</v>
      </c>
      <c r="AI13" s="1" t="s">
        <v>210</v>
      </c>
      <c r="AJ13" s="32" t="s">
        <v>211</v>
      </c>
      <c r="AK13" s="32" t="s">
        <v>212</v>
      </c>
      <c r="AL13" s="32" t="s">
        <v>213</v>
      </c>
      <c r="AM13" s="32" t="s">
        <v>214</v>
      </c>
      <c r="AN13" s="32" t="s">
        <v>215</v>
      </c>
      <c r="AO13" s="32" t="s">
        <v>216</v>
      </c>
      <c r="AP13" s="32" t="s">
        <v>217</v>
      </c>
      <c r="AQ13" s="1" t="s">
        <v>218</v>
      </c>
      <c r="AR13" s="1" t="s">
        <v>219</v>
      </c>
      <c r="AS13" s="1" t="s">
        <v>220</v>
      </c>
      <c r="AT13" s="1" t="s">
        <v>221</v>
      </c>
      <c r="AU13" s="1" t="s">
        <v>222</v>
      </c>
      <c r="AV13" s="1" t="s">
        <v>223</v>
      </c>
      <c r="AW13" s="1" t="s">
        <v>160</v>
      </c>
      <c r="AX13" s="1" t="s">
        <v>224</v>
      </c>
      <c r="AY13" s="1" t="s">
        <v>225</v>
      </c>
      <c r="AZ13" s="1" t="s">
        <v>226</v>
      </c>
      <c r="BA13" s="1" t="s">
        <v>227</v>
      </c>
      <c r="BB13" s="1" t="s">
        <v>228</v>
      </c>
      <c r="BC13" s="1" t="s">
        <v>229</v>
      </c>
      <c r="BD13" s="1" t="s">
        <v>230</v>
      </c>
      <c r="BE13" s="1" t="s">
        <v>231</v>
      </c>
      <c r="BF13" s="1" t="s">
        <v>232</v>
      </c>
      <c r="BG13" s="1" t="s">
        <v>233</v>
      </c>
      <c r="BH13" s="1" t="s">
        <v>234</v>
      </c>
      <c r="BI13" s="1" t="s">
        <v>235</v>
      </c>
      <c r="BJ13" s="1" t="s">
        <v>236</v>
      </c>
      <c r="BK13" s="1" t="s">
        <v>237</v>
      </c>
      <c r="BL13" s="1" t="s">
        <v>238</v>
      </c>
      <c r="BM13" s="1" t="s">
        <v>239</v>
      </c>
      <c r="BN13" s="1" t="s">
        <v>240</v>
      </c>
      <c r="BO13" s="1" t="s">
        <v>241</v>
      </c>
      <c r="BP13" s="1" t="s">
        <v>159</v>
      </c>
      <c r="BQ13" s="1" t="s">
        <v>242</v>
      </c>
      <c r="BR13" s="1" t="s">
        <v>243</v>
      </c>
      <c r="BS13" s="1" t="s">
        <v>244</v>
      </c>
      <c r="BT13" s="1" t="s">
        <v>245</v>
      </c>
      <c r="BU13" s="1" t="s">
        <v>246</v>
      </c>
      <c r="BV13" s="1" t="s">
        <v>247</v>
      </c>
      <c r="BW13" s="1" t="s">
        <v>248</v>
      </c>
      <c r="BX13" s="1" t="s">
        <v>249</v>
      </c>
      <c r="BY13" s="1" t="s">
        <v>250</v>
      </c>
      <c r="BZ13" s="1" t="s">
        <v>251</v>
      </c>
      <c r="CA13" s="1" t="s">
        <v>252</v>
      </c>
      <c r="CB13" s="1" t="s">
        <v>253</v>
      </c>
      <c r="CC13" s="1" t="s">
        <v>254</v>
      </c>
      <c r="CD13" s="1" t="s">
        <v>255</v>
      </c>
      <c r="CE13" s="1" t="s">
        <v>256</v>
      </c>
      <c r="CF13" s="1" t="s">
        <v>257</v>
      </c>
      <c r="CG13" s="1" t="s">
        <v>258</v>
      </c>
      <c r="CH13" s="1" t="s">
        <v>259</v>
      </c>
      <c r="CI13" s="1" t="s">
        <v>260</v>
      </c>
      <c r="CJ13" s="1" t="s">
        <v>261</v>
      </c>
      <c r="CK13" s="1" t="s">
        <v>262</v>
      </c>
      <c r="CL13" s="1" t="s">
        <v>263</v>
      </c>
      <c r="CM13" s="1" t="s">
        <v>264</v>
      </c>
      <c r="CN13" s="1" t="s">
        <v>265</v>
      </c>
      <c r="CO13" s="1" t="s">
        <v>266</v>
      </c>
      <c r="CP13" s="1" t="s">
        <v>267</v>
      </c>
      <c r="CQ13" s="1" t="s">
        <v>268</v>
      </c>
      <c r="CR13" s="1" t="s">
        <v>269</v>
      </c>
      <c r="CS13" s="1" t="s">
        <v>270</v>
      </c>
      <c r="CT13" s="1" t="s">
        <v>271</v>
      </c>
      <c r="CU13" s="1" t="s">
        <v>272</v>
      </c>
      <c r="CV13" s="1" t="s">
        <v>273</v>
      </c>
      <c r="CW13" s="1" t="s">
        <v>274</v>
      </c>
      <c r="CX13" s="1" t="s">
        <v>275</v>
      </c>
      <c r="CY13" s="1" t="s">
        <v>276</v>
      </c>
      <c r="CZ13" s="1" t="s">
        <v>277</v>
      </c>
      <c r="DA13" s="1" t="s">
        <v>278</v>
      </c>
      <c r="DB13" s="1" t="s">
        <v>279</v>
      </c>
      <c r="DC13" s="1" t="s">
        <v>280</v>
      </c>
      <c r="DD13" s="1" t="s">
        <v>281</v>
      </c>
      <c r="DE13" s="1" t="s">
        <v>282</v>
      </c>
      <c r="DF13" s="1" t="s">
        <v>283</v>
      </c>
      <c r="DG13" s="1" t="s">
        <v>284</v>
      </c>
      <c r="DH13" s="1" t="s">
        <v>285</v>
      </c>
      <c r="DI13" s="1" t="s">
        <v>286</v>
      </c>
      <c r="DJ13" s="1" t="s">
        <v>287</v>
      </c>
      <c r="DK13" s="1" t="s">
        <v>288</v>
      </c>
      <c r="DL13" s="1" t="s">
        <v>289</v>
      </c>
      <c r="DM13" s="1" t="s">
        <v>290</v>
      </c>
      <c r="DN13" s="1" t="s">
        <v>291</v>
      </c>
      <c r="DO13" s="1" t="s">
        <v>292</v>
      </c>
      <c r="DP13" s="1" t="s">
        <v>293</v>
      </c>
      <c r="DQ13" s="1" t="s">
        <v>294</v>
      </c>
      <c r="DR13" s="1" t="s">
        <v>295</v>
      </c>
      <c r="DS13" s="1" t="s">
        <v>296</v>
      </c>
      <c r="DT13" s="1" t="s">
        <v>297</v>
      </c>
      <c r="DU13" s="1" t="s">
        <v>298</v>
      </c>
      <c r="DV13" s="1" t="s">
        <v>299</v>
      </c>
      <c r="DW13" s="1" t="s">
        <v>192</v>
      </c>
      <c r="DX13" s="1" t="s">
        <v>300</v>
      </c>
      <c r="DY13" s="1" t="s">
        <v>301</v>
      </c>
      <c r="DZ13" s="1" t="s">
        <v>302</v>
      </c>
      <c r="EA13" s="1" t="s">
        <v>303</v>
      </c>
      <c r="EB13" s="1" t="s">
        <v>304</v>
      </c>
      <c r="EC13" s="1" t="s">
        <v>305</v>
      </c>
      <c r="ED13" s="1" t="s">
        <v>306</v>
      </c>
      <c r="EE13" s="1" t="s">
        <v>307</v>
      </c>
      <c r="EF13" s="1" t="s">
        <v>308</v>
      </c>
      <c r="EG13" s="1" t="s">
        <v>309</v>
      </c>
      <c r="EH13" s="1" t="s">
        <v>310</v>
      </c>
      <c r="EI13" s="1" t="s">
        <v>311</v>
      </c>
      <c r="EJ13" s="1" t="s">
        <v>312</v>
      </c>
      <c r="EK13" s="1" t="s">
        <v>313</v>
      </c>
      <c r="EL13" s="1" t="s">
        <v>314</v>
      </c>
      <c r="EM13" s="1" t="s">
        <v>315</v>
      </c>
      <c r="EN13" s="1" t="s">
        <v>316</v>
      </c>
      <c r="EO13" s="1" t="s">
        <v>317</v>
      </c>
      <c r="EP13" s="1" t="s">
        <v>318</v>
      </c>
      <c r="EQ13" s="1" t="s">
        <v>319</v>
      </c>
      <c r="ER13" s="1" t="s">
        <v>320</v>
      </c>
      <c r="ES13" s="1" t="s">
        <v>321</v>
      </c>
      <c r="ET13" s="1" t="s">
        <v>322</v>
      </c>
      <c r="EU13" s="1" t="s">
        <v>323</v>
      </c>
      <c r="EV13" s="1" t="s">
        <v>324</v>
      </c>
      <c r="EW13" s="1" t="s">
        <v>325</v>
      </c>
      <c r="EX13" s="1" t="s">
        <v>326</v>
      </c>
      <c r="EY13" s="1" t="s">
        <v>327</v>
      </c>
      <c r="EZ13" s="1" t="s">
        <v>328</v>
      </c>
      <c r="FA13" s="1" t="s">
        <v>329</v>
      </c>
      <c r="FB13" s="1" t="s">
        <v>330</v>
      </c>
      <c r="FC13" s="1" t="s">
        <v>331</v>
      </c>
      <c r="FD13" s="1" t="s">
        <v>332</v>
      </c>
      <c r="FE13" s="1" t="s">
        <v>333</v>
      </c>
      <c r="FF13" s="1" t="s">
        <v>334</v>
      </c>
      <c r="FG13" s="1" t="s">
        <v>335</v>
      </c>
      <c r="FH13" s="1" t="s">
        <v>336</v>
      </c>
      <c r="FI13" s="1" t="s">
        <v>337</v>
      </c>
      <c r="FJ13" s="1" t="s">
        <v>338</v>
      </c>
      <c r="FK13" s="1" t="s">
        <v>339</v>
      </c>
      <c r="FL13" s="1" t="s">
        <v>340</v>
      </c>
      <c r="FM13" s="1" t="s">
        <v>341</v>
      </c>
      <c r="FN13" s="1" t="s">
        <v>342</v>
      </c>
      <c r="FO13" s="1" t="s">
        <v>343</v>
      </c>
      <c r="FP13" s="1" t="s">
        <v>344</v>
      </c>
      <c r="FQ13" s="1" t="s">
        <v>345</v>
      </c>
      <c r="FR13" s="1" t="s">
        <v>346</v>
      </c>
      <c r="FS13" s="1" t="s">
        <v>347</v>
      </c>
      <c r="FT13" s="1" t="s">
        <v>348</v>
      </c>
      <c r="FU13" s="1" t="s">
        <v>349</v>
      </c>
      <c r="FV13" s="1" t="s">
        <v>350</v>
      </c>
      <c r="FW13" s="1" t="s">
        <v>351</v>
      </c>
      <c r="FX13" s="1" t="s">
        <v>352</v>
      </c>
      <c r="FY13" s="1" t="s">
        <v>353</v>
      </c>
      <c r="FZ13" s="1" t="s">
        <v>354</v>
      </c>
      <c r="GA13" s="1" t="s">
        <v>355</v>
      </c>
      <c r="GB13" s="1" t="s">
        <v>356</v>
      </c>
      <c r="GC13" s="1" t="s">
        <v>357</v>
      </c>
      <c r="GD13" s="1" t="s">
        <v>358</v>
      </c>
      <c r="GE13" s="1" t="s">
        <v>359</v>
      </c>
      <c r="GF13" s="1" t="s">
        <v>360</v>
      </c>
      <c r="GG13" s="1" t="s">
        <v>361</v>
      </c>
      <c r="GH13" s="1" t="s">
        <v>362</v>
      </c>
      <c r="GI13" s="1" t="s">
        <v>162</v>
      </c>
      <c r="GJ13" s="1" t="s">
        <v>363</v>
      </c>
      <c r="GK13" s="1" t="s">
        <v>191</v>
      </c>
      <c r="GL13" s="1" t="s">
        <v>364</v>
      </c>
      <c r="GM13" s="1" t="s">
        <v>365</v>
      </c>
      <c r="GN13" s="1" t="s">
        <v>366</v>
      </c>
      <c r="GO13" s="1" t="s">
        <v>367</v>
      </c>
      <c r="GP13" s="1" t="s">
        <v>368</v>
      </c>
      <c r="GQ13" s="1" t="s">
        <v>369</v>
      </c>
      <c r="GR13" s="1" t="s">
        <v>370</v>
      </c>
      <c r="GS13" s="1" t="s">
        <v>371</v>
      </c>
      <c r="GT13" s="1" t="s">
        <v>372</v>
      </c>
      <c r="GU13" s="1" t="s">
        <v>373</v>
      </c>
      <c r="GV13" s="1" t="s">
        <v>374</v>
      </c>
      <c r="GW13" s="1" t="s">
        <v>375</v>
      </c>
      <c r="GX13" s="1" t="s">
        <v>376</v>
      </c>
      <c r="GY13" s="1" t="s">
        <v>377</v>
      </c>
      <c r="GZ13" s="1" t="s">
        <v>378</v>
      </c>
      <c r="HA13" s="1" t="s">
        <v>379</v>
      </c>
      <c r="HB13" s="1" t="s">
        <v>380</v>
      </c>
      <c r="HC13" s="1" t="s">
        <v>381</v>
      </c>
      <c r="HD13" s="1" t="s">
        <v>382</v>
      </c>
      <c r="HE13" s="1" t="s">
        <v>383</v>
      </c>
      <c r="HF13" s="1" t="s">
        <v>384</v>
      </c>
      <c r="HG13" s="1" t="s">
        <v>385</v>
      </c>
      <c r="HH13" s="1" t="s">
        <v>386</v>
      </c>
      <c r="HI13" s="1" t="s">
        <v>387</v>
      </c>
      <c r="HJ13" s="1" t="s">
        <v>388</v>
      </c>
      <c r="HK13" s="1" t="s">
        <v>389</v>
      </c>
      <c r="HL13" s="1" t="s">
        <v>390</v>
      </c>
      <c r="HM13" s="1" t="s">
        <v>391</v>
      </c>
      <c r="HN13" s="1" t="s">
        <v>392</v>
      </c>
      <c r="HO13" s="1" t="s">
        <v>393</v>
      </c>
      <c r="HP13" s="1" t="s">
        <v>394</v>
      </c>
      <c r="HQ13" s="1" t="s">
        <v>395</v>
      </c>
      <c r="HR13" s="1" t="s">
        <v>396</v>
      </c>
      <c r="HS13" s="1" t="s">
        <v>397</v>
      </c>
      <c r="HT13" s="1" t="s">
        <v>398</v>
      </c>
      <c r="HU13" s="1" t="s">
        <v>399</v>
      </c>
      <c r="HV13" s="1" t="s">
        <v>400</v>
      </c>
      <c r="HW13" s="1" t="s">
        <v>401</v>
      </c>
      <c r="HX13" s="1" t="s">
        <v>402</v>
      </c>
      <c r="HY13" s="1" t="s">
        <v>403</v>
      </c>
      <c r="HZ13" s="1" t="s">
        <v>404</v>
      </c>
      <c r="IA13" s="1" t="s">
        <v>405</v>
      </c>
      <c r="IB13" s="1" t="s">
        <v>406</v>
      </c>
      <c r="IC13" s="1" t="s">
        <v>181</v>
      </c>
      <c r="ID13" s="1" t="s">
        <v>407</v>
      </c>
      <c r="IE13" s="1" t="s">
        <v>408</v>
      </c>
      <c r="IF13" s="1" t="s">
        <v>409</v>
      </c>
      <c r="IG13" s="1" t="s">
        <v>410</v>
      </c>
      <c r="IH13" s="1" t="s">
        <v>411</v>
      </c>
      <c r="II13" s="1" t="s">
        <v>412</v>
      </c>
      <c r="IJ13" s="1" t="s">
        <v>413</v>
      </c>
      <c r="IK13" s="1" t="s">
        <v>414</v>
      </c>
      <c r="IL13" s="1" t="s">
        <v>415</v>
      </c>
      <c r="IM13" s="1" t="s">
        <v>416</v>
      </c>
      <c r="IN13" s="1" t="s">
        <v>417</v>
      </c>
      <c r="IO13" s="1" t="s">
        <v>418</v>
      </c>
      <c r="IP13" s="1" t="s">
        <v>157</v>
      </c>
      <c r="IQ13" s="1" t="s">
        <v>419</v>
      </c>
      <c r="IR13" s="1" t="s">
        <v>420</v>
      </c>
      <c r="IS13" s="1" t="s">
        <v>421</v>
      </c>
      <c r="IT13" s="1" t="s">
        <v>422</v>
      </c>
      <c r="IU13" s="1" t="s">
        <v>423</v>
      </c>
      <c r="IV13" s="1" t="s">
        <v>424</v>
      </c>
      <c r="IW13" s="1" t="s">
        <v>425</v>
      </c>
      <c r="IX13" s="1" t="s">
        <v>426</v>
      </c>
      <c r="IY13" s="1" t="s">
        <v>427</v>
      </c>
      <c r="IZ13" s="1" t="s">
        <v>428</v>
      </c>
      <c r="JA13" s="1" t="s">
        <v>429</v>
      </c>
      <c r="JB13" s="1" t="s">
        <v>430</v>
      </c>
      <c r="JC13" s="1" t="s">
        <v>431</v>
      </c>
      <c r="JD13" s="1" t="s">
        <v>432</v>
      </c>
      <c r="JE13" s="1" t="s">
        <v>433</v>
      </c>
      <c r="JF13" s="1" t="s">
        <v>434</v>
      </c>
      <c r="JG13" s="1" t="s">
        <v>435</v>
      </c>
      <c r="JH13" s="1" t="s">
        <v>436</v>
      </c>
      <c r="JI13" s="1" t="s">
        <v>437</v>
      </c>
      <c r="JJ13" s="1" t="s">
        <v>438</v>
      </c>
      <c r="JK13" s="1" t="s">
        <v>439</v>
      </c>
      <c r="JL13" s="1" t="s">
        <v>440</v>
      </c>
      <c r="JM13" s="1" t="s">
        <v>441</v>
      </c>
      <c r="JN13" s="1" t="s">
        <v>442</v>
      </c>
      <c r="JO13" s="1" t="s">
        <v>443</v>
      </c>
      <c r="JP13" s="1" t="s">
        <v>444</v>
      </c>
      <c r="JQ13" s="1" t="s">
        <v>445</v>
      </c>
      <c r="JR13" s="1" t="s">
        <v>446</v>
      </c>
      <c r="JS13" s="1" t="s">
        <v>447</v>
      </c>
      <c r="JT13" s="1" t="s">
        <v>448</v>
      </c>
      <c r="JU13" s="1" t="s">
        <v>449</v>
      </c>
      <c r="JV13" s="1" t="s">
        <v>450</v>
      </c>
      <c r="JW13" s="1" t="s">
        <v>451</v>
      </c>
      <c r="JX13" s="1" t="s">
        <v>452</v>
      </c>
      <c r="JY13" s="1" t="s">
        <v>453</v>
      </c>
      <c r="JZ13" s="1" t="s">
        <v>454</v>
      </c>
      <c r="KA13" s="1" t="s">
        <v>455</v>
      </c>
      <c r="KB13" s="1" t="s">
        <v>456</v>
      </c>
      <c r="KC13" s="1" t="s">
        <v>457</v>
      </c>
      <c r="KD13" s="1" t="s">
        <v>458</v>
      </c>
      <c r="KE13" s="1" t="s">
        <v>459</v>
      </c>
      <c r="KF13" s="1" t="s">
        <v>460</v>
      </c>
      <c r="KG13" s="1" t="s">
        <v>461</v>
      </c>
      <c r="KH13" s="1" t="s">
        <v>462</v>
      </c>
      <c r="KI13" s="1" t="s">
        <v>463</v>
      </c>
      <c r="KJ13" s="1" t="s">
        <v>464</v>
      </c>
      <c r="KK13" s="1" t="s">
        <v>465</v>
      </c>
      <c r="KL13" s="1" t="s">
        <v>466</v>
      </c>
      <c r="KM13" s="1" t="s">
        <v>467</v>
      </c>
      <c r="KN13" s="1" t="s">
        <v>468</v>
      </c>
      <c r="KO13" s="1" t="s">
        <v>469</v>
      </c>
      <c r="KP13" s="1" t="s">
        <v>470</v>
      </c>
      <c r="KQ13" s="1" t="s">
        <v>187</v>
      </c>
      <c r="KR13" s="1" t="s">
        <v>471</v>
      </c>
      <c r="KS13" s="1" t="s">
        <v>472</v>
      </c>
      <c r="KT13" s="1" t="s">
        <v>473</v>
      </c>
      <c r="KU13" s="1" t="s">
        <v>474</v>
      </c>
      <c r="KV13" s="1" t="s">
        <v>475</v>
      </c>
      <c r="KW13" s="1" t="s">
        <v>476</v>
      </c>
      <c r="KX13" s="1" t="s">
        <v>477</v>
      </c>
      <c r="KY13" s="1" t="s">
        <v>478</v>
      </c>
      <c r="KZ13" s="1" t="s">
        <v>479</v>
      </c>
      <c r="LA13" s="1" t="s">
        <v>480</v>
      </c>
      <c r="LB13" s="1" t="s">
        <v>481</v>
      </c>
      <c r="LC13" s="1" t="s">
        <v>482</v>
      </c>
      <c r="LD13" s="1" t="s">
        <v>483</v>
      </c>
      <c r="LE13" s="1" t="s">
        <v>484</v>
      </c>
      <c r="LF13" s="1" t="s">
        <v>485</v>
      </c>
      <c r="LG13" s="1" t="s">
        <v>486</v>
      </c>
      <c r="LH13" s="1" t="s">
        <v>487</v>
      </c>
      <c r="LI13" s="1" t="s">
        <v>488</v>
      </c>
      <c r="LJ13" s="1" t="s">
        <v>489</v>
      </c>
      <c r="LK13" s="1" t="s">
        <v>490</v>
      </c>
      <c r="LL13" s="1" t="s">
        <v>491</v>
      </c>
      <c r="LM13" s="1" t="s">
        <v>492</v>
      </c>
      <c r="LN13" s="1" t="s">
        <v>493</v>
      </c>
      <c r="LO13" s="1" t="s">
        <v>494</v>
      </c>
      <c r="LP13" s="1" t="s">
        <v>495</v>
      </c>
      <c r="LQ13" s="1" t="s">
        <v>496</v>
      </c>
      <c r="LR13" s="1" t="s">
        <v>497</v>
      </c>
      <c r="LS13" s="1" t="s">
        <v>498</v>
      </c>
      <c r="LT13" s="1" t="s">
        <v>499</v>
      </c>
      <c r="LU13" s="1" t="s">
        <v>500</v>
      </c>
      <c r="LV13" s="1" t="s">
        <v>501</v>
      </c>
      <c r="LW13" s="1" t="s">
        <v>502</v>
      </c>
      <c r="LX13" s="1" t="s">
        <v>503</v>
      </c>
      <c r="LY13" s="1" t="s">
        <v>504</v>
      </c>
      <c r="LZ13" s="1" t="s">
        <v>505</v>
      </c>
      <c r="MA13" s="1" t="s">
        <v>506</v>
      </c>
      <c r="MB13" s="1" t="s">
        <v>507</v>
      </c>
      <c r="MC13" s="1" t="s">
        <v>508</v>
      </c>
      <c r="MD13" s="1" t="s">
        <v>509</v>
      </c>
      <c r="ME13" s="1" t="s">
        <v>510</v>
      </c>
      <c r="MF13" s="1" t="s">
        <v>511</v>
      </c>
      <c r="MG13" s="1" t="s">
        <v>186</v>
      </c>
      <c r="MH13" s="1" t="s">
        <v>512</v>
      </c>
      <c r="MI13" s="1" t="s">
        <v>513</v>
      </c>
      <c r="MJ13" s="1" t="s">
        <v>514</v>
      </c>
      <c r="MK13" s="1" t="s">
        <v>515</v>
      </c>
      <c r="ML13" s="1" t="s">
        <v>516</v>
      </c>
      <c r="MM13" s="1" t="s">
        <v>517</v>
      </c>
      <c r="MN13" s="1" t="s">
        <v>518</v>
      </c>
      <c r="MO13" s="1" t="s">
        <v>519</v>
      </c>
      <c r="MP13" s="1" t="s">
        <v>520</v>
      </c>
      <c r="MQ13" s="1" t="s">
        <v>521</v>
      </c>
      <c r="MR13" s="1" t="s">
        <v>522</v>
      </c>
      <c r="MS13" s="1" t="s">
        <v>523</v>
      </c>
      <c r="MT13" s="1" t="s">
        <v>524</v>
      </c>
      <c r="MU13" s="1" t="s">
        <v>525</v>
      </c>
      <c r="MV13" s="1" t="s">
        <v>526</v>
      </c>
      <c r="MW13" s="1" t="s">
        <v>527</v>
      </c>
      <c r="MX13" s="1" t="s">
        <v>528</v>
      </c>
      <c r="MY13" s="1" t="s">
        <v>529</v>
      </c>
      <c r="MZ13" s="1" t="s">
        <v>530</v>
      </c>
      <c r="NA13" s="1" t="s">
        <v>531</v>
      </c>
      <c r="NB13" s="1" t="s">
        <v>532</v>
      </c>
      <c r="NC13" s="1" t="s">
        <v>533</v>
      </c>
      <c r="ND13" s="1" t="s">
        <v>534</v>
      </c>
      <c r="NE13" s="1" t="s">
        <v>535</v>
      </c>
      <c r="NF13" s="1" t="s">
        <v>536</v>
      </c>
      <c r="NG13" s="1" t="s">
        <v>537</v>
      </c>
      <c r="NH13" s="1" t="s">
        <v>538</v>
      </c>
      <c r="NI13" s="1" t="s">
        <v>539</v>
      </c>
      <c r="NJ13" s="1" t="s">
        <v>540</v>
      </c>
      <c r="NK13" s="1" t="s">
        <v>541</v>
      </c>
      <c r="NL13" s="1" t="s">
        <v>542</v>
      </c>
      <c r="NM13" s="1" t="s">
        <v>543</v>
      </c>
      <c r="NN13" s="1" t="s">
        <v>544</v>
      </c>
      <c r="NO13" s="1" t="s">
        <v>545</v>
      </c>
      <c r="NP13" s="1" t="s">
        <v>546</v>
      </c>
      <c r="NQ13" s="1" t="s">
        <v>547</v>
      </c>
      <c r="NR13" s="1" t="s">
        <v>548</v>
      </c>
      <c r="NS13" s="1" t="s">
        <v>549</v>
      </c>
      <c r="NT13" s="1" t="s">
        <v>550</v>
      </c>
      <c r="NU13" s="1" t="s">
        <v>551</v>
      </c>
      <c r="NV13" s="1" t="s">
        <v>552</v>
      </c>
      <c r="NW13" s="1" t="s">
        <v>553</v>
      </c>
      <c r="NX13" s="1" t="s">
        <v>554</v>
      </c>
      <c r="NY13" s="1" t="s">
        <v>555</v>
      </c>
      <c r="NZ13" s="1" t="s">
        <v>556</v>
      </c>
      <c r="OA13" s="1" t="s">
        <v>557</v>
      </c>
      <c r="OB13" s="1" t="s">
        <v>558</v>
      </c>
      <c r="OC13" s="1" t="s">
        <v>559</v>
      </c>
      <c r="OD13" s="1" t="s">
        <v>560</v>
      </c>
      <c r="OE13" s="1" t="s">
        <v>561</v>
      </c>
      <c r="OF13" s="1" t="s">
        <v>562</v>
      </c>
      <c r="OG13" s="1" t="s">
        <v>563</v>
      </c>
      <c r="OH13" s="1" t="s">
        <v>564</v>
      </c>
      <c r="OI13" s="1" t="s">
        <v>565</v>
      </c>
      <c r="OJ13" s="1" t="s">
        <v>566</v>
      </c>
      <c r="OK13" s="1" t="s">
        <v>567</v>
      </c>
      <c r="OL13" s="1" t="s">
        <v>568</v>
      </c>
      <c r="OM13" s="1" t="s">
        <v>569</v>
      </c>
      <c r="ON13" s="1" t="s">
        <v>570</v>
      </c>
      <c r="OO13" s="1" t="s">
        <v>571</v>
      </c>
      <c r="OP13" s="1" t="s">
        <v>572</v>
      </c>
      <c r="OQ13" s="1" t="s">
        <v>573</v>
      </c>
      <c r="OR13" s="1" t="s">
        <v>574</v>
      </c>
      <c r="OS13" s="1" t="s">
        <v>575</v>
      </c>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row>
    <row r="14" spans="1:1022" ht="18.899999999999999" customHeight="1" thickBot="1" x14ac:dyDescent="0.5">
      <c r="A14" s="5" t="s">
        <v>529</v>
      </c>
      <c r="B14" s="5" t="s">
        <v>522</v>
      </c>
      <c r="C14" s="5" t="s">
        <v>576</v>
      </c>
      <c r="D14" s="5">
        <v>-1</v>
      </c>
      <c r="E14" s="5">
        <v>-1</v>
      </c>
      <c r="G14" s="6" t="s">
        <v>577</v>
      </c>
      <c r="H14" s="5">
        <v>10</v>
      </c>
      <c r="I14" s="5">
        <v>10</v>
      </c>
      <c r="K14" s="5">
        <v>9</v>
      </c>
      <c r="L14" s="5" t="s">
        <v>578</v>
      </c>
      <c r="M14" s="5" t="s">
        <v>138</v>
      </c>
      <c r="O14" s="5">
        <v>9</v>
      </c>
      <c r="P14" s="5" t="s">
        <v>579</v>
      </c>
      <c r="Q14" s="5">
        <v>30</v>
      </c>
      <c r="R14" s="7">
        <v>46266</v>
      </c>
      <c r="S14" s="7">
        <v>46295</v>
      </c>
      <c r="U14" s="31" t="s">
        <v>580</v>
      </c>
      <c r="V14" s="1" t="s">
        <v>197</v>
      </c>
      <c r="W14" s="1" t="s">
        <v>197</v>
      </c>
      <c r="X14" s="1" t="s">
        <v>199</v>
      </c>
      <c r="Y14" s="1" t="s">
        <v>199</v>
      </c>
      <c r="Z14" s="1" t="s">
        <v>160</v>
      </c>
      <c r="AA14" s="1" t="s">
        <v>160</v>
      </c>
      <c r="AB14" s="1" t="s">
        <v>160</v>
      </c>
      <c r="AC14" s="1" t="s">
        <v>160</v>
      </c>
      <c r="AD14" s="1" t="s">
        <v>160</v>
      </c>
      <c r="AE14" s="1" t="s">
        <v>160</v>
      </c>
      <c r="AF14" s="1" t="s">
        <v>160</v>
      </c>
      <c r="AG14" s="1" t="s">
        <v>160</v>
      </c>
      <c r="AH14" s="1" t="s">
        <v>160</v>
      </c>
      <c r="AI14" s="1" t="s">
        <v>160</v>
      </c>
      <c r="AJ14" s="1" t="s">
        <v>160</v>
      </c>
      <c r="AK14" s="1" t="s">
        <v>160</v>
      </c>
      <c r="AL14" s="1" t="s">
        <v>160</v>
      </c>
      <c r="AM14" s="1" t="s">
        <v>160</v>
      </c>
      <c r="AN14" s="1" t="s">
        <v>160</v>
      </c>
      <c r="AO14" s="1" t="s">
        <v>160</v>
      </c>
      <c r="AP14" s="1" t="s">
        <v>160</v>
      </c>
      <c r="AQ14" s="1" t="s">
        <v>160</v>
      </c>
      <c r="AR14" s="1" t="s">
        <v>160</v>
      </c>
      <c r="AS14" s="1" t="s">
        <v>160</v>
      </c>
      <c r="AT14" s="1" t="s">
        <v>160</v>
      </c>
      <c r="AU14" s="1" t="s">
        <v>160</v>
      </c>
      <c r="AV14" s="1" t="s">
        <v>160</v>
      </c>
      <c r="AW14" s="1" t="s">
        <v>160</v>
      </c>
      <c r="AX14" s="1" t="s">
        <v>160</v>
      </c>
      <c r="AY14" s="1" t="s">
        <v>160</v>
      </c>
      <c r="AZ14" s="1" t="s">
        <v>160</v>
      </c>
      <c r="BA14" s="1" t="s">
        <v>160</v>
      </c>
      <c r="BB14" s="1" t="s">
        <v>160</v>
      </c>
      <c r="BC14" s="1" t="s">
        <v>160</v>
      </c>
      <c r="BD14" s="1" t="s">
        <v>160</v>
      </c>
      <c r="BE14" s="1" t="s">
        <v>160</v>
      </c>
      <c r="BF14" s="1" t="s">
        <v>160</v>
      </c>
      <c r="BG14" s="1" t="s">
        <v>160</v>
      </c>
      <c r="BH14" s="1" t="s">
        <v>160</v>
      </c>
      <c r="BI14" s="1" t="s">
        <v>160</v>
      </c>
      <c r="BJ14" s="1" t="s">
        <v>160</v>
      </c>
      <c r="BK14" s="1" t="s">
        <v>160</v>
      </c>
      <c r="BL14" s="1" t="s">
        <v>160</v>
      </c>
      <c r="BM14" s="1" t="s">
        <v>160</v>
      </c>
      <c r="BN14" s="1" t="s">
        <v>160</v>
      </c>
      <c r="BO14" s="1" t="s">
        <v>160</v>
      </c>
      <c r="BP14" s="1" t="s">
        <v>160</v>
      </c>
      <c r="BQ14" s="1" t="s">
        <v>160</v>
      </c>
      <c r="BR14" s="1" t="s">
        <v>160</v>
      </c>
      <c r="BS14" s="1" t="s">
        <v>160</v>
      </c>
      <c r="BT14" s="1" t="s">
        <v>160</v>
      </c>
      <c r="BU14" s="1" t="s">
        <v>160</v>
      </c>
      <c r="BV14" s="1" t="s">
        <v>160</v>
      </c>
      <c r="BW14" s="1" t="s">
        <v>160</v>
      </c>
      <c r="BX14" s="1" t="s">
        <v>160</v>
      </c>
      <c r="BY14" s="1" t="s">
        <v>254</v>
      </c>
      <c r="BZ14" s="1" t="s">
        <v>254</v>
      </c>
      <c r="CA14" s="1" t="s">
        <v>254</v>
      </c>
      <c r="CB14" s="1" t="s">
        <v>254</v>
      </c>
      <c r="CC14" s="1" t="s">
        <v>254</v>
      </c>
      <c r="CD14" s="1" t="s">
        <v>254</v>
      </c>
      <c r="CE14" s="1" t="s">
        <v>254</v>
      </c>
      <c r="CF14" s="1" t="s">
        <v>254</v>
      </c>
      <c r="CG14" s="1" t="s">
        <v>254</v>
      </c>
      <c r="CH14" s="1" t="s">
        <v>254</v>
      </c>
      <c r="CI14" s="1" t="s">
        <v>254</v>
      </c>
      <c r="CJ14" s="1" t="s">
        <v>254</v>
      </c>
      <c r="CK14" s="1" t="s">
        <v>254</v>
      </c>
      <c r="CL14" s="1" t="s">
        <v>192</v>
      </c>
      <c r="CM14" s="1" t="s">
        <v>192</v>
      </c>
      <c r="CN14" s="1" t="s">
        <v>192</v>
      </c>
      <c r="CO14" s="1" t="s">
        <v>192</v>
      </c>
      <c r="CP14" s="1" t="s">
        <v>192</v>
      </c>
      <c r="CQ14" s="1" t="s">
        <v>192</v>
      </c>
      <c r="CR14" s="1" t="s">
        <v>192</v>
      </c>
      <c r="CS14" s="1" t="s">
        <v>192</v>
      </c>
      <c r="CT14" s="1" t="s">
        <v>192</v>
      </c>
      <c r="CU14" s="1" t="s">
        <v>192</v>
      </c>
      <c r="CV14" s="1" t="s">
        <v>192</v>
      </c>
      <c r="CW14" s="1" t="s">
        <v>192</v>
      </c>
      <c r="CX14" s="1" t="s">
        <v>192</v>
      </c>
      <c r="CY14" s="1" t="s">
        <v>192</v>
      </c>
      <c r="CZ14" s="1" t="s">
        <v>192</v>
      </c>
      <c r="DA14" s="1" t="s">
        <v>192</v>
      </c>
      <c r="DB14" s="1" t="s">
        <v>192</v>
      </c>
      <c r="DC14" s="1" t="s">
        <v>192</v>
      </c>
      <c r="DD14" s="1" t="s">
        <v>192</v>
      </c>
      <c r="DE14" s="1" t="s">
        <v>192</v>
      </c>
      <c r="DF14" s="1" t="s">
        <v>192</v>
      </c>
      <c r="DG14" s="1" t="s">
        <v>192</v>
      </c>
      <c r="DH14" s="1" t="s">
        <v>192</v>
      </c>
      <c r="DI14" s="1" t="s">
        <v>192</v>
      </c>
      <c r="DJ14" s="1" t="s">
        <v>192</v>
      </c>
      <c r="DK14" s="1" t="s">
        <v>192</v>
      </c>
      <c r="DL14" s="1" t="s">
        <v>192</v>
      </c>
      <c r="DM14" s="1" t="s">
        <v>192</v>
      </c>
      <c r="DN14" s="1" t="s">
        <v>192</v>
      </c>
      <c r="DO14" s="1" t="s">
        <v>192</v>
      </c>
      <c r="DP14" s="1" t="s">
        <v>192</v>
      </c>
      <c r="DQ14" s="1" t="s">
        <v>192</v>
      </c>
      <c r="DR14" s="1" t="s">
        <v>192</v>
      </c>
      <c r="DS14" s="1" t="s">
        <v>192</v>
      </c>
      <c r="DT14" s="1" t="s">
        <v>192</v>
      </c>
      <c r="DU14" s="1" t="s">
        <v>192</v>
      </c>
      <c r="DV14" s="1" t="s">
        <v>192</v>
      </c>
      <c r="DW14" s="1" t="s">
        <v>192</v>
      </c>
      <c r="DX14" s="1" t="s">
        <v>192</v>
      </c>
      <c r="DY14" s="1" t="s">
        <v>192</v>
      </c>
      <c r="DZ14" s="1" t="s">
        <v>192</v>
      </c>
      <c r="EA14" s="1" t="s">
        <v>192</v>
      </c>
      <c r="EB14" s="1" t="s">
        <v>192</v>
      </c>
      <c r="EC14" s="1" t="s">
        <v>192</v>
      </c>
      <c r="ED14" s="1" t="s">
        <v>192</v>
      </c>
      <c r="EE14" s="1" t="s">
        <v>192</v>
      </c>
      <c r="EF14" s="1" t="s">
        <v>192</v>
      </c>
      <c r="EG14" s="1" t="s">
        <v>192</v>
      </c>
      <c r="EH14" s="1" t="s">
        <v>192</v>
      </c>
      <c r="EI14" s="1" t="s">
        <v>192</v>
      </c>
      <c r="EJ14" s="1" t="s">
        <v>192</v>
      </c>
      <c r="EK14" s="1" t="s">
        <v>192</v>
      </c>
      <c r="EL14" s="1" t="s">
        <v>192</v>
      </c>
      <c r="EM14" s="1" t="s">
        <v>192</v>
      </c>
      <c r="EN14" s="1" t="s">
        <v>192</v>
      </c>
      <c r="EO14" s="1" t="s">
        <v>192</v>
      </c>
      <c r="EP14" s="1" t="s">
        <v>192</v>
      </c>
      <c r="EQ14" s="1" t="s">
        <v>192</v>
      </c>
      <c r="ER14" s="1" t="s">
        <v>192</v>
      </c>
      <c r="ES14" s="1" t="s">
        <v>192</v>
      </c>
      <c r="ET14" s="1" t="s">
        <v>192</v>
      </c>
      <c r="EU14" s="1" t="s">
        <v>192</v>
      </c>
      <c r="EV14" s="1" t="s">
        <v>192</v>
      </c>
      <c r="EW14" s="1" t="s">
        <v>192</v>
      </c>
      <c r="EX14" s="1" t="s">
        <v>192</v>
      </c>
      <c r="EY14" s="1" t="s">
        <v>192</v>
      </c>
      <c r="EZ14" s="1" t="s">
        <v>192</v>
      </c>
      <c r="FA14" s="1" t="s">
        <v>192</v>
      </c>
      <c r="FB14" s="1" t="s">
        <v>192</v>
      </c>
      <c r="FC14" s="1" t="s">
        <v>192</v>
      </c>
      <c r="FD14" s="1" t="s">
        <v>192</v>
      </c>
      <c r="FE14" s="1" t="s">
        <v>192</v>
      </c>
      <c r="FF14" s="1" t="s">
        <v>192</v>
      </c>
      <c r="FG14" s="1" t="s">
        <v>192</v>
      </c>
      <c r="FH14" s="1" t="s">
        <v>192</v>
      </c>
      <c r="FI14" s="1" t="s">
        <v>192</v>
      </c>
      <c r="FJ14" s="1" t="s">
        <v>192</v>
      </c>
      <c r="FK14" s="1" t="s">
        <v>192</v>
      </c>
      <c r="FL14" s="1" t="s">
        <v>192</v>
      </c>
      <c r="FM14" s="1" t="s">
        <v>192</v>
      </c>
      <c r="FN14" s="1" t="s">
        <v>192</v>
      </c>
      <c r="FO14" s="1" t="s">
        <v>192</v>
      </c>
      <c r="FP14" s="1" t="s">
        <v>192</v>
      </c>
      <c r="FQ14" s="1" t="s">
        <v>192</v>
      </c>
      <c r="FR14" s="1" t="s">
        <v>192</v>
      </c>
      <c r="FS14" s="1" t="s">
        <v>192</v>
      </c>
      <c r="FT14" s="1" t="s">
        <v>192</v>
      </c>
      <c r="FU14" s="1" t="s">
        <v>192</v>
      </c>
      <c r="FV14" s="1" t="s">
        <v>192</v>
      </c>
      <c r="FW14" s="1" t="s">
        <v>192</v>
      </c>
      <c r="FX14" s="1" t="s">
        <v>192</v>
      </c>
      <c r="FY14" s="1" t="s">
        <v>192</v>
      </c>
      <c r="FZ14" s="1" t="s">
        <v>192</v>
      </c>
      <c r="GA14" s="1" t="s">
        <v>192</v>
      </c>
      <c r="GB14" s="1" t="s">
        <v>192</v>
      </c>
      <c r="GC14" s="1" t="s">
        <v>192</v>
      </c>
      <c r="GD14" s="1" t="s">
        <v>192</v>
      </c>
      <c r="GE14" s="1" t="s">
        <v>192</v>
      </c>
      <c r="GF14" s="1" t="s">
        <v>192</v>
      </c>
      <c r="GG14" s="1" t="s">
        <v>192</v>
      </c>
      <c r="GH14" s="1" t="s">
        <v>192</v>
      </c>
      <c r="GI14" s="1" t="s">
        <v>192</v>
      </c>
      <c r="GJ14" s="1" t="s">
        <v>192</v>
      </c>
      <c r="GK14" s="1" t="s">
        <v>192</v>
      </c>
      <c r="GL14" s="1" t="s">
        <v>192</v>
      </c>
      <c r="GM14" s="1" t="s">
        <v>187</v>
      </c>
      <c r="GN14" s="1" t="s">
        <v>192</v>
      </c>
      <c r="GO14" s="1" t="s">
        <v>192</v>
      </c>
      <c r="GP14" s="1" t="s">
        <v>192</v>
      </c>
      <c r="GQ14" s="1" t="s">
        <v>192</v>
      </c>
      <c r="GR14" s="1" t="s">
        <v>374</v>
      </c>
      <c r="GS14" s="1" t="s">
        <v>374</v>
      </c>
      <c r="GT14" s="1" t="s">
        <v>374</v>
      </c>
      <c r="GU14" s="1" t="s">
        <v>374</v>
      </c>
      <c r="GV14" s="1" t="s">
        <v>374</v>
      </c>
      <c r="GW14" s="1" t="s">
        <v>374</v>
      </c>
      <c r="GX14" s="1" t="s">
        <v>374</v>
      </c>
      <c r="GY14" s="1" t="s">
        <v>374</v>
      </c>
      <c r="GZ14" s="1" t="s">
        <v>374</v>
      </c>
      <c r="HA14" s="1" t="s">
        <v>374</v>
      </c>
      <c r="HB14" s="1" t="s">
        <v>374</v>
      </c>
      <c r="HC14" s="1" t="s">
        <v>374</v>
      </c>
      <c r="HD14" s="1" t="s">
        <v>374</v>
      </c>
      <c r="HE14" s="1" t="s">
        <v>374</v>
      </c>
      <c r="HF14" s="1" t="s">
        <v>181</v>
      </c>
      <c r="HG14" s="1" t="s">
        <v>181</v>
      </c>
      <c r="HH14" s="1" t="s">
        <v>181</v>
      </c>
      <c r="HI14" s="1" t="s">
        <v>181</v>
      </c>
      <c r="HJ14" s="1" t="s">
        <v>181</v>
      </c>
      <c r="HK14" s="1" t="s">
        <v>181</v>
      </c>
      <c r="HL14" s="1" t="s">
        <v>181</v>
      </c>
      <c r="HM14" s="1" t="s">
        <v>181</v>
      </c>
      <c r="HN14" s="1" t="s">
        <v>181</v>
      </c>
      <c r="HO14" s="1" t="s">
        <v>181</v>
      </c>
      <c r="HP14" s="1" t="s">
        <v>181</v>
      </c>
      <c r="HQ14" s="1" t="s">
        <v>181</v>
      </c>
      <c r="HR14" s="1" t="s">
        <v>181</v>
      </c>
      <c r="HS14" s="1" t="s">
        <v>181</v>
      </c>
      <c r="HT14" s="1" t="s">
        <v>181</v>
      </c>
      <c r="HU14" s="1" t="s">
        <v>181</v>
      </c>
      <c r="HV14" s="1" t="s">
        <v>181</v>
      </c>
      <c r="HW14" s="1" t="s">
        <v>181</v>
      </c>
      <c r="HX14" s="1" t="s">
        <v>181</v>
      </c>
      <c r="HY14" s="1" t="s">
        <v>181</v>
      </c>
      <c r="HZ14" s="1" t="s">
        <v>181</v>
      </c>
      <c r="IA14" s="1" t="s">
        <v>181</v>
      </c>
      <c r="IB14" s="1" t="s">
        <v>181</v>
      </c>
      <c r="IC14" s="1" t="s">
        <v>181</v>
      </c>
      <c r="ID14" s="1" t="s">
        <v>181</v>
      </c>
      <c r="IE14" s="1" t="s">
        <v>181</v>
      </c>
      <c r="IF14" s="1" t="s">
        <v>181</v>
      </c>
      <c r="IG14" s="1" t="s">
        <v>181</v>
      </c>
      <c r="IH14" s="1" t="s">
        <v>181</v>
      </c>
      <c r="II14" s="1" t="s">
        <v>181</v>
      </c>
      <c r="IJ14" s="1" t="s">
        <v>181</v>
      </c>
      <c r="IK14" s="1" t="s">
        <v>181</v>
      </c>
      <c r="IL14" s="1" t="s">
        <v>181</v>
      </c>
      <c r="IM14" s="1" t="s">
        <v>181</v>
      </c>
      <c r="IN14" s="1" t="s">
        <v>181</v>
      </c>
      <c r="IO14" s="1" t="s">
        <v>181</v>
      </c>
      <c r="IP14" s="1" t="s">
        <v>181</v>
      </c>
      <c r="IQ14" s="1" t="s">
        <v>181</v>
      </c>
      <c r="IR14" s="1" t="s">
        <v>181</v>
      </c>
      <c r="IS14" s="1" t="s">
        <v>181</v>
      </c>
      <c r="IT14" s="1" t="s">
        <v>181</v>
      </c>
      <c r="IU14" s="1" t="s">
        <v>181</v>
      </c>
      <c r="IV14" s="1" t="s">
        <v>181</v>
      </c>
      <c r="IW14" s="1" t="s">
        <v>181</v>
      </c>
      <c r="IX14" s="1" t="s">
        <v>181</v>
      </c>
      <c r="IY14" s="1" t="s">
        <v>181</v>
      </c>
      <c r="IZ14" s="1" t="s">
        <v>181</v>
      </c>
      <c r="JA14" s="1" t="s">
        <v>181</v>
      </c>
      <c r="JB14" s="1" t="s">
        <v>434</v>
      </c>
      <c r="JC14" s="1" t="s">
        <v>434</v>
      </c>
      <c r="JD14" s="1" t="s">
        <v>434</v>
      </c>
      <c r="JE14" s="1" t="s">
        <v>434</v>
      </c>
      <c r="JF14" s="1" t="s">
        <v>434</v>
      </c>
      <c r="JG14" s="1" t="s">
        <v>434</v>
      </c>
      <c r="JH14" s="1" t="s">
        <v>434</v>
      </c>
      <c r="JI14" s="1" t="s">
        <v>434</v>
      </c>
      <c r="JJ14" s="1" t="s">
        <v>434</v>
      </c>
      <c r="JK14" s="1" t="s">
        <v>434</v>
      </c>
      <c r="JL14" s="1" t="s">
        <v>434</v>
      </c>
      <c r="JM14" s="1" t="s">
        <v>187</v>
      </c>
      <c r="JN14" s="1" t="s">
        <v>187</v>
      </c>
      <c r="JO14" s="1" t="s">
        <v>187</v>
      </c>
      <c r="JP14" s="1" t="s">
        <v>187</v>
      </c>
      <c r="JQ14" s="1" t="s">
        <v>187</v>
      </c>
      <c r="JR14" s="1" t="s">
        <v>187</v>
      </c>
      <c r="JS14" s="1" t="s">
        <v>187</v>
      </c>
      <c r="JT14" s="1" t="s">
        <v>187</v>
      </c>
      <c r="JU14" s="1" t="s">
        <v>187</v>
      </c>
      <c r="JV14" s="1" t="s">
        <v>187</v>
      </c>
      <c r="JW14" s="1" t="s">
        <v>187</v>
      </c>
      <c r="JX14" s="1" t="s">
        <v>187</v>
      </c>
      <c r="JY14" s="1" t="s">
        <v>187</v>
      </c>
      <c r="JZ14" s="1" t="s">
        <v>187</v>
      </c>
      <c r="KA14" s="1" t="s">
        <v>187</v>
      </c>
      <c r="KB14" s="1" t="s">
        <v>187</v>
      </c>
      <c r="KC14" s="1" t="s">
        <v>187</v>
      </c>
      <c r="KD14" s="1" t="s">
        <v>187</v>
      </c>
      <c r="KE14" s="1" t="s">
        <v>187</v>
      </c>
      <c r="KF14" s="1" t="s">
        <v>187</v>
      </c>
      <c r="KG14" s="1" t="s">
        <v>187</v>
      </c>
      <c r="KH14" s="1" t="s">
        <v>187</v>
      </c>
      <c r="KI14" s="1" t="s">
        <v>187</v>
      </c>
      <c r="KJ14" s="1" t="s">
        <v>187</v>
      </c>
      <c r="KK14" s="1" t="s">
        <v>187</v>
      </c>
      <c r="KL14" s="1" t="s">
        <v>187</v>
      </c>
      <c r="KM14" s="1" t="s">
        <v>187</v>
      </c>
      <c r="KN14" s="1" t="s">
        <v>187</v>
      </c>
      <c r="KO14" s="1" t="s">
        <v>187</v>
      </c>
      <c r="KP14" s="1" t="s">
        <v>187</v>
      </c>
      <c r="KQ14" s="1" t="s">
        <v>187</v>
      </c>
      <c r="KR14" s="1" t="s">
        <v>187</v>
      </c>
      <c r="KS14" s="1" t="s">
        <v>187</v>
      </c>
      <c r="KT14" s="1" t="s">
        <v>187</v>
      </c>
      <c r="KU14" s="1" t="s">
        <v>187</v>
      </c>
      <c r="KV14" s="1" t="s">
        <v>187</v>
      </c>
      <c r="KW14" s="1" t="s">
        <v>187</v>
      </c>
      <c r="KX14" s="1" t="s">
        <v>187</v>
      </c>
      <c r="KY14" s="1" t="s">
        <v>187</v>
      </c>
      <c r="KZ14" s="1" t="s">
        <v>187</v>
      </c>
      <c r="LA14" s="1" t="s">
        <v>187</v>
      </c>
      <c r="LB14" s="1" t="s">
        <v>187</v>
      </c>
      <c r="LC14" s="1" t="s">
        <v>187</v>
      </c>
      <c r="LD14" s="1" t="s">
        <v>187</v>
      </c>
      <c r="LE14" s="1" t="s">
        <v>187</v>
      </c>
      <c r="LF14" s="1" t="s">
        <v>187</v>
      </c>
      <c r="LG14" s="1" t="s">
        <v>187</v>
      </c>
      <c r="LH14" s="1" t="s">
        <v>187</v>
      </c>
      <c r="LI14" s="1" t="s">
        <v>187</v>
      </c>
      <c r="LJ14" s="1" t="s">
        <v>187</v>
      </c>
      <c r="LK14" s="1" t="s">
        <v>187</v>
      </c>
      <c r="LL14" s="1" t="s">
        <v>187</v>
      </c>
      <c r="LM14" s="1" t="s">
        <v>187</v>
      </c>
      <c r="LN14" s="1" t="s">
        <v>187</v>
      </c>
      <c r="LO14" s="1" t="s">
        <v>187</v>
      </c>
      <c r="LP14" s="1" t="s">
        <v>187</v>
      </c>
      <c r="LQ14" s="1" t="s">
        <v>187</v>
      </c>
      <c r="LR14" s="1" t="s">
        <v>187</v>
      </c>
      <c r="LS14" s="1" t="s">
        <v>187</v>
      </c>
      <c r="LT14" s="1" t="s">
        <v>187</v>
      </c>
      <c r="LU14" s="1" t="s">
        <v>187</v>
      </c>
      <c r="LV14" s="1" t="s">
        <v>187</v>
      </c>
      <c r="LW14" s="1" t="s">
        <v>187</v>
      </c>
      <c r="LX14" s="1" t="s">
        <v>187</v>
      </c>
      <c r="LY14" s="1" t="s">
        <v>187</v>
      </c>
      <c r="LZ14" s="1" t="s">
        <v>187</v>
      </c>
      <c r="MA14" s="1" t="s">
        <v>187</v>
      </c>
      <c r="MB14" s="1" t="s">
        <v>187</v>
      </c>
      <c r="MC14" s="1" t="s">
        <v>187</v>
      </c>
      <c r="MD14" s="1" t="s">
        <v>187</v>
      </c>
      <c r="ME14" s="1" t="s">
        <v>187</v>
      </c>
      <c r="MF14" s="1" t="s">
        <v>187</v>
      </c>
      <c r="MG14" s="1" t="s">
        <v>187</v>
      </c>
      <c r="MH14" s="1" t="s">
        <v>187</v>
      </c>
      <c r="MI14" s="1" t="s">
        <v>187</v>
      </c>
      <c r="MJ14" s="1" t="s">
        <v>187</v>
      </c>
      <c r="MK14" s="1" t="s">
        <v>187</v>
      </c>
      <c r="ML14" s="1" t="s">
        <v>187</v>
      </c>
      <c r="MM14" s="1" t="s">
        <v>187</v>
      </c>
      <c r="MN14" s="1" t="s">
        <v>522</v>
      </c>
      <c r="MO14" s="1" t="s">
        <v>522</v>
      </c>
      <c r="MP14" s="1" t="s">
        <v>522</v>
      </c>
      <c r="MQ14" s="1" t="s">
        <v>522</v>
      </c>
      <c r="MR14" s="1" t="s">
        <v>522</v>
      </c>
      <c r="MS14" s="1" t="s">
        <v>522</v>
      </c>
      <c r="MT14" s="1" t="s">
        <v>522</v>
      </c>
      <c r="MU14" s="1" t="s">
        <v>522</v>
      </c>
      <c r="MV14" s="1" t="s">
        <v>522</v>
      </c>
      <c r="MW14" s="1" t="s">
        <v>522</v>
      </c>
      <c r="MX14" s="1" t="s">
        <v>522</v>
      </c>
      <c r="MY14" s="1" t="s">
        <v>522</v>
      </c>
      <c r="MZ14" s="1" t="s">
        <v>538</v>
      </c>
      <c r="NA14" s="1" t="s">
        <v>538</v>
      </c>
      <c r="NB14" s="1" t="s">
        <v>538</v>
      </c>
      <c r="NC14" s="1" t="s">
        <v>538</v>
      </c>
      <c r="ND14" s="1" t="s">
        <v>538</v>
      </c>
      <c r="NE14" s="1" t="s">
        <v>538</v>
      </c>
      <c r="NF14" s="1" t="s">
        <v>538</v>
      </c>
      <c r="NG14" s="1" t="s">
        <v>538</v>
      </c>
      <c r="NH14" s="1" t="s">
        <v>538</v>
      </c>
      <c r="NI14" s="1" t="s">
        <v>538</v>
      </c>
      <c r="NJ14" s="1" t="s">
        <v>538</v>
      </c>
      <c r="NK14" s="1" t="s">
        <v>538</v>
      </c>
      <c r="NL14" s="1" t="s">
        <v>538</v>
      </c>
      <c r="NM14" s="1" t="s">
        <v>538</v>
      </c>
      <c r="NN14" s="1" t="s">
        <v>538</v>
      </c>
      <c r="NO14" s="1" t="s">
        <v>538</v>
      </c>
      <c r="NP14" s="1" t="s">
        <v>538</v>
      </c>
      <c r="NQ14" s="1" t="s">
        <v>538</v>
      </c>
      <c r="NR14" s="1" t="s">
        <v>538</v>
      </c>
      <c r="NS14" s="1" t="s">
        <v>538</v>
      </c>
      <c r="NT14" s="1" t="s">
        <v>555</v>
      </c>
      <c r="NU14" s="1" t="s">
        <v>555</v>
      </c>
      <c r="NV14" s="1" t="s">
        <v>555</v>
      </c>
      <c r="NW14" s="1" t="s">
        <v>555</v>
      </c>
      <c r="NX14" s="1" t="s">
        <v>555</v>
      </c>
      <c r="NY14" s="1" t="s">
        <v>555</v>
      </c>
      <c r="NZ14" s="1" t="s">
        <v>555</v>
      </c>
      <c r="OA14" s="1" t="s">
        <v>555</v>
      </c>
      <c r="OB14" s="1" t="s">
        <v>555</v>
      </c>
      <c r="OC14" s="1" t="s">
        <v>555</v>
      </c>
      <c r="OD14" s="1" t="s">
        <v>555</v>
      </c>
      <c r="OE14" s="1" t="s">
        <v>555</v>
      </c>
      <c r="OF14" s="1" t="s">
        <v>564</v>
      </c>
      <c r="OG14" s="1" t="s">
        <v>564</v>
      </c>
      <c r="OH14" s="1" t="s">
        <v>564</v>
      </c>
      <c r="OI14" s="1" t="s">
        <v>564</v>
      </c>
      <c r="OJ14" s="1" t="s">
        <v>564</v>
      </c>
      <c r="OK14" s="1" t="s">
        <v>573</v>
      </c>
      <c r="OL14" s="1" t="s">
        <v>573</v>
      </c>
      <c r="OM14" s="1" t="s">
        <v>573</v>
      </c>
      <c r="ON14" s="1" t="s">
        <v>573</v>
      </c>
      <c r="OO14" s="1" t="s">
        <v>573</v>
      </c>
      <c r="OP14" s="1" t="s">
        <v>573</v>
      </c>
      <c r="OQ14" s="1" t="s">
        <v>573</v>
      </c>
      <c r="OR14" s="1" t="s">
        <v>573</v>
      </c>
      <c r="OS14" s="1" t="s">
        <v>573</v>
      </c>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row>
    <row r="15" spans="1:1022" ht="18.899999999999999" customHeight="1" x14ac:dyDescent="0.45">
      <c r="A15" s="5" t="s">
        <v>262</v>
      </c>
      <c r="B15" s="5" t="s">
        <v>254</v>
      </c>
      <c r="C15" s="5" t="s">
        <v>581</v>
      </c>
      <c r="D15" s="5">
        <v>-1</v>
      </c>
      <c r="E15" s="5">
        <v>1</v>
      </c>
      <c r="G15" s="5" t="s">
        <v>582</v>
      </c>
      <c r="H15" s="5">
        <v>10</v>
      </c>
      <c r="I15" s="5">
        <v>11</v>
      </c>
      <c r="K15" s="5">
        <v>10</v>
      </c>
      <c r="L15" s="5" t="s">
        <v>582</v>
      </c>
      <c r="M15" s="5" t="s">
        <v>145</v>
      </c>
      <c r="O15" s="5">
        <v>10</v>
      </c>
      <c r="P15" s="5" t="s">
        <v>583</v>
      </c>
      <c r="Q15" s="5">
        <v>31</v>
      </c>
      <c r="R15" s="7">
        <v>46296</v>
      </c>
      <c r="S15" s="7">
        <v>46326</v>
      </c>
    </row>
    <row r="16" spans="1:1022" ht="18.899999999999999" customHeight="1" x14ac:dyDescent="0.45">
      <c r="A16" s="5" t="s">
        <v>437</v>
      </c>
      <c r="B16" s="5" t="s">
        <v>434</v>
      </c>
      <c r="C16" s="5" t="s">
        <v>584</v>
      </c>
      <c r="D16" s="5">
        <v>1</v>
      </c>
      <c r="E16" s="5">
        <v>-1</v>
      </c>
      <c r="G16" s="5" t="s">
        <v>585</v>
      </c>
      <c r="H16" s="5">
        <v>10</v>
      </c>
      <c r="I16" s="5">
        <v>12</v>
      </c>
      <c r="K16" s="5">
        <v>11</v>
      </c>
      <c r="L16" s="5" t="s">
        <v>586</v>
      </c>
      <c r="M16" s="5" t="s">
        <v>145</v>
      </c>
      <c r="O16" s="5">
        <v>11</v>
      </c>
      <c r="P16" s="5" t="s">
        <v>587</v>
      </c>
      <c r="Q16" s="5">
        <v>30</v>
      </c>
      <c r="R16" s="7">
        <v>46327</v>
      </c>
      <c r="S16" s="7">
        <v>46356</v>
      </c>
      <c r="U16" s="40" t="s">
        <v>588</v>
      </c>
      <c r="V16" s="1">
        <v>0</v>
      </c>
      <c r="W16" s="1">
        <v>1</v>
      </c>
      <c r="X16" s="1">
        <v>2</v>
      </c>
      <c r="Y16" s="1">
        <v>3</v>
      </c>
      <c r="Z16" s="1">
        <v>4</v>
      </c>
      <c r="AA16" s="1">
        <v>5</v>
      </c>
      <c r="AB16" s="1">
        <v>6</v>
      </c>
      <c r="AC16" s="1">
        <v>7</v>
      </c>
      <c r="AD16" s="1">
        <v>8</v>
      </c>
      <c r="AE16" s="1">
        <v>9</v>
      </c>
      <c r="AF16" s="1">
        <v>10</v>
      </c>
      <c r="AG16" s="1">
        <v>11</v>
      </c>
      <c r="AH16" s="1">
        <v>12</v>
      </c>
      <c r="AI16" s="1">
        <v>13</v>
      </c>
      <c r="AJ16" s="1">
        <v>14</v>
      </c>
      <c r="AK16" s="1">
        <v>15</v>
      </c>
      <c r="AL16" s="1">
        <v>16</v>
      </c>
      <c r="AM16" s="1">
        <v>17</v>
      </c>
      <c r="AN16" s="1">
        <v>18</v>
      </c>
      <c r="AO16" s="1">
        <v>19</v>
      </c>
      <c r="AP16" s="1">
        <v>20</v>
      </c>
      <c r="AQ16" s="1">
        <v>21</v>
      </c>
      <c r="AR16" s="1">
        <v>22</v>
      </c>
      <c r="AS16" s="1">
        <v>23</v>
      </c>
      <c r="AT16" s="1">
        <v>24</v>
      </c>
      <c r="AU16" s="1">
        <v>25</v>
      </c>
      <c r="AV16" s="1">
        <v>26</v>
      </c>
      <c r="AW16" s="1">
        <v>27</v>
      </c>
      <c r="AX16" s="1">
        <v>28</v>
      </c>
      <c r="AY16" s="1">
        <v>29</v>
      </c>
      <c r="AZ16" s="1">
        <v>30</v>
      </c>
      <c r="BA16" s="1">
        <v>31</v>
      </c>
      <c r="BB16" s="1">
        <v>32</v>
      </c>
      <c r="BC16" s="1">
        <v>33</v>
      </c>
      <c r="BD16" s="1">
        <v>34</v>
      </c>
      <c r="BE16" s="1">
        <v>35</v>
      </c>
      <c r="BF16" s="1">
        <v>36</v>
      </c>
      <c r="BG16" s="1">
        <v>37</v>
      </c>
      <c r="BH16" s="1">
        <v>38</v>
      </c>
      <c r="BI16" s="1">
        <v>39</v>
      </c>
      <c r="BJ16" s="1">
        <v>40</v>
      </c>
      <c r="BK16" s="1">
        <v>41</v>
      </c>
      <c r="BL16" s="1">
        <v>42</v>
      </c>
      <c r="BM16" s="1">
        <v>43</v>
      </c>
      <c r="BN16" s="1">
        <v>44</v>
      </c>
      <c r="BO16" s="1">
        <v>45</v>
      </c>
      <c r="BP16" s="1">
        <v>46</v>
      </c>
      <c r="BQ16" s="1">
        <v>47</v>
      </c>
      <c r="BR16" s="1">
        <v>48</v>
      </c>
      <c r="BS16" s="1">
        <v>49</v>
      </c>
      <c r="BT16" s="1">
        <v>50</v>
      </c>
      <c r="BU16" s="1">
        <v>51</v>
      </c>
      <c r="BV16" s="1">
        <v>52</v>
      </c>
      <c r="BW16" s="1">
        <v>53</v>
      </c>
      <c r="BX16" s="1">
        <v>54</v>
      </c>
      <c r="BY16" s="1">
        <v>55</v>
      </c>
      <c r="BZ16" s="1">
        <v>56</v>
      </c>
      <c r="CA16" s="1">
        <v>57</v>
      </c>
      <c r="CB16" s="1">
        <v>58</v>
      </c>
      <c r="CC16" s="1">
        <v>59</v>
      </c>
      <c r="CD16" s="1">
        <v>60</v>
      </c>
      <c r="CE16" s="1">
        <v>61</v>
      </c>
      <c r="CF16" s="1">
        <v>62</v>
      </c>
      <c r="CG16" s="1">
        <v>63</v>
      </c>
      <c r="CH16" s="1">
        <v>64</v>
      </c>
      <c r="CI16" s="1">
        <v>65</v>
      </c>
      <c r="CJ16" s="1">
        <v>66</v>
      </c>
      <c r="CK16" s="1">
        <v>67</v>
      </c>
      <c r="CL16" s="1">
        <v>68</v>
      </c>
      <c r="CM16" s="1">
        <v>69</v>
      </c>
      <c r="CN16" s="1">
        <v>70</v>
      </c>
      <c r="CO16" s="1">
        <v>71</v>
      </c>
      <c r="CP16" s="1">
        <v>72</v>
      </c>
      <c r="CQ16" s="1">
        <v>73</v>
      </c>
      <c r="CR16" s="1">
        <v>74</v>
      </c>
      <c r="CS16" s="1">
        <v>75</v>
      </c>
      <c r="CT16" s="1">
        <v>76</v>
      </c>
      <c r="CU16" s="1">
        <v>77</v>
      </c>
      <c r="CV16" s="1">
        <v>78</v>
      </c>
      <c r="CW16" s="1">
        <v>79</v>
      </c>
      <c r="CX16" s="1">
        <v>80</v>
      </c>
      <c r="CY16" s="1">
        <v>81</v>
      </c>
      <c r="CZ16" s="1">
        <v>82</v>
      </c>
      <c r="DA16" s="1">
        <v>83</v>
      </c>
      <c r="DB16" s="1">
        <v>84</v>
      </c>
      <c r="DC16" s="1">
        <v>85</v>
      </c>
      <c r="DD16" s="1">
        <v>86</v>
      </c>
      <c r="DE16" s="1">
        <v>87</v>
      </c>
      <c r="DF16" s="1">
        <v>88</v>
      </c>
      <c r="DG16" s="1">
        <v>89</v>
      </c>
      <c r="DH16" s="1">
        <v>90</v>
      </c>
      <c r="DI16" s="1">
        <v>91</v>
      </c>
      <c r="DJ16" s="1">
        <v>92</v>
      </c>
      <c r="DK16" s="1">
        <v>93</v>
      </c>
      <c r="DL16" s="1">
        <v>94</v>
      </c>
      <c r="DM16" s="1">
        <v>95</v>
      </c>
      <c r="DN16" s="1">
        <v>96</v>
      </c>
      <c r="DO16" s="1">
        <v>97</v>
      </c>
      <c r="DP16" s="1">
        <v>98</v>
      </c>
      <c r="DQ16" s="1">
        <v>99</v>
      </c>
      <c r="DR16" s="1">
        <v>100</v>
      </c>
      <c r="DS16" s="1">
        <v>101</v>
      </c>
      <c r="DT16" s="1">
        <v>102</v>
      </c>
      <c r="DU16" s="1">
        <v>103</v>
      </c>
      <c r="DV16" s="1">
        <v>104</v>
      </c>
      <c r="DW16" s="1">
        <v>105</v>
      </c>
      <c r="DX16" s="1">
        <v>106</v>
      </c>
      <c r="DY16" s="1">
        <v>107</v>
      </c>
      <c r="DZ16" s="1">
        <v>108</v>
      </c>
      <c r="EA16" s="1">
        <v>109</v>
      </c>
      <c r="EB16" s="1">
        <v>110</v>
      </c>
      <c r="EC16" s="1">
        <v>111</v>
      </c>
      <c r="ED16" s="1">
        <v>112</v>
      </c>
      <c r="EE16" s="1">
        <v>113</v>
      </c>
      <c r="EF16" s="1">
        <v>114</v>
      </c>
      <c r="EG16" s="1">
        <v>115</v>
      </c>
      <c r="EH16" s="1">
        <v>116</v>
      </c>
      <c r="EI16" s="1">
        <v>117</v>
      </c>
      <c r="EJ16" s="1">
        <v>118</v>
      </c>
      <c r="EK16" s="1">
        <v>119</v>
      </c>
      <c r="EL16" s="1">
        <v>120</v>
      </c>
      <c r="EM16" s="1">
        <v>121</v>
      </c>
      <c r="EN16" s="1">
        <v>122</v>
      </c>
      <c r="EO16" s="1">
        <v>123</v>
      </c>
      <c r="EP16" s="1">
        <v>124</v>
      </c>
      <c r="EQ16" s="1">
        <v>125</v>
      </c>
      <c r="ER16" s="1">
        <v>126</v>
      </c>
      <c r="ES16" s="1">
        <v>127</v>
      </c>
      <c r="ET16" s="1">
        <v>128</v>
      </c>
      <c r="EU16" s="1">
        <v>129</v>
      </c>
      <c r="EV16" s="1">
        <v>130</v>
      </c>
      <c r="EW16" s="1">
        <v>131</v>
      </c>
      <c r="EX16" s="1">
        <v>132</v>
      </c>
      <c r="EY16" s="1">
        <v>133</v>
      </c>
      <c r="EZ16" s="1">
        <v>134</v>
      </c>
      <c r="FA16" s="1">
        <v>135</v>
      </c>
      <c r="FB16" s="1">
        <v>136</v>
      </c>
      <c r="FC16" s="1">
        <v>137</v>
      </c>
      <c r="FD16" s="1">
        <v>138</v>
      </c>
      <c r="FE16" s="1">
        <v>139</v>
      </c>
      <c r="FF16" s="1">
        <v>140</v>
      </c>
      <c r="FG16" s="1">
        <v>141</v>
      </c>
      <c r="FH16" s="1">
        <v>142</v>
      </c>
      <c r="FI16" s="1">
        <v>143</v>
      </c>
      <c r="FJ16" s="1">
        <v>144</v>
      </c>
      <c r="FK16" s="1">
        <v>145</v>
      </c>
      <c r="FL16" s="1">
        <v>146</v>
      </c>
      <c r="FM16" s="1">
        <v>147</v>
      </c>
      <c r="FN16" s="1">
        <v>148</v>
      </c>
      <c r="FO16" s="1">
        <v>149</v>
      </c>
      <c r="FP16" s="1">
        <v>150</v>
      </c>
      <c r="FQ16" s="1">
        <v>151</v>
      </c>
      <c r="FR16" s="1">
        <v>152</v>
      </c>
      <c r="FS16" s="1">
        <v>153</v>
      </c>
      <c r="FT16" s="1">
        <v>154</v>
      </c>
      <c r="FU16" s="1">
        <v>155</v>
      </c>
      <c r="FV16" s="1">
        <v>156</v>
      </c>
      <c r="FW16" s="1">
        <v>157</v>
      </c>
      <c r="FX16" s="1">
        <v>158</v>
      </c>
      <c r="FY16" s="1">
        <v>159</v>
      </c>
      <c r="FZ16" s="1">
        <v>160</v>
      </c>
      <c r="GA16" s="1">
        <v>161</v>
      </c>
      <c r="GB16" s="1">
        <v>162</v>
      </c>
      <c r="GC16" s="1">
        <v>163</v>
      </c>
      <c r="GD16" s="1">
        <v>164</v>
      </c>
      <c r="GE16" s="1">
        <v>165</v>
      </c>
      <c r="GF16" s="1">
        <v>166</v>
      </c>
      <c r="GG16" s="1">
        <v>167</v>
      </c>
      <c r="GH16" s="1">
        <v>168</v>
      </c>
      <c r="GI16" s="1">
        <v>169</v>
      </c>
      <c r="GJ16" s="1">
        <v>170</v>
      </c>
      <c r="GK16" s="1">
        <v>171</v>
      </c>
      <c r="GL16" s="1">
        <v>172</v>
      </c>
      <c r="GM16" s="1">
        <v>173</v>
      </c>
      <c r="GN16" s="1">
        <v>174</v>
      </c>
      <c r="GO16" s="1">
        <v>175</v>
      </c>
      <c r="GP16" s="1">
        <v>176</v>
      </c>
      <c r="GQ16" s="1">
        <v>177</v>
      </c>
      <c r="GR16" s="1">
        <v>178</v>
      </c>
      <c r="GS16" s="1">
        <v>179</v>
      </c>
      <c r="GT16" s="1">
        <v>180</v>
      </c>
      <c r="GU16" s="1">
        <v>181</v>
      </c>
      <c r="GV16" s="1">
        <v>182</v>
      </c>
      <c r="GW16" s="1">
        <v>183</v>
      </c>
      <c r="GX16" s="1">
        <v>184</v>
      </c>
      <c r="GY16" s="1">
        <v>185</v>
      </c>
      <c r="GZ16" s="1">
        <v>186</v>
      </c>
      <c r="HA16" s="1">
        <v>187</v>
      </c>
      <c r="HB16" s="1">
        <v>188</v>
      </c>
      <c r="HC16" s="1">
        <v>189</v>
      </c>
      <c r="HD16" s="1">
        <v>190</v>
      </c>
      <c r="HE16" s="1">
        <v>191</v>
      </c>
      <c r="HF16" s="1">
        <v>192</v>
      </c>
      <c r="HG16" s="1">
        <v>193</v>
      </c>
      <c r="HH16" s="1">
        <v>194</v>
      </c>
      <c r="HI16" s="1">
        <v>195</v>
      </c>
      <c r="HJ16" s="1">
        <v>196</v>
      </c>
      <c r="HK16" s="1">
        <v>197</v>
      </c>
      <c r="HL16" s="1">
        <v>198</v>
      </c>
      <c r="HM16" s="1">
        <v>199</v>
      </c>
      <c r="HN16" s="1">
        <v>200</v>
      </c>
      <c r="HO16" s="1">
        <v>201</v>
      </c>
      <c r="HP16" s="1">
        <v>202</v>
      </c>
      <c r="HQ16" s="1">
        <v>203</v>
      </c>
      <c r="HR16" s="1">
        <v>204</v>
      </c>
      <c r="HS16" s="1">
        <v>205</v>
      </c>
      <c r="HT16" s="1">
        <v>206</v>
      </c>
      <c r="HU16" s="1">
        <v>207</v>
      </c>
      <c r="HV16" s="1">
        <v>208</v>
      </c>
      <c r="HW16" s="1">
        <v>209</v>
      </c>
      <c r="HX16" s="1">
        <v>210</v>
      </c>
      <c r="HY16" s="1">
        <v>211</v>
      </c>
      <c r="HZ16" s="1">
        <v>212</v>
      </c>
      <c r="IA16" s="1">
        <v>213</v>
      </c>
      <c r="IB16" s="1">
        <v>214</v>
      </c>
      <c r="IC16" s="1">
        <v>215</v>
      </c>
      <c r="ID16" s="1">
        <v>216</v>
      </c>
      <c r="IE16" s="1">
        <v>217</v>
      </c>
      <c r="IF16" s="1">
        <v>218</v>
      </c>
      <c r="IG16" s="1">
        <v>219</v>
      </c>
      <c r="IH16" s="1">
        <v>220</v>
      </c>
      <c r="II16" s="1">
        <v>221</v>
      </c>
      <c r="IJ16" s="1">
        <v>222</v>
      </c>
      <c r="IK16" s="1">
        <v>223</v>
      </c>
      <c r="IL16" s="1">
        <v>224</v>
      </c>
      <c r="IM16" s="1">
        <v>225</v>
      </c>
      <c r="IN16" s="1">
        <v>226</v>
      </c>
      <c r="IO16" s="1">
        <v>227</v>
      </c>
      <c r="IP16" s="1">
        <v>228</v>
      </c>
      <c r="IQ16" s="1">
        <v>229</v>
      </c>
      <c r="IR16" s="1">
        <v>230</v>
      </c>
      <c r="IS16" s="1">
        <v>231</v>
      </c>
      <c r="IT16" s="1">
        <v>232</v>
      </c>
      <c r="IU16" s="1">
        <v>233</v>
      </c>
      <c r="IV16" s="1">
        <v>234</v>
      </c>
      <c r="IW16" s="1">
        <v>235</v>
      </c>
      <c r="IX16" s="1">
        <v>236</v>
      </c>
      <c r="IY16" s="1">
        <v>237</v>
      </c>
      <c r="IZ16" s="1">
        <v>238</v>
      </c>
      <c r="JA16" s="1">
        <v>239</v>
      </c>
      <c r="JB16" s="1">
        <v>240</v>
      </c>
      <c r="JC16" s="1">
        <v>241</v>
      </c>
      <c r="JD16" s="1">
        <v>242</v>
      </c>
      <c r="JE16" s="1">
        <v>243</v>
      </c>
      <c r="JF16" s="1">
        <v>244</v>
      </c>
      <c r="JG16" s="1">
        <v>245</v>
      </c>
      <c r="JH16" s="1">
        <v>246</v>
      </c>
      <c r="JI16" s="1">
        <v>247</v>
      </c>
      <c r="JJ16" s="1">
        <v>248</v>
      </c>
      <c r="JK16" s="1">
        <v>249</v>
      </c>
      <c r="JL16" s="1">
        <v>250</v>
      </c>
      <c r="JM16" s="1">
        <v>251</v>
      </c>
      <c r="JN16" s="1">
        <v>252</v>
      </c>
      <c r="JO16" s="1">
        <v>253</v>
      </c>
      <c r="JP16" s="1">
        <v>254</v>
      </c>
      <c r="JQ16" s="1">
        <v>255</v>
      </c>
      <c r="JR16" s="1">
        <v>256</v>
      </c>
      <c r="JS16" s="1">
        <v>257</v>
      </c>
      <c r="JT16" s="1">
        <v>258</v>
      </c>
      <c r="JU16" s="1">
        <v>259</v>
      </c>
      <c r="JV16" s="1">
        <v>260</v>
      </c>
      <c r="JW16" s="1">
        <v>261</v>
      </c>
      <c r="JX16" s="1">
        <v>262</v>
      </c>
      <c r="JY16" s="1">
        <v>263</v>
      </c>
      <c r="JZ16" s="1">
        <v>264</v>
      </c>
      <c r="KA16" s="1">
        <v>265</v>
      </c>
      <c r="KB16" s="1">
        <v>266</v>
      </c>
      <c r="KC16" s="1">
        <v>267</v>
      </c>
      <c r="KD16" s="1">
        <v>268</v>
      </c>
      <c r="KE16" s="1">
        <v>269</v>
      </c>
      <c r="KF16" s="1">
        <v>270</v>
      </c>
      <c r="KG16" s="1">
        <v>271</v>
      </c>
      <c r="KH16" s="1">
        <v>272</v>
      </c>
      <c r="KI16" s="1">
        <v>273</v>
      </c>
      <c r="KJ16" s="1">
        <v>274</v>
      </c>
      <c r="KK16" s="1">
        <v>275</v>
      </c>
      <c r="KL16" s="1">
        <v>276</v>
      </c>
      <c r="KM16" s="1">
        <v>277</v>
      </c>
      <c r="KN16" s="1">
        <v>278</v>
      </c>
      <c r="KO16" s="1">
        <v>279</v>
      </c>
      <c r="KP16" s="1">
        <v>280</v>
      </c>
      <c r="KQ16" s="1">
        <v>281</v>
      </c>
      <c r="KR16" s="1">
        <v>282</v>
      </c>
      <c r="KS16" s="1">
        <v>283</v>
      </c>
      <c r="KT16" s="1">
        <v>284</v>
      </c>
      <c r="KU16" s="1">
        <v>285</v>
      </c>
      <c r="KV16" s="1">
        <v>286</v>
      </c>
      <c r="KW16" s="1">
        <v>287</v>
      </c>
      <c r="KX16" s="1">
        <v>288</v>
      </c>
      <c r="KY16" s="1">
        <v>289</v>
      </c>
      <c r="KZ16" s="1">
        <v>290</v>
      </c>
      <c r="LA16" s="1">
        <v>291</v>
      </c>
      <c r="LB16" s="1">
        <v>292</v>
      </c>
      <c r="LC16" s="1">
        <v>293</v>
      </c>
      <c r="LD16" s="1">
        <v>294</v>
      </c>
      <c r="LE16" s="1">
        <v>295</v>
      </c>
      <c r="LF16" s="1">
        <v>296</v>
      </c>
      <c r="LG16" s="1">
        <v>297</v>
      </c>
      <c r="LH16" s="1">
        <v>298</v>
      </c>
      <c r="LI16" s="1">
        <v>299</v>
      </c>
      <c r="LJ16" s="1">
        <v>300</v>
      </c>
      <c r="LK16" s="1">
        <v>301</v>
      </c>
      <c r="LL16" s="1">
        <v>302</v>
      </c>
      <c r="LM16" s="1">
        <v>303</v>
      </c>
      <c r="LN16" s="1">
        <v>304</v>
      </c>
      <c r="LO16" s="1">
        <v>305</v>
      </c>
      <c r="LP16" s="1">
        <v>306</v>
      </c>
      <c r="LQ16" s="1">
        <v>307</v>
      </c>
      <c r="LR16" s="1">
        <v>308</v>
      </c>
      <c r="LS16" s="1">
        <v>309</v>
      </c>
      <c r="LT16" s="1">
        <v>310</v>
      </c>
      <c r="LU16" s="1">
        <v>311</v>
      </c>
      <c r="LV16" s="1">
        <v>312</v>
      </c>
      <c r="LW16" s="1">
        <v>313</v>
      </c>
      <c r="LX16" s="1">
        <v>314</v>
      </c>
      <c r="LY16" s="1">
        <v>315</v>
      </c>
      <c r="LZ16" s="1">
        <v>316</v>
      </c>
      <c r="MA16" s="1">
        <v>317</v>
      </c>
      <c r="MB16" s="1">
        <v>318</v>
      </c>
      <c r="MC16" s="1">
        <v>319</v>
      </c>
      <c r="MD16" s="1">
        <v>320</v>
      </c>
      <c r="ME16" s="1">
        <v>321</v>
      </c>
      <c r="MF16" s="1">
        <v>322</v>
      </c>
      <c r="MG16" s="1">
        <v>323</v>
      </c>
      <c r="MH16" s="1">
        <v>324</v>
      </c>
      <c r="MI16" s="1">
        <v>325</v>
      </c>
      <c r="MJ16" s="1">
        <v>326</v>
      </c>
      <c r="MK16" s="1">
        <v>327</v>
      </c>
      <c r="ML16" s="1">
        <v>328</v>
      </c>
      <c r="MM16" s="1">
        <v>329</v>
      </c>
      <c r="MN16" s="1">
        <v>330</v>
      </c>
      <c r="MO16" s="1">
        <v>331</v>
      </c>
      <c r="MP16" s="1">
        <v>332</v>
      </c>
      <c r="MQ16" s="1">
        <v>333</v>
      </c>
      <c r="MR16" s="1">
        <v>334</v>
      </c>
      <c r="MS16" s="1">
        <v>335</v>
      </c>
      <c r="MT16" s="1">
        <v>336</v>
      </c>
      <c r="MU16" s="1">
        <v>337</v>
      </c>
      <c r="MV16" s="1">
        <v>338</v>
      </c>
      <c r="MW16" s="1">
        <v>339</v>
      </c>
      <c r="MX16" s="1">
        <v>340</v>
      </c>
      <c r="MY16" s="1">
        <v>341</v>
      </c>
      <c r="MZ16" s="1">
        <v>342</v>
      </c>
      <c r="NA16" s="1">
        <v>343</v>
      </c>
      <c r="NB16" s="1">
        <v>344</v>
      </c>
      <c r="NC16" s="1">
        <v>345</v>
      </c>
      <c r="ND16" s="1">
        <v>346</v>
      </c>
      <c r="NE16" s="1">
        <v>347</v>
      </c>
      <c r="NF16" s="1">
        <v>348</v>
      </c>
      <c r="NG16" s="1">
        <v>349</v>
      </c>
      <c r="NH16" s="1">
        <v>350</v>
      </c>
      <c r="NI16" s="1">
        <v>351</v>
      </c>
      <c r="NJ16" s="1">
        <v>352</v>
      </c>
      <c r="NK16" s="1">
        <v>353</v>
      </c>
      <c r="NL16" s="1">
        <v>354</v>
      </c>
      <c r="NM16" s="1">
        <v>355</v>
      </c>
      <c r="NN16" s="1">
        <v>356</v>
      </c>
      <c r="NO16" s="1">
        <v>357</v>
      </c>
      <c r="NP16" s="1">
        <v>358</v>
      </c>
      <c r="NQ16" s="1">
        <v>359</v>
      </c>
      <c r="NR16" s="1">
        <v>360</v>
      </c>
      <c r="NS16" s="1">
        <v>361</v>
      </c>
      <c r="NT16" s="1">
        <v>362</v>
      </c>
      <c r="NU16" s="1">
        <v>363</v>
      </c>
      <c r="NV16" s="1">
        <v>364</v>
      </c>
      <c r="NW16" s="1">
        <v>365</v>
      </c>
      <c r="NX16" s="1">
        <v>366</v>
      </c>
      <c r="NY16" s="1">
        <v>367</v>
      </c>
      <c r="NZ16" s="1">
        <v>368</v>
      </c>
      <c r="OA16" s="1">
        <v>369</v>
      </c>
      <c r="OB16" s="1">
        <v>370</v>
      </c>
      <c r="OC16" s="1">
        <v>371</v>
      </c>
      <c r="OD16" s="1">
        <v>372</v>
      </c>
      <c r="OE16" s="1">
        <v>373</v>
      </c>
      <c r="OF16" s="1">
        <v>374</v>
      </c>
      <c r="OG16" s="1">
        <v>375</v>
      </c>
      <c r="OH16" s="1">
        <v>376</v>
      </c>
      <c r="OI16" s="1">
        <v>377</v>
      </c>
      <c r="OJ16" s="1">
        <v>378</v>
      </c>
      <c r="OK16" s="1">
        <v>379</v>
      </c>
      <c r="OL16" s="1">
        <v>380</v>
      </c>
      <c r="OM16" s="1">
        <v>381</v>
      </c>
      <c r="ON16" s="1">
        <v>382</v>
      </c>
      <c r="OO16" s="1">
        <v>383</v>
      </c>
      <c r="OP16" s="1">
        <v>384</v>
      </c>
      <c r="OQ16" s="1">
        <v>385</v>
      </c>
      <c r="OR16" s="1">
        <v>386</v>
      </c>
      <c r="OS16" s="1">
        <v>387</v>
      </c>
      <c r="OT16" s="1">
        <v>388</v>
      </c>
      <c r="OU16" s="1">
        <v>389</v>
      </c>
      <c r="OV16" s="1">
        <v>390</v>
      </c>
      <c r="OW16" s="1">
        <v>391</v>
      </c>
      <c r="OX16" s="1">
        <v>392</v>
      </c>
      <c r="OY16" s="1">
        <v>393</v>
      </c>
      <c r="OZ16" s="1">
        <v>394</v>
      </c>
      <c r="PA16" s="1">
        <v>395</v>
      </c>
      <c r="PB16" s="1">
        <v>396</v>
      </c>
      <c r="PC16" s="1">
        <v>397</v>
      </c>
      <c r="PD16" s="1">
        <v>398</v>
      </c>
      <c r="PE16" s="1">
        <v>399</v>
      </c>
      <c r="PF16" s="1">
        <v>400</v>
      </c>
      <c r="PG16" s="1">
        <v>401</v>
      </c>
      <c r="PH16" s="1">
        <v>402</v>
      </c>
      <c r="PI16" s="1">
        <v>403</v>
      </c>
      <c r="PJ16" s="1">
        <v>404</v>
      </c>
      <c r="PK16" s="1">
        <v>405</v>
      </c>
      <c r="PL16" s="1">
        <v>406</v>
      </c>
      <c r="PM16" s="1">
        <v>407</v>
      </c>
      <c r="PN16" s="1">
        <v>408</v>
      </c>
      <c r="PO16" s="1">
        <v>409</v>
      </c>
      <c r="PP16" s="1">
        <v>410</v>
      </c>
      <c r="PQ16" s="1">
        <v>411</v>
      </c>
      <c r="PR16" s="1">
        <v>412</v>
      </c>
      <c r="PS16" s="1">
        <v>413</v>
      </c>
      <c r="PT16" s="1">
        <v>414</v>
      </c>
      <c r="PU16" s="1">
        <v>415</v>
      </c>
      <c r="PV16" s="1">
        <v>416</v>
      </c>
      <c r="PW16" s="1">
        <v>417</v>
      </c>
      <c r="PX16" s="1">
        <v>418</v>
      </c>
      <c r="PY16" s="1">
        <v>419</v>
      </c>
      <c r="PZ16" s="1">
        <v>420</v>
      </c>
      <c r="QA16" s="1">
        <v>421</v>
      </c>
      <c r="QB16" s="1">
        <v>422</v>
      </c>
      <c r="QC16" s="1">
        <v>423</v>
      </c>
      <c r="QD16" s="1">
        <v>424</v>
      </c>
      <c r="QE16" s="1">
        <v>425</v>
      </c>
      <c r="QF16" s="1">
        <v>426</v>
      </c>
      <c r="QG16" s="1">
        <v>427</v>
      </c>
      <c r="QH16" s="1">
        <v>428</v>
      </c>
      <c r="QI16" s="1">
        <v>429</v>
      </c>
      <c r="QJ16" s="1">
        <v>430</v>
      </c>
      <c r="QK16" s="1">
        <v>431</v>
      </c>
      <c r="QL16" s="1">
        <v>432</v>
      </c>
      <c r="QM16" s="1">
        <v>433</v>
      </c>
      <c r="QN16" s="1">
        <v>434</v>
      </c>
      <c r="QO16" s="1">
        <v>435</v>
      </c>
      <c r="QP16" s="1">
        <v>436</v>
      </c>
      <c r="QQ16" s="1">
        <v>437</v>
      </c>
      <c r="QR16" s="1">
        <v>438</v>
      </c>
      <c r="QS16" s="1">
        <v>439</v>
      </c>
      <c r="QT16" s="1">
        <v>440</v>
      </c>
      <c r="QU16" s="1">
        <v>441</v>
      </c>
      <c r="QV16" s="1">
        <v>442</v>
      </c>
      <c r="QW16" s="1">
        <v>443</v>
      </c>
      <c r="QX16" s="1">
        <v>444</v>
      </c>
      <c r="QY16" s="1">
        <v>445</v>
      </c>
      <c r="QZ16" s="1">
        <v>446</v>
      </c>
      <c r="RA16" s="1">
        <v>447</v>
      </c>
      <c r="RB16" s="1">
        <v>448</v>
      </c>
      <c r="RC16" s="1">
        <v>449</v>
      </c>
      <c r="RD16" s="1">
        <v>450</v>
      </c>
      <c r="RE16" s="1">
        <v>451</v>
      </c>
      <c r="RF16" s="1">
        <v>452</v>
      </c>
      <c r="RG16" s="1">
        <v>453</v>
      </c>
      <c r="RH16" s="1">
        <v>454</v>
      </c>
      <c r="RI16" s="1">
        <v>455</v>
      </c>
      <c r="RJ16" s="1">
        <v>456</v>
      </c>
      <c r="RK16" s="1">
        <v>457</v>
      </c>
      <c r="RL16" s="1">
        <v>458</v>
      </c>
      <c r="RM16" s="1">
        <v>459</v>
      </c>
      <c r="RN16" s="1">
        <v>460</v>
      </c>
      <c r="RO16" s="1">
        <v>461</v>
      </c>
      <c r="RP16" s="1">
        <v>462</v>
      </c>
      <c r="RQ16" s="1">
        <v>463</v>
      </c>
      <c r="RR16" s="1">
        <v>464</v>
      </c>
      <c r="RS16" s="1">
        <v>465</v>
      </c>
      <c r="RT16" s="1">
        <v>466</v>
      </c>
      <c r="RU16" s="1">
        <v>467</v>
      </c>
      <c r="RV16" s="1">
        <v>468</v>
      </c>
      <c r="RW16" s="1">
        <v>469</v>
      </c>
      <c r="RX16" s="1">
        <v>470</v>
      </c>
      <c r="RY16" s="1">
        <v>471</v>
      </c>
      <c r="RZ16" s="1">
        <v>472</v>
      </c>
      <c r="SA16" s="1">
        <v>473</v>
      </c>
      <c r="SB16" s="1">
        <v>474</v>
      </c>
      <c r="SC16" s="1">
        <v>475</v>
      </c>
      <c r="SD16" s="1">
        <v>476</v>
      </c>
      <c r="SE16" s="1">
        <v>477</v>
      </c>
      <c r="SF16" s="1">
        <v>478</v>
      </c>
      <c r="SG16" s="1">
        <v>479</v>
      </c>
      <c r="SH16" s="1">
        <v>480</v>
      </c>
      <c r="SI16" s="1">
        <v>481</v>
      </c>
      <c r="SJ16" s="1">
        <v>482</v>
      </c>
      <c r="SK16" s="1">
        <v>483</v>
      </c>
      <c r="SL16" s="1">
        <v>484</v>
      </c>
      <c r="SM16" s="1">
        <v>485</v>
      </c>
      <c r="SN16" s="1">
        <v>486</v>
      </c>
      <c r="SO16" s="1">
        <v>487</v>
      </c>
      <c r="SP16" s="1">
        <v>488</v>
      </c>
      <c r="SQ16" s="1">
        <v>489</v>
      </c>
      <c r="SR16" s="1">
        <v>490</v>
      </c>
      <c r="SS16" s="1">
        <v>491</v>
      </c>
      <c r="ST16" s="1">
        <v>492</v>
      </c>
      <c r="SU16" s="1">
        <v>493</v>
      </c>
      <c r="SV16" s="1">
        <v>494</v>
      </c>
      <c r="SW16" s="1">
        <v>495</v>
      </c>
      <c r="SX16" s="1">
        <v>496</v>
      </c>
      <c r="SY16" s="1">
        <v>497</v>
      </c>
      <c r="SZ16" s="1">
        <v>498</v>
      </c>
      <c r="TA16" s="1">
        <v>499</v>
      </c>
      <c r="TB16" s="1">
        <v>500</v>
      </c>
      <c r="TC16" s="1">
        <v>501</v>
      </c>
      <c r="TD16" s="1">
        <v>502</v>
      </c>
      <c r="TE16" s="1">
        <v>503</v>
      </c>
      <c r="TF16" s="1">
        <v>504</v>
      </c>
      <c r="TG16" s="1">
        <v>505</v>
      </c>
      <c r="TH16" s="1">
        <v>506</v>
      </c>
      <c r="TI16" s="1">
        <v>507</v>
      </c>
      <c r="TJ16" s="1">
        <v>508</v>
      </c>
      <c r="TK16" s="1">
        <v>509</v>
      </c>
      <c r="TL16" s="1">
        <v>510</v>
      </c>
      <c r="TM16" s="1">
        <v>511</v>
      </c>
      <c r="TN16" s="1">
        <v>512</v>
      </c>
      <c r="TO16" s="1">
        <v>513</v>
      </c>
      <c r="TP16" s="1">
        <v>514</v>
      </c>
      <c r="TQ16" s="1">
        <v>515</v>
      </c>
      <c r="TR16" s="1">
        <v>516</v>
      </c>
      <c r="TS16" s="1">
        <v>517</v>
      </c>
      <c r="TT16" s="1">
        <v>518</v>
      </c>
      <c r="TU16" s="1">
        <v>519</v>
      </c>
      <c r="TV16" s="1">
        <v>520</v>
      </c>
      <c r="TW16" s="1">
        <v>521</v>
      </c>
      <c r="TX16" s="1">
        <v>522</v>
      </c>
      <c r="TY16" s="1">
        <v>523</v>
      </c>
      <c r="TZ16" s="1">
        <v>524</v>
      </c>
      <c r="UA16" s="1">
        <v>525</v>
      </c>
      <c r="UB16" s="1">
        <v>526</v>
      </c>
      <c r="UC16" s="1">
        <v>527</v>
      </c>
      <c r="UD16" s="1">
        <v>528</v>
      </c>
      <c r="UE16" s="1">
        <v>529</v>
      </c>
      <c r="UF16" s="1">
        <v>530</v>
      </c>
      <c r="UG16" s="1">
        <v>531</v>
      </c>
      <c r="UH16" s="1">
        <v>532</v>
      </c>
      <c r="UI16" s="1">
        <v>533</v>
      </c>
      <c r="UJ16" s="1">
        <v>534</v>
      </c>
      <c r="UK16" s="1">
        <v>535</v>
      </c>
      <c r="UL16" s="1">
        <v>536</v>
      </c>
      <c r="UM16" s="1">
        <v>537</v>
      </c>
      <c r="UN16" s="1">
        <v>538</v>
      </c>
      <c r="UO16" s="1">
        <v>539</v>
      </c>
      <c r="UP16" s="1">
        <v>540</v>
      </c>
      <c r="UQ16" s="1">
        <v>541</v>
      </c>
      <c r="UR16" s="1">
        <v>542</v>
      </c>
      <c r="US16" s="1">
        <v>543</v>
      </c>
      <c r="UT16" s="1">
        <v>544</v>
      </c>
      <c r="UU16" s="1">
        <v>545</v>
      </c>
      <c r="UV16" s="1">
        <v>546</v>
      </c>
      <c r="UW16" s="1">
        <v>547</v>
      </c>
      <c r="UX16" s="1">
        <v>548</v>
      </c>
      <c r="UY16" s="1">
        <v>549</v>
      </c>
      <c r="UZ16" s="1">
        <v>550</v>
      </c>
      <c r="VA16" s="1">
        <v>551</v>
      </c>
      <c r="VB16" s="1">
        <v>552</v>
      </c>
      <c r="VC16" s="1">
        <v>553</v>
      </c>
      <c r="VD16" s="1">
        <v>554</v>
      </c>
      <c r="VE16" s="1">
        <v>555</v>
      </c>
      <c r="VF16" s="1">
        <v>556</v>
      </c>
      <c r="VG16" s="1">
        <v>557</v>
      </c>
      <c r="VH16" s="1">
        <v>558</v>
      </c>
      <c r="VI16" s="1">
        <v>559</v>
      </c>
      <c r="VJ16" s="1">
        <v>560</v>
      </c>
      <c r="VK16" s="1">
        <v>561</v>
      </c>
      <c r="VL16" s="1">
        <v>562</v>
      </c>
      <c r="VM16" s="1">
        <v>563</v>
      </c>
      <c r="VN16" s="1">
        <v>564</v>
      </c>
      <c r="VO16" s="1">
        <v>565</v>
      </c>
      <c r="VP16" s="1">
        <v>566</v>
      </c>
      <c r="VQ16" s="1">
        <v>567</v>
      </c>
      <c r="VR16" s="1">
        <v>568</v>
      </c>
      <c r="VS16" s="1">
        <v>569</v>
      </c>
      <c r="VT16" s="1">
        <v>570</v>
      </c>
      <c r="VU16" s="1">
        <v>571</v>
      </c>
      <c r="VV16" s="1">
        <v>572</v>
      </c>
      <c r="VW16" s="1">
        <v>573</v>
      </c>
      <c r="VX16" s="1">
        <v>574</v>
      </c>
      <c r="VY16" s="1">
        <v>575</v>
      </c>
      <c r="VZ16" s="1">
        <v>576</v>
      </c>
      <c r="WA16" s="1">
        <v>577</v>
      </c>
      <c r="WB16" s="1">
        <v>578</v>
      </c>
      <c r="WC16" s="1">
        <v>579</v>
      </c>
      <c r="WD16" s="1">
        <v>580</v>
      </c>
      <c r="WE16" s="1">
        <v>581</v>
      </c>
      <c r="WF16" s="1">
        <v>582</v>
      </c>
      <c r="WG16" s="1">
        <v>583</v>
      </c>
      <c r="WH16" s="1">
        <v>584</v>
      </c>
      <c r="WI16" s="1">
        <v>585</v>
      </c>
      <c r="WJ16" s="1">
        <v>586</v>
      </c>
      <c r="WK16" s="1">
        <v>587</v>
      </c>
      <c r="WL16" s="1">
        <v>588</v>
      </c>
      <c r="WM16" s="1">
        <v>589</v>
      </c>
      <c r="WN16" s="1">
        <v>590</v>
      </c>
      <c r="WO16" s="1">
        <v>591</v>
      </c>
      <c r="WP16" s="1">
        <v>592</v>
      </c>
      <c r="WQ16" s="1">
        <v>593</v>
      </c>
      <c r="WR16" s="1">
        <v>594</v>
      </c>
      <c r="WS16" s="1">
        <v>595</v>
      </c>
      <c r="WT16" s="1">
        <v>596</v>
      </c>
      <c r="WU16" s="1">
        <v>597</v>
      </c>
      <c r="WV16" s="1">
        <v>598</v>
      </c>
      <c r="WW16" s="1">
        <v>599</v>
      </c>
      <c r="WX16" s="1">
        <v>600</v>
      </c>
      <c r="WY16" s="1">
        <v>601</v>
      </c>
      <c r="WZ16" s="1">
        <v>602</v>
      </c>
      <c r="XA16" s="1">
        <v>603</v>
      </c>
      <c r="XB16" s="1">
        <v>604</v>
      </c>
      <c r="XC16" s="1">
        <v>605</v>
      </c>
      <c r="XD16" s="1">
        <v>606</v>
      </c>
      <c r="XE16" s="1">
        <v>607</v>
      </c>
      <c r="XF16" s="1">
        <v>608</v>
      </c>
      <c r="XG16" s="1">
        <v>609</v>
      </c>
      <c r="XH16" s="1">
        <v>610</v>
      </c>
      <c r="XI16" s="1">
        <v>611</v>
      </c>
      <c r="XJ16" s="1">
        <v>612</v>
      </c>
      <c r="XK16" s="1">
        <v>613</v>
      </c>
      <c r="XL16" s="1">
        <v>614</v>
      </c>
      <c r="XM16" s="1">
        <v>615</v>
      </c>
      <c r="XN16" s="1">
        <v>616</v>
      </c>
      <c r="XO16" s="1">
        <v>617</v>
      </c>
      <c r="XP16" s="1">
        <v>618</v>
      </c>
      <c r="XQ16" s="1">
        <v>619</v>
      </c>
      <c r="XR16" s="1">
        <v>620</v>
      </c>
      <c r="XS16" s="1">
        <v>621</v>
      </c>
      <c r="XT16" s="1">
        <v>622</v>
      </c>
      <c r="XU16" s="1">
        <v>623</v>
      </c>
      <c r="XV16" s="1">
        <v>624</v>
      </c>
      <c r="XW16" s="1">
        <v>625</v>
      </c>
      <c r="XX16" s="1">
        <v>626</v>
      </c>
      <c r="XY16" s="1">
        <v>627</v>
      </c>
      <c r="XZ16" s="1">
        <v>628</v>
      </c>
      <c r="YA16" s="1">
        <v>629</v>
      </c>
      <c r="YB16" s="1">
        <v>630</v>
      </c>
      <c r="YC16" s="1">
        <v>631</v>
      </c>
      <c r="YD16" s="1">
        <v>632</v>
      </c>
      <c r="YE16" s="1">
        <v>633</v>
      </c>
      <c r="YF16" s="1">
        <v>634</v>
      </c>
      <c r="YG16" s="1">
        <v>635</v>
      </c>
      <c r="YH16" s="1">
        <v>636</v>
      </c>
      <c r="YI16" s="1">
        <v>637</v>
      </c>
      <c r="YJ16" s="1">
        <v>638</v>
      </c>
      <c r="YK16" s="1">
        <v>639</v>
      </c>
      <c r="YL16" s="1">
        <v>640</v>
      </c>
      <c r="YM16" s="1">
        <v>641</v>
      </c>
      <c r="YN16" s="1">
        <v>642</v>
      </c>
      <c r="YO16" s="1">
        <v>643</v>
      </c>
      <c r="YP16" s="1">
        <v>644</v>
      </c>
      <c r="YQ16" s="1">
        <v>645</v>
      </c>
      <c r="YR16" s="1">
        <v>646</v>
      </c>
      <c r="YS16" s="1">
        <v>647</v>
      </c>
      <c r="YT16" s="1">
        <v>648</v>
      </c>
      <c r="YU16" s="1">
        <v>649</v>
      </c>
      <c r="YV16" s="1">
        <v>650</v>
      </c>
      <c r="YW16" s="1">
        <v>651</v>
      </c>
      <c r="YX16" s="1">
        <v>652</v>
      </c>
      <c r="YY16" s="1">
        <v>653</v>
      </c>
      <c r="YZ16" s="1">
        <v>654</v>
      </c>
      <c r="ZA16" s="1">
        <v>655</v>
      </c>
      <c r="ZB16" s="1">
        <v>656</v>
      </c>
      <c r="ZC16" s="1">
        <v>657</v>
      </c>
      <c r="ZD16" s="1">
        <v>658</v>
      </c>
      <c r="ZE16" s="1">
        <v>659</v>
      </c>
      <c r="ZF16" s="1">
        <v>660</v>
      </c>
      <c r="ZG16" s="1">
        <v>661</v>
      </c>
      <c r="ZH16" s="1">
        <v>662</v>
      </c>
      <c r="ZI16" s="1">
        <v>663</v>
      </c>
      <c r="ZJ16" s="1">
        <v>664</v>
      </c>
      <c r="ZK16" s="1">
        <v>665</v>
      </c>
      <c r="ZL16" s="1">
        <v>666</v>
      </c>
      <c r="ZM16" s="1">
        <v>667</v>
      </c>
      <c r="ZN16" s="1">
        <v>668</v>
      </c>
      <c r="ZO16" s="1">
        <v>669</v>
      </c>
      <c r="ZP16" s="1">
        <v>670</v>
      </c>
      <c r="ZQ16" s="1">
        <v>671</v>
      </c>
      <c r="ZR16" s="1">
        <v>672</v>
      </c>
      <c r="ZS16" s="1">
        <v>673</v>
      </c>
      <c r="ZT16" s="1">
        <v>674</v>
      </c>
      <c r="ZU16" s="1">
        <v>675</v>
      </c>
      <c r="ZV16" s="1">
        <v>676</v>
      </c>
      <c r="ZW16" s="1">
        <v>677</v>
      </c>
      <c r="ZX16" s="1">
        <v>678</v>
      </c>
      <c r="ZY16" s="1">
        <v>679</v>
      </c>
      <c r="ZZ16" s="1">
        <v>680</v>
      </c>
      <c r="AAA16" s="1">
        <v>681</v>
      </c>
      <c r="AAB16" s="1">
        <v>682</v>
      </c>
      <c r="AAC16" s="1">
        <v>683</v>
      </c>
      <c r="AAD16" s="1">
        <v>684</v>
      </c>
      <c r="AAE16" s="1">
        <v>685</v>
      </c>
      <c r="AAF16" s="1">
        <v>686</v>
      </c>
      <c r="AAG16" s="1">
        <v>687</v>
      </c>
      <c r="AAH16" s="1">
        <v>688</v>
      </c>
      <c r="AAI16" s="1">
        <v>689</v>
      </c>
      <c r="AAJ16" s="1">
        <v>690</v>
      </c>
      <c r="AAK16" s="1">
        <v>691</v>
      </c>
      <c r="AAL16" s="1">
        <v>692</v>
      </c>
      <c r="AAM16" s="1">
        <v>693</v>
      </c>
      <c r="AAN16" s="1">
        <v>694</v>
      </c>
      <c r="AAO16" s="1">
        <v>695</v>
      </c>
      <c r="AAP16" s="1">
        <v>696</v>
      </c>
      <c r="AAQ16" s="1">
        <v>697</v>
      </c>
      <c r="AAR16" s="1">
        <v>698</v>
      </c>
      <c r="AAS16" s="1">
        <v>699</v>
      </c>
      <c r="AAT16" s="1">
        <v>700</v>
      </c>
      <c r="AAU16" s="1">
        <v>701</v>
      </c>
      <c r="AAV16" s="1">
        <v>702</v>
      </c>
      <c r="AAW16" s="1">
        <v>703</v>
      </c>
      <c r="AAX16" s="1">
        <v>704</v>
      </c>
      <c r="AAY16" s="1">
        <v>705</v>
      </c>
      <c r="AAZ16" s="1">
        <v>706</v>
      </c>
      <c r="ABA16" s="1">
        <v>707</v>
      </c>
      <c r="ABB16" s="1">
        <v>708</v>
      </c>
      <c r="ABC16" s="1">
        <v>709</v>
      </c>
      <c r="ABD16" s="1">
        <v>710</v>
      </c>
      <c r="ABE16" s="1">
        <v>711</v>
      </c>
      <c r="ABF16" s="1">
        <v>712</v>
      </c>
      <c r="ABG16" s="1">
        <v>713</v>
      </c>
      <c r="ABH16" s="1">
        <v>714</v>
      </c>
      <c r="ABI16" s="1">
        <v>715</v>
      </c>
      <c r="ABJ16" s="1">
        <v>716</v>
      </c>
      <c r="ABK16" s="1">
        <v>717</v>
      </c>
      <c r="ABL16" s="1">
        <v>718</v>
      </c>
      <c r="ABM16" s="1">
        <v>719</v>
      </c>
      <c r="ABN16" s="1">
        <v>720</v>
      </c>
      <c r="ABO16" s="1">
        <v>721</v>
      </c>
      <c r="ABP16" s="1">
        <v>722</v>
      </c>
      <c r="ABQ16" s="1">
        <v>723</v>
      </c>
      <c r="ABR16" s="1">
        <v>724</v>
      </c>
      <c r="ABS16" s="1">
        <v>725</v>
      </c>
      <c r="ABT16" s="1">
        <v>726</v>
      </c>
      <c r="ABU16" s="1">
        <v>727</v>
      </c>
      <c r="ABV16" s="1">
        <v>728</v>
      </c>
      <c r="ABW16" s="1">
        <v>729</v>
      </c>
      <c r="ABX16" s="1">
        <v>730</v>
      </c>
      <c r="ABY16" s="1">
        <v>731</v>
      </c>
      <c r="ABZ16" s="1">
        <v>732</v>
      </c>
      <c r="ACA16" s="1">
        <v>733</v>
      </c>
      <c r="ACB16" s="1">
        <v>734</v>
      </c>
      <c r="ACC16" s="1">
        <v>735</v>
      </c>
      <c r="ACD16" s="1">
        <v>736</v>
      </c>
      <c r="ACE16" s="1">
        <v>737</v>
      </c>
      <c r="ACF16" s="1">
        <v>738</v>
      </c>
      <c r="ACG16" s="1">
        <v>739</v>
      </c>
      <c r="ACH16" s="1">
        <v>740</v>
      </c>
      <c r="ACI16" s="1">
        <v>741</v>
      </c>
      <c r="ACJ16" s="1">
        <v>742</v>
      </c>
      <c r="ACK16" s="1">
        <v>743</v>
      </c>
      <c r="ACL16" s="1">
        <v>744</v>
      </c>
      <c r="ACM16" s="1">
        <v>745</v>
      </c>
      <c r="ACN16" s="1">
        <v>746</v>
      </c>
      <c r="ACO16" s="1">
        <v>747</v>
      </c>
      <c r="ACP16" s="1">
        <v>748</v>
      </c>
      <c r="ACQ16" s="1">
        <v>749</v>
      </c>
      <c r="ACR16" s="1">
        <v>750</v>
      </c>
      <c r="ACS16" s="1">
        <v>751</v>
      </c>
      <c r="ACT16" s="1">
        <v>752</v>
      </c>
      <c r="ACU16" s="1">
        <v>753</v>
      </c>
      <c r="ACV16" s="1">
        <v>754</v>
      </c>
      <c r="ACW16" s="1">
        <v>755</v>
      </c>
      <c r="ACX16" s="1">
        <v>756</v>
      </c>
      <c r="ACY16" s="1">
        <v>757</v>
      </c>
      <c r="ACZ16" s="1">
        <v>758</v>
      </c>
      <c r="ADA16" s="1">
        <v>759</v>
      </c>
      <c r="ADB16" s="1">
        <v>760</v>
      </c>
      <c r="ADC16" s="1">
        <v>761</v>
      </c>
      <c r="ADD16" s="1">
        <v>762</v>
      </c>
      <c r="ADE16" s="1">
        <v>763</v>
      </c>
      <c r="ADF16" s="1">
        <v>764</v>
      </c>
      <c r="ADG16" s="1">
        <v>765</v>
      </c>
      <c r="ADH16" s="1">
        <v>766</v>
      </c>
      <c r="ADI16" s="1">
        <v>767</v>
      </c>
      <c r="ADJ16" s="1">
        <v>768</v>
      </c>
      <c r="ADK16" s="1">
        <v>769</v>
      </c>
      <c r="ADL16" s="1">
        <v>770</v>
      </c>
      <c r="ADM16" s="1">
        <v>771</v>
      </c>
      <c r="ADN16" s="1">
        <v>772</v>
      </c>
      <c r="ADO16" s="1">
        <v>773</v>
      </c>
      <c r="ADP16" s="1">
        <v>774</v>
      </c>
      <c r="ADQ16" s="1">
        <v>775</v>
      </c>
      <c r="ADR16" s="1">
        <v>776</v>
      </c>
      <c r="ADS16" s="1">
        <v>777</v>
      </c>
      <c r="ADT16" s="1">
        <v>778</v>
      </c>
      <c r="ADU16" s="1">
        <v>779</v>
      </c>
      <c r="ADV16" s="1">
        <v>780</v>
      </c>
      <c r="ADW16" s="1">
        <v>781</v>
      </c>
      <c r="ADX16" s="1">
        <v>782</v>
      </c>
      <c r="ADY16" s="1">
        <v>783</v>
      </c>
      <c r="ADZ16" s="1">
        <v>784</v>
      </c>
      <c r="AEA16" s="1">
        <v>785</v>
      </c>
      <c r="AEB16" s="1">
        <v>786</v>
      </c>
      <c r="AEC16" s="1">
        <v>787</v>
      </c>
      <c r="AED16" s="1">
        <v>788</v>
      </c>
      <c r="AEE16" s="1">
        <v>789</v>
      </c>
      <c r="AEF16" s="1">
        <v>790</v>
      </c>
      <c r="AEG16" s="1">
        <v>791</v>
      </c>
      <c r="AEH16" s="1">
        <v>792</v>
      </c>
      <c r="AEI16" s="1">
        <v>793</v>
      </c>
      <c r="AEJ16" s="1">
        <v>794</v>
      </c>
      <c r="AEK16" s="1">
        <v>795</v>
      </c>
      <c r="AEL16" s="1">
        <v>796</v>
      </c>
      <c r="AEM16" s="1">
        <v>797</v>
      </c>
      <c r="AEN16" s="1">
        <v>798</v>
      </c>
      <c r="AEO16" s="1">
        <v>799</v>
      </c>
      <c r="AEP16" s="1">
        <v>800</v>
      </c>
      <c r="AEQ16" s="1">
        <v>801</v>
      </c>
      <c r="AER16" s="1">
        <v>802</v>
      </c>
      <c r="AES16" s="1">
        <v>803</v>
      </c>
      <c r="AET16" s="1">
        <v>804</v>
      </c>
      <c r="AEU16" s="1">
        <v>805</v>
      </c>
      <c r="AEV16" s="1">
        <v>806</v>
      </c>
      <c r="AEW16" s="1">
        <v>807</v>
      </c>
      <c r="AEX16" s="1">
        <v>808</v>
      </c>
      <c r="AEY16" s="1">
        <v>809</v>
      </c>
      <c r="AEZ16" s="1">
        <v>810</v>
      </c>
      <c r="AFA16" s="1">
        <v>811</v>
      </c>
      <c r="AFB16" s="1">
        <v>812</v>
      </c>
      <c r="AFC16" s="1">
        <v>813</v>
      </c>
      <c r="AFD16" s="1">
        <v>814</v>
      </c>
      <c r="AFE16" s="1">
        <v>815</v>
      </c>
      <c r="AFF16" s="1">
        <v>816</v>
      </c>
      <c r="AFG16" s="1">
        <v>817</v>
      </c>
      <c r="AFH16" s="1">
        <v>818</v>
      </c>
      <c r="AFI16" s="1">
        <v>819</v>
      </c>
      <c r="AFJ16" s="1">
        <v>820</v>
      </c>
      <c r="AFK16" s="1">
        <v>821</v>
      </c>
      <c r="AFL16" s="1">
        <v>822</v>
      </c>
      <c r="AFM16" s="1">
        <v>823</v>
      </c>
      <c r="AFN16" s="1">
        <v>824</v>
      </c>
      <c r="AFO16" s="1">
        <v>825</v>
      </c>
      <c r="AFP16" s="1">
        <v>826</v>
      </c>
      <c r="AFQ16" s="1">
        <v>827</v>
      </c>
      <c r="AFR16" s="1">
        <v>828</v>
      </c>
      <c r="AFS16" s="1">
        <v>829</v>
      </c>
      <c r="AFT16" s="1">
        <v>830</v>
      </c>
      <c r="AFU16" s="1">
        <v>831</v>
      </c>
      <c r="AFV16" s="1">
        <v>832</v>
      </c>
      <c r="AFW16" s="1">
        <v>833</v>
      </c>
      <c r="AFX16" s="1">
        <v>834</v>
      </c>
      <c r="AFY16" s="1">
        <v>835</v>
      </c>
      <c r="AFZ16" s="1">
        <v>836</v>
      </c>
      <c r="AGA16" s="1">
        <v>837</v>
      </c>
      <c r="AGB16" s="1">
        <v>838</v>
      </c>
      <c r="AGC16" s="1">
        <v>839</v>
      </c>
      <c r="AGD16" s="1">
        <v>840</v>
      </c>
      <c r="AGE16" s="1">
        <v>841</v>
      </c>
      <c r="AGF16" s="1">
        <v>842</v>
      </c>
      <c r="AGG16" s="1">
        <v>843</v>
      </c>
      <c r="AGH16" s="1">
        <v>844</v>
      </c>
      <c r="AGI16" s="1">
        <v>845</v>
      </c>
      <c r="AGJ16" s="1">
        <v>846</v>
      </c>
      <c r="AGK16" s="1">
        <v>847</v>
      </c>
      <c r="AGL16" s="1">
        <v>848</v>
      </c>
      <c r="AGM16" s="1">
        <v>849</v>
      </c>
      <c r="AGN16" s="1">
        <v>850</v>
      </c>
      <c r="AGO16" s="1">
        <v>851</v>
      </c>
      <c r="AGP16" s="1">
        <v>852</v>
      </c>
      <c r="AGQ16" s="1">
        <v>853</v>
      </c>
      <c r="AGR16" s="1">
        <v>854</v>
      </c>
      <c r="AGS16" s="1">
        <v>855</v>
      </c>
      <c r="AGT16" s="1">
        <v>856</v>
      </c>
      <c r="AGU16" s="1">
        <v>857</v>
      </c>
      <c r="AGV16" s="1">
        <v>858</v>
      </c>
      <c r="AGW16" s="1">
        <v>859</v>
      </c>
      <c r="AGX16" s="1">
        <v>860</v>
      </c>
      <c r="AGY16" s="1">
        <v>861</v>
      </c>
      <c r="AGZ16" s="1">
        <v>862</v>
      </c>
      <c r="AHA16" s="1">
        <v>863</v>
      </c>
      <c r="AHB16" s="1">
        <v>864</v>
      </c>
      <c r="AHC16" s="1">
        <v>865</v>
      </c>
      <c r="AHD16" s="1">
        <v>866</v>
      </c>
      <c r="AHE16" s="1">
        <v>867</v>
      </c>
      <c r="AHF16" s="1">
        <v>868</v>
      </c>
      <c r="AHG16" s="1">
        <v>869</v>
      </c>
      <c r="AHH16" s="1">
        <v>870</v>
      </c>
      <c r="AHI16" s="1">
        <v>871</v>
      </c>
      <c r="AHJ16" s="1">
        <v>872</v>
      </c>
      <c r="AHK16" s="1">
        <v>873</v>
      </c>
      <c r="AHL16" s="1">
        <v>874</v>
      </c>
      <c r="AHM16" s="1">
        <v>875</v>
      </c>
      <c r="AHN16" s="1">
        <v>876</v>
      </c>
      <c r="AHO16" s="1">
        <v>877</v>
      </c>
      <c r="AHP16" s="1">
        <v>878</v>
      </c>
      <c r="AHQ16" s="1">
        <v>879</v>
      </c>
      <c r="AHR16" s="1">
        <v>880</v>
      </c>
      <c r="AHS16" s="1">
        <v>881</v>
      </c>
      <c r="AHT16" s="1">
        <v>882</v>
      </c>
      <c r="AHU16" s="1">
        <v>883</v>
      </c>
      <c r="AHV16" s="1">
        <v>884</v>
      </c>
      <c r="AHW16" s="1">
        <v>885</v>
      </c>
      <c r="AHX16" s="1">
        <v>886</v>
      </c>
      <c r="AHY16" s="1">
        <v>887</v>
      </c>
      <c r="AHZ16" s="1">
        <v>888</v>
      </c>
      <c r="AIA16" s="1">
        <v>889</v>
      </c>
      <c r="AIB16" s="1">
        <v>890</v>
      </c>
      <c r="AIC16" s="1">
        <v>891</v>
      </c>
      <c r="AID16" s="1">
        <v>892</v>
      </c>
      <c r="AIE16" s="1">
        <v>893</v>
      </c>
      <c r="AIF16" s="1">
        <v>894</v>
      </c>
      <c r="AIG16" s="1">
        <v>895</v>
      </c>
      <c r="AIH16" s="1">
        <v>896</v>
      </c>
      <c r="AII16" s="1">
        <v>897</v>
      </c>
      <c r="AIJ16" s="1">
        <v>898</v>
      </c>
      <c r="AIK16" s="1">
        <v>899</v>
      </c>
      <c r="AIL16" s="1">
        <v>900</v>
      </c>
      <c r="AIM16" s="1">
        <v>901</v>
      </c>
      <c r="AIN16" s="1">
        <v>902</v>
      </c>
      <c r="AIO16" s="1">
        <v>903</v>
      </c>
      <c r="AIP16" s="1">
        <v>904</v>
      </c>
      <c r="AIQ16" s="1">
        <v>905</v>
      </c>
      <c r="AIR16" s="1">
        <v>906</v>
      </c>
      <c r="AIS16" s="1">
        <v>907</v>
      </c>
      <c r="AIT16" s="1">
        <v>908</v>
      </c>
      <c r="AIU16" s="1">
        <v>909</v>
      </c>
      <c r="AIV16" s="1">
        <v>910</v>
      </c>
      <c r="AIW16" s="1">
        <v>911</v>
      </c>
      <c r="AIX16" s="1">
        <v>912</v>
      </c>
      <c r="AIY16" s="1">
        <v>913</v>
      </c>
      <c r="AIZ16" s="1">
        <v>914</v>
      </c>
      <c r="AJA16" s="1">
        <v>915</v>
      </c>
      <c r="AJB16" s="1">
        <v>916</v>
      </c>
      <c r="AJC16" s="1">
        <v>917</v>
      </c>
      <c r="AJD16" s="1">
        <v>918</v>
      </c>
      <c r="AJE16" s="1">
        <v>919</v>
      </c>
      <c r="AJF16" s="1">
        <v>920</v>
      </c>
      <c r="AJG16" s="1">
        <v>921</v>
      </c>
      <c r="AJH16" s="1">
        <v>922</v>
      </c>
      <c r="AJI16" s="1">
        <v>923</v>
      </c>
      <c r="AJJ16" s="1">
        <v>924</v>
      </c>
      <c r="AJK16" s="1">
        <v>925</v>
      </c>
      <c r="AJL16" s="1">
        <v>926</v>
      </c>
      <c r="AJM16" s="1">
        <v>927</v>
      </c>
      <c r="AJN16" s="1">
        <v>928</v>
      </c>
      <c r="AJO16" s="1">
        <v>929</v>
      </c>
      <c r="AJP16" s="1">
        <v>930</v>
      </c>
      <c r="AJQ16" s="1">
        <v>931</v>
      </c>
      <c r="AJR16" s="1">
        <v>932</v>
      </c>
      <c r="AJS16" s="1">
        <v>933</v>
      </c>
      <c r="AJT16" s="1">
        <v>934</v>
      </c>
      <c r="AJU16" s="1">
        <v>935</v>
      </c>
      <c r="AJV16" s="1">
        <v>936</v>
      </c>
      <c r="AJW16" s="1">
        <v>937</v>
      </c>
      <c r="AJX16" s="1">
        <v>938</v>
      </c>
      <c r="AJY16" s="1">
        <v>939</v>
      </c>
      <c r="AJZ16" s="1">
        <v>940</v>
      </c>
      <c r="AKA16" s="1">
        <v>941</v>
      </c>
      <c r="AKB16" s="1">
        <v>942</v>
      </c>
      <c r="AKC16" s="1">
        <v>943</v>
      </c>
      <c r="AKD16" s="1">
        <v>944</v>
      </c>
      <c r="AKE16" s="1">
        <v>945</v>
      </c>
      <c r="AKF16" s="1">
        <v>946</v>
      </c>
      <c r="AKG16" s="1">
        <v>947</v>
      </c>
      <c r="AKH16" s="1">
        <v>948</v>
      </c>
      <c r="AKI16" s="1">
        <v>949</v>
      </c>
      <c r="AKJ16" s="1">
        <v>950</v>
      </c>
      <c r="AKK16" s="1">
        <v>951</v>
      </c>
      <c r="AKL16" s="1">
        <v>952</v>
      </c>
      <c r="AKM16" s="1">
        <v>953</v>
      </c>
      <c r="AKN16" s="1">
        <v>954</v>
      </c>
      <c r="AKO16" s="1">
        <v>955</v>
      </c>
      <c r="AKP16" s="1">
        <v>956</v>
      </c>
      <c r="AKQ16" s="1">
        <v>957</v>
      </c>
      <c r="AKR16" s="1">
        <v>958</v>
      </c>
      <c r="AKS16" s="1">
        <v>959</v>
      </c>
      <c r="AKT16" s="1">
        <v>960</v>
      </c>
      <c r="AKU16" s="1">
        <v>961</v>
      </c>
      <c r="AKV16" s="1">
        <v>962</v>
      </c>
      <c r="AKW16" s="1">
        <v>963</v>
      </c>
      <c r="AKX16" s="1">
        <v>964</v>
      </c>
      <c r="AKY16" s="1">
        <v>965</v>
      </c>
      <c r="AKZ16" s="1">
        <v>966</v>
      </c>
      <c r="ALA16" s="1">
        <v>967</v>
      </c>
      <c r="ALB16" s="1">
        <v>968</v>
      </c>
      <c r="ALC16" s="1">
        <v>969</v>
      </c>
      <c r="ALD16" s="1">
        <v>970</v>
      </c>
      <c r="ALE16" s="1">
        <v>971</v>
      </c>
      <c r="ALF16" s="1">
        <v>972</v>
      </c>
      <c r="ALG16" s="1">
        <v>973</v>
      </c>
      <c r="ALH16" s="1">
        <v>974</v>
      </c>
      <c r="ALI16" s="1">
        <v>975</v>
      </c>
      <c r="ALJ16" s="1">
        <v>976</v>
      </c>
      <c r="ALK16" s="1">
        <v>977</v>
      </c>
      <c r="ALL16" s="1">
        <v>978</v>
      </c>
      <c r="ALM16" s="1">
        <v>979</v>
      </c>
      <c r="ALN16" s="1">
        <v>980</v>
      </c>
      <c r="ALO16" s="1">
        <v>981</v>
      </c>
      <c r="ALP16" s="1">
        <v>982</v>
      </c>
      <c r="ALQ16" s="1">
        <v>983</v>
      </c>
      <c r="ALR16" s="1">
        <v>984</v>
      </c>
      <c r="ALS16" s="1">
        <v>985</v>
      </c>
      <c r="ALT16" s="1">
        <v>986</v>
      </c>
      <c r="ALU16" s="1">
        <v>987</v>
      </c>
      <c r="ALV16" s="1">
        <v>988</v>
      </c>
      <c r="ALW16" s="1">
        <v>989</v>
      </c>
      <c r="ALX16" s="1">
        <v>990</v>
      </c>
      <c r="ALY16" s="1">
        <v>991</v>
      </c>
      <c r="ALZ16" s="1">
        <v>992</v>
      </c>
      <c r="AMA16" s="1">
        <v>993</v>
      </c>
      <c r="AMB16" s="1">
        <v>994</v>
      </c>
      <c r="AMC16" s="1">
        <v>995</v>
      </c>
      <c r="AMD16" s="1">
        <v>996</v>
      </c>
      <c r="AME16" s="1">
        <v>997</v>
      </c>
      <c r="AMF16" s="1">
        <v>998</v>
      </c>
      <c r="AMG16" s="1">
        <v>999</v>
      </c>
      <c r="AMH16" s="1">
        <v>1000</v>
      </c>
    </row>
    <row r="17" spans="1:1022" ht="18.899999999999999" customHeight="1" x14ac:dyDescent="0.45">
      <c r="A17" s="5" t="s">
        <v>380</v>
      </c>
      <c r="B17" s="5" t="s">
        <v>374</v>
      </c>
      <c r="C17" s="5" t="s">
        <v>589</v>
      </c>
      <c r="D17" s="5">
        <v>1</v>
      </c>
      <c r="E17" s="5">
        <v>1</v>
      </c>
      <c r="G17" s="5" t="s">
        <v>586</v>
      </c>
      <c r="H17" s="5">
        <v>10</v>
      </c>
      <c r="I17" s="5">
        <v>13</v>
      </c>
      <c r="K17" s="5">
        <v>12</v>
      </c>
      <c r="L17" s="5" t="s">
        <v>186</v>
      </c>
      <c r="M17" s="5" t="s">
        <v>145</v>
      </c>
      <c r="O17" s="5">
        <v>12</v>
      </c>
      <c r="P17" s="5" t="s">
        <v>590</v>
      </c>
      <c r="Q17" s="5">
        <v>31</v>
      </c>
      <c r="R17" s="7">
        <v>46357</v>
      </c>
      <c r="S17" s="7">
        <v>46387</v>
      </c>
      <c r="U17" s="40" t="s">
        <v>591</v>
      </c>
      <c r="V17" s="1" t="s">
        <v>592</v>
      </c>
      <c r="W17" s="1" t="s">
        <v>593</v>
      </c>
      <c r="X17" s="1" t="s">
        <v>594</v>
      </c>
      <c r="Y17" s="1" t="s">
        <v>595</v>
      </c>
      <c r="Z17" s="1" t="s">
        <v>596</v>
      </c>
      <c r="AA17" s="1" t="s">
        <v>597</v>
      </c>
      <c r="AB17" s="1" t="s">
        <v>598</v>
      </c>
      <c r="AC17" s="1" t="s">
        <v>599</v>
      </c>
      <c r="AD17" s="1" t="s">
        <v>600</v>
      </c>
      <c r="AE17" s="1" t="s">
        <v>601</v>
      </c>
      <c r="AF17" s="1" t="s">
        <v>602</v>
      </c>
      <c r="AG17" s="1" t="s">
        <v>603</v>
      </c>
      <c r="AH17" s="1" t="s">
        <v>604</v>
      </c>
      <c r="AI17" s="1" t="s">
        <v>605</v>
      </c>
      <c r="AJ17" s="1" t="s">
        <v>606</v>
      </c>
      <c r="AK17" s="1" t="s">
        <v>607</v>
      </c>
      <c r="AL17" s="1" t="s">
        <v>608</v>
      </c>
      <c r="AM17" s="1" t="s">
        <v>609</v>
      </c>
      <c r="AN17" s="1" t="s">
        <v>610</v>
      </c>
      <c r="AO17" s="1" t="s">
        <v>611</v>
      </c>
      <c r="AP17" s="1" t="s">
        <v>612</v>
      </c>
      <c r="AQ17" s="1" t="s">
        <v>613</v>
      </c>
      <c r="AR17" s="1" t="s">
        <v>614</v>
      </c>
      <c r="AS17" s="1" t="s">
        <v>615</v>
      </c>
      <c r="AT17" s="1" t="s">
        <v>616</v>
      </c>
      <c r="AU17" s="1" t="s">
        <v>617</v>
      </c>
      <c r="AV17" s="1" t="s">
        <v>618</v>
      </c>
      <c r="AW17" s="1" t="s">
        <v>619</v>
      </c>
      <c r="AX17" s="1" t="s">
        <v>620</v>
      </c>
      <c r="AY17" s="1" t="s">
        <v>621</v>
      </c>
      <c r="AZ17" s="1" t="s">
        <v>622</v>
      </c>
      <c r="BA17" s="1" t="s">
        <v>623</v>
      </c>
      <c r="BB17" s="1" t="s">
        <v>624</v>
      </c>
      <c r="BC17" s="1" t="s">
        <v>625</v>
      </c>
      <c r="BD17" s="1" t="s">
        <v>626</v>
      </c>
      <c r="BE17" s="1" t="s">
        <v>627</v>
      </c>
      <c r="BF17" s="1" t="s">
        <v>628</v>
      </c>
      <c r="BG17" s="1" t="s">
        <v>629</v>
      </c>
      <c r="BH17" s="1" t="s">
        <v>630</v>
      </c>
      <c r="BI17" s="1" t="s">
        <v>631</v>
      </c>
      <c r="BJ17" s="1" t="s">
        <v>632</v>
      </c>
      <c r="BK17" s="1" t="s">
        <v>633</v>
      </c>
      <c r="BL17" s="1" t="s">
        <v>634</v>
      </c>
      <c r="BM17" s="1" t="s">
        <v>635</v>
      </c>
      <c r="BN17" s="1" t="s">
        <v>636</v>
      </c>
      <c r="BO17" s="1" t="s">
        <v>637</v>
      </c>
      <c r="BP17" s="1" t="s">
        <v>638</v>
      </c>
      <c r="BQ17" s="1" t="s">
        <v>639</v>
      </c>
      <c r="BR17" s="1" t="s">
        <v>640</v>
      </c>
      <c r="BS17" s="1" t="s">
        <v>641</v>
      </c>
      <c r="BT17" s="1" t="s">
        <v>642</v>
      </c>
      <c r="BU17" s="1" t="s">
        <v>643</v>
      </c>
      <c r="BV17" s="1" t="s">
        <v>644</v>
      </c>
      <c r="BW17" s="1" t="s">
        <v>645</v>
      </c>
      <c r="BX17" s="1" t="s">
        <v>646</v>
      </c>
      <c r="BY17" s="1" t="s">
        <v>647</v>
      </c>
      <c r="BZ17" s="1" t="s">
        <v>648</v>
      </c>
      <c r="CA17" s="1" t="s">
        <v>649</v>
      </c>
      <c r="CB17" s="1" t="s">
        <v>650</v>
      </c>
      <c r="CC17" s="1" t="s">
        <v>651</v>
      </c>
      <c r="CD17" s="1" t="s">
        <v>652</v>
      </c>
      <c r="CE17" s="1" t="s">
        <v>653</v>
      </c>
      <c r="CF17" s="1" t="s">
        <v>654</v>
      </c>
      <c r="CG17" s="1" t="s">
        <v>655</v>
      </c>
      <c r="CH17" s="1" t="s">
        <v>656</v>
      </c>
      <c r="CI17" s="1" t="s">
        <v>657</v>
      </c>
      <c r="CJ17" s="1" t="s">
        <v>658</v>
      </c>
      <c r="CK17" s="1" t="s">
        <v>659</v>
      </c>
      <c r="CL17" s="1" t="s">
        <v>660</v>
      </c>
      <c r="CM17" s="1" t="s">
        <v>661</v>
      </c>
      <c r="CN17" s="1" t="s">
        <v>662</v>
      </c>
      <c r="CO17" s="1" t="s">
        <v>663</v>
      </c>
      <c r="CP17" s="1" t="s">
        <v>664</v>
      </c>
      <c r="CQ17" s="1" t="s">
        <v>665</v>
      </c>
      <c r="CR17" s="1" t="s">
        <v>666</v>
      </c>
      <c r="CS17" s="1" t="s">
        <v>667</v>
      </c>
      <c r="CT17" s="1" t="s">
        <v>668</v>
      </c>
      <c r="CU17" s="1" t="s">
        <v>669</v>
      </c>
      <c r="CV17" s="1" t="s">
        <v>670</v>
      </c>
      <c r="CW17" s="1" t="s">
        <v>671</v>
      </c>
      <c r="CX17" s="1" t="s">
        <v>672</v>
      </c>
      <c r="CY17" s="1" t="s">
        <v>673</v>
      </c>
      <c r="CZ17" s="1" t="s">
        <v>674</v>
      </c>
      <c r="DA17" s="1" t="s">
        <v>675</v>
      </c>
      <c r="DB17" s="1" t="s">
        <v>676</v>
      </c>
      <c r="DC17" s="1" t="s">
        <v>677</v>
      </c>
      <c r="DD17" s="1" t="s">
        <v>678</v>
      </c>
      <c r="DE17" s="1" t="s">
        <v>679</v>
      </c>
      <c r="DF17" s="1" t="s">
        <v>680</v>
      </c>
      <c r="DG17" s="1" t="s">
        <v>681</v>
      </c>
      <c r="DH17" s="1" t="s">
        <v>682</v>
      </c>
      <c r="DI17" s="1" t="s">
        <v>683</v>
      </c>
      <c r="DJ17" s="1" t="s">
        <v>684</v>
      </c>
      <c r="DK17" s="1" t="s">
        <v>685</v>
      </c>
      <c r="DL17" s="1" t="s">
        <v>686</v>
      </c>
      <c r="DM17" s="1" t="s">
        <v>687</v>
      </c>
      <c r="DN17" s="1" t="s">
        <v>688</v>
      </c>
      <c r="DO17" s="1" t="s">
        <v>689</v>
      </c>
      <c r="DP17" s="1" t="s">
        <v>690</v>
      </c>
      <c r="DQ17" s="1" t="s">
        <v>691</v>
      </c>
      <c r="DR17" s="1" t="s">
        <v>692</v>
      </c>
      <c r="DS17" s="1" t="s">
        <v>693</v>
      </c>
      <c r="DT17" s="1" t="s">
        <v>694</v>
      </c>
      <c r="DU17" s="1" t="s">
        <v>695</v>
      </c>
      <c r="DV17" s="1" t="s">
        <v>696</v>
      </c>
      <c r="DW17" s="1" t="s">
        <v>697</v>
      </c>
      <c r="DX17" s="1" t="s">
        <v>698</v>
      </c>
      <c r="DY17" s="1" t="s">
        <v>699</v>
      </c>
      <c r="DZ17" s="1" t="s">
        <v>700</v>
      </c>
      <c r="EA17" s="1" t="s">
        <v>701</v>
      </c>
      <c r="EB17" s="1" t="s">
        <v>702</v>
      </c>
      <c r="EC17" s="1" t="s">
        <v>703</v>
      </c>
      <c r="ED17" s="1" t="s">
        <v>704</v>
      </c>
      <c r="EE17" s="1" t="s">
        <v>705</v>
      </c>
      <c r="EF17" s="1" t="s">
        <v>706</v>
      </c>
      <c r="EG17" s="1" t="s">
        <v>707</v>
      </c>
      <c r="EH17" s="1" t="s">
        <v>708</v>
      </c>
      <c r="EI17" s="1" t="s">
        <v>709</v>
      </c>
      <c r="EJ17" s="1" t="s">
        <v>710</v>
      </c>
      <c r="EK17" s="1" t="s">
        <v>711</v>
      </c>
      <c r="EL17" s="1" t="s">
        <v>712</v>
      </c>
      <c r="EM17" s="1" t="s">
        <v>713</v>
      </c>
      <c r="EN17" s="1" t="s">
        <v>714</v>
      </c>
      <c r="EO17" s="1" t="s">
        <v>715</v>
      </c>
      <c r="EP17" s="1" t="s">
        <v>716</v>
      </c>
      <c r="EQ17" s="1" t="s">
        <v>717</v>
      </c>
      <c r="ER17" s="1" t="s">
        <v>718</v>
      </c>
      <c r="ES17" s="1" t="s">
        <v>719</v>
      </c>
      <c r="ET17" s="1" t="s">
        <v>720</v>
      </c>
      <c r="EU17" s="1" t="s">
        <v>721</v>
      </c>
      <c r="EV17" s="1" t="s">
        <v>722</v>
      </c>
      <c r="EW17" s="1" t="s">
        <v>723</v>
      </c>
      <c r="EX17" s="1" t="s">
        <v>724</v>
      </c>
      <c r="EY17" s="1" t="s">
        <v>725</v>
      </c>
      <c r="EZ17" s="1" t="s">
        <v>726</v>
      </c>
      <c r="FA17" s="1" t="s">
        <v>727</v>
      </c>
      <c r="FB17" s="1" t="s">
        <v>728</v>
      </c>
      <c r="FC17" s="1" t="s">
        <v>729</v>
      </c>
      <c r="FD17" s="1" t="s">
        <v>730</v>
      </c>
      <c r="FE17" s="1" t="s">
        <v>731</v>
      </c>
      <c r="FF17" s="1" t="s">
        <v>732</v>
      </c>
      <c r="FG17" s="1" t="s">
        <v>733</v>
      </c>
      <c r="FH17" s="1" t="s">
        <v>734</v>
      </c>
      <c r="FI17" s="1" t="s">
        <v>735</v>
      </c>
      <c r="FJ17" s="1" t="s">
        <v>736</v>
      </c>
      <c r="FK17" s="1" t="s">
        <v>737</v>
      </c>
      <c r="FL17" s="1" t="s">
        <v>738</v>
      </c>
      <c r="FM17" s="1" t="s">
        <v>739</v>
      </c>
      <c r="FN17" s="1" t="s">
        <v>740</v>
      </c>
      <c r="FO17" s="1" t="s">
        <v>741</v>
      </c>
      <c r="FP17" s="1" t="s">
        <v>742</v>
      </c>
      <c r="FQ17" s="1" t="s">
        <v>743</v>
      </c>
      <c r="FR17" s="1" t="s">
        <v>744</v>
      </c>
      <c r="FS17" s="1" t="s">
        <v>745</v>
      </c>
      <c r="FT17" s="1" t="s">
        <v>746</v>
      </c>
      <c r="FU17" s="1" t="s">
        <v>747</v>
      </c>
      <c r="FV17" s="1" t="s">
        <v>748</v>
      </c>
      <c r="FW17" s="1" t="s">
        <v>749</v>
      </c>
      <c r="FX17" s="1" t="s">
        <v>750</v>
      </c>
      <c r="FY17" s="1" t="s">
        <v>751</v>
      </c>
      <c r="FZ17" s="1" t="s">
        <v>752</v>
      </c>
      <c r="GA17" s="1" t="s">
        <v>753</v>
      </c>
      <c r="GB17" s="1" t="s">
        <v>754</v>
      </c>
      <c r="GC17" s="1" t="s">
        <v>755</v>
      </c>
      <c r="GD17" s="1" t="s">
        <v>756</v>
      </c>
      <c r="GE17" s="1" t="s">
        <v>757</v>
      </c>
      <c r="GF17" s="1" t="s">
        <v>758</v>
      </c>
      <c r="GG17" s="1" t="s">
        <v>759</v>
      </c>
      <c r="GH17" s="1" t="s">
        <v>760</v>
      </c>
      <c r="GI17" s="1" t="s">
        <v>761</v>
      </c>
      <c r="GJ17" s="1" t="s">
        <v>762</v>
      </c>
      <c r="GK17" s="1" t="s">
        <v>763</v>
      </c>
      <c r="GL17" s="1" t="s">
        <v>764</v>
      </c>
      <c r="GM17" s="1" t="s">
        <v>765</v>
      </c>
      <c r="GN17" s="1" t="s">
        <v>766</v>
      </c>
      <c r="GO17" s="1" t="s">
        <v>767</v>
      </c>
      <c r="GP17" s="1" t="s">
        <v>768</v>
      </c>
      <c r="GQ17" s="1" t="s">
        <v>769</v>
      </c>
      <c r="GR17" s="1" t="s">
        <v>770</v>
      </c>
      <c r="GS17" s="1" t="s">
        <v>771</v>
      </c>
      <c r="GT17" s="1" t="s">
        <v>772</v>
      </c>
      <c r="GU17" s="1" t="s">
        <v>773</v>
      </c>
      <c r="GV17" s="1" t="s">
        <v>774</v>
      </c>
      <c r="GW17" s="1" t="s">
        <v>775</v>
      </c>
      <c r="GX17" s="1" t="s">
        <v>776</v>
      </c>
      <c r="GY17" s="1" t="s">
        <v>777</v>
      </c>
      <c r="GZ17" s="1" t="s">
        <v>778</v>
      </c>
      <c r="HA17" s="1" t="s">
        <v>779</v>
      </c>
      <c r="HB17" s="1" t="s">
        <v>780</v>
      </c>
      <c r="HC17" s="1" t="s">
        <v>781</v>
      </c>
      <c r="HD17" s="1" t="s">
        <v>782</v>
      </c>
      <c r="HE17" s="1" t="s">
        <v>783</v>
      </c>
      <c r="HF17" s="1" t="s">
        <v>784</v>
      </c>
      <c r="HG17" s="1" t="s">
        <v>785</v>
      </c>
      <c r="HH17" s="1" t="s">
        <v>786</v>
      </c>
      <c r="HI17" s="1" t="s">
        <v>787</v>
      </c>
      <c r="HJ17" s="1" t="s">
        <v>788</v>
      </c>
      <c r="HK17" s="1" t="s">
        <v>789</v>
      </c>
      <c r="HL17" s="1" t="s">
        <v>790</v>
      </c>
      <c r="HM17" s="1" t="s">
        <v>791</v>
      </c>
      <c r="HN17" s="1" t="s">
        <v>792</v>
      </c>
      <c r="HO17" s="1" t="s">
        <v>793</v>
      </c>
      <c r="HP17" s="1" t="s">
        <v>794</v>
      </c>
      <c r="HQ17" s="1" t="s">
        <v>795</v>
      </c>
      <c r="HR17" s="1" t="s">
        <v>796</v>
      </c>
      <c r="HS17" s="1" t="s">
        <v>797</v>
      </c>
      <c r="HT17" s="1" t="s">
        <v>798</v>
      </c>
      <c r="HU17" s="1" t="s">
        <v>799</v>
      </c>
      <c r="HV17" s="1" t="s">
        <v>800</v>
      </c>
      <c r="HW17" s="1" t="s">
        <v>801</v>
      </c>
      <c r="HX17" s="1" t="s">
        <v>802</v>
      </c>
      <c r="HY17" s="1" t="s">
        <v>803</v>
      </c>
      <c r="HZ17" s="1" t="s">
        <v>804</v>
      </c>
      <c r="IA17" s="1" t="s">
        <v>805</v>
      </c>
      <c r="IB17" s="1" t="s">
        <v>806</v>
      </c>
      <c r="IC17" s="1" t="s">
        <v>807</v>
      </c>
      <c r="ID17" s="1" t="s">
        <v>808</v>
      </c>
      <c r="IE17" s="1" t="s">
        <v>809</v>
      </c>
      <c r="IF17" s="1" t="s">
        <v>810</v>
      </c>
      <c r="IG17" s="1" t="s">
        <v>811</v>
      </c>
      <c r="IH17" s="1" t="s">
        <v>812</v>
      </c>
      <c r="II17" s="1" t="s">
        <v>813</v>
      </c>
      <c r="IJ17" s="1" t="s">
        <v>814</v>
      </c>
      <c r="IK17" s="1" t="s">
        <v>815</v>
      </c>
      <c r="IL17" s="1" t="s">
        <v>816</v>
      </c>
      <c r="IM17" s="1" t="s">
        <v>817</v>
      </c>
      <c r="IN17" s="1" t="s">
        <v>818</v>
      </c>
      <c r="IO17" s="1" t="s">
        <v>819</v>
      </c>
      <c r="IP17" s="1" t="s">
        <v>820</v>
      </c>
      <c r="IQ17" s="1" t="s">
        <v>821</v>
      </c>
      <c r="IR17" s="1" t="s">
        <v>822</v>
      </c>
      <c r="IS17" s="1" t="s">
        <v>823</v>
      </c>
      <c r="IT17" s="1" t="s">
        <v>824</v>
      </c>
      <c r="IU17" s="1" t="s">
        <v>825</v>
      </c>
      <c r="IV17" s="1" t="s">
        <v>826</v>
      </c>
      <c r="IW17" s="1" t="s">
        <v>827</v>
      </c>
      <c r="IX17" s="1" t="s">
        <v>828</v>
      </c>
      <c r="IY17" s="1" t="s">
        <v>829</v>
      </c>
      <c r="IZ17" s="1" t="s">
        <v>830</v>
      </c>
      <c r="JA17" s="1" t="s">
        <v>831</v>
      </c>
      <c r="JB17" s="1" t="s">
        <v>832</v>
      </c>
      <c r="JC17" s="1" t="s">
        <v>833</v>
      </c>
      <c r="JD17" s="1" t="s">
        <v>834</v>
      </c>
      <c r="JE17" s="1" t="s">
        <v>835</v>
      </c>
      <c r="JF17" s="1" t="s">
        <v>836</v>
      </c>
      <c r="JG17" s="1" t="s">
        <v>837</v>
      </c>
      <c r="JH17" s="1" t="s">
        <v>838</v>
      </c>
      <c r="JI17" s="1" t="s">
        <v>839</v>
      </c>
      <c r="JJ17" s="1" t="s">
        <v>840</v>
      </c>
      <c r="JK17" s="1" t="s">
        <v>841</v>
      </c>
      <c r="JL17" s="1" t="s">
        <v>842</v>
      </c>
      <c r="JM17" s="1" t="s">
        <v>843</v>
      </c>
      <c r="JN17" s="1" t="s">
        <v>844</v>
      </c>
      <c r="JO17" s="1" t="s">
        <v>845</v>
      </c>
      <c r="JP17" s="1" t="s">
        <v>846</v>
      </c>
      <c r="JQ17" s="1" t="s">
        <v>847</v>
      </c>
      <c r="JR17" s="1" t="s">
        <v>848</v>
      </c>
      <c r="JS17" s="1" t="s">
        <v>849</v>
      </c>
      <c r="JT17" s="1" t="s">
        <v>850</v>
      </c>
      <c r="JU17" s="1" t="s">
        <v>851</v>
      </c>
      <c r="JV17" s="1" t="s">
        <v>852</v>
      </c>
      <c r="JW17" s="1" t="s">
        <v>853</v>
      </c>
      <c r="JX17" s="1" t="s">
        <v>854</v>
      </c>
      <c r="JY17" s="1" t="s">
        <v>855</v>
      </c>
      <c r="JZ17" s="1" t="s">
        <v>856</v>
      </c>
      <c r="KA17" s="1" t="s">
        <v>857</v>
      </c>
      <c r="KB17" s="1" t="s">
        <v>858</v>
      </c>
      <c r="KC17" s="1" t="s">
        <v>859</v>
      </c>
      <c r="KD17" s="1" t="s">
        <v>860</v>
      </c>
      <c r="KE17" s="1" t="s">
        <v>861</v>
      </c>
      <c r="KF17" s="1" t="s">
        <v>862</v>
      </c>
      <c r="KG17" s="1" t="s">
        <v>863</v>
      </c>
      <c r="KH17" s="1" t="s">
        <v>864</v>
      </c>
      <c r="KI17" s="1" t="s">
        <v>865</v>
      </c>
      <c r="KJ17" s="1" t="s">
        <v>866</v>
      </c>
      <c r="KK17" s="1" t="s">
        <v>867</v>
      </c>
      <c r="KL17" s="1" t="s">
        <v>868</v>
      </c>
      <c r="KM17" s="1" t="s">
        <v>869</v>
      </c>
      <c r="KN17" s="1" t="s">
        <v>870</v>
      </c>
      <c r="KO17" s="1" t="s">
        <v>871</v>
      </c>
      <c r="KP17" s="1" t="s">
        <v>872</v>
      </c>
      <c r="KQ17" s="1" t="s">
        <v>873</v>
      </c>
      <c r="KR17" s="1" t="s">
        <v>874</v>
      </c>
      <c r="KS17" s="1" t="s">
        <v>875</v>
      </c>
      <c r="KT17" s="1" t="s">
        <v>876</v>
      </c>
      <c r="KU17" s="1" t="s">
        <v>877</v>
      </c>
      <c r="KV17" s="1" t="s">
        <v>878</v>
      </c>
      <c r="KW17" s="1" t="s">
        <v>879</v>
      </c>
      <c r="KX17" s="1" t="s">
        <v>880</v>
      </c>
      <c r="KY17" s="1" t="s">
        <v>881</v>
      </c>
      <c r="KZ17" s="1" t="s">
        <v>882</v>
      </c>
      <c r="LA17" s="1" t="s">
        <v>883</v>
      </c>
      <c r="LB17" s="1" t="s">
        <v>884</v>
      </c>
      <c r="LC17" s="1" t="s">
        <v>885</v>
      </c>
      <c r="LD17" s="1" t="s">
        <v>886</v>
      </c>
      <c r="LE17" s="1" t="s">
        <v>887</v>
      </c>
      <c r="LF17" s="1" t="s">
        <v>888</v>
      </c>
      <c r="LG17" s="1" t="s">
        <v>889</v>
      </c>
      <c r="LH17" s="1" t="s">
        <v>890</v>
      </c>
      <c r="LI17" s="1" t="s">
        <v>891</v>
      </c>
      <c r="LJ17" s="1" t="s">
        <v>892</v>
      </c>
      <c r="LK17" s="1" t="s">
        <v>893</v>
      </c>
      <c r="LL17" s="1" t="s">
        <v>894</v>
      </c>
      <c r="LM17" s="1" t="s">
        <v>895</v>
      </c>
      <c r="LN17" s="1" t="s">
        <v>896</v>
      </c>
      <c r="LO17" s="1" t="s">
        <v>897</v>
      </c>
      <c r="LP17" s="1" t="s">
        <v>898</v>
      </c>
      <c r="LQ17" s="1" t="s">
        <v>899</v>
      </c>
      <c r="LR17" s="1" t="s">
        <v>900</v>
      </c>
      <c r="LS17" s="1" t="s">
        <v>901</v>
      </c>
      <c r="LT17" s="1" t="s">
        <v>902</v>
      </c>
      <c r="LU17" s="1" t="s">
        <v>903</v>
      </c>
      <c r="LV17" s="1" t="s">
        <v>904</v>
      </c>
      <c r="LW17" s="1" t="s">
        <v>905</v>
      </c>
      <c r="LX17" s="1" t="s">
        <v>906</v>
      </c>
      <c r="LY17" s="1" t="s">
        <v>907</v>
      </c>
      <c r="LZ17" s="1" t="s">
        <v>908</v>
      </c>
      <c r="MA17" s="1" t="s">
        <v>909</v>
      </c>
      <c r="MB17" s="1" t="s">
        <v>910</v>
      </c>
      <c r="MC17" s="1" t="s">
        <v>911</v>
      </c>
      <c r="MD17" s="1" t="s">
        <v>912</v>
      </c>
      <c r="ME17" s="1" t="s">
        <v>913</v>
      </c>
      <c r="MF17" s="1" t="s">
        <v>914</v>
      </c>
      <c r="MG17" s="1" t="s">
        <v>915</v>
      </c>
      <c r="MH17" s="1" t="s">
        <v>916</v>
      </c>
      <c r="MI17" s="1" t="s">
        <v>917</v>
      </c>
      <c r="MJ17" s="1" t="s">
        <v>918</v>
      </c>
      <c r="MK17" s="1" t="s">
        <v>919</v>
      </c>
      <c r="ML17" s="1" t="s">
        <v>920</v>
      </c>
      <c r="MM17" s="1" t="s">
        <v>921</v>
      </c>
      <c r="MN17" s="1" t="s">
        <v>922</v>
      </c>
      <c r="MO17" s="1" t="s">
        <v>923</v>
      </c>
      <c r="MP17" s="1" t="s">
        <v>924</v>
      </c>
      <c r="MQ17" s="1" t="s">
        <v>925</v>
      </c>
      <c r="MR17" s="1" t="s">
        <v>926</v>
      </c>
      <c r="MS17" s="1" t="s">
        <v>927</v>
      </c>
      <c r="MT17" s="1" t="s">
        <v>928</v>
      </c>
      <c r="MU17" s="1" t="s">
        <v>929</v>
      </c>
      <c r="MV17" s="1" t="s">
        <v>930</v>
      </c>
      <c r="MW17" s="1" t="s">
        <v>931</v>
      </c>
      <c r="MX17" s="1" t="s">
        <v>932</v>
      </c>
      <c r="MY17" s="1" t="s">
        <v>933</v>
      </c>
      <c r="MZ17" s="1" t="s">
        <v>934</v>
      </c>
      <c r="NA17" s="1" t="s">
        <v>935</v>
      </c>
      <c r="NB17" s="1" t="s">
        <v>936</v>
      </c>
      <c r="NC17" s="1" t="s">
        <v>937</v>
      </c>
      <c r="ND17" s="1" t="s">
        <v>938</v>
      </c>
      <c r="NE17" s="1" t="s">
        <v>939</v>
      </c>
      <c r="NF17" s="1" t="s">
        <v>940</v>
      </c>
      <c r="NG17" s="1" t="s">
        <v>941</v>
      </c>
      <c r="NH17" s="1" t="s">
        <v>942</v>
      </c>
      <c r="NI17" s="1" t="s">
        <v>943</v>
      </c>
      <c r="NJ17" s="1" t="s">
        <v>944</v>
      </c>
      <c r="NK17" s="1" t="s">
        <v>945</v>
      </c>
      <c r="NL17" s="1" t="s">
        <v>946</v>
      </c>
      <c r="NM17" s="1" t="s">
        <v>947</v>
      </c>
      <c r="NN17" s="1" t="s">
        <v>948</v>
      </c>
      <c r="NO17" s="1" t="s">
        <v>949</v>
      </c>
      <c r="NP17" s="1" t="s">
        <v>950</v>
      </c>
      <c r="NQ17" s="1" t="s">
        <v>951</v>
      </c>
      <c r="NR17" s="1" t="s">
        <v>952</v>
      </c>
      <c r="NS17" s="1" t="s">
        <v>953</v>
      </c>
      <c r="NT17" s="1" t="s">
        <v>954</v>
      </c>
      <c r="NU17" s="1" t="s">
        <v>955</v>
      </c>
      <c r="NV17" s="1" t="s">
        <v>956</v>
      </c>
      <c r="NW17" s="1" t="s">
        <v>957</v>
      </c>
      <c r="NX17" s="1" t="s">
        <v>958</v>
      </c>
      <c r="NY17" s="1" t="s">
        <v>959</v>
      </c>
      <c r="NZ17" s="1" t="s">
        <v>960</v>
      </c>
      <c r="OA17" s="1" t="s">
        <v>961</v>
      </c>
      <c r="OB17" s="1" t="s">
        <v>962</v>
      </c>
      <c r="OC17" s="1" t="s">
        <v>963</v>
      </c>
      <c r="OD17" s="1" t="s">
        <v>964</v>
      </c>
      <c r="OE17" s="1" t="s">
        <v>965</v>
      </c>
      <c r="OF17" s="1" t="s">
        <v>966</v>
      </c>
      <c r="OG17" s="1" t="s">
        <v>967</v>
      </c>
      <c r="OH17" s="1" t="s">
        <v>968</v>
      </c>
      <c r="OI17" s="1" t="s">
        <v>969</v>
      </c>
      <c r="OJ17" s="1" t="s">
        <v>970</v>
      </c>
      <c r="OK17" s="1" t="s">
        <v>971</v>
      </c>
      <c r="OL17" s="1" t="s">
        <v>972</v>
      </c>
      <c r="OM17" s="1" t="s">
        <v>973</v>
      </c>
      <c r="ON17" s="1" t="s">
        <v>974</v>
      </c>
      <c r="OO17" s="1" t="s">
        <v>975</v>
      </c>
      <c r="OP17" s="1" t="s">
        <v>976</v>
      </c>
      <c r="OQ17" s="1" t="s">
        <v>977</v>
      </c>
      <c r="OR17" s="1" t="s">
        <v>978</v>
      </c>
      <c r="OS17" s="1" t="s">
        <v>979</v>
      </c>
      <c r="OT17" s="1" t="s">
        <v>980</v>
      </c>
      <c r="OU17" s="1" t="s">
        <v>981</v>
      </c>
      <c r="OV17" s="1" t="s">
        <v>982</v>
      </c>
      <c r="OW17" s="1" t="s">
        <v>983</v>
      </c>
      <c r="OX17" s="1" t="s">
        <v>984</v>
      </c>
      <c r="OY17" s="1" t="s">
        <v>985</v>
      </c>
      <c r="OZ17" s="1" t="s">
        <v>986</v>
      </c>
      <c r="PA17" s="1" t="s">
        <v>987</v>
      </c>
      <c r="PB17" s="1" t="s">
        <v>988</v>
      </c>
      <c r="PC17" s="1" t="s">
        <v>989</v>
      </c>
      <c r="PD17" s="1" t="s">
        <v>990</v>
      </c>
      <c r="PE17" s="1" t="s">
        <v>991</v>
      </c>
      <c r="PF17" s="1" t="s">
        <v>992</v>
      </c>
      <c r="PG17" s="1" t="s">
        <v>993</v>
      </c>
      <c r="PH17" s="1" t="s">
        <v>994</v>
      </c>
      <c r="PI17" s="1" t="s">
        <v>995</v>
      </c>
      <c r="PJ17" s="1" t="s">
        <v>996</v>
      </c>
      <c r="PK17" s="1" t="s">
        <v>997</v>
      </c>
      <c r="PL17" s="1" t="s">
        <v>998</v>
      </c>
      <c r="PM17" s="1" t="s">
        <v>999</v>
      </c>
      <c r="PN17" s="1" t="s">
        <v>1000</v>
      </c>
      <c r="PO17" s="1" t="s">
        <v>1001</v>
      </c>
      <c r="PP17" s="1" t="s">
        <v>1002</v>
      </c>
      <c r="PQ17" s="1" t="s">
        <v>1003</v>
      </c>
      <c r="PR17" s="1" t="s">
        <v>1004</v>
      </c>
      <c r="PS17" s="1" t="s">
        <v>1005</v>
      </c>
      <c r="PT17" s="1" t="s">
        <v>1006</v>
      </c>
      <c r="PU17" s="1" t="s">
        <v>1007</v>
      </c>
      <c r="PV17" s="1" t="s">
        <v>1008</v>
      </c>
      <c r="PW17" s="1" t="s">
        <v>1009</v>
      </c>
      <c r="PX17" s="1" t="s">
        <v>1010</v>
      </c>
      <c r="PY17" s="1" t="s">
        <v>1011</v>
      </c>
      <c r="PZ17" s="1" t="s">
        <v>1012</v>
      </c>
      <c r="QA17" s="1" t="s">
        <v>1013</v>
      </c>
      <c r="QB17" s="1" t="s">
        <v>1014</v>
      </c>
      <c r="QC17" s="1" t="s">
        <v>1015</v>
      </c>
      <c r="QD17" s="1" t="s">
        <v>1016</v>
      </c>
      <c r="QE17" s="1" t="s">
        <v>1017</v>
      </c>
      <c r="QF17" s="1" t="s">
        <v>1018</v>
      </c>
      <c r="QG17" s="1" t="s">
        <v>1019</v>
      </c>
      <c r="QH17" s="1" t="s">
        <v>1020</v>
      </c>
      <c r="QI17" s="1" t="s">
        <v>1021</v>
      </c>
      <c r="QJ17" s="1" t="s">
        <v>1022</v>
      </c>
      <c r="QK17" s="1" t="s">
        <v>1023</v>
      </c>
      <c r="QL17" s="1" t="s">
        <v>1024</v>
      </c>
      <c r="QM17" s="1" t="s">
        <v>1025</v>
      </c>
      <c r="QN17" s="1" t="s">
        <v>1026</v>
      </c>
      <c r="QO17" s="1" t="s">
        <v>1027</v>
      </c>
      <c r="QP17" s="1" t="s">
        <v>1028</v>
      </c>
      <c r="QQ17" s="1" t="s">
        <v>1029</v>
      </c>
      <c r="QR17" s="1" t="s">
        <v>1030</v>
      </c>
      <c r="QS17" s="1" t="s">
        <v>1031</v>
      </c>
      <c r="QT17" s="1" t="s">
        <v>1032</v>
      </c>
      <c r="QU17" s="1" t="s">
        <v>1033</v>
      </c>
      <c r="QV17" s="1" t="s">
        <v>1034</v>
      </c>
      <c r="QW17" s="1" t="s">
        <v>1035</v>
      </c>
      <c r="QX17" s="1" t="s">
        <v>1036</v>
      </c>
      <c r="QY17" s="1" t="s">
        <v>1037</v>
      </c>
      <c r="QZ17" s="1" t="s">
        <v>1038</v>
      </c>
      <c r="RA17" s="1" t="s">
        <v>1039</v>
      </c>
      <c r="RB17" s="1" t="s">
        <v>1040</v>
      </c>
      <c r="RC17" s="1" t="s">
        <v>1041</v>
      </c>
      <c r="RD17" s="1" t="s">
        <v>1042</v>
      </c>
      <c r="RE17" s="1" t="s">
        <v>1043</v>
      </c>
      <c r="RF17" s="1" t="s">
        <v>1044</v>
      </c>
      <c r="RG17" s="1" t="s">
        <v>1045</v>
      </c>
      <c r="RH17" s="1" t="s">
        <v>1046</v>
      </c>
      <c r="RI17" s="1" t="s">
        <v>1047</v>
      </c>
      <c r="RJ17" s="1" t="s">
        <v>1048</v>
      </c>
      <c r="RK17" s="1" t="s">
        <v>1049</v>
      </c>
      <c r="RL17" s="1" t="s">
        <v>1050</v>
      </c>
      <c r="RM17" s="1" t="s">
        <v>1051</v>
      </c>
      <c r="RN17" s="1" t="s">
        <v>1052</v>
      </c>
      <c r="RO17" s="1" t="s">
        <v>1053</v>
      </c>
      <c r="RP17" s="1" t="s">
        <v>1054</v>
      </c>
      <c r="RQ17" s="1" t="s">
        <v>1055</v>
      </c>
      <c r="RR17" s="1" t="s">
        <v>1056</v>
      </c>
      <c r="RS17" s="1" t="s">
        <v>1057</v>
      </c>
      <c r="RT17" s="1" t="s">
        <v>1058</v>
      </c>
      <c r="RU17" s="1" t="s">
        <v>1059</v>
      </c>
      <c r="RV17" s="1" t="s">
        <v>1060</v>
      </c>
      <c r="RW17" s="1" t="s">
        <v>1061</v>
      </c>
      <c r="RX17" s="1" t="s">
        <v>1062</v>
      </c>
      <c r="RY17" s="1" t="s">
        <v>1063</v>
      </c>
      <c r="RZ17" s="1" t="s">
        <v>1064</v>
      </c>
      <c r="SA17" s="1" t="s">
        <v>1065</v>
      </c>
      <c r="SB17" s="1" t="s">
        <v>1066</v>
      </c>
      <c r="SC17" s="1" t="s">
        <v>1067</v>
      </c>
      <c r="SD17" s="1" t="s">
        <v>1068</v>
      </c>
      <c r="SE17" s="1" t="s">
        <v>1069</v>
      </c>
      <c r="SF17" s="1" t="s">
        <v>1070</v>
      </c>
      <c r="SG17" s="1" t="s">
        <v>1071</v>
      </c>
      <c r="SH17" s="1" t="s">
        <v>1072</v>
      </c>
      <c r="SI17" s="1" t="s">
        <v>1073</v>
      </c>
      <c r="SJ17" s="1" t="s">
        <v>1074</v>
      </c>
      <c r="SK17" s="1" t="s">
        <v>1075</v>
      </c>
      <c r="SL17" s="1" t="s">
        <v>1076</v>
      </c>
      <c r="SM17" s="1" t="s">
        <v>1077</v>
      </c>
      <c r="SN17" s="1" t="s">
        <v>1078</v>
      </c>
      <c r="SO17" s="1" t="s">
        <v>1079</v>
      </c>
      <c r="SP17" s="1" t="s">
        <v>1080</v>
      </c>
      <c r="SQ17" s="1" t="s">
        <v>1081</v>
      </c>
      <c r="SR17" s="1" t="s">
        <v>1082</v>
      </c>
      <c r="SS17" s="1" t="s">
        <v>1083</v>
      </c>
      <c r="ST17" s="1" t="s">
        <v>1084</v>
      </c>
      <c r="SU17" s="1" t="s">
        <v>1085</v>
      </c>
      <c r="SV17" s="1" t="s">
        <v>1086</v>
      </c>
      <c r="SW17" s="1" t="s">
        <v>1087</v>
      </c>
      <c r="SX17" s="1" t="s">
        <v>1088</v>
      </c>
      <c r="SY17" s="1" t="s">
        <v>1089</v>
      </c>
      <c r="SZ17" s="1" t="s">
        <v>1090</v>
      </c>
      <c r="TA17" s="1" t="s">
        <v>1091</v>
      </c>
      <c r="TB17" s="1" t="s">
        <v>1092</v>
      </c>
      <c r="TC17" s="1" t="s">
        <v>1093</v>
      </c>
      <c r="TD17" s="1" t="s">
        <v>1094</v>
      </c>
      <c r="TE17" s="1" t="s">
        <v>1095</v>
      </c>
      <c r="TF17" s="1" t="s">
        <v>1096</v>
      </c>
      <c r="TG17" s="1" t="s">
        <v>1097</v>
      </c>
      <c r="TH17" s="1" t="s">
        <v>1098</v>
      </c>
      <c r="TI17" s="1" t="s">
        <v>1099</v>
      </c>
      <c r="TJ17" s="1" t="s">
        <v>1100</v>
      </c>
      <c r="TK17" s="1" t="s">
        <v>1101</v>
      </c>
      <c r="TL17" s="1" t="s">
        <v>1102</v>
      </c>
      <c r="TM17" s="1" t="s">
        <v>1103</v>
      </c>
      <c r="TN17" s="1" t="s">
        <v>1104</v>
      </c>
      <c r="TO17" s="1" t="s">
        <v>1105</v>
      </c>
      <c r="TP17" s="1" t="s">
        <v>1106</v>
      </c>
      <c r="TQ17" s="1" t="s">
        <v>1107</v>
      </c>
      <c r="TR17" s="1" t="s">
        <v>1108</v>
      </c>
      <c r="TS17" s="1" t="s">
        <v>1109</v>
      </c>
      <c r="TT17" s="1" t="s">
        <v>1110</v>
      </c>
      <c r="TU17" s="1" t="s">
        <v>1111</v>
      </c>
      <c r="TV17" s="1" t="s">
        <v>1112</v>
      </c>
      <c r="TW17" s="1" t="s">
        <v>1113</v>
      </c>
      <c r="TX17" s="1" t="s">
        <v>1114</v>
      </c>
      <c r="TY17" s="1" t="s">
        <v>1115</v>
      </c>
      <c r="TZ17" s="1" t="s">
        <v>1116</v>
      </c>
      <c r="UA17" s="1" t="s">
        <v>1117</v>
      </c>
      <c r="UB17" s="1" t="s">
        <v>1118</v>
      </c>
      <c r="UC17" s="1" t="s">
        <v>1119</v>
      </c>
      <c r="UD17" s="1" t="s">
        <v>1120</v>
      </c>
      <c r="UE17" s="1" t="s">
        <v>1121</v>
      </c>
      <c r="UF17" s="1" t="s">
        <v>1122</v>
      </c>
      <c r="UG17" s="1" t="s">
        <v>1123</v>
      </c>
      <c r="UH17" s="1" t="s">
        <v>1124</v>
      </c>
      <c r="UI17" s="1" t="s">
        <v>1125</v>
      </c>
      <c r="UJ17" s="1" t="s">
        <v>1126</v>
      </c>
      <c r="UK17" s="1" t="s">
        <v>1127</v>
      </c>
      <c r="UL17" s="1" t="s">
        <v>1128</v>
      </c>
      <c r="UM17" s="1" t="s">
        <v>1129</v>
      </c>
      <c r="UN17" s="1" t="s">
        <v>1130</v>
      </c>
      <c r="UO17" s="1" t="s">
        <v>1131</v>
      </c>
      <c r="UP17" s="1" t="s">
        <v>1132</v>
      </c>
      <c r="UQ17" s="1" t="s">
        <v>1133</v>
      </c>
      <c r="UR17" s="1" t="s">
        <v>1134</v>
      </c>
      <c r="US17" s="1" t="s">
        <v>1135</v>
      </c>
      <c r="UT17" s="1" t="s">
        <v>1136</v>
      </c>
      <c r="UU17" s="1" t="s">
        <v>1137</v>
      </c>
      <c r="UV17" s="1" t="s">
        <v>1138</v>
      </c>
      <c r="UW17" s="1" t="s">
        <v>1139</v>
      </c>
      <c r="UX17" s="1" t="s">
        <v>1140</v>
      </c>
      <c r="UY17" s="1" t="s">
        <v>1141</v>
      </c>
      <c r="UZ17" s="1" t="s">
        <v>1142</v>
      </c>
      <c r="VA17" s="1" t="s">
        <v>1143</v>
      </c>
      <c r="VB17" s="1" t="s">
        <v>1144</v>
      </c>
      <c r="VC17" s="1" t="s">
        <v>1145</v>
      </c>
      <c r="VD17" s="1" t="s">
        <v>1146</v>
      </c>
      <c r="VE17" s="1" t="s">
        <v>1147</v>
      </c>
      <c r="VF17" s="1" t="s">
        <v>1148</v>
      </c>
      <c r="VG17" s="1" t="s">
        <v>1149</v>
      </c>
      <c r="VH17" s="1" t="s">
        <v>1150</v>
      </c>
      <c r="VI17" s="1" t="s">
        <v>1151</v>
      </c>
      <c r="VJ17" s="1" t="s">
        <v>1152</v>
      </c>
      <c r="VK17" s="1" t="s">
        <v>1153</v>
      </c>
      <c r="VL17" s="1" t="s">
        <v>1154</v>
      </c>
      <c r="VM17" s="1" t="s">
        <v>1155</v>
      </c>
      <c r="VN17" s="1" t="s">
        <v>1156</v>
      </c>
      <c r="VO17" s="1" t="s">
        <v>1157</v>
      </c>
      <c r="VP17" s="1" t="s">
        <v>1158</v>
      </c>
      <c r="VQ17" s="1" t="s">
        <v>1159</v>
      </c>
      <c r="VR17" s="1" t="s">
        <v>1160</v>
      </c>
      <c r="VS17" s="1" t="s">
        <v>1161</v>
      </c>
      <c r="VT17" s="1" t="s">
        <v>1162</v>
      </c>
      <c r="VU17" s="1" t="s">
        <v>1163</v>
      </c>
      <c r="VV17" s="1" t="s">
        <v>1164</v>
      </c>
      <c r="VW17" s="1" t="s">
        <v>1165</v>
      </c>
      <c r="VX17" s="1" t="s">
        <v>1166</v>
      </c>
      <c r="VY17" s="1" t="s">
        <v>1167</v>
      </c>
      <c r="VZ17" s="1" t="s">
        <v>1168</v>
      </c>
      <c r="WA17" s="1" t="s">
        <v>1169</v>
      </c>
      <c r="WB17" s="1" t="s">
        <v>1170</v>
      </c>
      <c r="WC17" s="1" t="s">
        <v>1171</v>
      </c>
      <c r="WD17" s="1" t="s">
        <v>1172</v>
      </c>
      <c r="WE17" s="1" t="s">
        <v>1173</v>
      </c>
      <c r="WF17" s="1" t="s">
        <v>1174</v>
      </c>
      <c r="WG17" s="1" t="s">
        <v>1175</v>
      </c>
      <c r="WH17" s="1" t="s">
        <v>1176</v>
      </c>
      <c r="WI17" s="1" t="s">
        <v>1177</v>
      </c>
      <c r="WJ17" s="1" t="s">
        <v>1178</v>
      </c>
      <c r="WK17" s="1" t="s">
        <v>1179</v>
      </c>
      <c r="WL17" s="1" t="s">
        <v>1180</v>
      </c>
      <c r="WM17" s="1" t="s">
        <v>1181</v>
      </c>
      <c r="WN17" s="1" t="s">
        <v>1182</v>
      </c>
      <c r="WO17" s="1" t="s">
        <v>1183</v>
      </c>
      <c r="WP17" s="1" t="s">
        <v>1184</v>
      </c>
      <c r="WQ17" s="1" t="s">
        <v>1185</v>
      </c>
      <c r="WR17" s="1" t="s">
        <v>1186</v>
      </c>
      <c r="WS17" s="1" t="s">
        <v>1187</v>
      </c>
      <c r="WT17" s="1" t="s">
        <v>1188</v>
      </c>
      <c r="WU17" s="1" t="s">
        <v>1189</v>
      </c>
      <c r="WV17" s="1" t="s">
        <v>1190</v>
      </c>
      <c r="WW17" s="1" t="s">
        <v>1191</v>
      </c>
      <c r="WX17" s="1" t="s">
        <v>1192</v>
      </c>
      <c r="WY17" s="1" t="s">
        <v>1193</v>
      </c>
      <c r="WZ17" s="1" t="s">
        <v>1194</v>
      </c>
      <c r="XA17" s="1" t="s">
        <v>1195</v>
      </c>
      <c r="XB17" s="1" t="s">
        <v>1196</v>
      </c>
      <c r="XC17" s="1" t="s">
        <v>1197</v>
      </c>
      <c r="XD17" s="1" t="s">
        <v>1198</v>
      </c>
      <c r="XE17" s="1" t="s">
        <v>1199</v>
      </c>
      <c r="XF17" s="1" t="s">
        <v>1200</v>
      </c>
      <c r="XG17" s="1" t="s">
        <v>1201</v>
      </c>
      <c r="XH17" s="1" t="s">
        <v>1202</v>
      </c>
      <c r="XI17" s="1" t="s">
        <v>1203</v>
      </c>
      <c r="XJ17" s="1" t="s">
        <v>1204</v>
      </c>
      <c r="XK17" s="1" t="s">
        <v>1205</v>
      </c>
      <c r="XL17" s="1" t="s">
        <v>1206</v>
      </c>
      <c r="XM17" s="1" t="s">
        <v>1207</v>
      </c>
      <c r="XN17" s="1" t="s">
        <v>1208</v>
      </c>
      <c r="XO17" s="1" t="s">
        <v>1209</v>
      </c>
      <c r="XP17" s="1" t="s">
        <v>1210</v>
      </c>
      <c r="XQ17" s="1" t="s">
        <v>1211</v>
      </c>
      <c r="XR17" s="1" t="s">
        <v>1212</v>
      </c>
      <c r="XS17" s="1" t="s">
        <v>1213</v>
      </c>
      <c r="XT17" s="1" t="s">
        <v>1214</v>
      </c>
      <c r="XU17" s="1" t="s">
        <v>1215</v>
      </c>
      <c r="XV17" s="1" t="s">
        <v>1216</v>
      </c>
      <c r="XW17" s="1" t="s">
        <v>1217</v>
      </c>
      <c r="XX17" s="1" t="s">
        <v>1218</v>
      </c>
      <c r="XY17" s="1" t="s">
        <v>1219</v>
      </c>
      <c r="XZ17" s="1" t="s">
        <v>1220</v>
      </c>
      <c r="YA17" s="1" t="s">
        <v>1221</v>
      </c>
      <c r="YB17" s="1" t="s">
        <v>1222</v>
      </c>
      <c r="YC17" s="1" t="s">
        <v>1223</v>
      </c>
      <c r="YD17" s="1" t="s">
        <v>1224</v>
      </c>
      <c r="YE17" s="1" t="s">
        <v>1225</v>
      </c>
      <c r="YF17" s="1" t="s">
        <v>1226</v>
      </c>
      <c r="YG17" s="1" t="s">
        <v>1227</v>
      </c>
      <c r="YH17" s="1" t="s">
        <v>1228</v>
      </c>
      <c r="YI17" s="1" t="s">
        <v>1229</v>
      </c>
      <c r="YJ17" s="1" t="s">
        <v>1230</v>
      </c>
      <c r="YK17" s="1" t="s">
        <v>1231</v>
      </c>
      <c r="YL17" s="1" t="s">
        <v>1232</v>
      </c>
      <c r="YM17" s="1" t="s">
        <v>1233</v>
      </c>
      <c r="YN17" s="1" t="s">
        <v>1234</v>
      </c>
      <c r="YO17" s="1" t="s">
        <v>1235</v>
      </c>
      <c r="YP17" s="1" t="s">
        <v>1236</v>
      </c>
      <c r="YQ17" s="1" t="s">
        <v>1237</v>
      </c>
      <c r="YR17" s="1" t="s">
        <v>1238</v>
      </c>
      <c r="YS17" s="1" t="s">
        <v>1239</v>
      </c>
      <c r="YT17" s="1" t="s">
        <v>1240</v>
      </c>
      <c r="YU17" s="1" t="s">
        <v>1241</v>
      </c>
      <c r="YV17" s="1" t="s">
        <v>1242</v>
      </c>
      <c r="YW17" s="1" t="s">
        <v>1243</v>
      </c>
      <c r="YX17" s="1" t="s">
        <v>1244</v>
      </c>
      <c r="YY17" s="1" t="s">
        <v>1245</v>
      </c>
      <c r="YZ17" s="1" t="s">
        <v>1246</v>
      </c>
      <c r="ZA17" s="1" t="s">
        <v>1247</v>
      </c>
      <c r="ZB17" s="1" t="s">
        <v>1248</v>
      </c>
      <c r="ZC17" s="1" t="s">
        <v>1249</v>
      </c>
      <c r="ZD17" s="1" t="s">
        <v>1250</v>
      </c>
      <c r="ZE17" s="1" t="s">
        <v>1251</v>
      </c>
      <c r="ZF17" s="1" t="s">
        <v>1252</v>
      </c>
      <c r="ZG17" s="1" t="s">
        <v>1253</v>
      </c>
      <c r="ZH17" s="1" t="s">
        <v>1254</v>
      </c>
      <c r="ZI17" s="1" t="s">
        <v>1255</v>
      </c>
      <c r="ZJ17" s="1" t="s">
        <v>1256</v>
      </c>
      <c r="ZK17" s="1" t="s">
        <v>1257</v>
      </c>
      <c r="ZL17" s="1" t="s">
        <v>1258</v>
      </c>
      <c r="ZM17" s="1" t="s">
        <v>1259</v>
      </c>
      <c r="ZN17" s="1" t="s">
        <v>1260</v>
      </c>
      <c r="ZO17" s="1" t="s">
        <v>1261</v>
      </c>
      <c r="ZP17" s="1" t="s">
        <v>1262</v>
      </c>
      <c r="ZQ17" s="1" t="s">
        <v>1263</v>
      </c>
      <c r="ZR17" s="1" t="s">
        <v>1264</v>
      </c>
      <c r="ZS17" s="1" t="s">
        <v>1265</v>
      </c>
      <c r="ZT17" s="1" t="s">
        <v>1266</v>
      </c>
      <c r="ZU17" s="1" t="s">
        <v>1267</v>
      </c>
      <c r="ZV17" s="1" t="s">
        <v>1268</v>
      </c>
      <c r="ZW17" s="1" t="s">
        <v>1269</v>
      </c>
      <c r="ZX17" s="1" t="s">
        <v>1270</v>
      </c>
      <c r="ZY17" s="1" t="s">
        <v>1271</v>
      </c>
      <c r="ZZ17" s="1" t="s">
        <v>1272</v>
      </c>
      <c r="AAA17" s="1" t="s">
        <v>1273</v>
      </c>
      <c r="AAB17" s="1" t="s">
        <v>1274</v>
      </c>
      <c r="AAC17" s="1" t="s">
        <v>1275</v>
      </c>
      <c r="AAD17" s="1" t="s">
        <v>1276</v>
      </c>
      <c r="AAE17" s="1" t="s">
        <v>1277</v>
      </c>
      <c r="AAF17" s="1" t="s">
        <v>1278</v>
      </c>
      <c r="AAG17" s="1" t="s">
        <v>1279</v>
      </c>
      <c r="AAH17" s="1" t="s">
        <v>1280</v>
      </c>
      <c r="AAI17" s="1" t="s">
        <v>1281</v>
      </c>
      <c r="AAJ17" s="1" t="s">
        <v>1282</v>
      </c>
      <c r="AAK17" s="1" t="s">
        <v>1283</v>
      </c>
      <c r="AAL17" s="1" t="s">
        <v>1284</v>
      </c>
      <c r="AAM17" s="1" t="s">
        <v>1285</v>
      </c>
      <c r="AAN17" s="1" t="s">
        <v>1286</v>
      </c>
      <c r="AAO17" s="1" t="s">
        <v>1287</v>
      </c>
      <c r="AAP17" s="1" t="s">
        <v>1288</v>
      </c>
      <c r="AAQ17" s="1" t="s">
        <v>1289</v>
      </c>
      <c r="AAR17" s="1" t="s">
        <v>1290</v>
      </c>
      <c r="AAS17" s="1" t="s">
        <v>1291</v>
      </c>
      <c r="AAT17" s="1" t="s">
        <v>1292</v>
      </c>
      <c r="AAU17" s="1" t="s">
        <v>1293</v>
      </c>
      <c r="AAV17" s="1" t="s">
        <v>1294</v>
      </c>
      <c r="AAW17" s="1" t="s">
        <v>1295</v>
      </c>
      <c r="AAX17" s="1" t="s">
        <v>1296</v>
      </c>
      <c r="AAY17" s="1" t="s">
        <v>1297</v>
      </c>
      <c r="AAZ17" s="1" t="s">
        <v>1298</v>
      </c>
      <c r="ABA17" s="1" t="s">
        <v>1299</v>
      </c>
      <c r="ABB17" s="1" t="s">
        <v>1300</v>
      </c>
      <c r="ABC17" s="1" t="s">
        <v>1301</v>
      </c>
      <c r="ABD17" s="1" t="s">
        <v>1302</v>
      </c>
      <c r="ABE17" s="1" t="s">
        <v>1303</v>
      </c>
      <c r="ABF17" s="1" t="s">
        <v>1304</v>
      </c>
      <c r="ABG17" s="1" t="s">
        <v>1305</v>
      </c>
      <c r="ABH17" s="1" t="s">
        <v>1306</v>
      </c>
      <c r="ABI17" s="1" t="s">
        <v>1307</v>
      </c>
      <c r="ABJ17" s="1" t="s">
        <v>1308</v>
      </c>
      <c r="ABK17" s="1" t="s">
        <v>1309</v>
      </c>
      <c r="ABL17" s="1" t="s">
        <v>1310</v>
      </c>
      <c r="ABM17" s="1" t="s">
        <v>1311</v>
      </c>
      <c r="ABN17" s="1" t="s">
        <v>1312</v>
      </c>
      <c r="ABO17" s="1" t="s">
        <v>1313</v>
      </c>
      <c r="ABP17" s="1" t="s">
        <v>1314</v>
      </c>
      <c r="ABQ17" s="1" t="s">
        <v>1315</v>
      </c>
      <c r="ABR17" s="1" t="s">
        <v>1316</v>
      </c>
      <c r="ABS17" s="1" t="s">
        <v>1317</v>
      </c>
      <c r="ABT17" s="1" t="s">
        <v>1318</v>
      </c>
      <c r="ABU17" s="1" t="s">
        <v>1319</v>
      </c>
      <c r="ABV17" s="1" t="s">
        <v>1320</v>
      </c>
      <c r="ABW17" s="1" t="s">
        <v>1321</v>
      </c>
      <c r="ABX17" s="1" t="s">
        <v>1322</v>
      </c>
      <c r="ABY17" s="1" t="s">
        <v>1323</v>
      </c>
      <c r="ABZ17" s="1" t="s">
        <v>1324</v>
      </c>
      <c r="ACA17" s="1" t="s">
        <v>1325</v>
      </c>
      <c r="ACB17" s="1" t="s">
        <v>1326</v>
      </c>
      <c r="ACC17" s="1" t="s">
        <v>1327</v>
      </c>
      <c r="ACD17" s="1" t="s">
        <v>1328</v>
      </c>
      <c r="ACE17" s="1" t="s">
        <v>1329</v>
      </c>
      <c r="ACF17" s="1" t="s">
        <v>1330</v>
      </c>
      <c r="ACG17" s="1" t="s">
        <v>1331</v>
      </c>
      <c r="ACH17" s="1" t="s">
        <v>1332</v>
      </c>
      <c r="ACI17" s="1" t="s">
        <v>1333</v>
      </c>
      <c r="ACJ17" s="1" t="s">
        <v>1334</v>
      </c>
      <c r="ACK17" s="1" t="s">
        <v>1335</v>
      </c>
      <c r="ACL17" s="1" t="s">
        <v>1336</v>
      </c>
      <c r="ACM17" s="1" t="s">
        <v>1337</v>
      </c>
      <c r="ACN17" s="1" t="s">
        <v>1338</v>
      </c>
      <c r="ACO17" s="1" t="s">
        <v>1339</v>
      </c>
      <c r="ACP17" s="1" t="s">
        <v>1340</v>
      </c>
      <c r="ACQ17" s="1" t="s">
        <v>1341</v>
      </c>
      <c r="ACR17" s="1" t="s">
        <v>1342</v>
      </c>
      <c r="ACS17" s="1" t="s">
        <v>1343</v>
      </c>
      <c r="ACT17" s="1" t="s">
        <v>1344</v>
      </c>
      <c r="ACU17" s="1" t="s">
        <v>1345</v>
      </c>
      <c r="ACV17" s="1" t="s">
        <v>1346</v>
      </c>
      <c r="ACW17" s="1" t="s">
        <v>1347</v>
      </c>
      <c r="ACX17" s="1" t="s">
        <v>1348</v>
      </c>
      <c r="ACY17" s="1" t="s">
        <v>1349</v>
      </c>
      <c r="ACZ17" s="1" t="s">
        <v>1350</v>
      </c>
      <c r="ADA17" s="1" t="s">
        <v>1351</v>
      </c>
      <c r="ADB17" s="1" t="s">
        <v>1352</v>
      </c>
      <c r="ADC17" s="1" t="s">
        <v>1353</v>
      </c>
      <c r="ADD17" s="1" t="s">
        <v>1354</v>
      </c>
      <c r="ADE17" s="1" t="s">
        <v>1355</v>
      </c>
      <c r="ADF17" s="1" t="s">
        <v>1356</v>
      </c>
      <c r="ADG17" s="1" t="s">
        <v>1357</v>
      </c>
      <c r="ADH17" s="1" t="s">
        <v>1358</v>
      </c>
      <c r="ADI17" s="1" t="s">
        <v>1359</v>
      </c>
      <c r="ADJ17" s="1" t="s">
        <v>1360</v>
      </c>
      <c r="ADK17" s="1" t="s">
        <v>1361</v>
      </c>
      <c r="ADL17" s="1" t="s">
        <v>1362</v>
      </c>
      <c r="ADM17" s="1" t="s">
        <v>1363</v>
      </c>
      <c r="ADN17" s="1" t="s">
        <v>1364</v>
      </c>
      <c r="ADO17" s="1" t="s">
        <v>1365</v>
      </c>
      <c r="ADP17" s="1" t="s">
        <v>1366</v>
      </c>
      <c r="ADQ17" s="1" t="s">
        <v>1367</v>
      </c>
      <c r="ADR17" s="1" t="s">
        <v>1368</v>
      </c>
      <c r="ADS17" s="1" t="s">
        <v>1369</v>
      </c>
      <c r="ADT17" s="1" t="s">
        <v>1370</v>
      </c>
      <c r="ADU17" s="1" t="s">
        <v>1371</v>
      </c>
      <c r="ADV17" s="1" t="s">
        <v>1372</v>
      </c>
      <c r="ADW17" s="1" t="s">
        <v>1373</v>
      </c>
      <c r="ADX17" s="1" t="s">
        <v>1374</v>
      </c>
      <c r="ADY17" s="1" t="s">
        <v>1375</v>
      </c>
      <c r="ADZ17" s="1" t="s">
        <v>1376</v>
      </c>
      <c r="AEA17" s="1" t="s">
        <v>1377</v>
      </c>
      <c r="AEB17" s="1" t="s">
        <v>1378</v>
      </c>
      <c r="AEC17" s="1" t="s">
        <v>1379</v>
      </c>
      <c r="AED17" s="1" t="s">
        <v>1380</v>
      </c>
      <c r="AEE17" s="1" t="s">
        <v>1381</v>
      </c>
      <c r="AEF17" s="1" t="s">
        <v>1382</v>
      </c>
      <c r="AEG17" s="1" t="s">
        <v>1383</v>
      </c>
      <c r="AEH17" s="1" t="s">
        <v>1384</v>
      </c>
      <c r="AEI17" s="1" t="s">
        <v>1385</v>
      </c>
      <c r="AEJ17" s="1" t="s">
        <v>1386</v>
      </c>
      <c r="AEK17" s="1" t="s">
        <v>1387</v>
      </c>
      <c r="AEL17" s="1" t="s">
        <v>1388</v>
      </c>
      <c r="AEM17" s="1" t="s">
        <v>1389</v>
      </c>
      <c r="AEN17" s="1" t="s">
        <v>1390</v>
      </c>
      <c r="AEO17" s="1" t="s">
        <v>1391</v>
      </c>
      <c r="AEP17" s="1" t="s">
        <v>1392</v>
      </c>
      <c r="AEQ17" s="1" t="s">
        <v>1393</v>
      </c>
      <c r="AER17" s="1" t="s">
        <v>1394</v>
      </c>
      <c r="AES17" s="1" t="s">
        <v>1395</v>
      </c>
      <c r="AET17" s="1" t="s">
        <v>1396</v>
      </c>
      <c r="AEU17" s="1" t="s">
        <v>1397</v>
      </c>
      <c r="AEV17" s="1" t="s">
        <v>1398</v>
      </c>
      <c r="AEW17" s="1" t="s">
        <v>1399</v>
      </c>
      <c r="AEX17" s="1" t="s">
        <v>1400</v>
      </c>
      <c r="AEY17" s="1" t="s">
        <v>1401</v>
      </c>
      <c r="AEZ17" s="1" t="s">
        <v>1402</v>
      </c>
      <c r="AFA17" s="1" t="s">
        <v>1403</v>
      </c>
      <c r="AFB17" s="1" t="s">
        <v>1404</v>
      </c>
      <c r="AFC17" s="1" t="s">
        <v>1405</v>
      </c>
      <c r="AFD17" s="1" t="s">
        <v>1406</v>
      </c>
      <c r="AFE17" s="1" t="s">
        <v>1407</v>
      </c>
      <c r="AFF17" s="1" t="s">
        <v>1408</v>
      </c>
      <c r="AFG17" s="1" t="s">
        <v>1409</v>
      </c>
      <c r="AFH17" s="1" t="s">
        <v>1410</v>
      </c>
      <c r="AFI17" s="1" t="s">
        <v>1411</v>
      </c>
      <c r="AFJ17" s="1" t="s">
        <v>1412</v>
      </c>
      <c r="AFK17" s="1" t="s">
        <v>1413</v>
      </c>
      <c r="AFL17" s="1" t="s">
        <v>1414</v>
      </c>
      <c r="AFM17" s="1" t="s">
        <v>1415</v>
      </c>
      <c r="AFN17" s="1" t="s">
        <v>1416</v>
      </c>
      <c r="AFO17" s="1" t="s">
        <v>1417</v>
      </c>
      <c r="AFP17" s="1" t="s">
        <v>1418</v>
      </c>
      <c r="AFQ17" s="1" t="s">
        <v>1419</v>
      </c>
      <c r="AFR17" s="1" t="s">
        <v>1420</v>
      </c>
      <c r="AFS17" s="1" t="s">
        <v>1421</v>
      </c>
      <c r="AFT17" s="1" t="s">
        <v>1422</v>
      </c>
      <c r="AFU17" s="1" t="s">
        <v>1423</v>
      </c>
      <c r="AFV17" s="1" t="s">
        <v>1424</v>
      </c>
      <c r="AFW17" s="1" t="s">
        <v>1425</v>
      </c>
      <c r="AFX17" s="1" t="s">
        <v>1426</v>
      </c>
      <c r="AFY17" s="1" t="s">
        <v>1427</v>
      </c>
      <c r="AFZ17" s="1" t="s">
        <v>1428</v>
      </c>
      <c r="AGA17" s="1" t="s">
        <v>1429</v>
      </c>
      <c r="AGB17" s="1" t="s">
        <v>1430</v>
      </c>
      <c r="AGC17" s="1" t="s">
        <v>1431</v>
      </c>
      <c r="AGD17" s="1" t="s">
        <v>1432</v>
      </c>
      <c r="AGE17" s="1" t="s">
        <v>1433</v>
      </c>
      <c r="AGF17" s="1" t="s">
        <v>1434</v>
      </c>
      <c r="AGG17" s="1" t="s">
        <v>1435</v>
      </c>
      <c r="AGH17" s="1" t="s">
        <v>1436</v>
      </c>
      <c r="AGI17" s="1" t="s">
        <v>1437</v>
      </c>
      <c r="AGJ17" s="1" t="s">
        <v>1438</v>
      </c>
      <c r="AGK17" s="1" t="s">
        <v>1439</v>
      </c>
      <c r="AGL17" s="1" t="s">
        <v>1440</v>
      </c>
      <c r="AGM17" s="1" t="s">
        <v>1441</v>
      </c>
      <c r="AGN17" s="1" t="s">
        <v>1442</v>
      </c>
      <c r="AGO17" s="1" t="s">
        <v>1443</v>
      </c>
      <c r="AGP17" s="1" t="s">
        <v>1444</v>
      </c>
      <c r="AGQ17" s="1" t="s">
        <v>1445</v>
      </c>
      <c r="AGR17" s="1" t="s">
        <v>1446</v>
      </c>
      <c r="AGS17" s="1" t="s">
        <v>1447</v>
      </c>
      <c r="AGT17" s="1" t="s">
        <v>1448</v>
      </c>
      <c r="AGU17" s="1" t="s">
        <v>1449</v>
      </c>
      <c r="AGV17" s="1" t="s">
        <v>1450</v>
      </c>
      <c r="AGW17" s="1" t="s">
        <v>1451</v>
      </c>
      <c r="AGX17" s="1" t="s">
        <v>1452</v>
      </c>
      <c r="AGY17" s="1" t="s">
        <v>1453</v>
      </c>
      <c r="AGZ17" s="1" t="s">
        <v>1454</v>
      </c>
      <c r="AHA17" s="1" t="s">
        <v>1455</v>
      </c>
      <c r="AHB17" s="1" t="s">
        <v>1456</v>
      </c>
      <c r="AHC17" s="1" t="s">
        <v>1457</v>
      </c>
      <c r="AHD17" s="1" t="s">
        <v>1458</v>
      </c>
      <c r="AHE17" s="1" t="s">
        <v>1459</v>
      </c>
      <c r="AHF17" s="1" t="s">
        <v>1460</v>
      </c>
      <c r="AHG17" s="1" t="s">
        <v>1461</v>
      </c>
      <c r="AHH17" s="1" t="s">
        <v>1462</v>
      </c>
      <c r="AHI17" s="1" t="s">
        <v>1463</v>
      </c>
      <c r="AHJ17" s="1" t="s">
        <v>1464</v>
      </c>
      <c r="AHK17" s="1" t="s">
        <v>1465</v>
      </c>
      <c r="AHL17" s="1" t="s">
        <v>1466</v>
      </c>
      <c r="AHM17" s="1" t="s">
        <v>1467</v>
      </c>
      <c r="AHN17" s="1" t="s">
        <v>1468</v>
      </c>
      <c r="AHO17" s="1" t="s">
        <v>1469</v>
      </c>
      <c r="AHP17" s="1" t="s">
        <v>1470</v>
      </c>
      <c r="AHQ17" s="1" t="s">
        <v>1471</v>
      </c>
      <c r="AHR17" s="1" t="s">
        <v>1472</v>
      </c>
      <c r="AHS17" s="1" t="s">
        <v>1473</v>
      </c>
      <c r="AHT17" s="1" t="s">
        <v>1474</v>
      </c>
      <c r="AHU17" s="1" t="s">
        <v>1475</v>
      </c>
      <c r="AHV17" s="1" t="s">
        <v>1476</v>
      </c>
      <c r="AHW17" s="1" t="s">
        <v>1477</v>
      </c>
      <c r="AHX17" s="1" t="s">
        <v>1478</v>
      </c>
      <c r="AHY17" s="1" t="s">
        <v>1479</v>
      </c>
      <c r="AHZ17" s="1" t="s">
        <v>1480</v>
      </c>
      <c r="AIA17" s="1" t="s">
        <v>1481</v>
      </c>
      <c r="AIB17" s="1" t="s">
        <v>1482</v>
      </c>
      <c r="AIC17" s="1" t="s">
        <v>1483</v>
      </c>
      <c r="AID17" s="1" t="s">
        <v>1484</v>
      </c>
      <c r="AIE17" s="1" t="s">
        <v>1485</v>
      </c>
      <c r="AIF17" s="1" t="s">
        <v>1486</v>
      </c>
      <c r="AIG17" s="1" t="s">
        <v>1487</v>
      </c>
      <c r="AIH17" s="1" t="s">
        <v>1488</v>
      </c>
      <c r="AII17" s="1" t="s">
        <v>1489</v>
      </c>
      <c r="AIJ17" s="1" t="s">
        <v>1490</v>
      </c>
      <c r="AIK17" s="1" t="s">
        <v>1491</v>
      </c>
      <c r="AIL17" s="1" t="s">
        <v>1492</v>
      </c>
      <c r="AIM17" s="1" t="s">
        <v>1493</v>
      </c>
      <c r="AIN17" s="1" t="s">
        <v>1494</v>
      </c>
      <c r="AIO17" s="1" t="s">
        <v>1495</v>
      </c>
      <c r="AIP17" s="1" t="s">
        <v>1496</v>
      </c>
      <c r="AIQ17" s="1" t="s">
        <v>1497</v>
      </c>
      <c r="AIR17" s="1" t="s">
        <v>1498</v>
      </c>
      <c r="AIS17" s="1" t="s">
        <v>1499</v>
      </c>
      <c r="AIT17" s="1" t="s">
        <v>1500</v>
      </c>
      <c r="AIU17" s="1" t="s">
        <v>1501</v>
      </c>
      <c r="AIV17" s="1" t="s">
        <v>1502</v>
      </c>
      <c r="AIW17" s="1" t="s">
        <v>1503</v>
      </c>
      <c r="AIX17" s="1" t="s">
        <v>1504</v>
      </c>
      <c r="AIY17" s="1" t="s">
        <v>1505</v>
      </c>
      <c r="AIZ17" s="1" t="s">
        <v>1506</v>
      </c>
      <c r="AJA17" s="1" t="s">
        <v>1507</v>
      </c>
      <c r="AJB17" s="1" t="s">
        <v>1508</v>
      </c>
      <c r="AJC17" s="1" t="s">
        <v>1509</v>
      </c>
      <c r="AJD17" s="1" t="s">
        <v>1510</v>
      </c>
      <c r="AJE17" s="1" t="s">
        <v>1511</v>
      </c>
      <c r="AJF17" s="1" t="s">
        <v>1512</v>
      </c>
      <c r="AJG17" s="1" t="s">
        <v>1513</v>
      </c>
      <c r="AJH17" s="1" t="s">
        <v>1514</v>
      </c>
      <c r="AJI17" s="1" t="s">
        <v>1515</v>
      </c>
      <c r="AJJ17" s="1" t="s">
        <v>1516</v>
      </c>
      <c r="AJK17" s="1" t="s">
        <v>1517</v>
      </c>
      <c r="AJL17" s="1" t="s">
        <v>1518</v>
      </c>
      <c r="AJM17" s="1" t="s">
        <v>1519</v>
      </c>
      <c r="AJN17" s="1" t="s">
        <v>1520</v>
      </c>
      <c r="AJO17" s="1" t="s">
        <v>1521</v>
      </c>
      <c r="AJP17" s="1" t="s">
        <v>1522</v>
      </c>
      <c r="AJQ17" s="1" t="s">
        <v>1523</v>
      </c>
      <c r="AJR17" s="1" t="s">
        <v>1524</v>
      </c>
      <c r="AJS17" s="1" t="s">
        <v>1525</v>
      </c>
      <c r="AJT17" s="1" t="s">
        <v>1526</v>
      </c>
      <c r="AJU17" s="1" t="s">
        <v>1527</v>
      </c>
      <c r="AJV17" s="1" t="s">
        <v>1528</v>
      </c>
      <c r="AJW17" s="1" t="s">
        <v>1529</v>
      </c>
      <c r="AJX17" s="1" t="s">
        <v>1530</v>
      </c>
      <c r="AJY17" s="1" t="s">
        <v>1531</v>
      </c>
      <c r="AJZ17" s="1" t="s">
        <v>1532</v>
      </c>
      <c r="AKA17" s="1" t="s">
        <v>1533</v>
      </c>
      <c r="AKB17" s="1" t="s">
        <v>1534</v>
      </c>
      <c r="AKC17" s="1" t="s">
        <v>1535</v>
      </c>
      <c r="AKD17" s="1" t="s">
        <v>1536</v>
      </c>
      <c r="AKE17" s="1" t="s">
        <v>1537</v>
      </c>
      <c r="AKF17" s="1" t="s">
        <v>1538</v>
      </c>
      <c r="AKG17" s="1" t="s">
        <v>1539</v>
      </c>
      <c r="AKH17" s="1" t="s">
        <v>1540</v>
      </c>
      <c r="AKI17" s="1" t="s">
        <v>1541</v>
      </c>
      <c r="AKJ17" s="1" t="s">
        <v>1542</v>
      </c>
      <c r="AKK17" s="1" t="s">
        <v>1543</v>
      </c>
      <c r="AKL17" s="1" t="s">
        <v>1544</v>
      </c>
      <c r="AKM17" s="1" t="s">
        <v>1545</v>
      </c>
      <c r="AKN17" s="1" t="s">
        <v>1546</v>
      </c>
      <c r="AKO17" s="1" t="s">
        <v>1547</v>
      </c>
      <c r="AKP17" s="1" t="s">
        <v>1548</v>
      </c>
      <c r="AKQ17" s="1" t="s">
        <v>1549</v>
      </c>
      <c r="AKR17" s="1" t="s">
        <v>1550</v>
      </c>
      <c r="AKS17" s="1" t="s">
        <v>1551</v>
      </c>
      <c r="AKT17" s="1" t="s">
        <v>1552</v>
      </c>
      <c r="AKU17" s="1" t="s">
        <v>1553</v>
      </c>
      <c r="AKV17" s="1" t="s">
        <v>1554</v>
      </c>
      <c r="AKW17" s="1" t="s">
        <v>1555</v>
      </c>
      <c r="AKX17" s="1" t="s">
        <v>1556</v>
      </c>
      <c r="AKY17" s="1" t="s">
        <v>1557</v>
      </c>
      <c r="AKZ17" s="1" t="s">
        <v>1558</v>
      </c>
      <c r="ALA17" s="1" t="s">
        <v>1559</v>
      </c>
      <c r="ALB17" s="1" t="s">
        <v>1560</v>
      </c>
      <c r="ALC17" s="1" t="s">
        <v>1561</v>
      </c>
      <c r="ALD17" s="1" t="s">
        <v>1562</v>
      </c>
      <c r="ALE17" s="1" t="s">
        <v>1563</v>
      </c>
      <c r="ALF17" s="1" t="s">
        <v>1564</v>
      </c>
      <c r="ALG17" s="1" t="s">
        <v>1565</v>
      </c>
      <c r="ALH17" s="1" t="s">
        <v>1566</v>
      </c>
      <c r="ALI17" s="1" t="s">
        <v>1567</v>
      </c>
      <c r="ALJ17" s="1" t="s">
        <v>1568</v>
      </c>
      <c r="ALK17" s="1" t="s">
        <v>1569</v>
      </c>
      <c r="ALL17" s="1" t="s">
        <v>1570</v>
      </c>
      <c r="ALM17" s="1" t="s">
        <v>1571</v>
      </c>
      <c r="ALN17" s="1" t="s">
        <v>1572</v>
      </c>
      <c r="ALO17" s="1" t="s">
        <v>1573</v>
      </c>
      <c r="ALP17" s="1" t="s">
        <v>1574</v>
      </c>
      <c r="ALQ17" s="1" t="s">
        <v>1575</v>
      </c>
      <c r="ALR17" s="1" t="s">
        <v>1576</v>
      </c>
      <c r="ALS17" s="1" t="s">
        <v>1577</v>
      </c>
      <c r="ALT17" s="1" t="s">
        <v>1578</v>
      </c>
      <c r="ALU17" s="1" t="s">
        <v>1579</v>
      </c>
      <c r="ALV17" s="1" t="s">
        <v>1580</v>
      </c>
      <c r="ALW17" s="1" t="s">
        <v>1581</v>
      </c>
      <c r="ALX17" s="1" t="s">
        <v>1582</v>
      </c>
      <c r="ALY17" s="1" t="s">
        <v>1583</v>
      </c>
      <c r="ALZ17" s="1" t="s">
        <v>1584</v>
      </c>
      <c r="AMA17" s="1" t="s">
        <v>1585</v>
      </c>
      <c r="AMB17" s="1" t="s">
        <v>1586</v>
      </c>
      <c r="AMC17" s="1" t="s">
        <v>1587</v>
      </c>
      <c r="AMD17" s="1" t="s">
        <v>1588</v>
      </c>
      <c r="AME17" s="1" t="s">
        <v>1589</v>
      </c>
      <c r="AMF17" s="1" t="s">
        <v>1590</v>
      </c>
      <c r="AMG17" s="1" t="s">
        <v>1591</v>
      </c>
      <c r="AMH17" s="1" t="s">
        <v>1592</v>
      </c>
    </row>
    <row r="18" spans="1:1022" ht="18.899999999999999" customHeight="1" x14ac:dyDescent="0.45">
      <c r="F18" s="2" t="s">
        <v>1593</v>
      </c>
      <c r="G18" s="5" t="s">
        <v>137</v>
      </c>
      <c r="H18" s="5">
        <v>10</v>
      </c>
      <c r="I18" s="5">
        <v>14</v>
      </c>
      <c r="K18" s="5">
        <v>13</v>
      </c>
      <c r="L18" s="5" t="s">
        <v>1594</v>
      </c>
      <c r="M18" s="5" t="s">
        <v>145</v>
      </c>
      <c r="U18" s="40" t="s">
        <v>1595</v>
      </c>
      <c r="V18" s="1" t="s">
        <v>1596</v>
      </c>
      <c r="W18" s="1" t="s">
        <v>1597</v>
      </c>
      <c r="X18" s="1" t="s">
        <v>1598</v>
      </c>
      <c r="Y18" s="1" t="s">
        <v>1599</v>
      </c>
      <c r="Z18" s="1" t="s">
        <v>1600</v>
      </c>
      <c r="AA18" s="1" t="s">
        <v>1601</v>
      </c>
      <c r="AB18" s="1" t="s">
        <v>1602</v>
      </c>
      <c r="AC18" s="1" t="s">
        <v>1603</v>
      </c>
      <c r="AD18" s="1" t="s">
        <v>1604</v>
      </c>
      <c r="AE18" s="1" t="s">
        <v>1605</v>
      </c>
      <c r="AF18" s="1" t="s">
        <v>1606</v>
      </c>
      <c r="AG18" s="1" t="s">
        <v>1607</v>
      </c>
      <c r="AH18" s="1" t="s">
        <v>1608</v>
      </c>
      <c r="AI18" s="1" t="s">
        <v>1609</v>
      </c>
      <c r="AJ18" s="1" t="s">
        <v>1610</v>
      </c>
      <c r="AK18" s="1" t="s">
        <v>1611</v>
      </c>
      <c r="AL18" s="1" t="s">
        <v>1612</v>
      </c>
      <c r="AM18" s="1" t="s">
        <v>1613</v>
      </c>
      <c r="AN18" s="1" t="s">
        <v>1614</v>
      </c>
      <c r="AO18" s="1" t="s">
        <v>1615</v>
      </c>
      <c r="AP18" s="1" t="s">
        <v>1616</v>
      </c>
      <c r="AQ18" s="1" t="s">
        <v>1617</v>
      </c>
      <c r="AR18" s="1" t="s">
        <v>1618</v>
      </c>
      <c r="AS18" s="1" t="s">
        <v>1619</v>
      </c>
      <c r="AT18" s="1" t="s">
        <v>1620</v>
      </c>
      <c r="AU18" s="1" t="s">
        <v>1621</v>
      </c>
      <c r="AV18" s="1" t="s">
        <v>1622</v>
      </c>
      <c r="AW18" s="1" t="s">
        <v>1623</v>
      </c>
      <c r="AX18" s="1" t="s">
        <v>1624</v>
      </c>
      <c r="AY18" s="1" t="s">
        <v>1625</v>
      </c>
      <c r="AZ18" s="1" t="s">
        <v>1626</v>
      </c>
      <c r="BA18" s="1" t="s">
        <v>1627</v>
      </c>
      <c r="BB18" s="1" t="s">
        <v>1628</v>
      </c>
      <c r="BC18" s="1" t="s">
        <v>1629</v>
      </c>
      <c r="BD18" s="1" t="s">
        <v>1630</v>
      </c>
      <c r="BE18" s="1" t="s">
        <v>1631</v>
      </c>
      <c r="BF18" s="1" t="s">
        <v>1632</v>
      </c>
      <c r="BG18" s="1" t="s">
        <v>1633</v>
      </c>
      <c r="BH18" s="1" t="s">
        <v>1634</v>
      </c>
      <c r="BI18" s="1" t="s">
        <v>1635</v>
      </c>
      <c r="BJ18" s="1" t="s">
        <v>1636</v>
      </c>
      <c r="BK18" s="1" t="s">
        <v>1637</v>
      </c>
      <c r="BL18" s="1" t="s">
        <v>1638</v>
      </c>
      <c r="BM18" s="1" t="s">
        <v>1639</v>
      </c>
      <c r="BN18" s="1" t="s">
        <v>1640</v>
      </c>
      <c r="BO18" s="1" t="s">
        <v>1641</v>
      </c>
      <c r="BP18" s="1" t="s">
        <v>1642</v>
      </c>
      <c r="BQ18" s="1" t="s">
        <v>1643</v>
      </c>
      <c r="BR18" s="1" t="s">
        <v>1644</v>
      </c>
      <c r="BS18" s="1" t="s">
        <v>1645</v>
      </c>
      <c r="BT18" s="1" t="s">
        <v>1646</v>
      </c>
      <c r="BU18" s="1" t="s">
        <v>1647</v>
      </c>
      <c r="BV18" s="1" t="s">
        <v>1648</v>
      </c>
      <c r="BW18" s="1" t="s">
        <v>1649</v>
      </c>
      <c r="BX18" s="1" t="s">
        <v>1650</v>
      </c>
      <c r="BY18" s="1" t="s">
        <v>1651</v>
      </c>
      <c r="BZ18" s="1" t="s">
        <v>1652</v>
      </c>
      <c r="CA18" s="1" t="s">
        <v>1653</v>
      </c>
      <c r="CB18" s="1" t="s">
        <v>1654</v>
      </c>
      <c r="CC18" s="1" t="s">
        <v>1655</v>
      </c>
      <c r="CD18" s="1" t="s">
        <v>1656</v>
      </c>
      <c r="CE18" s="1" t="s">
        <v>1657</v>
      </c>
      <c r="CF18" s="1" t="s">
        <v>1658</v>
      </c>
      <c r="CG18" s="1" t="s">
        <v>1659</v>
      </c>
      <c r="CH18" s="1" t="s">
        <v>1660</v>
      </c>
      <c r="CI18" s="1" t="s">
        <v>1661</v>
      </c>
      <c r="CJ18" s="1" t="s">
        <v>1662</v>
      </c>
      <c r="CK18" s="1" t="s">
        <v>1663</v>
      </c>
      <c r="CL18" s="1" t="s">
        <v>1664</v>
      </c>
      <c r="CM18" s="1" t="s">
        <v>1665</v>
      </c>
      <c r="CN18" s="1" t="s">
        <v>1666</v>
      </c>
      <c r="CO18" s="1" t="s">
        <v>1667</v>
      </c>
      <c r="CP18" s="1" t="s">
        <v>1668</v>
      </c>
      <c r="CQ18" s="1" t="s">
        <v>1669</v>
      </c>
      <c r="CR18" s="1" t="s">
        <v>1670</v>
      </c>
      <c r="CS18" s="1" t="s">
        <v>1671</v>
      </c>
      <c r="CT18" s="1" t="s">
        <v>1672</v>
      </c>
      <c r="CU18" s="1" t="s">
        <v>1673</v>
      </c>
      <c r="CV18" s="1" t="s">
        <v>1674</v>
      </c>
      <c r="CW18" s="1" t="s">
        <v>1675</v>
      </c>
      <c r="CX18" s="1" t="s">
        <v>1676</v>
      </c>
      <c r="CY18" s="1" t="s">
        <v>1677</v>
      </c>
      <c r="CZ18" s="1" t="s">
        <v>1678</v>
      </c>
      <c r="DA18" s="1" t="s">
        <v>1679</v>
      </c>
      <c r="DB18" s="1" t="s">
        <v>1680</v>
      </c>
      <c r="DC18" s="1" t="s">
        <v>1681</v>
      </c>
      <c r="DD18" s="1" t="s">
        <v>1682</v>
      </c>
      <c r="DE18" s="1" t="s">
        <v>1683</v>
      </c>
      <c r="DF18" s="1" t="s">
        <v>1684</v>
      </c>
      <c r="DG18" s="1" t="s">
        <v>1685</v>
      </c>
      <c r="DH18" s="1" t="s">
        <v>1686</v>
      </c>
      <c r="DI18" s="1" t="s">
        <v>1687</v>
      </c>
      <c r="DJ18" s="1" t="s">
        <v>1688</v>
      </c>
      <c r="DK18" s="1" t="s">
        <v>1689</v>
      </c>
      <c r="DL18" s="1" t="s">
        <v>1690</v>
      </c>
      <c r="DM18" s="1" t="s">
        <v>1691</v>
      </c>
      <c r="DN18" s="1" t="s">
        <v>1692</v>
      </c>
      <c r="DO18" s="1" t="s">
        <v>1693</v>
      </c>
      <c r="DP18" s="1" t="s">
        <v>1694</v>
      </c>
      <c r="DQ18" s="1" t="s">
        <v>1695</v>
      </c>
      <c r="DR18" s="1" t="s">
        <v>1696</v>
      </c>
      <c r="DS18" s="1" t="s">
        <v>1697</v>
      </c>
      <c r="DT18" s="1" t="s">
        <v>1698</v>
      </c>
      <c r="DU18" s="1" t="s">
        <v>1699</v>
      </c>
      <c r="DV18" s="1" t="s">
        <v>1700</v>
      </c>
      <c r="DW18" s="1" t="s">
        <v>1701</v>
      </c>
      <c r="DX18" s="1" t="s">
        <v>1702</v>
      </c>
      <c r="DY18" s="1" t="s">
        <v>1703</v>
      </c>
      <c r="DZ18" s="1" t="s">
        <v>1704</v>
      </c>
      <c r="EA18" s="1" t="s">
        <v>1705</v>
      </c>
      <c r="EB18" s="1" t="s">
        <v>1706</v>
      </c>
      <c r="EC18" s="1" t="s">
        <v>1707</v>
      </c>
      <c r="ED18" s="1" t="s">
        <v>1708</v>
      </c>
      <c r="EE18" s="1" t="s">
        <v>1709</v>
      </c>
      <c r="EF18" s="1" t="s">
        <v>1710</v>
      </c>
      <c r="EG18" s="1" t="s">
        <v>1711</v>
      </c>
      <c r="EH18" s="1" t="s">
        <v>1712</v>
      </c>
      <c r="EI18" s="1" t="s">
        <v>1713</v>
      </c>
      <c r="EJ18" s="1" t="s">
        <v>1714</v>
      </c>
      <c r="EK18" s="1" t="s">
        <v>1715</v>
      </c>
      <c r="EL18" s="1" t="s">
        <v>1716</v>
      </c>
      <c r="EM18" s="1" t="s">
        <v>1717</v>
      </c>
      <c r="EN18" s="1" t="s">
        <v>1718</v>
      </c>
      <c r="EO18" s="1" t="s">
        <v>1719</v>
      </c>
      <c r="EP18" s="1" t="s">
        <v>1720</v>
      </c>
      <c r="EQ18" s="1" t="s">
        <v>1721</v>
      </c>
      <c r="ER18" s="1" t="s">
        <v>1722</v>
      </c>
      <c r="ES18" s="1" t="s">
        <v>1723</v>
      </c>
      <c r="ET18" s="1" t="s">
        <v>1724</v>
      </c>
      <c r="EU18" s="1" t="s">
        <v>1725</v>
      </c>
      <c r="EV18" s="1" t="s">
        <v>1726</v>
      </c>
      <c r="EW18" s="1" t="s">
        <v>1727</v>
      </c>
      <c r="EX18" s="1" t="s">
        <v>1728</v>
      </c>
      <c r="EY18" s="1" t="s">
        <v>1729</v>
      </c>
      <c r="EZ18" s="1" t="s">
        <v>1730</v>
      </c>
      <c r="FA18" s="1" t="s">
        <v>1731</v>
      </c>
      <c r="FB18" s="1" t="s">
        <v>1732</v>
      </c>
      <c r="FC18" s="1" t="s">
        <v>1733</v>
      </c>
      <c r="FD18" s="1" t="s">
        <v>1734</v>
      </c>
      <c r="FE18" s="1" t="s">
        <v>1735</v>
      </c>
      <c r="FF18" s="1" t="s">
        <v>1736</v>
      </c>
      <c r="FG18" s="1" t="s">
        <v>1737</v>
      </c>
      <c r="FH18" s="1" t="s">
        <v>1738</v>
      </c>
      <c r="FI18" s="1" t="s">
        <v>1739</v>
      </c>
      <c r="FJ18" s="1" t="s">
        <v>1740</v>
      </c>
      <c r="FK18" s="1" t="s">
        <v>1741</v>
      </c>
      <c r="FL18" s="1" t="s">
        <v>1742</v>
      </c>
      <c r="FM18" s="1" t="s">
        <v>1743</v>
      </c>
      <c r="FN18" s="1" t="s">
        <v>1744</v>
      </c>
      <c r="FO18" s="1" t="s">
        <v>1745</v>
      </c>
      <c r="FP18" s="1" t="s">
        <v>1746</v>
      </c>
      <c r="FQ18" s="1" t="s">
        <v>1747</v>
      </c>
      <c r="FR18" s="1" t="s">
        <v>1748</v>
      </c>
      <c r="FS18" s="1" t="s">
        <v>1749</v>
      </c>
      <c r="FT18" s="1" t="s">
        <v>1750</v>
      </c>
      <c r="FU18" s="1" t="s">
        <v>1751</v>
      </c>
      <c r="FV18" s="1" t="s">
        <v>1752</v>
      </c>
      <c r="FW18" s="1" t="s">
        <v>1753</v>
      </c>
      <c r="FX18" s="1" t="s">
        <v>1754</v>
      </c>
      <c r="FY18" s="1" t="s">
        <v>1755</v>
      </c>
      <c r="FZ18" s="1" t="s">
        <v>1756</v>
      </c>
      <c r="GA18" s="1" t="s">
        <v>1757</v>
      </c>
      <c r="GB18" s="1" t="s">
        <v>1758</v>
      </c>
      <c r="GC18" s="1" t="s">
        <v>1759</v>
      </c>
      <c r="GD18" s="1" t="s">
        <v>1760</v>
      </c>
      <c r="GE18" s="1" t="s">
        <v>1761</v>
      </c>
      <c r="GF18" s="1" t="s">
        <v>1762</v>
      </c>
      <c r="GG18" s="1" t="s">
        <v>1763</v>
      </c>
      <c r="GH18" s="1" t="s">
        <v>1764</v>
      </c>
      <c r="GI18" s="1" t="s">
        <v>1765</v>
      </c>
      <c r="GJ18" s="1" t="s">
        <v>1766</v>
      </c>
      <c r="GK18" s="1" t="s">
        <v>1767</v>
      </c>
      <c r="GL18" s="1" t="s">
        <v>1768</v>
      </c>
      <c r="GM18" s="1" t="s">
        <v>1769</v>
      </c>
      <c r="GN18" s="1" t="s">
        <v>1770</v>
      </c>
      <c r="GO18" s="1" t="s">
        <v>1771</v>
      </c>
      <c r="GP18" s="1" t="s">
        <v>1772</v>
      </c>
      <c r="GQ18" s="1" t="s">
        <v>1773</v>
      </c>
      <c r="GR18" s="1" t="s">
        <v>1774</v>
      </c>
      <c r="GS18" s="1" t="s">
        <v>1775</v>
      </c>
      <c r="GT18" s="1" t="s">
        <v>1776</v>
      </c>
      <c r="GU18" s="1" t="s">
        <v>1777</v>
      </c>
      <c r="GV18" s="1" t="s">
        <v>1778</v>
      </c>
      <c r="GW18" s="1" t="s">
        <v>1779</v>
      </c>
      <c r="GX18" s="1" t="s">
        <v>1780</v>
      </c>
      <c r="GY18" s="1" t="s">
        <v>1781</v>
      </c>
      <c r="GZ18" s="1" t="s">
        <v>1782</v>
      </c>
      <c r="HA18" s="1" t="s">
        <v>1783</v>
      </c>
      <c r="HB18" s="1" t="s">
        <v>1784</v>
      </c>
      <c r="HC18" s="1" t="s">
        <v>1785</v>
      </c>
      <c r="HD18" s="1" t="s">
        <v>1786</v>
      </c>
      <c r="HE18" s="1" t="s">
        <v>1787</v>
      </c>
      <c r="HF18" s="1" t="s">
        <v>1788</v>
      </c>
      <c r="HG18" s="1" t="s">
        <v>1789</v>
      </c>
      <c r="HH18" s="1" t="s">
        <v>1790</v>
      </c>
      <c r="HI18" s="1" t="s">
        <v>1791</v>
      </c>
      <c r="HJ18" s="1" t="s">
        <v>1792</v>
      </c>
      <c r="HK18" s="1" t="s">
        <v>1793</v>
      </c>
      <c r="HL18" s="1" t="s">
        <v>1794</v>
      </c>
      <c r="HM18" s="1" t="s">
        <v>1795</v>
      </c>
      <c r="HN18" s="1" t="s">
        <v>1796</v>
      </c>
      <c r="HO18" s="1" t="s">
        <v>1797</v>
      </c>
      <c r="HP18" s="1" t="s">
        <v>1798</v>
      </c>
      <c r="HQ18" s="1" t="s">
        <v>1799</v>
      </c>
      <c r="HR18" s="1" t="s">
        <v>1800</v>
      </c>
      <c r="HS18" s="1" t="s">
        <v>1801</v>
      </c>
      <c r="HT18" s="1" t="s">
        <v>1802</v>
      </c>
      <c r="HU18" s="1" t="s">
        <v>1803</v>
      </c>
      <c r="HV18" s="1" t="s">
        <v>1804</v>
      </c>
      <c r="HW18" s="1" t="s">
        <v>1805</v>
      </c>
      <c r="HX18" s="1" t="s">
        <v>1806</v>
      </c>
      <c r="HY18" s="1" t="s">
        <v>1807</v>
      </c>
      <c r="HZ18" s="1" t="s">
        <v>1808</v>
      </c>
      <c r="IA18" s="1" t="s">
        <v>1809</v>
      </c>
      <c r="IB18" s="1" t="s">
        <v>1810</v>
      </c>
      <c r="IC18" s="1" t="s">
        <v>1811</v>
      </c>
      <c r="ID18" s="1" t="s">
        <v>1812</v>
      </c>
      <c r="IE18" s="1" t="s">
        <v>1813</v>
      </c>
      <c r="IF18" s="1" t="s">
        <v>1814</v>
      </c>
      <c r="IG18" s="1" t="s">
        <v>1815</v>
      </c>
      <c r="IH18" s="1" t="s">
        <v>1816</v>
      </c>
      <c r="II18" s="1" t="s">
        <v>1817</v>
      </c>
      <c r="IJ18" s="1" t="s">
        <v>1818</v>
      </c>
      <c r="IK18" s="1" t="s">
        <v>1819</v>
      </c>
      <c r="IL18" s="1" t="s">
        <v>1820</v>
      </c>
      <c r="IM18" s="1" t="s">
        <v>1821</v>
      </c>
      <c r="IN18" s="1" t="s">
        <v>1822</v>
      </c>
      <c r="IO18" s="1" t="s">
        <v>1823</v>
      </c>
      <c r="IP18" s="1" t="s">
        <v>1824</v>
      </c>
      <c r="IQ18" s="1" t="s">
        <v>1825</v>
      </c>
      <c r="IR18" s="1" t="s">
        <v>1826</v>
      </c>
      <c r="IS18" s="1" t="s">
        <v>1827</v>
      </c>
      <c r="IT18" s="1" t="s">
        <v>1828</v>
      </c>
      <c r="IU18" s="1" t="s">
        <v>1829</v>
      </c>
      <c r="IV18" s="1" t="s">
        <v>1830</v>
      </c>
      <c r="IW18" s="1" t="s">
        <v>1831</v>
      </c>
      <c r="IX18" s="1" t="s">
        <v>1832</v>
      </c>
      <c r="IY18" s="1" t="s">
        <v>1833</v>
      </c>
      <c r="IZ18" s="1" t="s">
        <v>1834</v>
      </c>
      <c r="JA18" s="1" t="s">
        <v>1835</v>
      </c>
      <c r="JB18" s="1" t="s">
        <v>1836</v>
      </c>
      <c r="JC18" s="1" t="s">
        <v>1837</v>
      </c>
      <c r="JD18" s="1" t="s">
        <v>1838</v>
      </c>
      <c r="JE18" s="1" t="s">
        <v>1839</v>
      </c>
      <c r="JF18" s="1" t="s">
        <v>1840</v>
      </c>
      <c r="JG18" s="1" t="s">
        <v>1841</v>
      </c>
      <c r="JH18" s="1" t="s">
        <v>1842</v>
      </c>
      <c r="JI18" s="1" t="s">
        <v>1843</v>
      </c>
      <c r="JJ18" s="1" t="s">
        <v>1844</v>
      </c>
      <c r="JK18" s="1" t="s">
        <v>1845</v>
      </c>
      <c r="JL18" s="1" t="s">
        <v>1846</v>
      </c>
      <c r="JM18" s="1" t="s">
        <v>1847</v>
      </c>
      <c r="JN18" s="1" t="s">
        <v>1848</v>
      </c>
      <c r="JO18" s="1" t="s">
        <v>1849</v>
      </c>
      <c r="JP18" s="1" t="s">
        <v>1850</v>
      </c>
      <c r="JQ18" s="1" t="s">
        <v>1851</v>
      </c>
      <c r="JR18" s="1" t="s">
        <v>1852</v>
      </c>
      <c r="JS18" s="1" t="s">
        <v>1853</v>
      </c>
      <c r="JT18" s="1" t="s">
        <v>1854</v>
      </c>
      <c r="JU18" s="1" t="s">
        <v>1855</v>
      </c>
      <c r="JV18" s="1" t="s">
        <v>1856</v>
      </c>
      <c r="JW18" s="1" t="s">
        <v>1857</v>
      </c>
      <c r="JX18" s="1" t="s">
        <v>1858</v>
      </c>
      <c r="JY18" s="1" t="s">
        <v>1859</v>
      </c>
      <c r="JZ18" s="1" t="s">
        <v>1860</v>
      </c>
      <c r="KA18" s="1" t="s">
        <v>1861</v>
      </c>
      <c r="KB18" s="1" t="s">
        <v>1862</v>
      </c>
      <c r="KC18" s="1" t="s">
        <v>1863</v>
      </c>
      <c r="KD18" s="1" t="s">
        <v>1864</v>
      </c>
      <c r="KE18" s="1" t="s">
        <v>1865</v>
      </c>
      <c r="KF18" s="1" t="s">
        <v>1866</v>
      </c>
      <c r="KG18" s="1" t="s">
        <v>1867</v>
      </c>
      <c r="KH18" s="1" t="s">
        <v>1868</v>
      </c>
      <c r="KI18" s="1" t="s">
        <v>1869</v>
      </c>
      <c r="KJ18" s="1" t="s">
        <v>1870</v>
      </c>
      <c r="KK18" s="1" t="s">
        <v>1871</v>
      </c>
      <c r="KL18" s="1" t="s">
        <v>1872</v>
      </c>
      <c r="KM18" s="1" t="s">
        <v>1873</v>
      </c>
      <c r="KN18" s="1" t="s">
        <v>1874</v>
      </c>
      <c r="KO18" s="1" t="s">
        <v>1875</v>
      </c>
      <c r="KP18" s="1" t="s">
        <v>1876</v>
      </c>
      <c r="KQ18" s="1" t="s">
        <v>1877</v>
      </c>
      <c r="KR18" s="1" t="s">
        <v>1878</v>
      </c>
      <c r="KS18" s="1" t="s">
        <v>1879</v>
      </c>
      <c r="KT18" s="1" t="s">
        <v>1880</v>
      </c>
      <c r="KU18" s="1" t="s">
        <v>1881</v>
      </c>
      <c r="KV18" s="1" t="s">
        <v>1882</v>
      </c>
      <c r="KW18" s="1" t="s">
        <v>1883</v>
      </c>
      <c r="KX18" s="1" t="s">
        <v>1884</v>
      </c>
      <c r="KY18" s="1" t="s">
        <v>1885</v>
      </c>
      <c r="KZ18" s="1" t="s">
        <v>1886</v>
      </c>
      <c r="LA18" s="1" t="s">
        <v>1887</v>
      </c>
      <c r="LB18" s="1" t="s">
        <v>1888</v>
      </c>
      <c r="LC18" s="1" t="s">
        <v>1889</v>
      </c>
      <c r="LD18" s="1" t="s">
        <v>1890</v>
      </c>
      <c r="LE18" s="1" t="s">
        <v>1891</v>
      </c>
      <c r="LF18" s="1" t="s">
        <v>1892</v>
      </c>
      <c r="LG18" s="1" t="s">
        <v>1893</v>
      </c>
      <c r="LH18" s="1" t="s">
        <v>1894</v>
      </c>
      <c r="LI18" s="1" t="s">
        <v>1895</v>
      </c>
      <c r="LJ18" s="1" t="s">
        <v>1896</v>
      </c>
      <c r="LK18" s="1" t="s">
        <v>1897</v>
      </c>
      <c r="LL18" s="1" t="s">
        <v>1898</v>
      </c>
      <c r="LM18" s="1" t="s">
        <v>1899</v>
      </c>
      <c r="LN18" s="1" t="s">
        <v>1900</v>
      </c>
      <c r="LO18" s="1" t="s">
        <v>1901</v>
      </c>
      <c r="LP18" s="1" t="s">
        <v>1902</v>
      </c>
      <c r="LQ18" s="1" t="s">
        <v>1903</v>
      </c>
      <c r="LR18" s="1" t="s">
        <v>1904</v>
      </c>
      <c r="LS18" s="1" t="s">
        <v>1905</v>
      </c>
      <c r="LT18" s="1" t="s">
        <v>1906</v>
      </c>
      <c r="LU18" s="1" t="s">
        <v>1907</v>
      </c>
      <c r="LV18" s="1" t="s">
        <v>1908</v>
      </c>
      <c r="LW18" s="1" t="s">
        <v>1909</v>
      </c>
      <c r="LX18" s="1" t="s">
        <v>1910</v>
      </c>
      <c r="LY18" s="1" t="s">
        <v>1911</v>
      </c>
      <c r="LZ18" s="1" t="s">
        <v>1912</v>
      </c>
      <c r="MA18" s="1" t="s">
        <v>1913</v>
      </c>
      <c r="MB18" s="1" t="s">
        <v>1914</v>
      </c>
      <c r="MC18" s="1" t="s">
        <v>1915</v>
      </c>
      <c r="MD18" s="1" t="s">
        <v>1916</v>
      </c>
      <c r="ME18" s="1" t="s">
        <v>1917</v>
      </c>
      <c r="MF18" s="1" t="s">
        <v>1918</v>
      </c>
      <c r="MG18" s="1" t="s">
        <v>1919</v>
      </c>
      <c r="MH18" s="1" t="s">
        <v>1920</v>
      </c>
      <c r="MI18" s="1" t="s">
        <v>1921</v>
      </c>
      <c r="MJ18" s="1" t="s">
        <v>1922</v>
      </c>
      <c r="MK18" s="1" t="s">
        <v>1923</v>
      </c>
      <c r="ML18" s="1" t="s">
        <v>1924</v>
      </c>
      <c r="MM18" s="1" t="s">
        <v>1925</v>
      </c>
      <c r="MN18" s="1" t="s">
        <v>1926</v>
      </c>
      <c r="MO18" s="1" t="s">
        <v>1927</v>
      </c>
      <c r="MP18" s="1" t="s">
        <v>1928</v>
      </c>
      <c r="MQ18" s="1" t="s">
        <v>1929</v>
      </c>
      <c r="MR18" s="1" t="s">
        <v>1930</v>
      </c>
      <c r="MS18" s="1" t="s">
        <v>1931</v>
      </c>
      <c r="MT18" s="1" t="s">
        <v>1932</v>
      </c>
      <c r="MU18" s="1" t="s">
        <v>1933</v>
      </c>
      <c r="MV18" s="1" t="s">
        <v>1934</v>
      </c>
      <c r="MW18" s="1" t="s">
        <v>1935</v>
      </c>
      <c r="MX18" s="1" t="s">
        <v>1936</v>
      </c>
      <c r="MY18" s="1" t="s">
        <v>1937</v>
      </c>
      <c r="MZ18" s="1" t="s">
        <v>1938</v>
      </c>
      <c r="NA18" s="1" t="s">
        <v>1939</v>
      </c>
      <c r="NB18" s="1" t="s">
        <v>1940</v>
      </c>
      <c r="NC18" s="1" t="s">
        <v>1941</v>
      </c>
      <c r="ND18" s="1" t="s">
        <v>1942</v>
      </c>
      <c r="NE18" s="1" t="s">
        <v>1943</v>
      </c>
      <c r="NF18" s="1" t="s">
        <v>1944</v>
      </c>
      <c r="NG18" s="1" t="s">
        <v>1945</v>
      </c>
      <c r="NH18" s="1" t="s">
        <v>1946</v>
      </c>
      <c r="NI18" s="1" t="s">
        <v>1947</v>
      </c>
      <c r="NJ18" s="1" t="s">
        <v>1948</v>
      </c>
      <c r="NK18" s="1" t="s">
        <v>1949</v>
      </c>
      <c r="NL18" s="1" t="s">
        <v>1950</v>
      </c>
      <c r="NM18" s="1" t="s">
        <v>1951</v>
      </c>
      <c r="NN18" s="1" t="s">
        <v>1952</v>
      </c>
      <c r="NO18" s="1" t="s">
        <v>1953</v>
      </c>
      <c r="NP18" s="1" t="s">
        <v>1954</v>
      </c>
      <c r="NQ18" s="1" t="s">
        <v>1955</v>
      </c>
      <c r="NR18" s="1" t="s">
        <v>1956</v>
      </c>
      <c r="NS18" s="1" t="s">
        <v>1957</v>
      </c>
      <c r="NT18" s="1" t="s">
        <v>1958</v>
      </c>
      <c r="NU18" s="1" t="s">
        <v>1959</v>
      </c>
      <c r="NV18" s="1" t="s">
        <v>1960</v>
      </c>
      <c r="NW18" s="1" t="s">
        <v>1961</v>
      </c>
      <c r="NX18" s="1" t="s">
        <v>1962</v>
      </c>
      <c r="NY18" s="1" t="s">
        <v>1963</v>
      </c>
      <c r="NZ18" s="1" t="s">
        <v>1964</v>
      </c>
      <c r="OA18" s="1" t="s">
        <v>1965</v>
      </c>
      <c r="OB18" s="1" t="s">
        <v>1966</v>
      </c>
      <c r="OC18" s="1" t="s">
        <v>1967</v>
      </c>
      <c r="OD18" s="1" t="s">
        <v>1968</v>
      </c>
      <c r="OE18" s="1" t="s">
        <v>1969</v>
      </c>
      <c r="OF18" s="1" t="s">
        <v>1970</v>
      </c>
      <c r="OG18" s="1" t="s">
        <v>1971</v>
      </c>
      <c r="OH18" s="1" t="s">
        <v>1972</v>
      </c>
      <c r="OI18" s="1" t="s">
        <v>1973</v>
      </c>
      <c r="OJ18" s="1" t="s">
        <v>1974</v>
      </c>
      <c r="OK18" s="1" t="s">
        <v>1975</v>
      </c>
      <c r="OL18" s="1" t="s">
        <v>1976</v>
      </c>
      <c r="OM18" s="1" t="s">
        <v>1977</v>
      </c>
      <c r="ON18" s="1" t="s">
        <v>1978</v>
      </c>
      <c r="OO18" s="1" t="s">
        <v>1979</v>
      </c>
      <c r="OP18" s="1" t="s">
        <v>1980</v>
      </c>
      <c r="OQ18" s="1" t="s">
        <v>1981</v>
      </c>
      <c r="OR18" s="1" t="s">
        <v>1982</v>
      </c>
      <c r="OS18" s="1" t="s">
        <v>1983</v>
      </c>
      <c r="OT18" s="1" t="s">
        <v>1984</v>
      </c>
      <c r="OU18" s="1" t="s">
        <v>1985</v>
      </c>
      <c r="OV18" s="1" t="s">
        <v>1986</v>
      </c>
      <c r="OW18" s="1" t="s">
        <v>1987</v>
      </c>
      <c r="OX18" s="1" t="s">
        <v>1988</v>
      </c>
      <c r="OY18" s="1" t="s">
        <v>1989</v>
      </c>
      <c r="OZ18" s="1" t="s">
        <v>1990</v>
      </c>
      <c r="PA18" s="1" t="s">
        <v>1991</v>
      </c>
      <c r="PB18" s="1" t="s">
        <v>1992</v>
      </c>
      <c r="PC18" s="1" t="s">
        <v>1993</v>
      </c>
      <c r="PD18" s="1" t="s">
        <v>1994</v>
      </c>
      <c r="PE18" s="1" t="s">
        <v>1995</v>
      </c>
      <c r="PF18" s="1" t="s">
        <v>1996</v>
      </c>
      <c r="PG18" s="1" t="s">
        <v>1997</v>
      </c>
      <c r="PH18" s="1" t="s">
        <v>1998</v>
      </c>
      <c r="PI18" s="1" t="s">
        <v>1999</v>
      </c>
      <c r="PJ18" s="1" t="s">
        <v>2000</v>
      </c>
      <c r="PK18" s="1" t="s">
        <v>2001</v>
      </c>
      <c r="PL18" s="1" t="s">
        <v>2002</v>
      </c>
      <c r="PM18" s="1" t="s">
        <v>2003</v>
      </c>
      <c r="PN18" s="1" t="s">
        <v>2004</v>
      </c>
      <c r="PO18" s="1" t="s">
        <v>2005</v>
      </c>
      <c r="PP18" s="1" t="s">
        <v>2006</v>
      </c>
      <c r="PQ18" s="1" t="s">
        <v>2007</v>
      </c>
      <c r="PR18" s="1" t="s">
        <v>2008</v>
      </c>
      <c r="PS18" s="1" t="s">
        <v>2009</v>
      </c>
      <c r="PT18" s="1" t="s">
        <v>2010</v>
      </c>
      <c r="PU18" s="1" t="s">
        <v>2011</v>
      </c>
      <c r="PV18" s="1" t="s">
        <v>2012</v>
      </c>
      <c r="PW18" s="1" t="s">
        <v>2013</v>
      </c>
      <c r="PX18" s="1" t="s">
        <v>2014</v>
      </c>
      <c r="PY18" s="1" t="s">
        <v>2015</v>
      </c>
      <c r="PZ18" s="1" t="s">
        <v>2016</v>
      </c>
      <c r="QA18" s="1" t="s">
        <v>2017</v>
      </c>
      <c r="QB18" s="1" t="s">
        <v>2018</v>
      </c>
      <c r="QC18" s="1" t="s">
        <v>2019</v>
      </c>
      <c r="QD18" s="1" t="s">
        <v>2020</v>
      </c>
      <c r="QE18" s="1" t="s">
        <v>2021</v>
      </c>
      <c r="QF18" s="1" t="s">
        <v>2022</v>
      </c>
      <c r="QG18" s="1" t="s">
        <v>2023</v>
      </c>
      <c r="QH18" s="1" t="s">
        <v>2024</v>
      </c>
      <c r="QI18" s="1" t="s">
        <v>2025</v>
      </c>
      <c r="QJ18" s="1" t="s">
        <v>2026</v>
      </c>
      <c r="QK18" s="1" t="s">
        <v>2027</v>
      </c>
      <c r="QL18" s="1" t="s">
        <v>2028</v>
      </c>
      <c r="QM18" s="1" t="s">
        <v>2029</v>
      </c>
      <c r="QN18" s="1" t="s">
        <v>2030</v>
      </c>
      <c r="QO18" s="1" t="s">
        <v>2031</v>
      </c>
      <c r="QP18" s="1" t="s">
        <v>2032</v>
      </c>
      <c r="QQ18" s="1" t="s">
        <v>2033</v>
      </c>
      <c r="QR18" s="1" t="s">
        <v>2034</v>
      </c>
      <c r="QS18" s="1" t="s">
        <v>2035</v>
      </c>
      <c r="QT18" s="1" t="s">
        <v>2036</v>
      </c>
      <c r="QU18" s="1" t="s">
        <v>2037</v>
      </c>
      <c r="QV18" s="1" t="s">
        <v>2038</v>
      </c>
      <c r="QW18" s="1" t="s">
        <v>2039</v>
      </c>
      <c r="QX18" s="1" t="s">
        <v>2040</v>
      </c>
      <c r="QY18" s="1" t="s">
        <v>2041</v>
      </c>
      <c r="QZ18" s="1" t="s">
        <v>2042</v>
      </c>
      <c r="RA18" s="1" t="s">
        <v>2043</v>
      </c>
      <c r="RB18" s="1" t="s">
        <v>2044</v>
      </c>
      <c r="RC18" s="1" t="s">
        <v>2045</v>
      </c>
      <c r="RD18" s="1" t="s">
        <v>2046</v>
      </c>
      <c r="RE18" s="1" t="s">
        <v>2047</v>
      </c>
      <c r="RF18" s="1" t="s">
        <v>2048</v>
      </c>
      <c r="RG18" s="1" t="s">
        <v>2049</v>
      </c>
      <c r="RH18" s="1" t="s">
        <v>2050</v>
      </c>
      <c r="RI18" s="1" t="s">
        <v>2051</v>
      </c>
      <c r="RJ18" s="1" t="s">
        <v>2052</v>
      </c>
      <c r="RK18" s="1" t="s">
        <v>2053</v>
      </c>
      <c r="RL18" s="1" t="s">
        <v>2054</v>
      </c>
      <c r="RM18" s="1" t="s">
        <v>2055</v>
      </c>
      <c r="RN18" s="1" t="s">
        <v>2056</v>
      </c>
      <c r="RO18" s="1" t="s">
        <v>2057</v>
      </c>
      <c r="RP18" s="1" t="s">
        <v>2058</v>
      </c>
      <c r="RQ18" s="1" t="s">
        <v>2059</v>
      </c>
      <c r="RR18" s="1" t="s">
        <v>2060</v>
      </c>
      <c r="RS18" s="1" t="s">
        <v>2061</v>
      </c>
      <c r="RT18" s="1" t="s">
        <v>2062</v>
      </c>
      <c r="RU18" s="1" t="s">
        <v>2063</v>
      </c>
      <c r="RV18" s="1" t="s">
        <v>2064</v>
      </c>
      <c r="RW18" s="1" t="s">
        <v>2065</v>
      </c>
      <c r="RX18" s="1" t="s">
        <v>2066</v>
      </c>
      <c r="RY18" s="1" t="s">
        <v>2067</v>
      </c>
      <c r="RZ18" s="1" t="s">
        <v>2068</v>
      </c>
      <c r="SA18" s="1" t="s">
        <v>2069</v>
      </c>
      <c r="SB18" s="1" t="s">
        <v>2070</v>
      </c>
      <c r="SC18" s="1" t="s">
        <v>2071</v>
      </c>
      <c r="SD18" s="1" t="s">
        <v>2072</v>
      </c>
      <c r="SE18" s="1" t="s">
        <v>2073</v>
      </c>
      <c r="SF18" s="1" t="s">
        <v>2074</v>
      </c>
      <c r="SG18" s="1" t="s">
        <v>2075</v>
      </c>
      <c r="SH18" s="1" t="s">
        <v>2076</v>
      </c>
      <c r="SI18" s="1" t="s">
        <v>2077</v>
      </c>
      <c r="SJ18" s="1" t="s">
        <v>2078</v>
      </c>
      <c r="SK18" s="1" t="s">
        <v>2079</v>
      </c>
      <c r="SL18" s="1" t="s">
        <v>2080</v>
      </c>
      <c r="SM18" s="1" t="s">
        <v>2081</v>
      </c>
      <c r="SN18" s="1" t="s">
        <v>2082</v>
      </c>
      <c r="SO18" s="1" t="s">
        <v>2083</v>
      </c>
      <c r="SP18" s="1" t="s">
        <v>2084</v>
      </c>
      <c r="SQ18" s="1" t="s">
        <v>2085</v>
      </c>
      <c r="SR18" s="1" t="s">
        <v>2086</v>
      </c>
      <c r="SS18" s="1" t="s">
        <v>2087</v>
      </c>
      <c r="ST18" s="1" t="s">
        <v>2088</v>
      </c>
      <c r="SU18" s="1" t="s">
        <v>2089</v>
      </c>
      <c r="SV18" s="1" t="s">
        <v>2090</v>
      </c>
      <c r="SW18" s="1" t="s">
        <v>2091</v>
      </c>
      <c r="SX18" s="1" t="s">
        <v>2092</v>
      </c>
      <c r="SY18" s="1" t="s">
        <v>2093</v>
      </c>
      <c r="SZ18" s="1" t="s">
        <v>2094</v>
      </c>
      <c r="TA18" s="1" t="s">
        <v>2095</v>
      </c>
      <c r="TB18" s="1" t="s">
        <v>2096</v>
      </c>
      <c r="TC18" s="1" t="s">
        <v>2097</v>
      </c>
      <c r="TD18" s="1" t="s">
        <v>2098</v>
      </c>
      <c r="TE18" s="1" t="s">
        <v>2099</v>
      </c>
      <c r="TF18" s="1" t="s">
        <v>2100</v>
      </c>
      <c r="TG18" s="1" t="s">
        <v>2101</v>
      </c>
      <c r="TH18" s="1" t="s">
        <v>2102</v>
      </c>
      <c r="TI18" s="1" t="s">
        <v>2103</v>
      </c>
      <c r="TJ18" s="1" t="s">
        <v>2104</v>
      </c>
      <c r="TK18" s="1" t="s">
        <v>2105</v>
      </c>
      <c r="TL18" s="1" t="s">
        <v>2106</v>
      </c>
      <c r="TM18" s="1" t="s">
        <v>2107</v>
      </c>
      <c r="TN18" s="1" t="s">
        <v>2108</v>
      </c>
      <c r="TO18" s="1" t="s">
        <v>2109</v>
      </c>
      <c r="TP18" s="1" t="s">
        <v>2110</v>
      </c>
      <c r="TQ18" s="1" t="s">
        <v>2111</v>
      </c>
      <c r="TR18" s="1" t="s">
        <v>2112</v>
      </c>
      <c r="TS18" s="1" t="s">
        <v>2113</v>
      </c>
      <c r="TT18" s="1" t="s">
        <v>2114</v>
      </c>
      <c r="TU18" s="1" t="s">
        <v>2115</v>
      </c>
      <c r="TV18" s="1" t="s">
        <v>2116</v>
      </c>
      <c r="TW18" s="1" t="s">
        <v>2117</v>
      </c>
      <c r="TX18" s="1" t="s">
        <v>2118</v>
      </c>
      <c r="TY18" s="1" t="s">
        <v>2119</v>
      </c>
      <c r="TZ18" s="1" t="s">
        <v>2120</v>
      </c>
      <c r="UA18" s="1" t="s">
        <v>2121</v>
      </c>
      <c r="UB18" s="1" t="s">
        <v>2122</v>
      </c>
      <c r="UC18" s="1" t="s">
        <v>2123</v>
      </c>
      <c r="UD18" s="1" t="s">
        <v>2124</v>
      </c>
      <c r="UE18" s="1" t="s">
        <v>2125</v>
      </c>
      <c r="UF18" s="1" t="s">
        <v>2126</v>
      </c>
      <c r="UG18" s="1" t="s">
        <v>2127</v>
      </c>
      <c r="UH18" s="1" t="s">
        <v>2128</v>
      </c>
      <c r="UI18" s="1" t="s">
        <v>2129</v>
      </c>
      <c r="UJ18" s="1" t="s">
        <v>2130</v>
      </c>
      <c r="UK18" s="1" t="s">
        <v>2131</v>
      </c>
      <c r="UL18" s="1" t="s">
        <v>2132</v>
      </c>
      <c r="UM18" s="1" t="s">
        <v>2133</v>
      </c>
      <c r="UN18" s="1" t="s">
        <v>2134</v>
      </c>
      <c r="UO18" s="1" t="s">
        <v>2135</v>
      </c>
      <c r="UP18" s="1" t="s">
        <v>2136</v>
      </c>
      <c r="UQ18" s="1" t="s">
        <v>2137</v>
      </c>
      <c r="UR18" s="1" t="s">
        <v>2138</v>
      </c>
      <c r="US18" s="1" t="s">
        <v>2139</v>
      </c>
      <c r="UT18" s="1" t="s">
        <v>2140</v>
      </c>
      <c r="UU18" s="1" t="s">
        <v>2141</v>
      </c>
      <c r="UV18" s="1" t="s">
        <v>2142</v>
      </c>
      <c r="UW18" s="1" t="s">
        <v>2143</v>
      </c>
      <c r="UX18" s="1" t="s">
        <v>2144</v>
      </c>
      <c r="UY18" s="1" t="s">
        <v>2145</v>
      </c>
      <c r="UZ18" s="1" t="s">
        <v>2146</v>
      </c>
      <c r="VA18" s="1" t="s">
        <v>2147</v>
      </c>
      <c r="VB18" s="1" t="s">
        <v>2148</v>
      </c>
      <c r="VC18" s="1" t="s">
        <v>2149</v>
      </c>
      <c r="VD18" s="1" t="s">
        <v>2150</v>
      </c>
      <c r="VE18" s="1" t="s">
        <v>2151</v>
      </c>
      <c r="VF18" s="1" t="s">
        <v>2152</v>
      </c>
      <c r="VG18" s="1" t="s">
        <v>2153</v>
      </c>
      <c r="VH18" s="1" t="s">
        <v>2154</v>
      </c>
      <c r="VI18" s="1" t="s">
        <v>2155</v>
      </c>
      <c r="VJ18" s="1" t="s">
        <v>2156</v>
      </c>
      <c r="VK18" s="1" t="s">
        <v>2157</v>
      </c>
      <c r="VL18" s="1" t="s">
        <v>2158</v>
      </c>
      <c r="VM18" s="1" t="s">
        <v>2159</v>
      </c>
      <c r="VN18" s="1" t="s">
        <v>2160</v>
      </c>
      <c r="VO18" s="1" t="s">
        <v>2161</v>
      </c>
      <c r="VP18" s="1" t="s">
        <v>2162</v>
      </c>
      <c r="VQ18" s="1" t="s">
        <v>2163</v>
      </c>
      <c r="VR18" s="1" t="s">
        <v>2164</v>
      </c>
      <c r="VS18" s="1" t="s">
        <v>2165</v>
      </c>
      <c r="VT18" s="1" t="s">
        <v>2166</v>
      </c>
      <c r="VU18" s="1" t="s">
        <v>2167</v>
      </c>
      <c r="VV18" s="1" t="s">
        <v>2168</v>
      </c>
      <c r="VW18" s="1" t="s">
        <v>2169</v>
      </c>
      <c r="VX18" s="1" t="s">
        <v>2170</v>
      </c>
      <c r="VY18" s="1" t="s">
        <v>2171</v>
      </c>
      <c r="VZ18" s="1" t="s">
        <v>2172</v>
      </c>
      <c r="WA18" s="1" t="s">
        <v>2173</v>
      </c>
      <c r="WB18" s="1" t="s">
        <v>2174</v>
      </c>
      <c r="WC18" s="1" t="s">
        <v>2175</v>
      </c>
      <c r="WD18" s="1" t="s">
        <v>2176</v>
      </c>
      <c r="WE18" s="1" t="s">
        <v>2177</v>
      </c>
      <c r="WF18" s="1" t="s">
        <v>2178</v>
      </c>
      <c r="WG18" s="1" t="s">
        <v>2179</v>
      </c>
      <c r="WH18" s="1" t="s">
        <v>2180</v>
      </c>
      <c r="WI18" s="1" t="s">
        <v>2181</v>
      </c>
      <c r="WJ18" s="1" t="s">
        <v>2182</v>
      </c>
      <c r="WK18" s="1" t="s">
        <v>2183</v>
      </c>
      <c r="WL18" s="1" t="s">
        <v>2184</v>
      </c>
      <c r="WM18" s="1" t="s">
        <v>2185</v>
      </c>
      <c r="WN18" s="1" t="s">
        <v>2186</v>
      </c>
      <c r="WO18" s="1" t="s">
        <v>2187</v>
      </c>
      <c r="WP18" s="1" t="s">
        <v>2188</v>
      </c>
      <c r="WQ18" s="1" t="s">
        <v>2189</v>
      </c>
      <c r="WR18" s="1" t="s">
        <v>2190</v>
      </c>
      <c r="WS18" s="1" t="s">
        <v>2191</v>
      </c>
      <c r="WT18" s="1" t="s">
        <v>2192</v>
      </c>
      <c r="WU18" s="1" t="s">
        <v>2193</v>
      </c>
      <c r="WV18" s="1" t="s">
        <v>2194</v>
      </c>
      <c r="WW18" s="1" t="s">
        <v>2195</v>
      </c>
      <c r="WX18" s="1" t="s">
        <v>2196</v>
      </c>
      <c r="WY18" s="1" t="s">
        <v>2197</v>
      </c>
      <c r="WZ18" s="1" t="s">
        <v>2198</v>
      </c>
      <c r="XA18" s="1" t="s">
        <v>2199</v>
      </c>
      <c r="XB18" s="1" t="s">
        <v>2200</v>
      </c>
      <c r="XC18" s="1" t="s">
        <v>2201</v>
      </c>
      <c r="XD18" s="1" t="s">
        <v>2202</v>
      </c>
      <c r="XE18" s="1" t="s">
        <v>2203</v>
      </c>
      <c r="XF18" s="1" t="s">
        <v>2204</v>
      </c>
      <c r="XG18" s="1" t="s">
        <v>2205</v>
      </c>
      <c r="XH18" s="1" t="s">
        <v>2206</v>
      </c>
      <c r="XI18" s="1" t="s">
        <v>2207</v>
      </c>
      <c r="XJ18" s="1" t="s">
        <v>2208</v>
      </c>
      <c r="XK18" s="1" t="s">
        <v>2209</v>
      </c>
      <c r="XL18" s="1" t="s">
        <v>2210</v>
      </c>
      <c r="XM18" s="1" t="s">
        <v>2211</v>
      </c>
      <c r="XN18" s="1" t="s">
        <v>2212</v>
      </c>
      <c r="XO18" s="1" t="s">
        <v>2213</v>
      </c>
      <c r="XP18" s="1" t="s">
        <v>2214</v>
      </c>
      <c r="XQ18" s="1" t="s">
        <v>2215</v>
      </c>
      <c r="XR18" s="1" t="s">
        <v>2216</v>
      </c>
      <c r="XS18" s="1" t="s">
        <v>2217</v>
      </c>
      <c r="XT18" s="1" t="s">
        <v>2218</v>
      </c>
      <c r="XU18" s="1" t="s">
        <v>2219</v>
      </c>
      <c r="XV18" s="1" t="s">
        <v>2220</v>
      </c>
      <c r="XW18" s="1" t="s">
        <v>2221</v>
      </c>
      <c r="XX18" s="1" t="s">
        <v>2222</v>
      </c>
      <c r="XY18" s="1" t="s">
        <v>2223</v>
      </c>
      <c r="XZ18" s="1" t="s">
        <v>2224</v>
      </c>
      <c r="YA18" s="1" t="s">
        <v>2225</v>
      </c>
      <c r="YB18" s="1" t="s">
        <v>2226</v>
      </c>
      <c r="YC18" s="1" t="s">
        <v>2227</v>
      </c>
      <c r="YD18" s="1" t="s">
        <v>2228</v>
      </c>
      <c r="YE18" s="1" t="s">
        <v>2229</v>
      </c>
      <c r="YF18" s="1" t="s">
        <v>2230</v>
      </c>
      <c r="YG18" s="1" t="s">
        <v>2231</v>
      </c>
      <c r="YH18" s="1" t="s">
        <v>2232</v>
      </c>
      <c r="YI18" s="1" t="s">
        <v>2233</v>
      </c>
      <c r="YJ18" s="1" t="s">
        <v>2234</v>
      </c>
      <c r="YK18" s="1" t="s">
        <v>2235</v>
      </c>
      <c r="YL18" s="1" t="s">
        <v>2236</v>
      </c>
      <c r="YM18" s="1" t="s">
        <v>2237</v>
      </c>
      <c r="YN18" s="1" t="s">
        <v>2238</v>
      </c>
      <c r="YO18" s="1" t="s">
        <v>2239</v>
      </c>
      <c r="YP18" s="1" t="s">
        <v>2240</v>
      </c>
      <c r="YQ18" s="1" t="s">
        <v>2241</v>
      </c>
      <c r="YR18" s="1" t="s">
        <v>2242</v>
      </c>
      <c r="YS18" s="1" t="s">
        <v>2243</v>
      </c>
      <c r="YT18" s="1" t="s">
        <v>2244</v>
      </c>
      <c r="YU18" s="1" t="s">
        <v>2245</v>
      </c>
      <c r="YV18" s="1" t="s">
        <v>2246</v>
      </c>
      <c r="YW18" s="1" t="s">
        <v>2247</v>
      </c>
      <c r="YX18" s="1" t="s">
        <v>2248</v>
      </c>
      <c r="YY18" s="1" t="s">
        <v>2249</v>
      </c>
      <c r="YZ18" s="1" t="s">
        <v>2250</v>
      </c>
      <c r="ZA18" s="1" t="s">
        <v>2251</v>
      </c>
      <c r="ZB18" s="1" t="s">
        <v>2252</v>
      </c>
      <c r="ZC18" s="1" t="s">
        <v>2253</v>
      </c>
      <c r="ZD18" s="1" t="s">
        <v>2254</v>
      </c>
      <c r="ZE18" s="1" t="s">
        <v>2255</v>
      </c>
      <c r="ZF18" s="1" t="s">
        <v>2256</v>
      </c>
      <c r="ZG18" s="1" t="s">
        <v>2257</v>
      </c>
      <c r="ZH18" s="1" t="s">
        <v>2258</v>
      </c>
      <c r="ZI18" s="1" t="s">
        <v>2259</v>
      </c>
      <c r="ZJ18" s="1" t="s">
        <v>2260</v>
      </c>
      <c r="ZK18" s="1" t="s">
        <v>2261</v>
      </c>
      <c r="ZL18" s="1" t="s">
        <v>2262</v>
      </c>
      <c r="ZM18" s="1" t="s">
        <v>2263</v>
      </c>
      <c r="ZN18" s="1" t="s">
        <v>2264</v>
      </c>
      <c r="ZO18" s="1" t="s">
        <v>2265</v>
      </c>
      <c r="ZP18" s="1" t="s">
        <v>2266</v>
      </c>
      <c r="ZQ18" s="1" t="s">
        <v>2267</v>
      </c>
      <c r="ZR18" s="1" t="s">
        <v>2268</v>
      </c>
      <c r="ZS18" s="1" t="s">
        <v>2269</v>
      </c>
      <c r="ZT18" s="1" t="s">
        <v>2270</v>
      </c>
      <c r="ZU18" s="1" t="s">
        <v>2271</v>
      </c>
      <c r="ZV18" s="1" t="s">
        <v>2272</v>
      </c>
      <c r="ZW18" s="1" t="s">
        <v>2273</v>
      </c>
      <c r="ZX18" s="1" t="s">
        <v>2274</v>
      </c>
      <c r="ZY18" s="1" t="s">
        <v>2275</v>
      </c>
      <c r="ZZ18" s="1" t="s">
        <v>2276</v>
      </c>
      <c r="AAA18" s="1" t="s">
        <v>2277</v>
      </c>
      <c r="AAB18" s="1" t="s">
        <v>2278</v>
      </c>
      <c r="AAC18" s="1" t="s">
        <v>2279</v>
      </c>
      <c r="AAD18" s="1" t="s">
        <v>2280</v>
      </c>
      <c r="AAE18" s="1" t="s">
        <v>2281</v>
      </c>
      <c r="AAF18" s="1" t="s">
        <v>2282</v>
      </c>
      <c r="AAG18" s="1" t="s">
        <v>2283</v>
      </c>
      <c r="AAH18" s="1" t="s">
        <v>2284</v>
      </c>
      <c r="AAI18" s="1" t="s">
        <v>2285</v>
      </c>
      <c r="AAJ18" s="1" t="s">
        <v>2286</v>
      </c>
      <c r="AAK18" s="1" t="s">
        <v>2287</v>
      </c>
      <c r="AAL18" s="1" t="s">
        <v>2288</v>
      </c>
      <c r="AAM18" s="1" t="s">
        <v>2289</v>
      </c>
      <c r="AAN18" s="1" t="s">
        <v>2290</v>
      </c>
      <c r="AAO18" s="1" t="s">
        <v>2291</v>
      </c>
      <c r="AAP18" s="1" t="s">
        <v>2292</v>
      </c>
      <c r="AAQ18" s="1" t="s">
        <v>2293</v>
      </c>
      <c r="AAR18" s="1" t="s">
        <v>2294</v>
      </c>
      <c r="AAS18" s="1" t="s">
        <v>2295</v>
      </c>
      <c r="AAT18" s="1" t="s">
        <v>2296</v>
      </c>
      <c r="AAU18" s="1" t="s">
        <v>2297</v>
      </c>
      <c r="AAV18" s="1" t="s">
        <v>2298</v>
      </c>
      <c r="AAW18" s="1" t="s">
        <v>2299</v>
      </c>
      <c r="AAX18" s="1" t="s">
        <v>2300</v>
      </c>
      <c r="AAY18" s="1" t="s">
        <v>2301</v>
      </c>
      <c r="AAZ18" s="1" t="s">
        <v>2302</v>
      </c>
      <c r="ABA18" s="1" t="s">
        <v>2303</v>
      </c>
      <c r="ABB18" s="1" t="s">
        <v>2304</v>
      </c>
      <c r="ABC18" s="1" t="s">
        <v>2305</v>
      </c>
      <c r="ABD18" s="1" t="s">
        <v>2306</v>
      </c>
      <c r="ABE18" s="1" t="s">
        <v>2307</v>
      </c>
      <c r="ABF18" s="1" t="s">
        <v>2308</v>
      </c>
      <c r="ABG18" s="1" t="s">
        <v>2309</v>
      </c>
      <c r="ABH18" s="1" t="s">
        <v>2310</v>
      </c>
      <c r="ABI18" s="1" t="s">
        <v>2311</v>
      </c>
      <c r="ABJ18" s="1" t="s">
        <v>2312</v>
      </c>
      <c r="ABK18" s="1" t="s">
        <v>2313</v>
      </c>
      <c r="ABL18" s="1" t="s">
        <v>2314</v>
      </c>
      <c r="ABM18" s="1" t="s">
        <v>2315</v>
      </c>
      <c r="ABN18" s="1" t="s">
        <v>2316</v>
      </c>
      <c r="ABO18" s="1" t="s">
        <v>2317</v>
      </c>
      <c r="ABP18" s="1" t="s">
        <v>2318</v>
      </c>
      <c r="ABQ18" s="1" t="s">
        <v>2319</v>
      </c>
      <c r="ABR18" s="1" t="s">
        <v>2320</v>
      </c>
      <c r="ABS18" s="1" t="s">
        <v>2321</v>
      </c>
      <c r="ABT18" s="1" t="s">
        <v>2322</v>
      </c>
      <c r="ABU18" s="1" t="s">
        <v>2323</v>
      </c>
      <c r="ABV18" s="1" t="s">
        <v>2324</v>
      </c>
      <c r="ABW18" s="1" t="s">
        <v>2325</v>
      </c>
      <c r="ABX18" s="1" t="s">
        <v>2326</v>
      </c>
      <c r="ABY18" s="1" t="s">
        <v>2327</v>
      </c>
      <c r="ABZ18" s="1" t="s">
        <v>2328</v>
      </c>
      <c r="ACA18" s="1" t="s">
        <v>2329</v>
      </c>
      <c r="ACB18" s="1" t="s">
        <v>2330</v>
      </c>
      <c r="ACC18" s="1" t="s">
        <v>2331</v>
      </c>
      <c r="ACD18" s="1" t="s">
        <v>2332</v>
      </c>
      <c r="ACE18" s="1" t="s">
        <v>2333</v>
      </c>
      <c r="ACF18" s="1" t="s">
        <v>2334</v>
      </c>
      <c r="ACG18" s="1" t="s">
        <v>2335</v>
      </c>
      <c r="ACH18" s="1" t="s">
        <v>2336</v>
      </c>
      <c r="ACI18" s="1" t="s">
        <v>2337</v>
      </c>
      <c r="ACJ18" s="1" t="s">
        <v>2338</v>
      </c>
      <c r="ACK18" s="1" t="s">
        <v>2339</v>
      </c>
      <c r="ACL18" s="1" t="s">
        <v>2340</v>
      </c>
      <c r="ACM18" s="1" t="s">
        <v>2341</v>
      </c>
      <c r="ACN18" s="1" t="s">
        <v>2342</v>
      </c>
      <c r="ACO18" s="1" t="s">
        <v>2343</v>
      </c>
      <c r="ACP18" s="1" t="s">
        <v>2344</v>
      </c>
      <c r="ACQ18" s="1" t="s">
        <v>2345</v>
      </c>
      <c r="ACR18" s="1" t="s">
        <v>2346</v>
      </c>
      <c r="ACS18" s="1" t="s">
        <v>2347</v>
      </c>
      <c r="ACT18" s="1" t="s">
        <v>2348</v>
      </c>
      <c r="ACU18" s="1" t="s">
        <v>2349</v>
      </c>
      <c r="ACV18" s="1" t="s">
        <v>2350</v>
      </c>
      <c r="ACW18" s="1" t="s">
        <v>2351</v>
      </c>
      <c r="ACX18" s="1" t="s">
        <v>2352</v>
      </c>
      <c r="ACY18" s="1" t="s">
        <v>2353</v>
      </c>
      <c r="ACZ18" s="1" t="s">
        <v>2354</v>
      </c>
      <c r="ADA18" s="1" t="s">
        <v>2355</v>
      </c>
      <c r="ADB18" s="1" t="s">
        <v>2356</v>
      </c>
      <c r="ADC18" s="1" t="s">
        <v>2357</v>
      </c>
      <c r="ADD18" s="1" t="s">
        <v>2358</v>
      </c>
      <c r="ADE18" s="1" t="s">
        <v>2359</v>
      </c>
      <c r="ADF18" s="1" t="s">
        <v>2360</v>
      </c>
      <c r="ADG18" s="1" t="s">
        <v>2361</v>
      </c>
      <c r="ADH18" s="1" t="s">
        <v>2362</v>
      </c>
      <c r="ADI18" s="1" t="s">
        <v>2363</v>
      </c>
      <c r="ADJ18" s="1" t="s">
        <v>2364</v>
      </c>
      <c r="ADK18" s="1" t="s">
        <v>2365</v>
      </c>
      <c r="ADL18" s="1" t="s">
        <v>2366</v>
      </c>
      <c r="ADM18" s="1" t="s">
        <v>2367</v>
      </c>
      <c r="ADN18" s="1" t="s">
        <v>2368</v>
      </c>
      <c r="ADO18" s="1" t="s">
        <v>2369</v>
      </c>
      <c r="ADP18" s="1" t="s">
        <v>2370</v>
      </c>
      <c r="ADQ18" s="1" t="s">
        <v>2371</v>
      </c>
      <c r="ADR18" s="1" t="s">
        <v>2372</v>
      </c>
      <c r="ADS18" s="1" t="s">
        <v>2373</v>
      </c>
      <c r="ADT18" s="1" t="s">
        <v>2374</v>
      </c>
      <c r="ADU18" s="1" t="s">
        <v>2375</v>
      </c>
      <c r="ADV18" s="1" t="s">
        <v>2376</v>
      </c>
      <c r="ADW18" s="1" t="s">
        <v>2377</v>
      </c>
      <c r="ADX18" s="1" t="s">
        <v>2378</v>
      </c>
      <c r="ADY18" s="1" t="s">
        <v>2379</v>
      </c>
      <c r="ADZ18" s="1" t="s">
        <v>2380</v>
      </c>
      <c r="AEA18" s="1" t="s">
        <v>2381</v>
      </c>
      <c r="AEB18" s="1" t="s">
        <v>2382</v>
      </c>
      <c r="AEC18" s="1" t="s">
        <v>2383</v>
      </c>
      <c r="AED18" s="1" t="s">
        <v>2384</v>
      </c>
      <c r="AEE18" s="1" t="s">
        <v>2385</v>
      </c>
      <c r="AEF18" s="1" t="s">
        <v>2386</v>
      </c>
      <c r="AEG18" s="1" t="s">
        <v>2387</v>
      </c>
      <c r="AEH18" s="1" t="s">
        <v>2388</v>
      </c>
      <c r="AEI18" s="1" t="s">
        <v>2389</v>
      </c>
      <c r="AEJ18" s="1" t="s">
        <v>2390</v>
      </c>
      <c r="AEK18" s="1" t="s">
        <v>2391</v>
      </c>
      <c r="AEL18" s="1" t="s">
        <v>2392</v>
      </c>
      <c r="AEM18" s="1" t="s">
        <v>2393</v>
      </c>
      <c r="AEN18" s="1" t="s">
        <v>2394</v>
      </c>
      <c r="AEO18" s="1" t="s">
        <v>2395</v>
      </c>
      <c r="AEP18" s="1" t="s">
        <v>2396</v>
      </c>
      <c r="AEQ18" s="1" t="s">
        <v>2397</v>
      </c>
      <c r="AER18" s="1" t="s">
        <v>2398</v>
      </c>
      <c r="AES18" s="1" t="s">
        <v>2399</v>
      </c>
      <c r="AET18" s="1" t="s">
        <v>2400</v>
      </c>
      <c r="AEU18" s="1" t="s">
        <v>2401</v>
      </c>
      <c r="AEV18" s="1" t="s">
        <v>2402</v>
      </c>
      <c r="AEW18" s="1" t="s">
        <v>2403</v>
      </c>
      <c r="AEX18" s="1" t="s">
        <v>2404</v>
      </c>
      <c r="AEY18" s="1" t="s">
        <v>2405</v>
      </c>
      <c r="AEZ18" s="1" t="s">
        <v>2406</v>
      </c>
      <c r="AFA18" s="1" t="s">
        <v>2407</v>
      </c>
      <c r="AFB18" s="1" t="s">
        <v>2408</v>
      </c>
      <c r="AFC18" s="1" t="s">
        <v>2409</v>
      </c>
      <c r="AFD18" s="1" t="s">
        <v>2410</v>
      </c>
      <c r="AFE18" s="1" t="s">
        <v>2411</v>
      </c>
      <c r="AFF18" s="1" t="s">
        <v>2412</v>
      </c>
      <c r="AFG18" s="1" t="s">
        <v>2413</v>
      </c>
      <c r="AFH18" s="1" t="s">
        <v>2414</v>
      </c>
      <c r="AFI18" s="1" t="s">
        <v>2415</v>
      </c>
      <c r="AFJ18" s="1" t="s">
        <v>2416</v>
      </c>
      <c r="AFK18" s="1" t="s">
        <v>2417</v>
      </c>
      <c r="AFL18" s="1" t="s">
        <v>2418</v>
      </c>
      <c r="AFM18" s="1" t="s">
        <v>2419</v>
      </c>
      <c r="AFN18" s="1" t="s">
        <v>2420</v>
      </c>
      <c r="AFO18" s="1" t="s">
        <v>2421</v>
      </c>
      <c r="AFP18" s="1" t="s">
        <v>2422</v>
      </c>
      <c r="AFQ18" s="1" t="s">
        <v>2423</v>
      </c>
      <c r="AFR18" s="1" t="s">
        <v>2424</v>
      </c>
      <c r="AFS18" s="1" t="s">
        <v>2425</v>
      </c>
      <c r="AFT18" s="1" t="s">
        <v>2426</v>
      </c>
      <c r="AFU18" s="1" t="s">
        <v>2427</v>
      </c>
      <c r="AFV18" s="1" t="s">
        <v>2428</v>
      </c>
      <c r="AFW18" s="1" t="s">
        <v>2429</v>
      </c>
      <c r="AFX18" s="1" t="s">
        <v>2430</v>
      </c>
      <c r="AFY18" s="1" t="s">
        <v>2431</v>
      </c>
      <c r="AFZ18" s="1" t="s">
        <v>2432</v>
      </c>
      <c r="AGA18" s="1" t="s">
        <v>2433</v>
      </c>
      <c r="AGB18" s="1" t="s">
        <v>2434</v>
      </c>
      <c r="AGC18" s="1" t="s">
        <v>2435</v>
      </c>
      <c r="AGD18" s="1" t="s">
        <v>2436</v>
      </c>
      <c r="AGE18" s="1" t="s">
        <v>2437</v>
      </c>
      <c r="AGF18" s="1" t="s">
        <v>2438</v>
      </c>
      <c r="AGG18" s="1" t="s">
        <v>2439</v>
      </c>
      <c r="AGH18" s="1" t="s">
        <v>2440</v>
      </c>
      <c r="AGI18" s="1" t="s">
        <v>2441</v>
      </c>
      <c r="AGJ18" s="1" t="s">
        <v>2442</v>
      </c>
      <c r="AGK18" s="1" t="s">
        <v>2443</v>
      </c>
      <c r="AGL18" s="1" t="s">
        <v>2444</v>
      </c>
      <c r="AGM18" s="1" t="s">
        <v>2445</v>
      </c>
      <c r="AGN18" s="1" t="s">
        <v>2446</v>
      </c>
      <c r="AGO18" s="1" t="s">
        <v>2447</v>
      </c>
      <c r="AGP18" s="1" t="s">
        <v>2448</v>
      </c>
      <c r="AGQ18" s="1" t="s">
        <v>2449</v>
      </c>
      <c r="AGR18" s="1" t="s">
        <v>2450</v>
      </c>
      <c r="AGS18" s="1" t="s">
        <v>2451</v>
      </c>
      <c r="AGT18" s="1" t="s">
        <v>2452</v>
      </c>
      <c r="AGU18" s="1" t="s">
        <v>2453</v>
      </c>
      <c r="AGV18" s="1" t="s">
        <v>2454</v>
      </c>
      <c r="AGW18" s="1" t="s">
        <v>2455</v>
      </c>
      <c r="AGX18" s="1" t="s">
        <v>2456</v>
      </c>
      <c r="AGY18" s="1" t="s">
        <v>2457</v>
      </c>
      <c r="AGZ18" s="1" t="s">
        <v>2458</v>
      </c>
      <c r="AHA18" s="1" t="s">
        <v>2459</v>
      </c>
      <c r="AHB18" s="1" t="s">
        <v>2460</v>
      </c>
      <c r="AHC18" s="1" t="s">
        <v>2461</v>
      </c>
      <c r="AHD18" s="1" t="s">
        <v>2462</v>
      </c>
      <c r="AHE18" s="1" t="s">
        <v>2463</v>
      </c>
      <c r="AHF18" s="1" t="s">
        <v>2464</v>
      </c>
      <c r="AHG18" s="1" t="s">
        <v>2465</v>
      </c>
      <c r="AHH18" s="1" t="s">
        <v>2466</v>
      </c>
      <c r="AHI18" s="1" t="s">
        <v>2467</v>
      </c>
      <c r="AHJ18" s="1" t="s">
        <v>2468</v>
      </c>
      <c r="AHK18" s="1" t="s">
        <v>2469</v>
      </c>
      <c r="AHL18" s="1" t="s">
        <v>2470</v>
      </c>
      <c r="AHM18" s="1" t="s">
        <v>2471</v>
      </c>
      <c r="AHN18" s="1" t="s">
        <v>2472</v>
      </c>
      <c r="AHO18" s="1" t="s">
        <v>2473</v>
      </c>
      <c r="AHP18" s="1" t="s">
        <v>2474</v>
      </c>
      <c r="AHQ18" s="1" t="s">
        <v>2475</v>
      </c>
      <c r="AHR18" s="1" t="s">
        <v>2476</v>
      </c>
      <c r="AHS18" s="1" t="s">
        <v>2477</v>
      </c>
      <c r="AHT18" s="1" t="s">
        <v>2478</v>
      </c>
      <c r="AHU18" s="1" t="s">
        <v>2479</v>
      </c>
      <c r="AHV18" s="1" t="s">
        <v>2480</v>
      </c>
      <c r="AHW18" s="1" t="s">
        <v>2481</v>
      </c>
      <c r="AHX18" s="1" t="s">
        <v>2482</v>
      </c>
      <c r="AHY18" s="1" t="s">
        <v>2483</v>
      </c>
      <c r="AHZ18" s="1" t="s">
        <v>2484</v>
      </c>
      <c r="AIA18" s="1" t="s">
        <v>2485</v>
      </c>
      <c r="AIB18" s="1" t="s">
        <v>2486</v>
      </c>
      <c r="AIC18" s="1" t="s">
        <v>2487</v>
      </c>
      <c r="AID18" s="1" t="s">
        <v>2488</v>
      </c>
      <c r="AIE18" s="1" t="s">
        <v>2489</v>
      </c>
      <c r="AIF18" s="1" t="s">
        <v>2490</v>
      </c>
      <c r="AIG18" s="1" t="s">
        <v>2491</v>
      </c>
      <c r="AIH18" s="1" t="s">
        <v>2492</v>
      </c>
      <c r="AII18" s="1" t="s">
        <v>2493</v>
      </c>
      <c r="AIJ18" s="1" t="s">
        <v>2494</v>
      </c>
      <c r="AIK18" s="1" t="s">
        <v>2495</v>
      </c>
      <c r="AIL18" s="1" t="s">
        <v>2496</v>
      </c>
      <c r="AIM18" s="1" t="s">
        <v>2497</v>
      </c>
      <c r="AIN18" s="1" t="s">
        <v>2498</v>
      </c>
      <c r="AIO18" s="1" t="s">
        <v>2499</v>
      </c>
      <c r="AIP18" s="1" t="s">
        <v>2500</v>
      </c>
      <c r="AIQ18" s="1" t="s">
        <v>2501</v>
      </c>
      <c r="AIR18" s="1" t="s">
        <v>2502</v>
      </c>
      <c r="AIS18" s="1" t="s">
        <v>2503</v>
      </c>
      <c r="AIT18" s="1" t="s">
        <v>2504</v>
      </c>
      <c r="AIU18" s="1" t="s">
        <v>2505</v>
      </c>
      <c r="AIV18" s="1" t="s">
        <v>2506</v>
      </c>
      <c r="AIW18" s="1" t="s">
        <v>2507</v>
      </c>
      <c r="AIX18" s="1" t="s">
        <v>2508</v>
      </c>
      <c r="AIY18" s="1" t="s">
        <v>2509</v>
      </c>
      <c r="AIZ18" s="1" t="s">
        <v>2510</v>
      </c>
      <c r="AJA18" s="1" t="s">
        <v>2511</v>
      </c>
      <c r="AJB18" s="1" t="s">
        <v>2512</v>
      </c>
      <c r="AJC18" s="1" t="s">
        <v>2513</v>
      </c>
      <c r="AJD18" s="1" t="s">
        <v>2514</v>
      </c>
      <c r="AJE18" s="1" t="s">
        <v>2515</v>
      </c>
      <c r="AJF18" s="1" t="s">
        <v>2516</v>
      </c>
      <c r="AJG18" s="1" t="s">
        <v>2517</v>
      </c>
      <c r="AJH18" s="1" t="s">
        <v>2518</v>
      </c>
      <c r="AJI18" s="1" t="s">
        <v>2519</v>
      </c>
      <c r="AJJ18" s="1" t="s">
        <v>2520</v>
      </c>
      <c r="AJK18" s="1" t="s">
        <v>2521</v>
      </c>
      <c r="AJL18" s="1" t="s">
        <v>2522</v>
      </c>
      <c r="AJM18" s="1" t="s">
        <v>2523</v>
      </c>
      <c r="AJN18" s="1" t="s">
        <v>2524</v>
      </c>
      <c r="AJO18" s="1" t="s">
        <v>2525</v>
      </c>
      <c r="AJP18" s="1" t="s">
        <v>2526</v>
      </c>
      <c r="AJQ18" s="1" t="s">
        <v>2527</v>
      </c>
      <c r="AJR18" s="1" t="s">
        <v>2528</v>
      </c>
      <c r="AJS18" s="1" t="s">
        <v>2529</v>
      </c>
      <c r="AJT18" s="1" t="s">
        <v>2530</v>
      </c>
      <c r="AJU18" s="1" t="s">
        <v>2531</v>
      </c>
      <c r="AJV18" s="1" t="s">
        <v>2532</v>
      </c>
      <c r="AJW18" s="1" t="s">
        <v>2533</v>
      </c>
      <c r="AJX18" s="1" t="s">
        <v>2534</v>
      </c>
      <c r="AJY18" s="1" t="s">
        <v>2535</v>
      </c>
      <c r="AJZ18" s="1" t="s">
        <v>2536</v>
      </c>
      <c r="AKA18" s="1" t="s">
        <v>2537</v>
      </c>
      <c r="AKB18" s="1" t="s">
        <v>2538</v>
      </c>
      <c r="AKC18" s="1" t="s">
        <v>2539</v>
      </c>
      <c r="AKD18" s="1" t="s">
        <v>2540</v>
      </c>
      <c r="AKE18" s="1" t="s">
        <v>2541</v>
      </c>
      <c r="AKF18" s="1" t="s">
        <v>2542</v>
      </c>
      <c r="AKG18" s="1" t="s">
        <v>2543</v>
      </c>
      <c r="AKH18" s="1" t="s">
        <v>2544</v>
      </c>
      <c r="AKI18" s="1" t="s">
        <v>2545</v>
      </c>
      <c r="AKJ18" s="1" t="s">
        <v>2546</v>
      </c>
      <c r="AKK18" s="1" t="s">
        <v>2547</v>
      </c>
      <c r="AKL18" s="1" t="s">
        <v>2548</v>
      </c>
      <c r="AKM18" s="1" t="s">
        <v>2549</v>
      </c>
      <c r="AKN18" s="1" t="s">
        <v>2550</v>
      </c>
      <c r="AKO18" s="1" t="s">
        <v>2551</v>
      </c>
      <c r="AKP18" s="1" t="s">
        <v>2552</v>
      </c>
      <c r="AKQ18" s="1" t="s">
        <v>2553</v>
      </c>
      <c r="AKR18" s="1" t="s">
        <v>2554</v>
      </c>
      <c r="AKS18" s="1" t="s">
        <v>2555</v>
      </c>
      <c r="AKT18" s="1" t="s">
        <v>2556</v>
      </c>
      <c r="AKU18" s="1" t="s">
        <v>2557</v>
      </c>
      <c r="AKV18" s="1" t="s">
        <v>2558</v>
      </c>
      <c r="AKW18" s="1" t="s">
        <v>2559</v>
      </c>
      <c r="AKX18" s="1" t="s">
        <v>2560</v>
      </c>
      <c r="AKY18" s="1" t="s">
        <v>2561</v>
      </c>
      <c r="AKZ18" s="1" t="s">
        <v>2562</v>
      </c>
      <c r="ALA18" s="1" t="s">
        <v>2563</v>
      </c>
      <c r="ALB18" s="1" t="s">
        <v>2564</v>
      </c>
      <c r="ALC18" s="1" t="s">
        <v>2565</v>
      </c>
      <c r="ALD18" s="1" t="s">
        <v>2566</v>
      </c>
      <c r="ALE18" s="1" t="s">
        <v>2567</v>
      </c>
      <c r="ALF18" s="1" t="s">
        <v>2568</v>
      </c>
      <c r="ALG18" s="1" t="s">
        <v>2569</v>
      </c>
      <c r="ALH18" s="1" t="s">
        <v>2570</v>
      </c>
      <c r="ALI18" s="1" t="s">
        <v>2571</v>
      </c>
      <c r="ALJ18" s="1" t="s">
        <v>2572</v>
      </c>
      <c r="ALK18" s="1" t="s">
        <v>2573</v>
      </c>
      <c r="ALL18" s="1" t="s">
        <v>2574</v>
      </c>
      <c r="ALM18" s="1" t="s">
        <v>2575</v>
      </c>
      <c r="ALN18" s="1" t="s">
        <v>2576</v>
      </c>
      <c r="ALO18" s="1" t="s">
        <v>2577</v>
      </c>
      <c r="ALP18" s="1" t="s">
        <v>2578</v>
      </c>
      <c r="ALQ18" s="1" t="s">
        <v>2579</v>
      </c>
      <c r="ALR18" s="1" t="s">
        <v>2580</v>
      </c>
      <c r="ALS18" s="1" t="s">
        <v>2581</v>
      </c>
      <c r="ALT18" s="1" t="s">
        <v>2582</v>
      </c>
      <c r="ALU18" s="1" t="s">
        <v>2583</v>
      </c>
      <c r="ALV18" s="1" t="s">
        <v>2584</v>
      </c>
      <c r="ALW18" s="1" t="s">
        <v>2585</v>
      </c>
      <c r="ALX18" s="1" t="s">
        <v>2586</v>
      </c>
      <c r="ALY18" s="1" t="s">
        <v>2587</v>
      </c>
      <c r="ALZ18" s="1" t="s">
        <v>2588</v>
      </c>
      <c r="AMA18" s="1" t="s">
        <v>2589</v>
      </c>
      <c r="AMB18" s="1" t="s">
        <v>2590</v>
      </c>
      <c r="AMC18" s="1" t="s">
        <v>2591</v>
      </c>
      <c r="AMD18" s="1" t="s">
        <v>2592</v>
      </c>
      <c r="AME18" s="1" t="s">
        <v>2593</v>
      </c>
      <c r="AMF18" s="1" t="s">
        <v>2594</v>
      </c>
      <c r="AMG18" s="1" t="s">
        <v>2595</v>
      </c>
      <c r="AMH18" s="1" t="s">
        <v>2596</v>
      </c>
    </row>
    <row r="19" spans="1:1022" ht="18.899999999999999" customHeight="1" thickBot="1" x14ac:dyDescent="0.5">
      <c r="G19" s="4"/>
      <c r="H19" s="4"/>
      <c r="I19" s="4"/>
      <c r="K19" s="5">
        <v>14</v>
      </c>
      <c r="L19" s="5" t="s">
        <v>240</v>
      </c>
      <c r="M19" s="5" t="s">
        <v>145</v>
      </c>
      <c r="DT19" s="39"/>
    </row>
    <row r="20" spans="1:1022" ht="18.899999999999999" customHeight="1" thickBot="1" x14ac:dyDescent="0.5">
      <c r="A20" s="27" t="s">
        <v>2597</v>
      </c>
      <c r="B20" s="27" t="s">
        <v>2598</v>
      </c>
      <c r="C20" s="27" t="s">
        <v>2599</v>
      </c>
      <c r="G20" s="27" t="s">
        <v>2600</v>
      </c>
      <c r="H20" s="27" t="s">
        <v>2601</v>
      </c>
      <c r="I20" s="4"/>
      <c r="K20" s="5">
        <v>15</v>
      </c>
      <c r="L20" s="5" t="s">
        <v>2602</v>
      </c>
      <c r="M20" s="5" t="s">
        <v>138</v>
      </c>
      <c r="O20" s="27" t="s">
        <v>128</v>
      </c>
      <c r="P20" s="27" t="s">
        <v>2603</v>
      </c>
      <c r="U20" s="28" t="s">
        <v>2604</v>
      </c>
    </row>
    <row r="21" spans="1:1022" ht="18.899999999999999" customHeight="1" x14ac:dyDescent="0.45">
      <c r="A21" s="5" t="s">
        <v>2605</v>
      </c>
      <c r="B21" s="5">
        <v>2</v>
      </c>
      <c r="C21" s="5" t="s">
        <v>2606</v>
      </c>
      <c r="G21" s="5" t="s">
        <v>2607</v>
      </c>
      <c r="H21" s="5" t="s">
        <v>2608</v>
      </c>
      <c r="I21" s="4"/>
      <c r="K21" s="5">
        <v>16</v>
      </c>
      <c r="L21" s="5" t="s">
        <v>2609</v>
      </c>
      <c r="M21" s="5" t="s">
        <v>145</v>
      </c>
      <c r="O21" s="5">
        <v>1</v>
      </c>
      <c r="P21" s="5" t="s">
        <v>2610</v>
      </c>
    </row>
    <row r="22" spans="1:1022" ht="18.899999999999999" customHeight="1" x14ac:dyDescent="0.45">
      <c r="A22" s="5" t="s">
        <v>2611</v>
      </c>
      <c r="B22" s="5">
        <v>4</v>
      </c>
      <c r="C22" s="5" t="s">
        <v>2605</v>
      </c>
      <c r="G22" s="5" t="s">
        <v>2608</v>
      </c>
      <c r="H22" s="5" t="s">
        <v>2607</v>
      </c>
      <c r="I22" s="4"/>
      <c r="K22" s="5">
        <v>17</v>
      </c>
      <c r="L22" s="5" t="s">
        <v>585</v>
      </c>
      <c r="M22" s="5" t="s">
        <v>145</v>
      </c>
      <c r="O22" s="5">
        <v>2</v>
      </c>
      <c r="P22" s="5" t="s">
        <v>2612</v>
      </c>
      <c r="U22" s="33" t="s">
        <v>2613</v>
      </c>
    </row>
    <row r="23" spans="1:1022" ht="18.899999999999999" customHeight="1" x14ac:dyDescent="0.45">
      <c r="G23" s="34" t="s">
        <v>2614</v>
      </c>
      <c r="H23" s="34" t="s">
        <v>2615</v>
      </c>
      <c r="I23" s="4"/>
      <c r="K23" s="5">
        <v>18</v>
      </c>
      <c r="L23" s="5" t="s">
        <v>191</v>
      </c>
      <c r="M23" s="5" t="s">
        <v>145</v>
      </c>
      <c r="O23" s="5">
        <v>3</v>
      </c>
      <c r="P23" s="5" t="s">
        <v>2616</v>
      </c>
      <c r="U23" s="2" t="s">
        <v>2617</v>
      </c>
    </row>
    <row r="24" spans="1:1022" ht="18.75" customHeight="1" x14ac:dyDescent="0.5">
      <c r="G24" s="34" t="s">
        <v>2615</v>
      </c>
      <c r="H24" s="34" t="s">
        <v>2614</v>
      </c>
      <c r="I24" s="4"/>
      <c r="K24" s="5">
        <v>19</v>
      </c>
      <c r="L24" s="5" t="s">
        <v>420</v>
      </c>
      <c r="M24" s="5" t="s">
        <v>145</v>
      </c>
      <c r="O24" s="5">
        <v>4</v>
      </c>
      <c r="P24" s="5" t="s">
        <v>2618</v>
      </c>
      <c r="U24" s="2" t="s">
        <v>2619</v>
      </c>
      <c r="AE24" s="41"/>
    </row>
    <row r="25" spans="1:1022" ht="18.899999999999999" customHeight="1" x14ac:dyDescent="0.45">
      <c r="G25" s="35" t="s">
        <v>2620</v>
      </c>
      <c r="H25" s="35" t="s">
        <v>2621</v>
      </c>
      <c r="I25" s="4"/>
      <c r="K25" s="5">
        <v>20</v>
      </c>
      <c r="L25" s="5" t="s">
        <v>2622</v>
      </c>
      <c r="M25" s="5" t="s">
        <v>145</v>
      </c>
      <c r="O25" s="5">
        <v>5</v>
      </c>
      <c r="P25" s="5" t="s">
        <v>2623</v>
      </c>
      <c r="U25" s="2" t="s">
        <v>2624</v>
      </c>
    </row>
    <row r="26" spans="1:1022" ht="18.899999999999999" customHeight="1" x14ac:dyDescent="0.45">
      <c r="G26" s="35" t="s">
        <v>2621</v>
      </c>
      <c r="H26" s="35" t="s">
        <v>2620</v>
      </c>
      <c r="I26" s="4"/>
      <c r="K26" s="5">
        <v>21</v>
      </c>
      <c r="L26" s="5" t="s">
        <v>159</v>
      </c>
      <c r="M26" s="5" t="s">
        <v>138</v>
      </c>
      <c r="O26" s="5">
        <v>6</v>
      </c>
      <c r="P26" s="5" t="s">
        <v>2625</v>
      </c>
      <c r="U26" s="2" t="s">
        <v>2626</v>
      </c>
    </row>
    <row r="27" spans="1:1022" ht="18.899999999999999" customHeight="1" x14ac:dyDescent="0.45">
      <c r="G27" s="34" t="s">
        <v>2627</v>
      </c>
      <c r="H27" s="34" t="s">
        <v>2628</v>
      </c>
      <c r="I27" s="4"/>
      <c r="K27" s="5">
        <v>22</v>
      </c>
      <c r="L27" s="5" t="s">
        <v>2629</v>
      </c>
      <c r="M27" s="5" t="s">
        <v>145</v>
      </c>
      <c r="O27" s="5">
        <v>7</v>
      </c>
      <c r="P27" s="5" t="s">
        <v>2630</v>
      </c>
      <c r="R27" s="44"/>
    </row>
    <row r="28" spans="1:1022" ht="18.899999999999999" customHeight="1" x14ac:dyDescent="0.45">
      <c r="G28" s="34" t="s">
        <v>2628</v>
      </c>
      <c r="H28" s="34" t="s">
        <v>2627</v>
      </c>
      <c r="I28" s="4"/>
      <c r="K28" s="5">
        <v>23</v>
      </c>
      <c r="L28" s="5" t="s">
        <v>513</v>
      </c>
      <c r="M28" s="5" t="s">
        <v>145</v>
      </c>
    </row>
    <row r="29" spans="1:1022" ht="18.899999999999999" customHeight="1" x14ac:dyDescent="0.45">
      <c r="G29" s="4"/>
      <c r="H29" s="4"/>
      <c r="I29" s="4"/>
      <c r="K29" s="5">
        <v>24</v>
      </c>
      <c r="L29" s="5" t="s">
        <v>2631</v>
      </c>
      <c r="M29" s="5" t="s">
        <v>145</v>
      </c>
      <c r="U29" s="42"/>
    </row>
    <row r="30" spans="1:1022" ht="18.899999999999999" customHeight="1" x14ac:dyDescent="0.45">
      <c r="G30" s="4"/>
      <c r="H30" s="4"/>
      <c r="I30" s="4"/>
      <c r="K30" s="5">
        <v>25</v>
      </c>
      <c r="L30" s="5" t="s">
        <v>2632</v>
      </c>
      <c r="M30" s="5" t="s">
        <v>145</v>
      </c>
      <c r="R30" s="43"/>
    </row>
    <row r="31" spans="1:1022" ht="18.899999999999999" customHeight="1" x14ac:dyDescent="0.45">
      <c r="F31" s="4"/>
      <c r="G31" s="4"/>
      <c r="H31" s="4"/>
      <c r="I31" s="4"/>
      <c r="K31" s="5">
        <v>26</v>
      </c>
      <c r="L31" s="5" t="s">
        <v>2633</v>
      </c>
      <c r="M31" s="5" t="s">
        <v>145</v>
      </c>
    </row>
    <row r="32" spans="1:1022" ht="19.25" customHeight="1" thickBot="1" x14ac:dyDescent="0.55000000000000004">
      <c r="A32" s="15" t="s">
        <v>2634</v>
      </c>
    </row>
    <row r="33" spans="1:21" ht="18" customHeight="1" thickBot="1" x14ac:dyDescent="0.55000000000000004">
      <c r="A33" s="86" t="s">
        <v>0</v>
      </c>
      <c r="B33" s="87"/>
      <c r="C33" s="87"/>
      <c r="D33" s="87"/>
      <c r="E33" s="88"/>
      <c r="F33" s="86" t="s">
        <v>2</v>
      </c>
      <c r="G33" s="87"/>
      <c r="H33" s="87"/>
      <c r="I33" s="87"/>
      <c r="J33" s="87"/>
      <c r="K33" s="87"/>
      <c r="L33" s="87"/>
      <c r="M33" s="87"/>
      <c r="N33" s="87"/>
      <c r="O33" s="87"/>
      <c r="P33" s="87"/>
      <c r="Q33" s="87"/>
      <c r="R33" s="87"/>
      <c r="S33" s="87"/>
      <c r="T33" s="87"/>
      <c r="U33" s="88"/>
    </row>
    <row r="34" spans="1:21" ht="19.25" customHeight="1" x14ac:dyDescent="0.45">
      <c r="A34" s="93" t="s">
        <v>2635</v>
      </c>
      <c r="B34" s="85"/>
      <c r="C34" s="85"/>
      <c r="D34" s="85"/>
      <c r="E34" s="85"/>
      <c r="F34" s="26" t="s">
        <v>2636</v>
      </c>
      <c r="G34" s="26"/>
    </row>
    <row r="35" spans="1:21" ht="19.25" customHeight="1" x14ac:dyDescent="0.45">
      <c r="A35" s="84" t="s">
        <v>2637</v>
      </c>
      <c r="B35" s="85"/>
      <c r="C35" s="85"/>
      <c r="D35" s="85"/>
      <c r="E35" s="85"/>
      <c r="F35" s="26" t="s">
        <v>2638</v>
      </c>
      <c r="G35" s="26"/>
    </row>
    <row r="36" spans="1:21" ht="19.25" customHeight="1" x14ac:dyDescent="0.45">
      <c r="A36" s="93" t="s">
        <v>2639</v>
      </c>
      <c r="B36" s="85"/>
      <c r="C36" s="85"/>
      <c r="D36" s="85"/>
      <c r="E36" s="85"/>
      <c r="F36" s="2" t="s">
        <v>2640</v>
      </c>
    </row>
    <row r="37" spans="1:21" ht="19.25" customHeight="1" x14ac:dyDescent="0.45">
      <c r="A37" s="93" t="s">
        <v>2641</v>
      </c>
      <c r="B37" s="85"/>
      <c r="C37" s="85"/>
      <c r="D37" s="85"/>
      <c r="E37" s="85"/>
      <c r="F37" s="2" t="s">
        <v>2642</v>
      </c>
    </row>
    <row r="38" spans="1:21" ht="19.25" customHeight="1" x14ac:dyDescent="0.45">
      <c r="B38" s="25"/>
      <c r="F38" s="26"/>
      <c r="G38" s="26"/>
    </row>
    <row r="39" spans="1:21" ht="19.25" customHeight="1" thickBot="1" x14ac:dyDescent="0.55000000000000004">
      <c r="A39" s="15" t="s">
        <v>2643</v>
      </c>
    </row>
    <row r="40" spans="1:21" ht="17.399999999999999" customHeight="1" thickBot="1" x14ac:dyDescent="0.5">
      <c r="A40" s="28" t="s">
        <v>2644</v>
      </c>
      <c r="B40" s="29" t="s">
        <v>2</v>
      </c>
      <c r="C40" s="29"/>
      <c r="D40" s="29"/>
      <c r="E40" s="30"/>
      <c r="F40" s="29" t="s">
        <v>2645</v>
      </c>
      <c r="G40" s="29" t="s">
        <v>2646</v>
      </c>
      <c r="H40" s="29" t="s">
        <v>2647</v>
      </c>
      <c r="I40" s="29"/>
      <c r="J40" s="29"/>
      <c r="K40" s="29"/>
      <c r="L40" s="29" t="s">
        <v>2646</v>
      </c>
      <c r="M40" s="29" t="s">
        <v>2647</v>
      </c>
      <c r="N40" s="29"/>
      <c r="O40" s="29"/>
      <c r="P40" s="29"/>
      <c r="Q40" s="29"/>
      <c r="R40" s="29"/>
      <c r="S40" s="29"/>
      <c r="T40" s="29"/>
    </row>
    <row r="41" spans="1:21" ht="17.399999999999999" customHeight="1" x14ac:dyDescent="0.45">
      <c r="A41" s="16" t="s">
        <v>2648</v>
      </c>
      <c r="B41" s="17" t="s">
        <v>2649</v>
      </c>
      <c r="C41" s="18"/>
      <c r="D41" s="18"/>
      <c r="E41" s="19"/>
      <c r="F41" s="16" t="s">
        <v>2648</v>
      </c>
      <c r="G41" s="16" t="s">
        <v>2650</v>
      </c>
      <c r="H41" s="22" t="str">
        <f t="array" ref="H41:K41">_xlfn.REGEXEXTRACT(G41,F41,1)</f>
        <v>2</v>
      </c>
      <c r="I41" s="22" t="str">
        <v>0</v>
      </c>
      <c r="J41" s="22" t="str">
        <v>2</v>
      </c>
      <c r="K41" s="22" t="str">
        <v>5</v>
      </c>
      <c r="L41" s="16" t="s">
        <v>2651</v>
      </c>
      <c r="M41" s="22" t="str">
        <f t="array" ref="M41:O41">_xlfn.REGEXEXTRACT(L41,F41,1)</f>
        <v>1</v>
      </c>
      <c r="N41" s="22" t="str">
        <v>3</v>
      </c>
      <c r="O41" s="22" t="str">
        <v>5</v>
      </c>
      <c r="P41" s="22"/>
      <c r="Q41" s="22"/>
      <c r="R41" s="22"/>
      <c r="S41" s="22"/>
      <c r="T41" s="22"/>
    </row>
    <row r="42" spans="1:21" ht="17.399999999999999" customHeight="1" x14ac:dyDescent="0.45">
      <c r="A42" s="16" t="s">
        <v>2652</v>
      </c>
      <c r="B42" s="17" t="s">
        <v>2653</v>
      </c>
      <c r="C42" s="18"/>
      <c r="D42" s="18"/>
      <c r="E42" s="19"/>
      <c r="F42" s="16" t="s">
        <v>2652</v>
      </c>
      <c r="G42" s="16" t="s">
        <v>2650</v>
      </c>
      <c r="H42" s="22" t="str">
        <f t="array" ref="H42">_xlfn.REGEXEXTRACT(G42,F42,1)</f>
        <v>2025</v>
      </c>
      <c r="I42" s="22"/>
      <c r="J42" s="22"/>
      <c r="K42" s="22"/>
      <c r="L42" s="16" t="s">
        <v>2651</v>
      </c>
      <c r="M42" s="22" t="str">
        <f t="array" ref="M42:N42">_xlfn.REGEXEXTRACT(L42,F42,1)</f>
        <v>1</v>
      </c>
      <c r="N42" s="22" t="str">
        <v>35</v>
      </c>
      <c r="O42" s="22"/>
      <c r="P42" s="22"/>
      <c r="Q42" s="22"/>
      <c r="R42" s="22"/>
      <c r="S42" s="22"/>
      <c r="T42" s="22"/>
    </row>
    <row r="43" spans="1:21" ht="17.399999999999999" customHeight="1" x14ac:dyDescent="0.45">
      <c r="A43" s="16" t="s">
        <v>2654</v>
      </c>
      <c r="B43" s="17" t="s">
        <v>2655</v>
      </c>
      <c r="C43" s="18"/>
      <c r="D43" s="18"/>
      <c r="E43" s="19"/>
      <c r="F43" s="16" t="s">
        <v>2656</v>
      </c>
      <c r="G43" s="16" t="s">
        <v>2657</v>
      </c>
      <c r="H43" s="22" t="str">
        <f t="array" ref="H43:I43">_xlfn.REGEXEXTRACT(G43,F43,1)</f>
        <v>A</v>
      </c>
      <c r="I43" s="22" t="str">
        <v>A2025</v>
      </c>
      <c r="J43" s="22"/>
      <c r="K43" s="22"/>
      <c r="L43" s="16" t="s">
        <v>2651</v>
      </c>
      <c r="M43" s="22" t="str">
        <f t="array" ref="M43">_xlfn.REGEXEXTRACT(L43,F43,1)</f>
        <v>A1</v>
      </c>
      <c r="N43" s="22"/>
      <c r="O43" s="22"/>
      <c r="P43" s="22"/>
      <c r="Q43" s="22"/>
      <c r="R43" s="22"/>
      <c r="S43" s="22"/>
      <c r="T43" s="22"/>
    </row>
    <row r="44" spans="1:21" ht="17.25" customHeight="1" x14ac:dyDescent="0.45">
      <c r="A44" s="16" t="s">
        <v>2658</v>
      </c>
      <c r="B44" s="17" t="s">
        <v>2659</v>
      </c>
      <c r="C44" s="18"/>
      <c r="D44" s="18"/>
      <c r="E44" s="19"/>
      <c r="F44" s="16" t="s">
        <v>2658</v>
      </c>
      <c r="G44" s="16" t="s">
        <v>2650</v>
      </c>
      <c r="H44" s="22" t="str">
        <f t="array" ref="H44:K44">_xlfn.REGEXEXTRACT(G44,F44,1)</f>
        <v>M</v>
      </c>
      <c r="I44" s="22" t="str">
        <v>E</v>
      </c>
      <c r="J44" s="22" t="str">
        <v>W</v>
      </c>
      <c r="K44" s="22" t="str">
        <v>C</v>
      </c>
      <c r="L44" s="16" t="s">
        <v>2651</v>
      </c>
      <c r="M44" s="22" t="str">
        <f t="array" ref="M44:Q44">_xlfn.REGEXEXTRACT(L44,F44,1)</f>
        <v>A</v>
      </c>
      <c r="N44" s="22" t="str">
        <v xml:space="preserve"> </v>
      </c>
      <c r="O44" s="22" t="str">
        <v>-</v>
      </c>
      <c r="P44" s="22" t="str">
        <v xml:space="preserve"> </v>
      </c>
      <c r="Q44" s="22" t="str">
        <v>C</v>
      </c>
      <c r="R44" s="22"/>
      <c r="S44" s="22"/>
      <c r="T44" s="22"/>
    </row>
    <row r="45" spans="1:21" ht="17.399999999999999" customHeight="1" x14ac:dyDescent="0.45">
      <c r="A45" s="16" t="s">
        <v>2660</v>
      </c>
      <c r="B45" s="17" t="s">
        <v>2661</v>
      </c>
      <c r="C45" s="18"/>
      <c r="D45" s="18"/>
      <c r="E45" s="19"/>
      <c r="F45" s="16" t="s">
        <v>2660</v>
      </c>
      <c r="G45" s="16" t="s">
        <v>2650</v>
      </c>
      <c r="H45" s="22" t="str">
        <f t="array" ref="H45">_xlfn.REGEXEXTRACT(G45,F45,1)</f>
        <v>MEWC</v>
      </c>
      <c r="I45" s="22"/>
      <c r="J45" s="22"/>
      <c r="K45" s="22"/>
      <c r="L45" s="16" t="s">
        <v>2651</v>
      </c>
      <c r="M45" s="22" t="str">
        <f t="array" ref="M45:N45">_xlfn.REGEXEXTRACT(L45,F45,1)</f>
        <v>A</v>
      </c>
      <c r="N45" s="22" t="str">
        <v xml:space="preserve"> - C</v>
      </c>
      <c r="O45" s="22"/>
      <c r="P45" s="22"/>
      <c r="Q45" s="22"/>
      <c r="R45" s="22"/>
      <c r="S45" s="22"/>
      <c r="T45" s="22"/>
    </row>
    <row r="46" spans="1:21" ht="17.399999999999999" customHeight="1" x14ac:dyDescent="0.45">
      <c r="A46" s="16" t="s">
        <v>2662</v>
      </c>
      <c r="B46" s="17" t="s">
        <v>2663</v>
      </c>
      <c r="C46" s="18"/>
      <c r="D46" s="18"/>
      <c r="E46" s="19"/>
      <c r="F46" s="16" t="s">
        <v>2664</v>
      </c>
      <c r="G46" s="16" t="s">
        <v>2650</v>
      </c>
      <c r="H46" s="22" t="str">
        <f t="array" ref="H46">_xlfn.REGEXEXTRACT(G46,F46,1)</f>
        <v>C2</v>
      </c>
      <c r="I46" s="22"/>
      <c r="J46" s="22"/>
      <c r="K46" s="22"/>
      <c r="L46" s="16" t="s">
        <v>2651</v>
      </c>
      <c r="M46" s="22" t="str">
        <f t="array" ref="M46">_xlfn.REGEXEXTRACT(L46,F46,1)</f>
        <v>C3</v>
      </c>
      <c r="N46" s="22"/>
      <c r="O46" s="22"/>
      <c r="P46" s="22"/>
      <c r="Q46" s="22"/>
      <c r="R46" s="22"/>
      <c r="S46" s="22"/>
      <c r="T46" s="22"/>
    </row>
    <row r="47" spans="1:21" ht="17.399999999999999" customHeight="1" x14ac:dyDescent="0.45">
      <c r="A47" s="16" t="s">
        <v>2665</v>
      </c>
      <c r="B47" s="17" t="s">
        <v>2666</v>
      </c>
      <c r="C47" s="18"/>
      <c r="D47" s="18"/>
      <c r="E47" s="19"/>
      <c r="F47" s="16" t="s">
        <v>2667</v>
      </c>
      <c r="G47" s="16" t="s">
        <v>2650</v>
      </c>
      <c r="H47" s="22" t="str">
        <f t="array" ref="H47">_xlfn.REGEXEXTRACT(G47,F47,1)</f>
        <v>C2025</v>
      </c>
      <c r="I47" s="22"/>
      <c r="J47" s="22"/>
      <c r="K47" s="22"/>
      <c r="L47" s="16" t="s">
        <v>2651</v>
      </c>
      <c r="M47" s="22" t="str">
        <f t="array" ref="M47">_xlfn.REGEXEXTRACT(L47,F47,1)</f>
        <v>C35</v>
      </c>
      <c r="N47" s="22"/>
      <c r="O47" s="22"/>
      <c r="P47" s="22"/>
      <c r="Q47" s="22"/>
      <c r="R47" s="22"/>
      <c r="S47" s="22"/>
      <c r="T47" s="22"/>
    </row>
    <row r="48" spans="1:21" ht="17.399999999999999" customHeight="1" x14ac:dyDescent="0.45">
      <c r="A48" s="16" t="s">
        <v>2668</v>
      </c>
      <c r="B48" s="17" t="s">
        <v>2669</v>
      </c>
      <c r="C48" s="18"/>
      <c r="D48" s="18"/>
      <c r="E48" s="19"/>
      <c r="F48" s="20" t="s">
        <v>2670</v>
      </c>
      <c r="G48" s="16" t="s">
        <v>2671</v>
      </c>
      <c r="H48" s="22" t="str">
        <f t="array" ref="H48:I48">_xlfn.REGEXEXTRACT(G48,F48,1)</f>
        <v>3</v>
      </c>
      <c r="I48" s="22" t="str">
        <v>-5</v>
      </c>
      <c r="J48" s="22"/>
      <c r="K48" s="22"/>
      <c r="L48" s="16" t="s">
        <v>2672</v>
      </c>
      <c r="M48" s="22" t="str">
        <f t="array" ref="M48:O48">_xlfn.REGEXEXTRACT(L48,F48,1)</f>
        <v>9</v>
      </c>
      <c r="N48" s="22" t="str">
        <v>-3</v>
      </c>
      <c r="O48" s="22" t="str">
        <v>0</v>
      </c>
      <c r="P48" s="22"/>
      <c r="Q48" s="22"/>
      <c r="R48" s="22"/>
      <c r="S48" s="22"/>
      <c r="T48" s="22"/>
    </row>
    <row r="49" spans="1:20" ht="17.399999999999999" customHeight="1" x14ac:dyDescent="0.45">
      <c r="A49" s="16" t="s">
        <v>2673</v>
      </c>
      <c r="B49" s="17" t="s">
        <v>2674</v>
      </c>
      <c r="C49" s="18"/>
      <c r="D49" s="18"/>
      <c r="E49" s="19"/>
      <c r="F49" s="16" t="s">
        <v>2673</v>
      </c>
      <c r="G49" s="16" t="s">
        <v>2675</v>
      </c>
      <c r="H49" s="22" t="str">
        <f t="array" ref="H49:K49">_xlfn.REGEXEXTRACT(G49,F49,1)</f>
        <v>a</v>
      </c>
      <c r="I49" s="22" t="str">
        <v>4</v>
      </c>
      <c r="J49" s="22" t="str">
        <v>_</v>
      </c>
      <c r="K49" s="22" t="str">
        <v>3</v>
      </c>
      <c r="L49" s="16" t="s">
        <v>2676</v>
      </c>
      <c r="M49" s="22" t="str">
        <f t="array" ref="M49:P49">_xlfn.REGEXEXTRACT(L49,F49,1)</f>
        <v>H</v>
      </c>
      <c r="N49" s="22" t="str">
        <v>i</v>
      </c>
      <c r="O49" s="22" t="str">
        <v>2</v>
      </c>
      <c r="P49" s="22" t="str">
        <v>u</v>
      </c>
      <c r="Q49" s="22"/>
      <c r="R49" s="22"/>
      <c r="S49" s="22"/>
      <c r="T49" s="22"/>
    </row>
    <row r="50" spans="1:20" ht="17.399999999999999" customHeight="1" x14ac:dyDescent="0.45">
      <c r="A50" s="16" t="s">
        <v>2677</v>
      </c>
      <c r="B50" s="17" t="s">
        <v>2678</v>
      </c>
      <c r="C50" s="18"/>
      <c r="D50" s="18"/>
      <c r="E50" s="19"/>
      <c r="F50" s="16" t="s">
        <v>2677</v>
      </c>
      <c r="G50" s="16" t="s">
        <v>2675</v>
      </c>
      <c r="H50" s="22" t="str">
        <f t="array" ref="H50:K50">_xlfn.REGEXEXTRACT(G50,F50,1)</f>
        <v>.</v>
      </c>
      <c r="I50" s="22" t="str">
        <v>!</v>
      </c>
      <c r="J50" s="22" t="str">
        <v>-</v>
      </c>
      <c r="K50" s="22" t="str">
        <v>_</v>
      </c>
      <c r="L50" s="16" t="s">
        <v>2676</v>
      </c>
      <c r="M50" s="22" t="str">
        <f t="array" ref="M50:N50">_xlfn.REGEXEXTRACT(L50,F50,1)</f>
        <v>,</v>
      </c>
      <c r="N50" s="22" t="str">
        <v>!</v>
      </c>
      <c r="O50" s="22"/>
      <c r="P50" s="22"/>
      <c r="Q50" s="22"/>
      <c r="R50" s="22"/>
      <c r="S50" s="22"/>
      <c r="T50" s="22"/>
    </row>
    <row r="51" spans="1:20" ht="17.399999999999999" customHeight="1" x14ac:dyDescent="0.45">
      <c r="A51" s="16" t="s">
        <v>2679</v>
      </c>
      <c r="B51" s="17" t="s">
        <v>2680</v>
      </c>
      <c r="C51" s="18"/>
      <c r="D51" s="18"/>
      <c r="E51" s="19"/>
      <c r="F51" s="16" t="s">
        <v>2679</v>
      </c>
      <c r="G51" s="16" t="s">
        <v>2650</v>
      </c>
      <c r="H51" s="22" t="e" vm="1">
        <f t="array" ref="H51">_xlfn.REGEXEXTRACT(G51,F51,1)</f>
        <v>#N/A</v>
      </c>
      <c r="I51" s="22"/>
      <c r="J51" s="22"/>
      <c r="K51" s="22"/>
      <c r="L51" s="16" t="s">
        <v>2651</v>
      </c>
      <c r="M51" s="22" t="str">
        <f t="array" ref="M51:N51">_xlfn.REGEXEXTRACT(L51,F51,1)</f>
        <v xml:space="preserve"> </v>
      </c>
      <c r="N51" s="22" t="str">
        <v xml:space="preserve"> </v>
      </c>
      <c r="O51" s="22"/>
      <c r="P51" s="22"/>
      <c r="Q51" s="22"/>
      <c r="R51" s="22"/>
      <c r="S51" s="22"/>
      <c r="T51" s="22"/>
    </row>
    <row r="52" spans="1:20" ht="17.399999999999999" customHeight="1" x14ac:dyDescent="0.45">
      <c r="A52" s="16" t="s">
        <v>2681</v>
      </c>
      <c r="B52" s="17" t="s">
        <v>2682</v>
      </c>
      <c r="C52" s="18"/>
      <c r="D52" s="18"/>
      <c r="E52" s="19"/>
      <c r="F52" s="16" t="s">
        <v>2681</v>
      </c>
      <c r="G52" s="16" t="s">
        <v>2683</v>
      </c>
      <c r="H52" s="22" t="str">
        <f t="array" ref="H52:I52">_xlfn.REGEXEXTRACT(G52,F52,1)</f>
        <v>x</v>
      </c>
      <c r="I52" s="22" t="str">
        <v>9</v>
      </c>
      <c r="J52" s="22"/>
      <c r="K52" s="22"/>
      <c r="L52" s="16" t="s">
        <v>2650</v>
      </c>
      <c r="M52" s="22" t="str">
        <f t="array" ref="M52:T52">_xlfn.REGEXEXTRACT(L52,F52,1)</f>
        <v>M</v>
      </c>
      <c r="N52" s="22" t="str">
        <v>E</v>
      </c>
      <c r="O52" s="22" t="str">
        <v>W</v>
      </c>
      <c r="P52" s="22" t="str">
        <v>C</v>
      </c>
      <c r="Q52" s="22" t="str">
        <v>2</v>
      </c>
      <c r="R52" s="22" t="str">
        <v>0</v>
      </c>
      <c r="S52" s="22" t="str">
        <v>2</v>
      </c>
      <c r="T52" s="22" t="str">
        <v>5</v>
      </c>
    </row>
    <row r="53" spans="1:20" ht="17.399999999999999" customHeight="1" x14ac:dyDescent="0.45">
      <c r="A53" s="16" t="s">
        <v>2684</v>
      </c>
      <c r="B53" s="17" t="s">
        <v>2685</v>
      </c>
      <c r="C53" s="18"/>
      <c r="D53" s="18"/>
      <c r="E53" s="19"/>
      <c r="F53" s="20" t="s">
        <v>2684</v>
      </c>
      <c r="G53" s="16" t="s">
        <v>2686</v>
      </c>
      <c r="H53" s="22" t="str">
        <f t="array" ref="H53:K53">_xlfn.REGEXEXTRACT(G53,F53,1)</f>
        <v>x</v>
      </c>
      <c r="I53" s="22" t="str">
        <v>😍</v>
      </c>
      <c r="J53" s="22" t="str">
        <v>🏴‍☠️</v>
      </c>
      <c r="K53" s="22" t="str">
        <v>👪</v>
      </c>
      <c r="L53" s="16" t="s">
        <v>2687</v>
      </c>
      <c r="M53" s="22" t="str">
        <f t="array" ref="M53:O53">_xlfn.REGEXEXTRACT(L53,F53,1)</f>
        <v>A</v>
      </c>
      <c r="N53" s="22" t="str">
        <v>B</v>
      </c>
      <c r="O53" s="22" t="str">
        <v>🍌</v>
      </c>
      <c r="P53" s="22"/>
      <c r="Q53" s="22"/>
      <c r="R53" s="22"/>
      <c r="S53" s="22"/>
      <c r="T53" s="22"/>
    </row>
    <row r="54" spans="1:20" ht="17.399999999999999" customHeight="1" x14ac:dyDescent="0.45">
      <c r="A54" s="16" t="s">
        <v>2688</v>
      </c>
      <c r="B54" s="17" t="s">
        <v>2689</v>
      </c>
      <c r="C54" s="18"/>
      <c r="D54" s="18"/>
      <c r="E54" s="19"/>
      <c r="F54" s="16" t="s">
        <v>2690</v>
      </c>
      <c r="G54" s="1" t="s">
        <v>2691</v>
      </c>
      <c r="H54" s="22" t="str">
        <f t="array" ref="H54">_xlfn.REGEXEXTRACT(G54,F54,1)</f>
        <v>hog</v>
      </c>
      <c r="I54" s="22"/>
      <c r="J54" s="22"/>
      <c r="K54" s="22"/>
      <c r="L54" s="16" t="s">
        <v>2692</v>
      </c>
      <c r="M54" s="22" t="e" vm="1">
        <f t="array" ref="M54">_xlfn.REGEXEXTRACT(L54,F54,1)</f>
        <v>#N/A</v>
      </c>
      <c r="N54" s="22"/>
      <c r="O54" s="22"/>
      <c r="P54" s="22"/>
      <c r="Q54" s="22"/>
      <c r="R54" s="22"/>
      <c r="S54" s="22"/>
      <c r="T54" s="22"/>
    </row>
    <row r="55" spans="1:20" ht="17.399999999999999" customHeight="1" x14ac:dyDescent="0.45">
      <c r="A55" s="16" t="s">
        <v>2693</v>
      </c>
      <c r="B55" s="17" t="s">
        <v>2694</v>
      </c>
      <c r="C55" s="18"/>
      <c r="D55" s="18"/>
      <c r="E55" s="19"/>
      <c r="F55" s="16" t="s">
        <v>2695</v>
      </c>
      <c r="G55" s="1" t="s">
        <v>2691</v>
      </c>
      <c r="H55" s="22" t="e" vm="1">
        <f t="array" ref="H55">_xlfn.REGEXEXTRACT(G55,F55,1)</f>
        <v>#N/A</v>
      </c>
      <c r="I55" s="22"/>
      <c r="J55" s="22"/>
      <c r="K55" s="22"/>
      <c r="L55" s="16" t="s">
        <v>2692</v>
      </c>
      <c r="M55" s="22" t="str">
        <f t="array" ref="M55">_xlfn.REGEXEXTRACT(L55,F55,1)</f>
        <v>bog</v>
      </c>
      <c r="N55" s="22"/>
      <c r="O55" s="22"/>
      <c r="P55" s="22"/>
      <c r="Q55" s="22"/>
      <c r="R55" s="22"/>
      <c r="S55" s="22"/>
      <c r="T55" s="22"/>
    </row>
    <row r="56" spans="1:20" ht="17.399999999999999" customHeight="1" x14ac:dyDescent="0.45">
      <c r="A56" s="16" t="s">
        <v>2696</v>
      </c>
      <c r="B56" s="17" t="s">
        <v>2697</v>
      </c>
      <c r="C56" s="18"/>
      <c r="D56" s="18"/>
      <c r="E56" s="19"/>
      <c r="F56" s="16" t="s">
        <v>2698</v>
      </c>
      <c r="G56" s="16" t="s">
        <v>2699</v>
      </c>
      <c r="H56" s="22" t="str">
        <f t="array" ref="H56:J56">_xlfn.REGEXEXTRACT(G56,F56,1)</f>
        <v>M</v>
      </c>
      <c r="I56" s="22" t="str">
        <v>E</v>
      </c>
      <c r="J56" s="22" t="str">
        <v>c</v>
      </c>
      <c r="K56" s="22"/>
      <c r="L56" s="16" t="s">
        <v>2651</v>
      </c>
      <c r="M56" s="22" t="str">
        <f t="array" ref="M56:N56">_xlfn.REGEXEXTRACT(L56,F56,1)</f>
        <v>A</v>
      </c>
      <c r="N56" s="22" t="str">
        <v>C</v>
      </c>
      <c r="O56" s="22"/>
      <c r="P56" s="22"/>
      <c r="Q56" s="22"/>
      <c r="R56" s="22"/>
      <c r="S56" s="22"/>
      <c r="T56" s="22"/>
    </row>
    <row r="57" spans="1:20" ht="17.399999999999999" customHeight="1" x14ac:dyDescent="0.45">
      <c r="A57" s="16" t="s">
        <v>2700</v>
      </c>
      <c r="B57" s="17" t="s">
        <v>2701</v>
      </c>
      <c r="C57" s="18"/>
      <c r="D57" s="18"/>
      <c r="E57" s="19"/>
      <c r="F57" s="16" t="s">
        <v>2702</v>
      </c>
      <c r="G57" s="16" t="s">
        <v>2703</v>
      </c>
      <c r="H57" s="22" t="str">
        <f t="array" ref="H57:I57">_xlfn.REGEXEXTRACT(G57,F57,1)</f>
        <v>xxx</v>
      </c>
      <c r="I57" s="22" t="str">
        <v>xxx</v>
      </c>
      <c r="J57" s="22"/>
      <c r="K57" s="22"/>
      <c r="L57" s="16" t="s">
        <v>2704</v>
      </c>
      <c r="M57" s="22" t="str">
        <f t="array" ref="M57">_xlfn.REGEXEXTRACT(L57,F57,1)</f>
        <v>xxx</v>
      </c>
      <c r="N57" s="22"/>
      <c r="O57" s="22"/>
      <c r="P57" s="22"/>
      <c r="Q57" s="22"/>
      <c r="R57" s="22"/>
      <c r="S57" s="22"/>
      <c r="T57" s="22"/>
    </row>
    <row r="58" spans="1:20" ht="17.399999999999999" customHeight="1" x14ac:dyDescent="0.45">
      <c r="A58" s="16" t="s">
        <v>2705</v>
      </c>
      <c r="B58" s="17" t="s">
        <v>2706</v>
      </c>
      <c r="C58" s="18"/>
      <c r="D58" s="18"/>
      <c r="E58" s="19"/>
      <c r="F58" s="16" t="s">
        <v>2707</v>
      </c>
      <c r="G58" s="16" t="s">
        <v>2703</v>
      </c>
      <c r="H58" s="22" t="str">
        <f t="array" ref="H58:K58">_xlfn.REGEXEXTRACT(G58,F58,1)</f>
        <v>xx</v>
      </c>
      <c r="I58" s="22" t="str">
        <v>xx</v>
      </c>
      <c r="J58" s="22" t="str">
        <v>xx</v>
      </c>
      <c r="K58" s="22" t="str">
        <v>x</v>
      </c>
      <c r="L58" s="16" t="s">
        <v>2708</v>
      </c>
      <c r="M58" s="22" t="str">
        <f t="array" ref="M58:Q58">_xlfn.REGEXEXTRACT(L58,F58,1)</f>
        <v>xx</v>
      </c>
      <c r="N58" s="22" t="str">
        <v>xx</v>
      </c>
      <c r="O58" s="22" t="str">
        <v>x</v>
      </c>
      <c r="P58" s="22" t="str">
        <v>xx</v>
      </c>
      <c r="Q58" s="22" t="str">
        <v>x</v>
      </c>
      <c r="R58" s="22"/>
      <c r="S58" s="22"/>
      <c r="T58" s="22"/>
    </row>
    <row r="59" spans="1:20" ht="35.25" customHeight="1" x14ac:dyDescent="0.45">
      <c r="A59" s="16" t="s">
        <v>2709</v>
      </c>
      <c r="B59" s="17" t="s">
        <v>2710</v>
      </c>
      <c r="C59" s="18"/>
      <c r="D59" s="18"/>
      <c r="E59" s="19"/>
      <c r="F59" s="16" t="s">
        <v>2711</v>
      </c>
      <c r="G59" s="21" t="s">
        <v>2712</v>
      </c>
      <c r="H59" s="22" t="str">
        <f t="array" ref="H59">_xlfn.REGEXEXTRACT(G59,F59,1)</f>
        <v>h</v>
      </c>
      <c r="I59" s="22"/>
      <c r="J59" s="22"/>
      <c r="K59" s="22"/>
      <c r="L59" s="16" t="s">
        <v>2650</v>
      </c>
      <c r="M59" s="22" t="str">
        <f t="array" ref="M59">_xlfn.REGEXEXTRACT(L59,F59,1)</f>
        <v>M</v>
      </c>
      <c r="N59" s="22"/>
      <c r="O59" s="22"/>
      <c r="P59" s="22"/>
      <c r="Q59" s="22"/>
      <c r="R59" s="22"/>
      <c r="S59" s="22"/>
      <c r="T59" s="22"/>
    </row>
    <row r="60" spans="1:20" ht="17.399999999999999" customHeight="1" x14ac:dyDescent="0.45">
      <c r="A60" s="16" t="s">
        <v>2709</v>
      </c>
      <c r="B60" s="17" t="s">
        <v>2710</v>
      </c>
      <c r="C60" s="18"/>
      <c r="D60" s="18"/>
      <c r="E60" s="19"/>
      <c r="F60" s="16" t="s">
        <v>2713</v>
      </c>
      <c r="G60" s="16" t="s">
        <v>2714</v>
      </c>
      <c r="H60" s="22" t="str">
        <f t="array" ref="H60">_xlfn.REGEXEXTRACT(G60,F60,1)</f>
        <v>a</v>
      </c>
      <c r="I60" s="22"/>
      <c r="J60" s="22"/>
      <c r="K60" s="22"/>
      <c r="L60" s="16" t="s">
        <v>2715</v>
      </c>
      <c r="M60" s="22" t="e" vm="1">
        <f t="array" ref="M60">_xlfn.REGEXEXTRACT(L60,F60,1)</f>
        <v>#N/A</v>
      </c>
      <c r="N60" s="22"/>
      <c r="O60" s="22"/>
      <c r="P60" s="22"/>
      <c r="Q60" s="22"/>
      <c r="R60" s="22"/>
      <c r="S60" s="22"/>
      <c r="T60" s="22"/>
    </row>
    <row r="61" spans="1:20" ht="35.75" customHeight="1" x14ac:dyDescent="0.45">
      <c r="A61" s="16" t="s">
        <v>2716</v>
      </c>
      <c r="B61" s="17" t="s">
        <v>2717</v>
      </c>
      <c r="C61" s="18"/>
      <c r="D61" s="18"/>
      <c r="E61" s="19"/>
      <c r="F61" s="16" t="s">
        <v>2718</v>
      </c>
      <c r="G61" s="21" t="s">
        <v>2712</v>
      </c>
      <c r="H61" s="22" t="str">
        <f t="array" ref="H61">_xlfn.REGEXEXTRACT(G61,F61,1)</f>
        <v>?</v>
      </c>
      <c r="I61" s="22"/>
      <c r="J61" s="22"/>
      <c r="K61" s="22"/>
      <c r="L61" s="16" t="s">
        <v>2715</v>
      </c>
      <c r="M61" s="22" t="str">
        <f t="array" ref="M61">_xlfn.REGEXEXTRACT(L61,F61,1)</f>
        <v>a</v>
      </c>
      <c r="N61" s="22"/>
      <c r="O61" s="22"/>
      <c r="P61" s="22"/>
      <c r="Q61" s="22"/>
      <c r="R61" s="22"/>
      <c r="S61" s="22"/>
      <c r="T61" s="22"/>
    </row>
    <row r="62" spans="1:20" ht="17.399999999999999" customHeight="1" x14ac:dyDescent="0.45">
      <c r="A62" s="16" t="s">
        <v>2719</v>
      </c>
      <c r="B62" s="17" t="s">
        <v>2720</v>
      </c>
      <c r="C62" s="18"/>
      <c r="D62" s="18"/>
      <c r="E62" s="19"/>
      <c r="F62" s="16" t="s">
        <v>2721</v>
      </c>
      <c r="G62" s="16" t="s">
        <v>2722</v>
      </c>
      <c r="H62" s="22" t="str">
        <f t="array" ref="H62:I62">_xlfn.REGEXEXTRACT(G62,F62,1)</f>
        <v>A1</v>
      </c>
      <c r="I62" s="22" t="str">
        <v>D9</v>
      </c>
      <c r="J62" s="22"/>
      <c r="K62" s="22"/>
      <c r="L62" s="16" t="s">
        <v>2723</v>
      </c>
      <c r="M62" s="22" t="e" vm="1">
        <f t="array" ref="M62">_xlfn.REGEXEXTRACT(L62,F62,1)</f>
        <v>#N/A</v>
      </c>
      <c r="N62" s="22"/>
      <c r="O62" s="22"/>
      <c r="P62" s="22"/>
      <c r="Q62" s="22"/>
      <c r="R62" s="22"/>
      <c r="S62" s="22"/>
      <c r="T62" s="22"/>
    </row>
    <row r="63" spans="1:20" ht="17.399999999999999" customHeight="1" x14ac:dyDescent="0.45">
      <c r="A63" s="16" t="s">
        <v>2719</v>
      </c>
      <c r="B63" s="17" t="s">
        <v>2720</v>
      </c>
      <c r="C63" s="18"/>
      <c r="D63" s="18"/>
      <c r="E63" s="19"/>
      <c r="F63" s="16" t="s">
        <v>2724</v>
      </c>
      <c r="G63" s="16" t="s">
        <v>2725</v>
      </c>
      <c r="H63" s="22" t="str">
        <f t="array" ref="H63">_xlfn.REGEXEXTRACT(G63,F63,1)</f>
        <v>cat</v>
      </c>
      <c r="I63" s="22"/>
      <c r="J63" s="22"/>
      <c r="K63" s="22"/>
      <c r="L63" s="16" t="s">
        <v>2726</v>
      </c>
      <c r="M63" s="22" t="e" vm="1">
        <f t="array" ref="M63">_xlfn.REGEXEXTRACT(L63,F63,1)</f>
        <v>#N/A</v>
      </c>
      <c r="N63" s="22"/>
      <c r="O63" s="22"/>
      <c r="P63" s="22"/>
      <c r="Q63" s="22"/>
      <c r="R63" s="22"/>
      <c r="S63" s="22"/>
      <c r="T63" s="22"/>
    </row>
    <row r="64" spans="1:20" ht="17.399999999999999" customHeight="1" x14ac:dyDescent="0.45">
      <c r="A64" s="16" t="s">
        <v>2727</v>
      </c>
      <c r="B64" s="17" t="s">
        <v>2728</v>
      </c>
      <c r="C64" s="18"/>
      <c r="D64" s="18"/>
      <c r="E64" s="19"/>
      <c r="F64" s="16" t="s">
        <v>2729</v>
      </c>
      <c r="G64" s="16" t="s">
        <v>2730</v>
      </c>
      <c r="H64" s="22" t="e" vm="1">
        <f t="array" ref="H64">_xlfn.REGEXEXTRACT(G64,F64,1)</f>
        <v>#N/A</v>
      </c>
      <c r="I64" s="22"/>
      <c r="J64" s="22"/>
      <c r="K64" s="22"/>
      <c r="L64" s="16" t="s">
        <v>2726</v>
      </c>
      <c r="M64" s="22" t="str">
        <f t="array" ref="M64">_xlfn.REGEXEXTRACT(L64,F64,1)</f>
        <v>cat</v>
      </c>
      <c r="N64" s="22"/>
      <c r="O64" s="22"/>
      <c r="P64" s="22"/>
      <c r="Q64" s="22"/>
      <c r="R64" s="22"/>
      <c r="S64" s="22"/>
      <c r="T64" s="22"/>
    </row>
    <row r="65" spans="1:21" ht="54.5" customHeight="1" x14ac:dyDescent="0.45">
      <c r="A65" s="24" t="s">
        <v>2731</v>
      </c>
      <c r="B65" s="17" t="s">
        <v>2732</v>
      </c>
      <c r="C65" s="18"/>
      <c r="D65" s="18"/>
      <c r="E65" s="19"/>
      <c r="F65" s="16" t="str">
        <f>_xlfn.UNICHAR(10)&amp;"."</f>
        <v xml:space="preserve">
.</v>
      </c>
      <c r="G65" s="21" t="s">
        <v>2712</v>
      </c>
      <c r="H65" s="22" t="str">
        <f t="array" ref="H65">_xlfn.REGEXEXTRACT(G65,F65,1)</f>
        <v xml:space="preserve">
y</v>
      </c>
      <c r="I65" s="22"/>
      <c r="J65" s="22"/>
      <c r="K65" s="22"/>
      <c r="L65" s="16" t="s">
        <v>2715</v>
      </c>
      <c r="M65" s="22" t="e" vm="1">
        <f t="array" ref="M65">_xlfn.REGEXEXTRACT(L65,F65,1)</f>
        <v>#N/A</v>
      </c>
      <c r="N65" s="22"/>
      <c r="O65" s="22"/>
      <c r="P65" s="22"/>
      <c r="Q65" s="22"/>
      <c r="R65" s="22"/>
      <c r="S65" s="22"/>
      <c r="T65" s="22"/>
    </row>
    <row r="66" spans="1:21" ht="43" customHeight="1" x14ac:dyDescent="0.45">
      <c r="A66" s="24" t="s">
        <v>2733</v>
      </c>
      <c r="B66" s="17" t="s">
        <v>2734</v>
      </c>
      <c r="C66" s="18"/>
      <c r="D66" s="18"/>
      <c r="E66" s="19"/>
      <c r="F66" s="21" t="s">
        <v>2733</v>
      </c>
      <c r="G66" s="37" t="s">
        <v>2735</v>
      </c>
      <c r="H66" s="22" t="str">
        <f t="array" ref="H66:J66">_xlfn.REGEXEXTRACT(G66,F66,1)</f>
        <v>2</v>
      </c>
      <c r="I66" s="22" t="str">
        <v>-3.2</v>
      </c>
      <c r="J66" s="22" t="str">
        <v>99.0323141</v>
      </c>
      <c r="K66" s="22"/>
      <c r="L66" s="16"/>
      <c r="M66" s="22"/>
      <c r="N66" s="36"/>
      <c r="O66" s="22"/>
      <c r="P66" s="22"/>
      <c r="Q66" s="22"/>
      <c r="R66" s="22"/>
      <c r="S66" s="22"/>
      <c r="T66" s="22"/>
    </row>
    <row r="67" spans="1:21" ht="17.399999999999999" customHeight="1" x14ac:dyDescent="0.45">
      <c r="A67" s="16" t="s">
        <v>2736</v>
      </c>
      <c r="B67" s="17" t="s">
        <v>2737</v>
      </c>
      <c r="C67" s="18"/>
      <c r="D67" s="18"/>
      <c r="E67" s="19"/>
      <c r="F67" s="16" t="s">
        <v>2736</v>
      </c>
      <c r="G67" s="16" t="s">
        <v>2722</v>
      </c>
      <c r="H67" s="22" t="str">
        <f t="array" ref="H67:J67">_xlfn.REGEXEXTRACT(G67,F67,1)</f>
        <v>A1</v>
      </c>
      <c r="I67" s="22" t="str">
        <v>LLO73</v>
      </c>
      <c r="J67" s="38" t="str">
        <v>D9</v>
      </c>
      <c r="K67" s="22"/>
      <c r="L67" s="16" t="s">
        <v>2723</v>
      </c>
      <c r="M67" s="22" t="str">
        <f t="array" ref="M67:O67">_xlfn.REGEXEXTRACT(L67,F67,1)</f>
        <v>A4</v>
      </c>
      <c r="N67" s="23" t="str">
        <v>VBZ4399999</v>
      </c>
      <c r="O67" s="22" t="str">
        <v>D1</v>
      </c>
      <c r="P67" s="22"/>
      <c r="Q67" s="22"/>
      <c r="R67" s="22"/>
      <c r="S67" s="22"/>
      <c r="T67" s="22"/>
    </row>
    <row r="68" spans="1:21" ht="19.25" customHeight="1" x14ac:dyDescent="0.5">
      <c r="C68" s="95"/>
      <c r="D68" s="95"/>
      <c r="E68" s="95"/>
    </row>
    <row r="69" spans="1:21" ht="19.25" customHeight="1" thickBot="1" x14ac:dyDescent="0.55000000000000004">
      <c r="A69" s="15" t="s">
        <v>2738</v>
      </c>
    </row>
    <row r="70" spans="1:21" ht="19.25" customHeight="1" thickBot="1" x14ac:dyDescent="0.55000000000000004">
      <c r="A70" s="86" t="s">
        <v>0</v>
      </c>
      <c r="B70" s="87"/>
      <c r="C70" s="87"/>
      <c r="D70" s="87"/>
      <c r="E70" s="88"/>
      <c r="F70" s="86" t="s">
        <v>2</v>
      </c>
      <c r="G70" s="87"/>
      <c r="H70" s="87"/>
      <c r="I70" s="87"/>
      <c r="J70" s="87"/>
      <c r="K70" s="87"/>
      <c r="L70" s="87"/>
      <c r="M70" s="87"/>
      <c r="N70" s="87"/>
      <c r="O70" s="87"/>
      <c r="P70" s="87"/>
      <c r="Q70" s="87"/>
      <c r="R70" s="87"/>
      <c r="S70" s="87"/>
      <c r="T70" s="87"/>
      <c r="U70" s="88"/>
    </row>
    <row r="71" spans="1:21" ht="19.25" customHeight="1" x14ac:dyDescent="0.45">
      <c r="A71" s="89" t="s">
        <v>2739</v>
      </c>
      <c r="B71" s="85"/>
      <c r="C71" s="85"/>
      <c r="D71" s="85"/>
      <c r="E71" s="85"/>
      <c r="F71" s="26" t="s">
        <v>2740</v>
      </c>
      <c r="G71" s="26"/>
    </row>
    <row r="72" spans="1:21" ht="19.25" customHeight="1" x14ac:dyDescent="0.45">
      <c r="A72" s="89" t="s">
        <v>2741</v>
      </c>
      <c r="B72" s="85"/>
      <c r="C72" s="85"/>
      <c r="D72" s="85"/>
      <c r="E72" s="85"/>
      <c r="F72" s="26" t="s">
        <v>2742</v>
      </c>
    </row>
    <row r="73" spans="1:21" ht="22.5" customHeight="1" x14ac:dyDescent="0.45">
      <c r="A73" s="89" t="s">
        <v>2743</v>
      </c>
      <c r="B73" s="85"/>
      <c r="C73" s="85"/>
      <c r="D73" s="85"/>
      <c r="E73" s="85"/>
      <c r="F73" s="26" t="s">
        <v>2744</v>
      </c>
    </row>
    <row r="74" spans="1:21" ht="19.25" customHeight="1" x14ac:dyDescent="0.45">
      <c r="A74" s="89" t="s">
        <v>2745</v>
      </c>
      <c r="B74" s="85"/>
      <c r="C74" s="85"/>
      <c r="D74" s="85"/>
      <c r="E74" s="85"/>
      <c r="F74" s="85"/>
      <c r="G74" s="85"/>
      <c r="H74" s="85"/>
      <c r="I74" s="85"/>
      <c r="J74" s="85"/>
      <c r="K74" s="85"/>
      <c r="L74" s="85"/>
      <c r="M74" s="94" t="s">
        <v>2746</v>
      </c>
      <c r="N74" s="85"/>
      <c r="O74" s="85"/>
      <c r="P74" s="85"/>
      <c r="Q74" s="85"/>
      <c r="R74" s="85"/>
      <c r="S74" s="85"/>
      <c r="T74" s="85"/>
      <c r="U74" s="85"/>
    </row>
  </sheetData>
  <mergeCells count="19">
    <mergeCell ref="A72:E72"/>
    <mergeCell ref="A74:L74"/>
    <mergeCell ref="B1:G1"/>
    <mergeCell ref="F70:U70"/>
    <mergeCell ref="M74:U74"/>
    <mergeCell ref="A36:E36"/>
    <mergeCell ref="A37:E37"/>
    <mergeCell ref="A73:E73"/>
    <mergeCell ref="C68:E68"/>
    <mergeCell ref="A33:E33"/>
    <mergeCell ref="A70:E70"/>
    <mergeCell ref="A5:E5"/>
    <mergeCell ref="B3:G3"/>
    <mergeCell ref="U8:V8"/>
    <mergeCell ref="A35:E35"/>
    <mergeCell ref="F33:U33"/>
    <mergeCell ref="A71:E71"/>
    <mergeCell ref="B2:G2"/>
    <mergeCell ref="A34:E34"/>
  </mergeCells>
  <hyperlinks>
    <hyperlink ref="A7" r:id="rId1" display="Guide to this file: https://youtu.be/MHZXi6s6fGk" xr:uid="{00000000-0004-0000-0000-000000000000}"/>
    <hyperlink ref="B7" r:id="rId2" display="Guide to this file: https://youtu.be/MHZXi6s6fGk" xr:uid="{00000000-0004-0000-0000-000001000000}"/>
    <hyperlink ref="C7" r:id="rId3" display="Guide to this file: https://youtu.be/MHZXi6s6fGk" xr:uid="{00000000-0004-0000-0000-000002000000}"/>
  </hyperlinks>
  <pageMargins left="0.7" right="0.7" top="0.75" bottom="0.75" header="0.3" footer="0.3"/>
  <pageSetup orientation="portrait"/>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etup_workbook">
                <anchor moveWithCells="1" sizeWithCells="1">
                  <from>
                    <xdr:col>7</xdr:col>
                    <xdr:colOff>158750</xdr:colOff>
                    <xdr:row>0</xdr:row>
                    <xdr:rowOff>31750</xdr:rowOff>
                  </from>
                  <to>
                    <xdr:col>9</xdr:col>
                    <xdr:colOff>101600</xdr:colOff>
                    <xdr:row>2</xdr:row>
                    <xdr:rowOff>25400</xdr:rowOff>
                  </to>
                </anchor>
              </controlPr>
            </control>
          </mc:Choice>
        </mc:AlternateContent>
        <mc:AlternateContent xmlns:mc="http://schemas.openxmlformats.org/markup-compatibility/2006">
          <mc:Choice Requires="x14">
            <control shapeId="1026" r:id="rId7" name="Button 2">
              <controlPr defaultSize="0" print="0" autoFill="0" autoPict="0" macro="[0]!safe_setup">
                <anchor moveWithCells="1" sizeWithCells="1">
                  <from>
                    <xdr:col>9</xdr:col>
                    <xdr:colOff>787400</xdr:colOff>
                    <xdr:row>0</xdr:row>
                    <xdr:rowOff>50800</xdr:rowOff>
                  </from>
                  <to>
                    <xdr:col>11</xdr:col>
                    <xdr:colOff>330200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AFEEF-5B8F-4700-BC36-03661FA09440}">
  <sheetPr codeName="Sheet2">
    <tabColor theme="8" tint="0.79998168889431442"/>
  </sheetPr>
  <dimension ref="A1:S74"/>
  <sheetViews>
    <sheetView zoomScale="85" zoomScaleNormal="85" workbookViewId="0">
      <selection activeCell="A35" sqref="A35"/>
    </sheetView>
  </sheetViews>
  <sheetFormatPr defaultRowHeight="21" x14ac:dyDescent="0.5"/>
  <cols>
    <col min="1" max="1" width="54.5625" style="76" customWidth="1"/>
    <col min="2" max="2" width="124.1875" style="76" customWidth="1"/>
    <col min="3" max="3" width="58.8125" style="76" customWidth="1"/>
    <col min="4" max="4" width="230.75" style="76" customWidth="1"/>
    <col min="5" max="16384" width="9" style="76"/>
  </cols>
  <sheetData>
    <row r="1" spans="1:19" s="70" customFormat="1" ht="19.25" customHeight="1" thickBot="1" x14ac:dyDescent="0.55000000000000004">
      <c r="A1" s="66" t="s">
        <v>0</v>
      </c>
      <c r="B1" s="67" t="s">
        <v>2747</v>
      </c>
      <c r="C1" s="68" t="s">
        <v>4</v>
      </c>
      <c r="D1" s="68" t="s">
        <v>2748</v>
      </c>
      <c r="E1" s="68"/>
      <c r="F1" s="68"/>
      <c r="G1" s="68"/>
      <c r="H1" s="68"/>
      <c r="I1" s="68"/>
      <c r="J1" s="68"/>
      <c r="K1" s="68"/>
      <c r="L1" s="68"/>
      <c r="M1" s="68"/>
      <c r="N1" s="68"/>
      <c r="O1" s="68"/>
      <c r="P1" s="68"/>
      <c r="Q1" s="69"/>
      <c r="R1" s="98"/>
      <c r="S1" s="99"/>
    </row>
    <row r="2" spans="1:19" s="75" customFormat="1" ht="19.25" customHeight="1" x14ac:dyDescent="0.5">
      <c r="A2" s="71" t="s">
        <v>3535</v>
      </c>
      <c r="B2" s="72" t="s">
        <v>3536</v>
      </c>
      <c r="C2" s="73" t="s">
        <v>3574</v>
      </c>
      <c r="D2" s="74" t="s">
        <v>3537</v>
      </c>
    </row>
    <row r="3" spans="1:19" s="75" customFormat="1" ht="19.25" customHeight="1" x14ac:dyDescent="0.5">
      <c r="A3" s="71" t="s">
        <v>3538</v>
      </c>
      <c r="B3" s="72" t="s">
        <v>3539</v>
      </c>
      <c r="C3" s="73" t="s">
        <v>3540</v>
      </c>
      <c r="D3" s="74" t="s">
        <v>3541</v>
      </c>
    </row>
    <row r="4" spans="1:19" s="75" customFormat="1" ht="19.25" customHeight="1" x14ac:dyDescent="0.5">
      <c r="A4" s="71" t="s">
        <v>2749</v>
      </c>
      <c r="B4" s="72" t="s">
        <v>3276</v>
      </c>
      <c r="C4" s="73" t="s">
        <v>3277</v>
      </c>
      <c r="D4" s="74" t="s">
        <v>3278</v>
      </c>
    </row>
    <row r="5" spans="1:19" s="75" customFormat="1" ht="19.25" customHeight="1" x14ac:dyDescent="0.5">
      <c r="A5" s="71" t="s">
        <v>2750</v>
      </c>
      <c r="B5" s="72" t="s">
        <v>3616</v>
      </c>
      <c r="C5" s="73" t="s">
        <v>3617</v>
      </c>
      <c r="D5" s="74" t="s">
        <v>3618</v>
      </c>
    </row>
    <row r="6" spans="1:19" s="75" customFormat="1" ht="19.25" customHeight="1" x14ac:dyDescent="0.5">
      <c r="A6" s="71" t="s">
        <v>2751</v>
      </c>
      <c r="B6" s="72" t="s">
        <v>3619</v>
      </c>
      <c r="C6" s="73" t="s">
        <v>3620</v>
      </c>
      <c r="D6" s="74" t="s">
        <v>3621</v>
      </c>
    </row>
    <row r="7" spans="1:19" s="75" customFormat="1" ht="19.25" customHeight="1" x14ac:dyDescent="0.5">
      <c r="A7" s="71" t="s">
        <v>2752</v>
      </c>
      <c r="B7" s="72" t="s">
        <v>2753</v>
      </c>
      <c r="C7" s="73" t="s">
        <v>3292</v>
      </c>
      <c r="D7" s="74" t="s">
        <v>3293</v>
      </c>
    </row>
    <row r="8" spans="1:19" s="75" customFormat="1" ht="19.25" customHeight="1" x14ac:dyDescent="0.5">
      <c r="A8" s="71" t="s">
        <v>2754</v>
      </c>
      <c r="B8" s="72" t="s">
        <v>2755</v>
      </c>
      <c r="C8" s="73" t="s">
        <v>2756</v>
      </c>
      <c r="D8" s="74" t="s">
        <v>2757</v>
      </c>
    </row>
    <row r="9" spans="1:19" s="75" customFormat="1" ht="19.25" customHeight="1" x14ac:dyDescent="0.5">
      <c r="A9" s="71" t="s">
        <v>3542</v>
      </c>
      <c r="B9" s="72" t="s">
        <v>3543</v>
      </c>
      <c r="C9" s="73" t="s">
        <v>3544</v>
      </c>
      <c r="D9" s="74" t="s">
        <v>3545</v>
      </c>
    </row>
    <row r="10" spans="1:19" s="75" customFormat="1" ht="19.25" customHeight="1" x14ac:dyDescent="0.5">
      <c r="A10" s="71" t="s">
        <v>2758</v>
      </c>
      <c r="B10" s="72" t="s">
        <v>2759</v>
      </c>
      <c r="C10" s="73" t="s">
        <v>2760</v>
      </c>
      <c r="D10" s="74" t="s">
        <v>2761</v>
      </c>
    </row>
    <row r="11" spans="1:19" s="75" customFormat="1" ht="19.25" customHeight="1" x14ac:dyDescent="0.5">
      <c r="A11" s="71" t="s">
        <v>2762</v>
      </c>
      <c r="B11" s="72" t="s">
        <v>2763</v>
      </c>
      <c r="C11" s="73" t="s">
        <v>2764</v>
      </c>
      <c r="D11" s="74" t="s">
        <v>2765</v>
      </c>
    </row>
    <row r="12" spans="1:19" s="75" customFormat="1" ht="19.25" customHeight="1" x14ac:dyDescent="0.5">
      <c r="A12" s="71" t="s">
        <v>2766</v>
      </c>
      <c r="B12" s="72" t="s">
        <v>2767</v>
      </c>
      <c r="C12" s="73" t="s">
        <v>2768</v>
      </c>
      <c r="D12" s="74" t="s">
        <v>2769</v>
      </c>
    </row>
    <row r="13" spans="1:19" s="75" customFormat="1" ht="19.25" customHeight="1" x14ac:dyDescent="0.5">
      <c r="A13" s="71" t="s">
        <v>2770</v>
      </c>
      <c r="B13" s="72" t="s">
        <v>2771</v>
      </c>
      <c r="C13" s="73" t="s">
        <v>3294</v>
      </c>
      <c r="D13" s="74" t="s">
        <v>3295</v>
      </c>
    </row>
    <row r="14" spans="1:19" s="75" customFormat="1" ht="19.25" customHeight="1" x14ac:dyDescent="0.5">
      <c r="A14" s="71" t="s">
        <v>2772</v>
      </c>
      <c r="B14" s="72" t="s">
        <v>2773</v>
      </c>
      <c r="C14" s="73" t="s">
        <v>2774</v>
      </c>
      <c r="D14" s="74" t="s">
        <v>2775</v>
      </c>
    </row>
    <row r="15" spans="1:19" s="75" customFormat="1" ht="19.25" customHeight="1" x14ac:dyDescent="0.5">
      <c r="A15" s="71" t="s">
        <v>2776</v>
      </c>
      <c r="B15" s="72" t="s">
        <v>2777</v>
      </c>
      <c r="C15" s="73" t="s">
        <v>2778</v>
      </c>
      <c r="D15" s="74" t="s">
        <v>2779</v>
      </c>
    </row>
    <row r="16" spans="1:19" s="75" customFormat="1" ht="19.25" customHeight="1" x14ac:dyDescent="0.5">
      <c r="A16" s="71" t="s">
        <v>3546</v>
      </c>
      <c r="B16" s="72" t="s">
        <v>3547</v>
      </c>
      <c r="C16" s="73" t="s">
        <v>3575</v>
      </c>
      <c r="D16" s="74" t="s">
        <v>3548</v>
      </c>
    </row>
    <row r="17" spans="1:4" s="75" customFormat="1" ht="19.25" customHeight="1" x14ac:dyDescent="0.5">
      <c r="A17" s="71" t="s">
        <v>2780</v>
      </c>
      <c r="B17" s="72" t="s">
        <v>2781</v>
      </c>
      <c r="C17" s="73" t="s">
        <v>2782</v>
      </c>
      <c r="D17" s="74" t="s">
        <v>2783</v>
      </c>
    </row>
    <row r="18" spans="1:4" s="75" customFormat="1" ht="19.25" customHeight="1" x14ac:dyDescent="0.5">
      <c r="A18" s="71" t="s">
        <v>3655</v>
      </c>
      <c r="B18" s="72" t="s">
        <v>3656</v>
      </c>
      <c r="C18" s="73" t="s">
        <v>3657</v>
      </c>
      <c r="D18" s="74" t="s">
        <v>3658</v>
      </c>
    </row>
    <row r="19" spans="1:4" s="75" customFormat="1" ht="19.25" customHeight="1" x14ac:dyDescent="0.5">
      <c r="A19" s="71" t="s">
        <v>2784</v>
      </c>
      <c r="B19" s="72" t="s">
        <v>3549</v>
      </c>
      <c r="C19" s="73" t="s">
        <v>2785</v>
      </c>
      <c r="D19" s="74" t="s">
        <v>3550</v>
      </c>
    </row>
    <row r="20" spans="1:4" s="75" customFormat="1" ht="19.25" customHeight="1" x14ac:dyDescent="0.5">
      <c r="A20" s="71" t="s">
        <v>2786</v>
      </c>
      <c r="B20" s="72" t="s">
        <v>2787</v>
      </c>
      <c r="C20" s="73" t="s">
        <v>2788</v>
      </c>
      <c r="D20" s="74" t="s">
        <v>2789</v>
      </c>
    </row>
    <row r="21" spans="1:4" s="75" customFormat="1" ht="19.25" customHeight="1" x14ac:dyDescent="0.5">
      <c r="A21" s="71" t="s">
        <v>2790</v>
      </c>
      <c r="B21" s="72" t="s">
        <v>2791</v>
      </c>
      <c r="C21" s="73" t="s">
        <v>3296</v>
      </c>
      <c r="D21" s="74" t="s">
        <v>3297</v>
      </c>
    </row>
    <row r="22" spans="1:4" s="75" customFormat="1" ht="19.25" customHeight="1" x14ac:dyDescent="0.5">
      <c r="A22" s="71" t="s">
        <v>2792</v>
      </c>
      <c r="B22" s="72" t="s">
        <v>2793</v>
      </c>
      <c r="C22" s="73" t="s">
        <v>2794</v>
      </c>
      <c r="D22" s="74" t="s">
        <v>2795</v>
      </c>
    </row>
    <row r="23" spans="1:4" s="75" customFormat="1" ht="19.25" customHeight="1" x14ac:dyDescent="0.5">
      <c r="A23" s="71" t="s">
        <v>3577</v>
      </c>
      <c r="B23" s="72" t="s">
        <v>3622</v>
      </c>
      <c r="C23" s="73" t="s">
        <v>3623</v>
      </c>
      <c r="D23" s="74" t="s">
        <v>3624</v>
      </c>
    </row>
    <row r="24" spans="1:4" s="75" customFormat="1" ht="19.25" customHeight="1" x14ac:dyDescent="0.5">
      <c r="A24" s="71" t="s">
        <v>2796</v>
      </c>
      <c r="B24" s="72" t="s">
        <v>2797</v>
      </c>
      <c r="C24" s="73" t="s">
        <v>2798</v>
      </c>
      <c r="D24" s="74" t="s">
        <v>2799</v>
      </c>
    </row>
    <row r="25" spans="1:4" s="75" customFormat="1" ht="19.25" customHeight="1" x14ac:dyDescent="0.5">
      <c r="A25" s="71" t="s">
        <v>2800</v>
      </c>
      <c r="B25" s="72" t="s">
        <v>2801</v>
      </c>
      <c r="C25" s="73" t="s">
        <v>2802</v>
      </c>
      <c r="D25" s="74" t="s">
        <v>2803</v>
      </c>
    </row>
    <row r="26" spans="1:4" s="75" customFormat="1" ht="19.25" customHeight="1" x14ac:dyDescent="0.5">
      <c r="A26" s="71" t="s">
        <v>3551</v>
      </c>
      <c r="B26" s="72" t="s">
        <v>3625</v>
      </c>
      <c r="C26" s="73" t="s">
        <v>3626</v>
      </c>
      <c r="D26" s="74" t="s">
        <v>3627</v>
      </c>
    </row>
    <row r="27" spans="1:4" s="75" customFormat="1" ht="19.25" customHeight="1" x14ac:dyDescent="0.5">
      <c r="A27" s="71" t="s">
        <v>2804</v>
      </c>
      <c r="B27" s="72" t="s">
        <v>2805</v>
      </c>
      <c r="C27" s="73" t="s">
        <v>2806</v>
      </c>
      <c r="D27" s="74" t="s">
        <v>2807</v>
      </c>
    </row>
    <row r="28" spans="1:4" s="75" customFormat="1" ht="19.25" customHeight="1" x14ac:dyDescent="0.5">
      <c r="A28" s="71" t="s">
        <v>2808</v>
      </c>
      <c r="B28" s="72" t="s">
        <v>2809</v>
      </c>
      <c r="C28" s="73" t="s">
        <v>2810</v>
      </c>
      <c r="D28" s="74" t="s">
        <v>2811</v>
      </c>
    </row>
    <row r="29" spans="1:4" s="75" customFormat="1" ht="19.25" customHeight="1" x14ac:dyDescent="0.5">
      <c r="A29" s="71" t="s">
        <v>2812</v>
      </c>
      <c r="B29" s="72" t="s">
        <v>2813</v>
      </c>
      <c r="C29" s="73" t="s">
        <v>2814</v>
      </c>
      <c r="D29" s="74" t="s">
        <v>2815</v>
      </c>
    </row>
    <row r="30" spans="1:4" s="75" customFormat="1" ht="19.25" customHeight="1" x14ac:dyDescent="0.5">
      <c r="A30" s="71" t="s">
        <v>3552</v>
      </c>
      <c r="B30" s="72" t="s">
        <v>3553</v>
      </c>
      <c r="C30" s="73" t="s">
        <v>3473</v>
      </c>
      <c r="D30" s="74" t="s">
        <v>3554</v>
      </c>
    </row>
    <row r="31" spans="1:4" s="75" customFormat="1" ht="19.25" customHeight="1" x14ac:dyDescent="0.5">
      <c r="A31" s="71" t="s">
        <v>2816</v>
      </c>
      <c r="B31" s="72" t="s">
        <v>2817</v>
      </c>
      <c r="C31" s="73" t="s">
        <v>2818</v>
      </c>
      <c r="D31" s="74" t="s">
        <v>2819</v>
      </c>
    </row>
    <row r="32" spans="1:4" s="75" customFormat="1" ht="19.25" customHeight="1" x14ac:dyDescent="0.5">
      <c r="A32" s="71" t="s">
        <v>3628</v>
      </c>
      <c r="B32" s="72" t="s">
        <v>3629</v>
      </c>
      <c r="C32" s="73" t="s">
        <v>3630</v>
      </c>
      <c r="D32" s="74" t="s">
        <v>3631</v>
      </c>
    </row>
    <row r="33" spans="1:4" s="75" customFormat="1" ht="19.25" customHeight="1" x14ac:dyDescent="0.5">
      <c r="A33" s="71" t="s">
        <v>2820</v>
      </c>
      <c r="B33" s="72" t="s">
        <v>2821</v>
      </c>
      <c r="C33" s="73" t="s">
        <v>3298</v>
      </c>
      <c r="D33" s="74" t="s">
        <v>3299</v>
      </c>
    </row>
    <row r="34" spans="1:4" s="75" customFormat="1" ht="19.25" customHeight="1" x14ac:dyDescent="0.5">
      <c r="A34" s="71" t="s">
        <v>2822</v>
      </c>
      <c r="B34" s="72" t="s">
        <v>2823</v>
      </c>
      <c r="C34" s="73" t="s">
        <v>2824</v>
      </c>
      <c r="D34" s="74" t="s">
        <v>2825</v>
      </c>
    </row>
    <row r="35" spans="1:4" s="75" customFormat="1" ht="19.25" customHeight="1" x14ac:dyDescent="0.5">
      <c r="A35" s="71" t="s">
        <v>3578</v>
      </c>
      <c r="B35" s="72" t="s">
        <v>3579</v>
      </c>
      <c r="C35" s="73" t="s">
        <v>3580</v>
      </c>
      <c r="D35" s="74" t="s">
        <v>3581</v>
      </c>
    </row>
    <row r="36" spans="1:4" s="75" customFormat="1" ht="19.25" customHeight="1" x14ac:dyDescent="0.5">
      <c r="A36" s="71" t="s">
        <v>3582</v>
      </c>
      <c r="B36" s="72" t="s">
        <v>3583</v>
      </c>
      <c r="C36" s="73" t="s">
        <v>3584</v>
      </c>
      <c r="D36" s="74" t="s">
        <v>3585</v>
      </c>
    </row>
    <row r="37" spans="1:4" s="75" customFormat="1" ht="19.25" customHeight="1" x14ac:dyDescent="0.5">
      <c r="A37" s="71" t="s">
        <v>2826</v>
      </c>
      <c r="B37" s="72" t="s">
        <v>2827</v>
      </c>
      <c r="C37" s="73" t="s">
        <v>3650</v>
      </c>
      <c r="D37" s="74" t="s">
        <v>2828</v>
      </c>
    </row>
    <row r="38" spans="1:4" s="75" customFormat="1" ht="19.25" customHeight="1" x14ac:dyDescent="0.5">
      <c r="A38" s="71" t="s">
        <v>2829</v>
      </c>
      <c r="B38" s="72" t="s">
        <v>2830</v>
      </c>
      <c r="C38" s="73" t="s">
        <v>2831</v>
      </c>
      <c r="D38" s="74" t="s">
        <v>2832</v>
      </c>
    </row>
    <row r="39" spans="1:4" s="75" customFormat="1" ht="19.25" customHeight="1" x14ac:dyDescent="0.5">
      <c r="A39" s="71" t="s">
        <v>2833</v>
      </c>
      <c r="B39" s="72" t="s">
        <v>2834</v>
      </c>
      <c r="C39" s="73" t="s">
        <v>2835</v>
      </c>
      <c r="D39" s="74" t="s">
        <v>2836</v>
      </c>
    </row>
    <row r="40" spans="1:4" s="75" customFormat="1" ht="19.25" customHeight="1" x14ac:dyDescent="0.5">
      <c r="A40" s="71" t="s">
        <v>2837</v>
      </c>
      <c r="B40" s="72" t="s">
        <v>2838</v>
      </c>
      <c r="C40" s="73" t="s">
        <v>2839</v>
      </c>
      <c r="D40" s="74" t="s">
        <v>2840</v>
      </c>
    </row>
    <row r="41" spans="1:4" s="75" customFormat="1" ht="19.25" customHeight="1" x14ac:dyDescent="0.5">
      <c r="A41" s="71" t="s">
        <v>2841</v>
      </c>
      <c r="B41" s="72" t="s">
        <v>2842</v>
      </c>
      <c r="C41" s="73" t="s">
        <v>2843</v>
      </c>
      <c r="D41" s="74" t="s">
        <v>2844</v>
      </c>
    </row>
    <row r="42" spans="1:4" s="75" customFormat="1" ht="19.25" customHeight="1" x14ac:dyDescent="0.5">
      <c r="A42" s="71" t="s">
        <v>3632</v>
      </c>
      <c r="B42" s="72" t="s">
        <v>3633</v>
      </c>
      <c r="C42" s="73" t="s">
        <v>3634</v>
      </c>
      <c r="D42" s="74" t="s">
        <v>3635</v>
      </c>
    </row>
    <row r="43" spans="1:4" s="75" customFormat="1" ht="19.25" customHeight="1" x14ac:dyDescent="0.5">
      <c r="A43" s="71" t="s">
        <v>2845</v>
      </c>
      <c r="B43" s="72" t="s">
        <v>2846</v>
      </c>
      <c r="C43" s="73" t="s">
        <v>3300</v>
      </c>
      <c r="D43" s="74" t="s">
        <v>3301</v>
      </c>
    </row>
    <row r="44" spans="1:4" s="75" customFormat="1" ht="19.25" customHeight="1" x14ac:dyDescent="0.5">
      <c r="A44" s="71" t="s">
        <v>3555</v>
      </c>
      <c r="B44" s="72" t="s">
        <v>3556</v>
      </c>
      <c r="C44" s="73" t="s">
        <v>3576</v>
      </c>
      <c r="D44" s="74" t="s">
        <v>3557</v>
      </c>
    </row>
    <row r="45" spans="1:4" s="75" customFormat="1" ht="19.25" customHeight="1" x14ac:dyDescent="0.5">
      <c r="A45" s="71" t="s">
        <v>2849</v>
      </c>
      <c r="B45" s="72" t="s">
        <v>2850</v>
      </c>
      <c r="C45" s="73" t="s">
        <v>2851</v>
      </c>
      <c r="D45" s="74" t="s">
        <v>2852</v>
      </c>
    </row>
    <row r="46" spans="1:4" s="75" customFormat="1" ht="19.25" customHeight="1" x14ac:dyDescent="0.5">
      <c r="A46" s="71" t="s">
        <v>3558</v>
      </c>
      <c r="B46" s="72" t="s">
        <v>2847</v>
      </c>
      <c r="C46" s="73" t="s">
        <v>2848</v>
      </c>
      <c r="D46" s="74" t="s">
        <v>3559</v>
      </c>
    </row>
    <row r="47" spans="1:4" s="75" customFormat="1" ht="19.25" customHeight="1" x14ac:dyDescent="0.5">
      <c r="A47" s="71" t="s">
        <v>2853</v>
      </c>
      <c r="B47" s="72" t="s">
        <v>2854</v>
      </c>
      <c r="C47" s="73" t="s">
        <v>2855</v>
      </c>
      <c r="D47" s="74" t="s">
        <v>2856</v>
      </c>
    </row>
    <row r="48" spans="1:4" s="75" customFormat="1" ht="19.25" customHeight="1" x14ac:dyDescent="0.5">
      <c r="A48" s="71" t="s">
        <v>2857</v>
      </c>
      <c r="B48" s="72" t="s">
        <v>2858</v>
      </c>
      <c r="C48" s="73" t="s">
        <v>3302</v>
      </c>
      <c r="D48" s="74" t="s">
        <v>3303</v>
      </c>
    </row>
    <row r="49" spans="1:4" s="75" customFormat="1" ht="19.25" customHeight="1" x14ac:dyDescent="0.5">
      <c r="A49" s="71" t="s">
        <v>2859</v>
      </c>
      <c r="B49" s="72" t="s">
        <v>2860</v>
      </c>
      <c r="C49" s="73" t="s">
        <v>2861</v>
      </c>
      <c r="D49" s="74" t="s">
        <v>2862</v>
      </c>
    </row>
    <row r="50" spans="1:4" s="75" customFormat="1" ht="19.25" customHeight="1" x14ac:dyDescent="0.5">
      <c r="A50" s="71" t="s">
        <v>2863</v>
      </c>
      <c r="B50" s="72" t="s">
        <v>2864</v>
      </c>
      <c r="C50" s="73" t="s">
        <v>2865</v>
      </c>
      <c r="D50" s="74" t="s">
        <v>2866</v>
      </c>
    </row>
    <row r="51" spans="1:4" s="75" customFormat="1" ht="19.25" customHeight="1" x14ac:dyDescent="0.5">
      <c r="A51" s="71" t="s">
        <v>2867</v>
      </c>
      <c r="B51" s="72" t="s">
        <v>2868</v>
      </c>
      <c r="C51" s="73" t="s">
        <v>2869</v>
      </c>
      <c r="D51" s="74" t="s">
        <v>2870</v>
      </c>
    </row>
    <row r="52" spans="1:4" ht="19.25" customHeight="1" x14ac:dyDescent="0.5">
      <c r="A52" s="71" t="s">
        <v>2871</v>
      </c>
      <c r="B52" s="72" t="s">
        <v>2872</v>
      </c>
      <c r="C52" s="73" t="s">
        <v>2873</v>
      </c>
      <c r="D52" s="74" t="s">
        <v>2874</v>
      </c>
    </row>
    <row r="53" spans="1:4" ht="19.25" customHeight="1" x14ac:dyDescent="0.5">
      <c r="A53" s="71" t="s">
        <v>1</v>
      </c>
      <c r="B53" s="72" t="s">
        <v>2875</v>
      </c>
      <c r="C53" s="73" t="s">
        <v>5</v>
      </c>
      <c r="D53" s="74" t="s">
        <v>3</v>
      </c>
    </row>
    <row r="54" spans="1:4" ht="19.25" customHeight="1" x14ac:dyDescent="0.5">
      <c r="A54" s="71" t="s">
        <v>2876</v>
      </c>
      <c r="B54" s="72" t="s">
        <v>2877</v>
      </c>
      <c r="C54" s="73" t="s">
        <v>2878</v>
      </c>
      <c r="D54" s="74" t="s">
        <v>2879</v>
      </c>
    </row>
    <row r="55" spans="1:4" ht="19.25" customHeight="1" x14ac:dyDescent="0.5">
      <c r="A55" s="71" t="s">
        <v>2880</v>
      </c>
      <c r="B55" s="72" t="s">
        <v>2881</v>
      </c>
      <c r="C55" s="73" t="s">
        <v>2882</v>
      </c>
      <c r="D55" s="74" t="s">
        <v>2883</v>
      </c>
    </row>
    <row r="56" spans="1:4" ht="19.25" customHeight="1" x14ac:dyDescent="0.5">
      <c r="A56" s="71" t="s">
        <v>2884</v>
      </c>
      <c r="B56" s="72" t="s">
        <v>2885</v>
      </c>
      <c r="C56" s="73" t="s">
        <v>3304</v>
      </c>
      <c r="D56" s="74" t="s">
        <v>3305</v>
      </c>
    </row>
    <row r="57" spans="1:4" ht="19.25" customHeight="1" x14ac:dyDescent="0.5">
      <c r="A57" s="71" t="s">
        <v>2886</v>
      </c>
      <c r="B57" s="72" t="s">
        <v>2887</v>
      </c>
      <c r="C57" s="73" t="s">
        <v>3651</v>
      </c>
      <c r="D57" s="74" t="s">
        <v>3652</v>
      </c>
    </row>
    <row r="58" spans="1:4" ht="19.25" customHeight="1" x14ac:dyDescent="0.5">
      <c r="A58" s="71" t="s">
        <v>3659</v>
      </c>
      <c r="B58" s="72" t="s">
        <v>3660</v>
      </c>
      <c r="C58" s="73" t="s">
        <v>3661</v>
      </c>
      <c r="D58" s="74" t="s">
        <v>3662</v>
      </c>
    </row>
    <row r="59" spans="1:4" ht="19.25" customHeight="1" x14ac:dyDescent="0.5">
      <c r="A59" s="71" t="inlineStr">
        <is>
          <t xml:space="preserve">xtextjoin(arr, [delim], [str_arr_set])</t>
        </is>
      </c>
      <c r="B59" s="72" t="inlineStr">
        <is>
          <t xml:space="preserve">TEXTJOIN that can also split back into an array or set, and beats the arg-count and 32k-char limits. delim (default ";") both joins output and splits input. Blanks, errors and "" are ignored; explicit zeros are kept. str_arr_set: 1=string (default), 2=array, 3=sorted-unique set.</t>
        </is>
      </c>
      <c r="C59" s="73" t="inlineStr">
        <is>
          <t xml:space="preserve">=LAMBDA(arr, [delim], [str_arr_set],
  LET(
    sep, IF(ISOMITTED(delim), ";", delim),
    mode, IF(ISOMITTED(str_arr_set), 1, str_arr_set),
    row_strings, BYROW(arr, LAMBDA(one_row,
      TEXTJOIN(sep, TRUE, IFERROR(one_row &amp; "",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is>
      </c>
      <c r="D59" s="74" t="inlineStr">
        <is>
          <t xml:space="preserve">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is>
      </c>
    </row>
    <row r="60" spans="1:4" ht="19.25" customHeight="1" x14ac:dyDescent="0.5">
      <c r="A60" s="71" t="s">
        <v>2892</v>
      </c>
      <c r="B60" s="72" t="s">
        <v>2893</v>
      </c>
      <c r="C60" s="73" t="s">
        <v>3306</v>
      </c>
      <c r="D60" s="74" t="s">
        <v>3307</v>
      </c>
    </row>
    <row r="61" spans="1:4" ht="19.25" customHeight="1" x14ac:dyDescent="0.5">
      <c r="A61" s="71" t="s">
        <v>3560</v>
      </c>
      <c r="B61" s="72" t="s">
        <v>3561</v>
      </c>
      <c r="C61" s="73" t="s">
        <v>3562</v>
      </c>
      <c r="D61" s="74" t="s">
        <v>3563</v>
      </c>
    </row>
    <row r="62" spans="1:4" ht="19.25" customHeight="1" x14ac:dyDescent="0.5">
      <c r="A62" s="71" t="s">
        <v>3478</v>
      </c>
      <c r="B62" s="72" t="s">
        <v>3564</v>
      </c>
      <c r="C62" s="73" t="s">
        <v>3565</v>
      </c>
      <c r="D62" s="74" t="s">
        <v>3566</v>
      </c>
    </row>
    <row r="63" spans="1:4" ht="19.25" customHeight="1" x14ac:dyDescent="0.5">
      <c r="A63" s="71" t="s">
        <v>3636</v>
      </c>
      <c r="B63" s="72" t="s">
        <v>3637</v>
      </c>
      <c r="C63" s="73" t="s">
        <v>3638</v>
      </c>
      <c r="D63" s="74" t="s">
        <v>3639</v>
      </c>
    </row>
    <row r="64" spans="1:4" ht="19.25" customHeight="1" x14ac:dyDescent="0.5">
      <c r="A64" s="71" t="s">
        <v>3640</v>
      </c>
      <c r="B64" s="72" t="s">
        <v>3641</v>
      </c>
      <c r="C64" s="73" t="s">
        <v>3642</v>
      </c>
      <c r="D64" s="74" t="s">
        <v>3643</v>
      </c>
    </row>
    <row r="65" spans="1:4" ht="19.25" customHeight="1" x14ac:dyDescent="0.5">
      <c r="A65" s="71" t="s">
        <v>3663</v>
      </c>
      <c r="B65" s="72" t="s">
        <v>3664</v>
      </c>
      <c r="C65" s="73" t="s">
        <v>3665</v>
      </c>
      <c r="D65" s="74" t="s">
        <v>3666</v>
      </c>
    </row>
    <row r="66" spans="1:4" ht="19.25" customHeight="1" x14ac:dyDescent="0.5">
      <c r="A66" s="71" t="s">
        <v>3667</v>
      </c>
      <c r="B66" s="72" t="s">
        <v>3668</v>
      </c>
      <c r="C66" s="73" t="s">
        <v>3669</v>
      </c>
      <c r="D66" s="74" t="s">
        <v>3670</v>
      </c>
    </row>
    <row r="67" spans="1:4" ht="19.25" customHeight="1" x14ac:dyDescent="0.5">
      <c r="A67" s="71" t="s">
        <v>3479</v>
      </c>
      <c r="B67" s="72" t="s">
        <v>3567</v>
      </c>
      <c r="C67" s="73" t="s">
        <v>3480</v>
      </c>
      <c r="D67" s="74" t="s">
        <v>3568</v>
      </c>
    </row>
    <row r="68" spans="1:4" ht="19.25" customHeight="1" x14ac:dyDescent="0.5">
      <c r="A68" s="71" t="s">
        <v>3569</v>
      </c>
      <c r="B68" s="72" t="s">
        <v>3570</v>
      </c>
      <c r="C68" s="73" t="s">
        <v>3571</v>
      </c>
      <c r="D68" s="74" t="s">
        <v>3572</v>
      </c>
    </row>
    <row r="69" spans="1:4" ht="19.25" customHeight="1" x14ac:dyDescent="0.5">
      <c r="A69" s="71" t="s">
        <v>2894</v>
      </c>
      <c r="B69" s="72" t="s">
        <v>2895</v>
      </c>
      <c r="C69" s="73" t="s">
        <v>2896</v>
      </c>
      <c r="D69" s="74" t="s">
        <v>2897</v>
      </c>
    </row>
    <row r="70" spans="1:4" ht="19.25" customHeight="1" x14ac:dyDescent="0.5">
      <c r="A70" s="71" t="s">
        <v>2898</v>
      </c>
      <c r="B70" s="72" t="s">
        <v>2899</v>
      </c>
      <c r="C70" s="73" t="s">
        <v>2900</v>
      </c>
      <c r="D70" s="74" t="s">
        <v>2901</v>
      </c>
    </row>
    <row r="71" spans="1:4" ht="19.25" customHeight="1" x14ac:dyDescent="0.5">
      <c r="A71" s="71" t="inlineStr">
        <is>
          <t xml:space="preserve">first_time(arr)</t>
        </is>
      </c>
      <c r="B71" s="72" t="inlineStr">
        <is>
          <t xml:space="preserve">For each cell, 1 if that value appears for the first time when arr is read in row-major order, 0 if it repeats an earlier value. Output is the same size and shape as arr.</t>
        </is>
      </c>
      <c r="C71" s="73" t="inlineStr">
        <is>
          <t xml:space="preserve">=LAMBDA(arr,
  LET(
    cols, COLUMNS(arr),
    flat, TOCOL(arr),
    n_items, ROWS(flat),
    first_seen, --(XMATCH(flat, flat) = SEQUENCE(n_items)),
    WRAPROWS(first_seen, cols)
  )
)</t>
        </is>
      </c>
      <c r="D71" s="74" t="inlineStr">
        <is>
          <t xml:space="preserve">Flags the first appearance of each distinct value. Reading arr in row-major order (left to right, top to bottom), a cell is 1 the first time its value is seen and 0 for every later repeat. The returned array has the same size and shape as arr.
Arguments:
  arr - a single value or a 1D/2D array.
Returns:
  An array the same size and shape as arr, of 1s (first occurrence) and 0s (repeat).
How it works: the input is flattened row-major, XMATCH finds the first position of each value, and a cell is 1 exactly where that first position equals the cell's own position. The flags are wrapped back into arr's shape with WRAPROWS.
Numbers and text are compared exactly (5 and "5" are different). Blank cells read as 0.
Examples:
  first_time({"A";"B";"A";"C";"B"})   -&gt;  {1;1;0;1;0}
  first_time({"A","B","A";"C","A","B"}) -&gt;  {1,1,0;1,0,0}</t>
        </is>
      </c>
    </row>
    <row r="72" spans="1:4" ht="19.25" customHeight="1" x14ac:dyDescent="0.5">
      <c r="A72" s="71" t="inlineStr">
        <is>
          <t xml:space="preserve">streak(arr)</t>
        </is>
      </c>
      <c r="B72" s="72" t="inlineStr">
        <is>
          <t xml:space="preserve">For each cell, a running count of consecutive equal values in row-major order: 1 when the value differs from the previous item, otherwise the previous count plus 1. Output is the same size and shape as arr.</t>
        </is>
      </c>
      <c r="C72" s="73" t="inlineStr">
        <is>
          <t xml:space="preserve">=LAMBDA(arr,
  LET(
    cols, COLUMNS(arr),
    flat, TOCOL(arr),
    n_items, ROWS(flat),
    same_as_prev, MAP(SEQUENCE(n_items), LAMBDA(i,
      IF(i = 1, FALSE, INDEX(flat, i) = INDEX(flat, i - 1)))),
    run_len, SCAN(0, same_as_prev, LAMBDA(acc, is_same, IF(is_same, acc + 1, 1))),
    WRAPROWS(run_len, cols)
  )
)</t>
        </is>
      </c>
      <c r="D72" s="74" t="inlineStr">
        <is>
          <t xml:space="preserve">Counts consecutive runs of equal values. Reading arr in row-major order (left to right, top to bottom), each cell is 1 when its value differs from the item just before it, and one more than the previous count when it matches - so the number tells you how many of that value have appeared in a row so far. The returned array has the same size and shape as arr.
Arguments:
  arr - a single value or a 1D/2D array.
Returns:
  An array the same size and shape as arr of run-length counts (each run restarts at 1).
How it works: the input is flattened row-major, each item is compared with the one before it, and SCAN turns that "same as previous" flag into a running counter that resets to 1 whenever the value changes. The counts are wrapped back into arr's shape with WRAPROWS.
Numbers and text are compared exactly (5 and "5" are different). Blank cells read as 0.
Examples:
  streak({"A";"B";"C";"C";"D";"D";"D";"E"})  -&gt;  {1;1;1;2;1;2;3;1}
  streak({"A","A";"B","A"})                  -&gt;  {1,2;1,1}</t>
        </is>
      </c>
    </row>
    <row r="73" spans="1:4" ht="19.25" customHeight="1" x14ac:dyDescent="0.5">
      <c r="A73" s="71" t="inlineStr">
        <is>
          <t xml:space="preserve">xbycol(arr, function)</t>
        </is>
      </c>
      <c r="B73" s="72" t="inlineStr">
        <is>
          <t xml:space="preserve">BYCOL that allows array-returning functions: each column's result is flattened to a column (TOCOL) and stacked side by side; ragged #N/A padding is blanked (IFNA). Use for per-column transforms that expand each item into a column.</t>
        </is>
      </c>
      <c r="C73" s="73" t="inlineStr">
        <is>
          <t xml:space="preserve">=LAMBDA(arr, function,
  IFNA(z_xbycol_ix(arr, function, 1, COLUMNS(arr)), "")
)</t>
        </is>
      </c>
      <c r="D73" s="74" t="inlineStr">
        <is>
          <t xml:space="preserve">BYCOL that allows the function to return an array per column. The by-column twin of xbyrow.
Built-in BYCOL and MAP require a single scalar per column. xbycol lifts that limit: it applies the function to each column, flattens each result to a single column with TOCOL, and stacks them side by side with HSTACK (divide-and-conquer, fast on wide inputs). The output is wrapped in IFNA so the #N/A padding from ragged columns shows as blank.
Arguments:
  arr      - the array to iterate over, one column at a time.
  function - a LAMBDA applied to each column; may return a scalar or an array.
Returns:
  One output column per input column. Each result is laid out vertically and stacked; ragged columns are padded with blanks (via IFNA).
Example:
  xbycol(B14#, LAMBDA(x, neighbors_list(x)))</t>
        </is>
      </c>
    </row>
    <row r="74" spans="1:4" ht="19.25" customHeight="1" x14ac:dyDescent="0.5">
      <c r="A74" s="71" t="inlineStr">
        <is>
          <t xml:space="preserve">z_xbycol_ix(arr, function, first, last)</t>
        </is>
      </c>
      <c r="B74" s="72" t="inlineStr">
        <is>
          <t xml:space="preserve">Private recursive worker for xbycol (don't call directly). Applies function to each column, flattens the result to a column with TOCOL, and HSTACKs the pieces via divide-and-conquer.</t>
        </is>
      </c>
      <c r="C74" s="73" t="inlineStr">
        <is>
          <t xml:space="preserve">=LAMBDA(arr, function, first, last,
  IF(first = last,
     TOCOL(
       IF(ROWS(arr) = 1,
          function(@CHOOSECOLS(arr, first)),
          function(CHOOSECOLS(arr, first)))),
     LET(
       mid_col, INT((first + last) / 2),
       HSTACK(
         z_xbycol_ix(arr, function, first, mid_col),
         z_xbycol_ix(arr, function, mid_col + 1, last)
       )
     )
  )
)</t>
        </is>
      </c>
      <c r="D74" s="74" t="inlineStr">
        <is>
          <t xml:space="preserve">Private recursive worker for xbycol - do not call directly.
Splits the column index range [first, last] in half, recurses on each half, and HSTACKs the pieces (divide-and-conquer). At a single column it applies function to that column (dereferencing a lone cell with @) and flattens the result to a column with TOCOL.
Arguments:
  arr      - the full array (passed through unchanged).
  function - the LAMBDA to apply to each column.
  first    - first column index of the current window.
  last     - last column index of the current window.
Returns:
  The stacked, one-column-per-input results for columns first..last. Called by xbycol as z_xbycol_ix(arr, function, 1, COLUMNS(arr)).</t>
        </is>
      </c>
    </row>
    <row r="75">
      <c r="A75" t="inlineStr">
        <is>
          <t xml:space="preserve">ad_col_n(ad_or_rng)</t>
        </is>
      </c>
      <c r="B75" s="72" t="inlineStr">
        <is>
          <t xml:space="preserve">Column number(s) of an address or range. A single address - numeric (66000045) or A1 ("AA99") - becomes its column number; a range string ("B8:D11") becomes a horizontal array of the columns it spans. In an array input each single address becomes its column number, while ranges and non-addresses pass through unchanged.</t>
        </is>
      </c>
      <c r="C75" s="73" t="inlineStr">
        <is>
          <t xml:space="preserve">=LAMBDA(ad_or_rng,
  LET(
    letters_to_col, LAMBDA(one, IFERROR(MOD(z_a1n(one &amp; "1"), 1000000), one)),
    col_of_1, LAMBDA(one,
      LET(box, IFERROR(z_ad_box(one), 0),
        IF(COUNT(box) = 4,
          LET(top, SUM(INDEX(box, 1)), lft, SUM(INDEX(box, 2)),
              bot, SUM(INDEX(box, 3)), rgt, SUM(INDEX(box, 4)),
            IF(AND(top = bot, lft = rgt, top &gt;= 1, lft &gt;= 1), lft, one)),
          letters_to_col(one)))),
    IF(ROWS(ad_or_rng) * COLUMNS(ad_or_rng) &gt; 1,
      MAP(ad_or_rng, col_of_1),
      LET(box, IFERROR(z_ad_box(ad_or_rng), 0),
        IF(COUNT(box) = 4,
          LET(top, SUM(INDEX(box, 1)), lft, SUM(INDEX(box, 2)), rgt, SUM(INDEX(box, 4)),
            IF(AND(top &gt;= 1, lft &gt;= 1),
               IF(lft = rgt, lft, SEQUENCE(rgt - lft + 1, 1, lft)),
               ad_or_rng)),
          letters_to_col(ad_or_rng))))
  )
)</t>
        </is>
      </c>
      <c r="D75" s="74" t="inlineStr">
        <is>
          <t xml:space="preserve">Column number(s) from an address, range, or bare column letter. The column-wise twin of ad_row_n. Uses the shared z_ad_box parser, so it accepts a numeric address (1e6*row+col, e.g. 66000045), an A1 string ("AA99"), an A1 range ("B8:D11") or a numeric range - plus a bare column-letter string.
Behaviour depends on the input:
  scalar single address        -&gt; its column number         (66000045 -&gt; 45, "AA99" -&gt; 27)
  scalar column letter A..XFD  -&gt; its column number         ("BDS" -&gt; 1475)
  scalar range                 -&gt; a VERTICAL array of the columns it spans   ("B8:D11" -&gt; {2;3;4})
  scalar non-address           -&gt; returned unchanged
  array of values (element-wise):
    each single address        -&gt; its column number
    each column letter A..XFD  -&gt; its column number
    a range, or any non-address-&gt; returned unchanged (a range is never expanded inside an array)
An address only counts when z_ad_box parses it AND its row and column are both &gt;= 1; a column letter counts when z_a1n accepts letter&amp;"1" (1-3 letters, column &lt;= 16384). Anything else passes straight through.
Arguments:
  ad_or_rng - a single address/range/column letter, or an array of them.
Returns:
  A column number, a vertical array of column numbers (scalar range only), the array of per-element results, or the input unchanged where it is not a single address or column letter.
See also ad_row_n (rows), ad_col_let (number -&gt; letters), ad_to_rc, num_ad.</t>
        </is>
      </c>
    </row>
    <row r="76">
      <c r="A76" t="inlineStr">
        <is>
          <t xml:space="preserve">ad_row_n(ad_or_rng)</t>
        </is>
      </c>
      <c r="B76" s="72" t="inlineStr">
        <is>
          <t xml:space="preserve">Row number(s) of an address or range. A single address - numeric (66000045) or A1 ("AA99") - becomes its row number; a range string ("B8:D11") becomes a vertical array of the rows it spans. In an array input each single address becomes its row number, while ranges and non-addresses pass through unchanged.</t>
        </is>
      </c>
      <c r="C76" s="73" t="inlineStr">
        <is>
          <t xml:space="preserve">=LAMBDA(ad_or_rng,
  LET(
    row_of_1, LAMBDA(one,
      LET(box, IFERROR(z_ad_box(one), 0),
        IF(COUNT(box) = 4,
          LET(top, SUM(INDEX(box, 1)), lft, SUM(INDEX(box, 2)),
              bot, SUM(INDEX(box, 3)), rgt, SUM(INDEX(box, 4)),
            IF(AND(top = bot, lft = rgt, top &gt;= 1, lft &gt;= 1), top, one)),
          one))),
    IF(ROWS(ad_or_rng) * COLUMNS(ad_or_rng) &gt; 1,
      MAP(ad_or_rng, row_of_1),
      LET(box, IFERROR(z_ad_box(ad_or_rng), 0),
        IF(COUNT(box) = 4,
          LET(top, SUM(INDEX(box, 1)), lft, SUM(INDEX(box, 2)), bot, SUM(INDEX(box, 3)),
            IF(AND(top &gt;= 1, lft &gt;= 1),
               IF(top = bot, top, SEQUENCE(bot - top + 1, 1, top)),
               ad_or_rng)),
          ad_or_rng)))
  )
)</t>
        </is>
      </c>
      <c r="D76" s="74" t="inlineStr">
        <is>
          <t xml:space="preserve">Row number(s) from an address or range. Uses the shared z_ad_box parser, so it accepts every address type the library uses: a numeric address (1e6*row+col, e.g. 66000045), an A1 string ("AA99"), an A1 range ("B8:D11") or a numeric range.
Behaviour depends on the input:
  scalar single address        -&gt; its row number            (66000045 -&gt; 66, "AA99" -&gt; 99)
  scalar range                 -&gt; a VERTICAL array of the rows it spans   ("B8:D11" -&gt; {8;9;10;11})
  scalar non-address           -&gt; returned unchanged
  array of values (element-wise):
    each single address        -&gt; its row number
    a range, or any non-address-&gt; returned unchanged (a range is never expanded inside an array)
A value only counts as an address when z_ad_box parses it AND its row and column are both &gt;= 1, so a plain data number that isn't a real address passes straight through.
Arguments:
  ad_or_rng - a single address/range, or an array of them.
Returns:
  A row number, a vertical array of row numbers (scalar range only), the array of per-element results, or the input unchanged where it is not a single address.
See also ad_col_n (columns), ad_to_rc (one address -&gt; {row, col}), num_ad.</t>
        </is>
      </c>
    </row>
    <row r="77">
      <c r="A77" t="inlineStr">
        <is>
          <t xml:space="preserve">ad_col_let(col_n_or_ad)</t>
        </is>
      </c>
      <c r="B77" s="72" t="inlineStr">
        <is>
          <t xml:space="preserve">Column letters from a column number OR an address. A scalar integer 1..16384 becomes its column-letter string (1475 -&gt; "BDS"); a valid numeric address (66000045) or A1 string address ("AA99") becomes its column's letters (-&gt; "AS", "AA"); anything else is returned unchanged. Over an array, each cell is converted the same way.</t>
        </is>
      </c>
      <c r="C77" s="73" t="inlineStr">
        <is>
          <t xml:space="preserve">=LAMBDA(col_n_or_ad,
  LET(
    col_to_let, LAMBDA(col, LET(a, ADDRESS(1, col, 4), LEFT(a, LEN(a) - 1))),
    addr_col, LAMBDA(one,
      LET(box, IFERROR(z_ad_box(one), 0),
        IF(COUNT(box) = 4,
          LET(top, SUM(INDEX(box, 1)), lft, SUM(INDEX(box, 2)),
              bot, SUM(INDEX(box, 3)), rgt, SUM(INDEX(box, 4)),
            IF(AND(top = bot, lft = rgt, top &gt;= 1, lft &gt;= 1), col_to_let(lft), one)),
          one))),
    to_let, LAMBDA(one,
      IF(ISNUMBER(one),
         IF(AND(one = INT(one), one &gt;= 1, one &lt;= 16384),
            col_to_let(one),
            addr_col(one)),
         addr_col(one))),
    IF(ROWS(col_n_or_ad) * COLUMNS(col_n_or_ad) &gt; 1,
       MAP(col_n_or_ad, to_let),
       to_let(col_n_or_ad))
  )
)</t>
        </is>
      </c>
      <c r="D77" s="74" t="inlineStr">
        <is>
          <t xml:space="preserve">Column-letter string(s) from either a column number or an address. Companion to ad_row_n / ad_col_n, and the inverse of ad_col_n.
Behaviour (element-wise over an array):
  integer 1..16384          -&gt; its column letters              (1 -&gt; "A", 27 -&gt; "AA", 1475 -&gt; "BDS", 16384 -&gt; "XFD")
  numeric address 1e6*r+c   -&gt; its COLUMN's letters            (66000045 -&gt; "AS", 1000001 -&gt; "A")
  A1 string address         -&gt; its COLUMN's letters            ("AA99" -&gt; "AA", "$D$3" -&gt; "D")
  anything else             -&gt; returned unchanged              (0, 16385, 1.5, a range, plain text, a bare column letter)
Precedence: a whole number in 1..16384 is read as a column index first (that is the common case and what a column number looks like); only larger numbers are tried as numeric addresses, so 66000045 reads as row 66 / column 45, not as a column index. Addresses are parsed with the shared z_ad_box, and letters are built from ADDRESS(1, col, 4) with the trailing row digit dropped - no lookup table. A range is not a single address, so it passes through unchanged.
Arguments:
  col_n_or_ad - a column number, a single address (numeric or A1), or an array of such values.
Returns:
  A column-letter string, the array of per-element results, or the input unchanged where it is neither a 1..16384 integer nor a single address.
See also ad_col_n (address/letter -&gt; column number), ad_row_n, rc_to_ad.</t>
        </is>
      </c>
    </row>
  </sheetData>
  <mergeCells count="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01A33-DA10-4490-A2DA-698E8E57AD4F}">
  <sheetPr codeName="Sheet52"/>
  <dimension ref="A1:E66"/>
  <sheetViews>
    <sheetView workbookViewId="0">
      <pane ySplit="4" topLeftCell="A32" activePane="bottomLeft" state="frozen"/>
      <selection pane="bottomLeft" activeCell="A36" sqref="A36"/>
    </sheetView>
  </sheetViews>
  <sheetFormatPr defaultRowHeight="21" x14ac:dyDescent="0.5"/>
  <cols>
    <col min="1" max="1" width="18" customWidth="1"/>
    <col min="2" max="4" width="8" customWidth="1"/>
    <col min="5" max="5" width="14" customWidth="1"/>
  </cols>
  <sheetData>
    <row r="1" spans="1:5" x14ac:dyDescent="0.5">
      <c r="A1" s="45" t="s">
        <v>2902</v>
      </c>
    </row>
    <row r="2" spans="1:5" x14ac:dyDescent="0.5">
      <c r="A2" s="46" t="s">
        <v>2903</v>
      </c>
    </row>
    <row r="4" spans="1:5" x14ac:dyDescent="0.5">
      <c r="A4" s="45" t="s">
        <v>2904</v>
      </c>
      <c r="B4" s="48" t="s">
        <v>2905</v>
      </c>
      <c r="C4" s="50" t="s">
        <v>2906</v>
      </c>
      <c r="D4" s="45" t="s">
        <v>2907</v>
      </c>
      <c r="E4" s="45" t="s">
        <v>2908</v>
      </c>
    </row>
    <row r="5" spans="1:5" x14ac:dyDescent="0.5">
      <c r="A5" s="77">
        <f>HYPERLINK("#'ad_col_let'!A1","ad_col_let")</f>
      </c>
      <c r="B5" s="48">
        <f>COUNTIF(ad_col_let!$A:$BZ,"PASS")</f>
      </c>
      <c r="C5" s="50">
        <f>COUNTIF(ad_col_let!$A:$BZ,"FAIL")</f>
      </c>
      <c r="D5" s="45">
        <f>B5+C5</f>
      </c>
      <c r="E5" s="45">
        <f>IF(C5&gt;0,"FAIL ("&amp;C5&amp;")",IF(D5=0,"-","all pass"))</f>
      </c>
    </row>
    <row r="6" spans="1:5" x14ac:dyDescent="0.5">
      <c r="A6" s="77">
        <f>HYPERLINK("#'ad_col_n'!A1","ad_col_n")</f>
      </c>
      <c r="B6" s="48">
        <f>COUNTIF(ad_col_n!$A:$BZ,"PASS")</f>
      </c>
      <c r="C6" s="50">
        <f>COUNTIF(ad_col_n!$A:$BZ,"FAIL")</f>
      </c>
      <c r="D6" s="45">
        <f>B6+C6</f>
      </c>
      <c r="E6" s="45">
        <f>IF(C6&gt;0,"FAIL ("&amp;C6&amp;")",IF(D6=0,"-","all pass"))</f>
      </c>
    </row>
    <row r="7" spans="1:5" x14ac:dyDescent="0.5">
      <c r="A7" s="77">
        <f>HYPERLINK("#'ad_row_n'!A1","ad_row_n")</f>
      </c>
      <c r="B7" s="48">
        <f>COUNTIF(ad_row_n!$A:$BZ,"PASS")</f>
      </c>
      <c r="C7" s="50">
        <f>COUNTIF(ad_row_n!$A:$BZ,"FAIL")</f>
      </c>
      <c r="D7" s="45">
        <f>B7+C7</f>
      </c>
      <c r="E7" s="45">
        <f>IF(C7&gt;0,"FAIL ("&amp;C7&amp;")",IF(D7=0,"-","all pass"))</f>
      </c>
    </row>
    <row r="8" spans="1:5" x14ac:dyDescent="0.5">
      <c r="A8" s="77">
        <f>HYPERLINK("#'ad_to_cont'!A1","ad_to_cont")</f>
      </c>
      <c r="B8" s="48">
        <f>COUNTIF(ad_to_cont!$A:$BZ,"PASS")</f>
      </c>
      <c r="C8" s="50">
        <f>COUNTIF(ad_to_cont!$A:$BZ,"FAIL")</f>
      </c>
      <c r="D8" s="45">
        <f>B8+C8</f>
      </c>
      <c r="E8" s="45">
        <f>IF(C8&gt;0,"FAIL ("&amp;C8&amp;")",IF(D8=0,"-","all pass"))</f>
      </c>
    </row>
    <row r="9" spans="1:5" x14ac:dyDescent="0.5">
      <c r="A9" s="77">
        <f>HYPERLINK("#'ad_to_rc'!A1","ad_to_rc")</f>
      </c>
      <c r="B9" s="48">
        <f>COUNTIF(ad_to_rc!$A:$BZ,"PASS")</f>
      </c>
      <c r="C9" s="50">
        <f>COUNTIF(ad_to_rc!$A:$BZ,"FAIL")</f>
      </c>
      <c r="D9" s="45">
        <f>B9+C9</f>
      </c>
      <c r="E9" s="45">
        <f>IF(C9&gt;0,"FAIL ("&amp;C9&amp;")",IF(D9=0,"-","all pass"))</f>
      </c>
    </row>
    <row r="10" spans="1:5" x14ac:dyDescent="0.5">
      <c r="A10" s="77">
        <f>HYPERLINK("#'arrow'!A1","arrow")</f>
      </c>
      <c r="B10" s="48">
        <f>COUNTIF(arrow!$A:$BZ,"PASS")</f>
      </c>
      <c r="C10" s="50">
        <f>COUNTIF(arrow!$A:$BZ,"FAIL")</f>
      </c>
      <c r="D10" s="45">
        <f>B10+C10</f>
      </c>
      <c r="E10" s="45">
        <f>IF(C10&gt;0,"FAIL ("&amp;C10&amp;")",IF(D10=0,"-","all pass"))</f>
      </c>
    </row>
    <row r="11" spans="1:5" x14ac:dyDescent="0.5">
      <c r="A11" s="77">
        <f>HYPERLINK("#'arrow_move'!A1","arrow_move")</f>
      </c>
      <c r="B11" s="48">
        <f>COUNTIF(arrow_move!$A:$BZ,"PASS")</f>
      </c>
      <c r="C11" s="50">
        <f>COUNTIF(arrow_move!$A:$BZ,"FAIL")</f>
      </c>
      <c r="D11" s="45">
        <f>B11+C11</f>
      </c>
      <c r="E11" s="45">
        <f>IF(C11&gt;0,"FAIL ("&amp;C11&amp;")",IF(D11=0,"-","all pass"))</f>
      </c>
    </row>
    <row r="12" spans="1:5" x14ac:dyDescent="0.5">
      <c r="A12" s="77">
        <f>HYPERLINK("#'arrow_trip'!A1","arrow_trip")</f>
      </c>
      <c r="B12" s="48">
        <f>COUNTIF(arrow_trip!$A:$BZ,"PASS")</f>
      </c>
      <c r="C12" s="50">
        <f>COUNTIF(arrow_trip!$A:$BZ,"FAIL")</f>
      </c>
      <c r="D12" s="45">
        <f>B12+C12</f>
      </c>
      <c r="E12" s="45">
        <f>IF(C12&gt;0,"FAIL ("&amp;C12&amp;")",IF(D12=0,"-","all pass"))</f>
      </c>
    </row>
    <row r="13" spans="1:5" x14ac:dyDescent="0.5">
      <c r="A13" s="77">
        <f>HYPERLINK("#'biggest'!A1","biggest")</f>
      </c>
      <c r="B13" s="48">
        <f>COUNTIF(biggest!$A:$BZ,"PASS")</f>
      </c>
      <c r="C13" s="50">
        <f>COUNTIF(biggest!$A:$BZ,"FAIL")</f>
      </c>
      <c r="D13" s="45">
        <f>B13+C13</f>
      </c>
      <c r="E13" s="45">
        <f>IF(C13&gt;0,"FAIL ("&amp;C13&amp;")",IF(D13=0,"-","all pass"))</f>
      </c>
    </row>
    <row r="14" spans="1:5" x14ac:dyDescent="0.5">
      <c r="A14" s="77">
        <f>HYPERLINK("#'clamp'!A1","clamp")</f>
      </c>
      <c r="B14" s="48">
        <f>COUNTIF(clamp!$A:$BZ,"PASS")</f>
      </c>
      <c r="C14" s="50">
        <f>COUNTIF(clamp!$A:$BZ,"FAIL")</f>
      </c>
      <c r="D14" s="45">
        <f>B14+C14</f>
      </c>
      <c r="E14" s="45">
        <f>IF(C14&gt;0,"FAIL ("&amp;C14&amp;")",IF(D14=0,"-","all pass"))</f>
      </c>
    </row>
    <row r="15" spans="1:5" x14ac:dyDescent="0.5">
      <c r="A15" s="77">
        <f>HYPERLINK("#'cont_to_ad'!A1","cont_to_ad")</f>
      </c>
      <c r="B15" s="48">
        <f>COUNTIF(cont_to_ad!$A:$BZ,"PASS")</f>
      </c>
      <c r="C15" s="50">
        <f>COUNTIF(cont_to_ad!$A:$BZ,"FAIL")</f>
      </c>
      <c r="D15" s="45">
        <f>B15+C15</f>
      </c>
      <c r="E15" s="45">
        <f>IF(C15&gt;0,"FAIL ("&amp;C15&amp;")",IF(D15=0,"-","all pass"))</f>
      </c>
    </row>
    <row r="16" spans="1:5" x14ac:dyDescent="0.5">
      <c r="A16" s="77">
        <f>HYPERLINK("#'count_substring'!A1","count_substring")</f>
      </c>
      <c r="B16" s="48">
        <f>COUNTIF(count_substring!$A:$BZ,"PASS")</f>
      </c>
      <c r="C16" s="50">
        <f>COUNTIF(count_substring!$A:$BZ,"FAIL")</f>
      </c>
      <c r="D16" s="45">
        <f>B16+C16</f>
      </c>
      <c r="E16" s="45">
        <f>IF(C16&gt;0,"FAIL ("&amp;C16&amp;")",IF(D16=0,"-","all pass"))</f>
      </c>
    </row>
    <row r="17" spans="1:5" x14ac:dyDescent="0.5">
      <c r="A17" s="77">
        <f>HYPERLINK("#'ctotal'!A1","ctotal")</f>
      </c>
      <c r="B17" s="48">
        <f>COUNTIF(ctotal!$A:$BZ,"PASS")</f>
      </c>
      <c r="C17" s="50">
        <f>COUNTIF(ctotal!$A:$BZ,"FAIL")</f>
      </c>
      <c r="D17" s="45">
        <f>B17+C17</f>
      </c>
      <c r="E17" s="45">
        <f>IF(C17&gt;0,"FAIL ("&amp;C17&amp;")",IF(D17=0,"-","all pass"))</f>
      </c>
    </row>
    <row r="18" spans="1:5" x14ac:dyDescent="0.5">
      <c r="A18" s="77">
        <f>HYPERLINK("#'cycles'!A1","cycles")</f>
      </c>
      <c r="B18" s="48">
        <f>COUNTIF(cycles!$A:$BZ,"PASS")</f>
      </c>
      <c r="C18" s="50">
        <f>COUNTIF(cycles!$A:$BZ,"FAIL")</f>
      </c>
      <c r="D18" s="45">
        <f>B18+C18</f>
      </c>
      <c r="E18" s="45">
        <f>IF(C18&gt;0,"FAIL ("&amp;C18&amp;")",IF(D18=0,"-","all pass"))</f>
      </c>
    </row>
    <row r="19" spans="1:5" x14ac:dyDescent="0.5">
      <c r="A19" s="77">
        <f>HYPERLINK("#'die_pips'!A1","die_pips")</f>
      </c>
      <c r="B19" s="48">
        <f>COUNTIF(die_pips!$A:$BZ,"PASS")</f>
      </c>
      <c r="C19" s="50">
        <f>COUNTIF(die_pips!$A:$BZ,"FAIL")</f>
      </c>
      <c r="D19" s="45">
        <f>B19+C19</f>
      </c>
      <c r="E19" s="45">
        <f>IF(C19&gt;0,"FAIL ("&amp;C19&amp;")",IF(D19=0,"-","all pass"))</f>
      </c>
    </row>
    <row r="20" spans="1:5" x14ac:dyDescent="0.5">
      <c r="A20" s="77">
        <f>HYPERLINK("#'dist'!A1","dist")</f>
      </c>
      <c r="B20" s="48">
        <f>COUNTIF(dist!$A:$BZ,"PASS")</f>
      </c>
      <c r="C20" s="50">
        <f>COUNTIF(dist!$A:$BZ,"FAIL")</f>
      </c>
      <c r="D20" s="45">
        <f>B20+C20</f>
      </c>
      <c r="E20" s="45">
        <f>IF(C20&gt;0,"FAIL ("&amp;C20&amp;")",IF(D20=0,"-","all pass"))</f>
      </c>
    </row>
    <row r="21" spans="1:5" x14ac:dyDescent="0.5">
      <c r="A21" s="77">
        <f>HYPERLINK("#'exists'!A1","exists")</f>
      </c>
      <c r="B21" s="48">
        <f>COUNTIF(exists!$A:$BZ,"PASS")</f>
      </c>
      <c r="C21" s="50">
        <f>COUNTIF(exists!$A:$BZ,"FAIL")</f>
      </c>
      <c r="D21" s="45">
        <f>B21+C21</f>
      </c>
      <c r="E21" s="45">
        <f>IF(C21&gt;0,"FAIL ("&amp;C21&amp;")",IF(D21=0,"-","all pass"))</f>
      </c>
    </row>
    <row r="22" spans="1:5" x14ac:dyDescent="0.5">
      <c r="A22" s="77">
        <f>HYPERLINK("#'expand_rng'!A1","expand_rng")</f>
      </c>
      <c r="B22" s="48">
        <f>COUNTIF(expand_rng!$A:$BZ,"PASS")</f>
      </c>
      <c r="C22" s="50">
        <f>COUNTIF(expand_rng!$A:$BZ,"FAIL")</f>
      </c>
      <c r="D22" s="45">
        <f>B22+C22</f>
      </c>
      <c r="E22" s="45">
        <f>IF(C22&gt;0,"FAIL ("&amp;C22&amp;")",IF(D22=0,"-","all pass"))</f>
      </c>
    </row>
    <row r="23" spans="1:5" x14ac:dyDescent="0.5">
      <c r="A23" s="77">
        <f>HYPERLINK("#'first_time'!A1","first_time")</f>
      </c>
      <c r="B23" s="48">
        <f>COUNTIF(first_time!$A:$BZ,"PASS")</f>
      </c>
      <c r="C23" s="50">
        <f>COUNTIF(first_time!$A:$BZ,"FAIL")</f>
      </c>
      <c r="D23" s="45">
        <f>B23+C23</f>
      </c>
      <c r="E23" s="45">
        <f>IF(C23&gt;0,"FAIL ("&amp;C23&amp;")",IF(D23=0,"-","all pass"))</f>
      </c>
    </row>
    <row r="24" spans="1:5" x14ac:dyDescent="0.5">
      <c r="A24" s="77">
        <f>HYPERLINK("#'freq_table'!A1","freq_table")</f>
      </c>
      <c r="B24" s="48">
        <f>COUNTIF(freq_table!$A:$BZ,"PASS")</f>
      </c>
      <c r="C24" s="50">
        <f>COUNTIF(freq_table!$A:$BZ,"FAIL")</f>
      </c>
      <c r="D24" s="45">
        <f>B24+C24</f>
      </c>
      <c r="E24" s="45">
        <f>IF(C24&gt;0,"FAIL ("&amp;C24&amp;")",IF(D24=0,"-","all pass"))</f>
      </c>
    </row>
    <row r="25" spans="1:5" x14ac:dyDescent="0.5">
      <c r="A25" s="77">
        <f>HYPERLINK("#'ftd_maze_cost'!A1","ftd_maze_cost")</f>
      </c>
      <c r="B25" s="48">
        <f>COUNTIF(ftd_maze_cost!$A:$BZ,"PASS")</f>
      </c>
      <c r="C25" s="50">
        <f>COUNTIF(ftd_maze_cost!$A:$BZ,"FAIL")</f>
      </c>
      <c r="D25" s="45">
        <f>B25+C25</f>
      </c>
      <c r="E25" s="45">
        <f>IF(C25&gt;0,"FAIL ("&amp;C25&amp;")",IF(D25=0,"-","all pass"))</f>
      </c>
    </row>
    <row r="26" spans="1:5" x14ac:dyDescent="0.5">
      <c r="A26" s="77">
        <f>HYPERLINK("#'is_unique'!A1","is_unique")</f>
      </c>
      <c r="B26" s="48">
        <f>COUNTIF(is_unique!$A:$BZ,"PASS")</f>
      </c>
      <c r="C26" s="50">
        <f>COUNTIF(is_unique!$A:$BZ,"FAIL")</f>
      </c>
      <c r="D26" s="45">
        <f>B26+C26</f>
      </c>
      <c r="E26" s="45">
        <f>IF(C26&gt;0,"FAIL ("&amp;C26&amp;")",IF(D26=0,"-","all pass"))</f>
      </c>
    </row>
    <row r="27" spans="1:5" x14ac:dyDescent="0.5">
      <c r="A27" s="77">
        <f>HYPERLINK("#'knight_moves'!A1","knight_moves")</f>
      </c>
      <c r="B27" s="48">
        <f>COUNTIF(knight_moves!$A:$BZ,"PASS")</f>
      </c>
      <c r="C27" s="50">
        <f>COUNTIF(knight_moves!$A:$BZ,"FAIL")</f>
      </c>
      <c r="D27" s="45">
        <f>B27+C27</f>
      </c>
      <c r="E27" s="45">
        <f>IF(C27&gt;0,"FAIL ("&amp;C27&amp;")",IF(D27=0,"-","all pass"))</f>
      </c>
    </row>
    <row r="28" spans="1:5" x14ac:dyDescent="0.5">
      <c r="A28" s="77">
        <f>HYPERLINK("#'label_lookup'!A1","label_lookup")</f>
      </c>
      <c r="B28" s="48">
        <f>COUNTIF(label_lookup!$A:$BZ,"PASS")</f>
      </c>
      <c r="C28" s="50">
        <f>COUNTIF(label_lookup!$A:$BZ,"FAIL")</f>
      </c>
      <c r="D28" s="45">
        <f>B28+C28</f>
      </c>
      <c r="E28" s="45">
        <f>IF(C28&gt;0,"FAIL ("&amp;C28&amp;")",IF(D28=0,"-","all pass"))</f>
      </c>
    </row>
    <row r="29" spans="1:5" x14ac:dyDescent="0.5">
      <c r="A29" s="77">
        <f>HYPERLINK("#'load_array'!A1","load_array")</f>
      </c>
      <c r="B29" s="48">
        <f>COUNTIF(load_array!$A:$BZ,"PASS")</f>
      </c>
      <c r="C29" s="50">
        <f>COUNTIF(load_array!$A:$BZ,"FAIL")</f>
      </c>
      <c r="D29" s="45">
        <f>B29+C29</f>
      </c>
      <c r="E29" s="45">
        <f>IF(C29&gt;0,"FAIL ("&amp;C29&amp;")",IF(D29=0,"-","all pass"))</f>
      </c>
    </row>
    <row r="30" spans="1:5" x14ac:dyDescent="0.5">
      <c r="A30" s="77">
        <f>HYPERLINK("#'make_change'!A1","make_change")</f>
      </c>
      <c r="B30" s="48">
        <f>COUNTIF(make_change!$A:$BZ,"PASS")</f>
      </c>
      <c r="C30" s="50">
        <f>COUNTIF(make_change!$A:$BZ,"FAIL")</f>
      </c>
      <c r="D30" s="45">
        <f>B30+C30</f>
      </c>
      <c r="E30" s="45">
        <f>IF(C30&gt;0,"FAIL ("&amp;C30&amp;")",IF(D30=0,"-","all pass"))</f>
      </c>
    </row>
    <row r="31" spans="1:5" x14ac:dyDescent="0.5">
      <c r="A31" s="77">
        <f>HYPERLINK("#'neighbors_count'!A1","neighbors_count")</f>
      </c>
      <c r="B31" s="48">
        <f>COUNTIF(neighbors_count!$A:$BZ,"PASS")</f>
      </c>
      <c r="C31" s="50">
        <f>COUNTIF(neighbors_count!$A:$BZ,"FAIL")</f>
      </c>
      <c r="D31" s="45">
        <f>B31+C31</f>
      </c>
      <c r="E31" s="45">
        <f>IF(C31&gt;0,"FAIL ("&amp;C31&amp;")",IF(D31=0,"-","all pass"))</f>
      </c>
    </row>
    <row r="32" spans="1:5" x14ac:dyDescent="0.5">
      <c r="A32" s="77">
        <f>HYPERLINK("#'neighbors_list'!A1","neighbors_list")</f>
      </c>
      <c r="B32" s="48">
        <f>COUNTIF(neighbors_list!$A:$BZ,"PASS")</f>
      </c>
      <c r="C32" s="50">
        <f>COUNTIF(neighbors_list!$A:$BZ,"FAIL")</f>
      </c>
      <c r="D32" s="45">
        <f>B32+C32</f>
      </c>
      <c r="E32" s="45">
        <f>IF(C32&gt;0,"FAIL ("&amp;C32&amp;")",IF(D32=0,"-","all pass"))</f>
      </c>
    </row>
    <row r="33" spans="1:5" x14ac:dyDescent="0.5">
      <c r="A33" s="77">
        <f>HYPERLINK("#'num_ad'!A1","num_ad")</f>
      </c>
      <c r="B33" s="48">
        <f>COUNTIF(num_ad!$A:$BZ,"PASS")</f>
      </c>
      <c r="C33" s="50">
        <f>COUNTIF(num_ad!$A:$BZ,"FAIL")</f>
      </c>
      <c r="D33" s="45">
        <f>B33+C33</f>
      </c>
      <c r="E33" s="45">
        <f>IF(C33&gt;0,"FAIL ("&amp;C33&amp;")",IF(D33=0,"-","all pass"))</f>
      </c>
    </row>
    <row r="34" spans="1:5" x14ac:dyDescent="0.5">
      <c r="A34" s="77">
        <f>HYPERLINK("#'offset_letter'!A1","offset_letter")</f>
      </c>
      <c r="B34" s="48">
        <f>COUNTIF(offset_letter!$A:$BZ,"PASS")</f>
      </c>
      <c r="C34" s="50">
        <f>COUNTIF(offset_letter!$A:$BZ,"FAIL")</f>
      </c>
      <c r="D34" s="45">
        <f>B34+C34</f>
      </c>
      <c r="E34" s="45">
        <f>IF(C34&gt;0,"FAIL ("&amp;C34&amp;")",IF(D34=0,"-","all pass"))</f>
      </c>
    </row>
    <row r="35" spans="1:5" x14ac:dyDescent="0.5">
      <c r="A35" s="77">
        <f>HYPERLINK("#'only_letters'!A1","only_letters")</f>
      </c>
      <c r="B35" s="48">
        <f>COUNTIF(only_letters!$A:$BZ,"PASS")</f>
      </c>
      <c r="C35" s="50">
        <f>COUNTIF(only_letters!$A:$BZ,"FAIL")</f>
      </c>
      <c r="D35" s="45">
        <f>B35+C35</f>
      </c>
      <c r="E35" s="45">
        <f>IF(C35&gt;0,"FAIL ("&amp;C35&amp;")",IF(D35=0,"-","all pass"))</f>
      </c>
    </row>
    <row r="36" spans="1:5" x14ac:dyDescent="0.5">
      <c r="A36" s="77">
        <f>HYPERLINK("#'only_numbers'!A1","only_numbers")</f>
      </c>
      <c r="B36" s="48">
        <f>COUNTIF(only_numbers!$A:$BZ,"PASS")</f>
      </c>
      <c r="C36" s="50">
        <f>COUNTIF(only_numbers!$A:$BZ,"FAIL")</f>
      </c>
      <c r="D36" s="45">
        <f>B36+C36</f>
      </c>
      <c r="E36" s="45">
        <f>IF(C36&gt;0,"FAIL ("&amp;C36&amp;")",IF(D36=0,"-","all pass"))</f>
      </c>
    </row>
    <row r="37" spans="1:5" x14ac:dyDescent="0.5">
      <c r="A37" s="77">
        <f>HYPERLINK("#'rc_to_ad'!A1","rc_to_ad")</f>
      </c>
      <c r="B37" s="48">
        <f>COUNTIF(rc_to_ad!$A:$BZ,"PASS")</f>
      </c>
      <c r="C37" s="50">
        <f>COUNTIF(rc_to_ad!$A:$BZ,"FAIL")</f>
      </c>
      <c r="D37" s="45">
        <f>B37+C37</f>
      </c>
      <c r="E37" s="45">
        <f>IF(C37&gt;0,"FAIL ("&amp;C37&amp;")",IF(D37=0,"-","all pass"))</f>
      </c>
    </row>
    <row r="38" spans="1:5" x14ac:dyDescent="0.5">
      <c r="A38" s="77">
        <f>HYPERLINK("#'rev'!A1","rev")</f>
      </c>
      <c r="B38" s="48">
        <f>COUNTIF(rev!$A:$BZ,"PASS")</f>
      </c>
      <c r="C38" s="50">
        <f>COUNTIF(rev!$A:$BZ,"FAIL")</f>
      </c>
      <c r="D38" s="45">
        <f>B38+C38</f>
      </c>
      <c r="E38" s="45">
        <f>IF(C38&gt;0,"FAIL ("&amp;C38&amp;")",IF(D38=0,"-","all pass"))</f>
      </c>
    </row>
    <row r="39" spans="1:5" x14ac:dyDescent="0.5">
      <c r="A39" s="77">
        <f>HYPERLINK("#'rotate_arrow'!A1","rotate_arrow")</f>
      </c>
      <c r="B39" s="48">
        <f>COUNTIF(rotate_arrow!$A:$BZ,"PASS")</f>
      </c>
      <c r="C39" s="50">
        <f>COUNTIF(rotate_arrow!$A:$BZ,"FAIL")</f>
      </c>
      <c r="D39" s="45">
        <f>B39+C39</f>
      </c>
      <c r="E39" s="45">
        <f>IF(C39&gt;0,"FAIL ("&amp;C39&amp;")",IF(D39=0,"-","all pass"))</f>
      </c>
    </row>
    <row r="40" spans="1:5" x14ac:dyDescent="0.5">
      <c r="A40" s="77">
        <f>HYPERLINK("#'route_cost'!A1","route_cost")</f>
      </c>
      <c r="B40" s="48">
        <f>COUNTIF(route_cost!$A:$BZ,"PASS")</f>
      </c>
      <c r="C40" s="50">
        <f>COUNTIF(route_cost!$A:$BZ,"FAIL")</f>
      </c>
      <c r="D40" s="45">
        <f>B40+C40</f>
      </c>
      <c r="E40" s="45">
        <f>IF(C40&gt;0,"FAIL ("&amp;C40&amp;")",IF(D40=0,"-","all pass"))</f>
      </c>
    </row>
    <row r="41" spans="1:5" x14ac:dyDescent="0.5">
      <c r="A41" s="77">
        <f>HYPERLINK("#'save_array'!A1","save_array")</f>
      </c>
      <c r="B41" s="48">
        <f>COUNTIF(save_array!$A:$BZ,"PASS")</f>
      </c>
      <c r="C41" s="50">
        <f>COUNTIF(save_array!$A:$BZ,"FAIL")</f>
      </c>
      <c r="D41" s="45">
        <f>B41+C41</f>
      </c>
      <c r="E41" s="45">
        <f>IF(C41&gt;0,"FAIL ("&amp;C41&amp;")",IF(D41=0,"-","all pass"))</f>
      </c>
    </row>
    <row r="42" spans="1:5" x14ac:dyDescent="0.5">
      <c r="A42" s="77">
        <f>HYPERLINK("#'scan2'!A1","scan2")</f>
      </c>
      <c r="B42" s="48">
        <f>COUNTIF(scan2!$A:$BZ,"PASS")</f>
      </c>
      <c r="C42" s="50">
        <f>COUNTIF(scan2!$A:$BZ,"FAIL")</f>
      </c>
      <c r="D42" s="45">
        <f>B42+C42</f>
      </c>
      <c r="E42" s="45">
        <f>IF(C42&gt;0,"FAIL ("&amp;C42&amp;")",IF(D42=0,"-","all pass"))</f>
      </c>
    </row>
    <row r="43" spans="1:5" x14ac:dyDescent="0.5">
      <c r="A43" s="77">
        <f>HYPERLINK("#'scan3'!A1","scan3")</f>
      </c>
      <c r="B43" s="48">
        <f>COUNTIF(scan3!$A:$BZ,"PASS")</f>
      </c>
      <c r="C43" s="50">
        <f>COUNTIF(scan3!$A:$BZ,"FAIL")</f>
      </c>
      <c r="D43" s="45">
        <f>B43+C43</f>
      </c>
      <c r="E43" s="45">
        <f>IF(C43&gt;0,"FAIL ("&amp;C43&amp;")",IF(D43=0,"-","all pass"))</f>
      </c>
    </row>
    <row r="44" spans="1:5" x14ac:dyDescent="0.5">
      <c r="A44" s="77">
        <f>HYPERLINK("#'selections'!A1","selections")</f>
      </c>
      <c r="B44" s="48">
        <f>COUNTIF(selections!$A:$BZ,"PASS")</f>
      </c>
      <c r="C44" s="50">
        <f>COUNTIF(selections!$A:$BZ,"FAIL")</f>
      </c>
      <c r="D44" s="45">
        <f>B44+C44</f>
      </c>
      <c r="E44" s="45">
        <f>IF(C44&gt;0,"FAIL ("&amp;C44&amp;")",IF(D44=0,"-","all pass"))</f>
      </c>
    </row>
    <row r="45" spans="1:5" x14ac:dyDescent="0.5">
      <c r="A45" s="77">
        <f>HYPERLINK("#'set'!A1","set")</f>
      </c>
      <c r="B45" s="48">
        <f>COUNTIF(set!$A:$BZ,"PASS")</f>
      </c>
      <c r="C45" s="50">
        <f>COUNTIF(set!$A:$BZ,"FAIL")</f>
      </c>
      <c r="D45" s="45">
        <f>B45+C45</f>
      </c>
      <c r="E45" s="45">
        <f>IF(C45&gt;0,"FAIL ("&amp;C45&amp;")",IF(D45=0,"-","all pass"))</f>
      </c>
    </row>
    <row r="46" spans="1:5" x14ac:dyDescent="0.5">
      <c r="A46" s="77">
        <f>HYPERLINK("#'set_d'!A1","set_d")</f>
      </c>
      <c r="B46" s="48">
        <f>COUNTIF(set_d!$A:$BZ,"PASS")</f>
      </c>
      <c r="C46" s="50">
        <f>COUNTIF(set_d!$A:$BZ,"FAIL")</f>
      </c>
      <c r="D46" s="45">
        <f>B46+C46</f>
      </c>
      <c r="E46" s="45">
        <f>IF(C46&gt;0,"FAIL ("&amp;C46&amp;")",IF(D46=0,"-","all pass"))</f>
      </c>
    </row>
    <row r="47" spans="1:5" x14ac:dyDescent="0.5">
      <c r="A47" s="77">
        <f>HYPERLINK("#'set_i'!A1","set_i")</f>
      </c>
      <c r="B47" s="48">
        <f>COUNTIF(set_i!$A:$BZ,"PASS")</f>
      </c>
      <c r="C47" s="50">
        <f>COUNTIF(set_i!$A:$BZ,"FAIL")</f>
      </c>
      <c r="D47" s="45">
        <f>B47+C47</f>
      </c>
      <c r="E47" s="45">
        <f>IF(C47&gt;0,"FAIL ("&amp;C47&amp;")",IF(D47=0,"-","all pass"))</f>
      </c>
    </row>
    <row r="48" spans="1:5" x14ac:dyDescent="0.5">
      <c r="A48" s="77">
        <f>HYPERLINK("#'set_u'!A1","set_u")</f>
      </c>
      <c r="B48" s="48">
        <f>COUNTIF(set_u!$A:$BZ,"PASS")</f>
      </c>
      <c r="C48" s="50">
        <f>COUNTIF(set_u!$A:$BZ,"FAIL")</f>
      </c>
      <c r="D48" s="45">
        <f>B48+C48</f>
      </c>
      <c r="E48" s="45">
        <f>IF(C48&gt;0,"FAIL ("&amp;C48&amp;")",IF(D48=0,"-","all pass"))</f>
      </c>
    </row>
    <row r="49" spans="1:5" x14ac:dyDescent="0.5">
      <c r="A49" s="77">
        <f>HYPERLINK("#'shift_arr'!A1","shift_arr")</f>
      </c>
      <c r="B49" s="48">
        <f>COUNTIF(shift_arr!$A:$BZ,"PASS")</f>
      </c>
      <c r="C49" s="50">
        <f>COUNTIF(shift_arr!$A:$BZ,"FAIL")</f>
      </c>
      <c r="D49" s="45">
        <f>B49+C49</f>
      </c>
      <c r="E49" s="45">
        <f>IF(C49&gt;0,"FAIL ("&amp;C49&amp;")",IF(D49=0,"-","all pass"))</f>
      </c>
    </row>
    <row r="50" spans="1:5" x14ac:dyDescent="0.5">
      <c r="A50" s="77">
        <f>HYPERLINK("#'smallest'!A1","smallest")</f>
      </c>
      <c r="B50" s="48">
        <f>COUNTIF(smallest!$A:$BZ,"PASS")</f>
      </c>
      <c r="C50" s="50">
        <f>COUNTIF(smallest!$A:$BZ,"FAIL")</f>
      </c>
      <c r="D50" s="45">
        <f>B50+C50</f>
      </c>
      <c r="E50" s="45">
        <f>IF(C50&gt;0,"FAIL ("&amp;C50&amp;")",IF(D50=0,"-","all pass"))</f>
      </c>
    </row>
    <row r="51" spans="1:5" x14ac:dyDescent="0.5">
      <c r="A51" s="77">
        <f>HYPERLINK("#'str_ad'!A1","str_ad")</f>
      </c>
      <c r="B51" s="48">
        <f>COUNTIF(str_ad!$A:$BZ,"PASS")</f>
      </c>
      <c r="C51" s="50">
        <f>COUNTIF(str_ad!$A:$BZ,"FAIL")</f>
      </c>
      <c r="D51" s="45">
        <f>B51+C51</f>
      </c>
      <c r="E51" s="45">
        <f>IF(C51&gt;0,"FAIL ("&amp;C51&amp;")",IF(D51=0,"-","all pass"))</f>
      </c>
    </row>
    <row r="52" spans="1:5" x14ac:dyDescent="0.5">
      <c r="A52" s="77">
        <f>HYPERLINK("#'str_rev'!A1","str_rev")</f>
      </c>
      <c r="B52" s="48">
        <f>COUNTIF(str_rev!$A:$BZ,"PASS")</f>
      </c>
      <c r="C52" s="50">
        <f>COUNTIF(str_rev!$A:$BZ,"FAIL")</f>
      </c>
      <c r="D52" s="45">
        <f>B52+C52</f>
      </c>
      <c r="E52" s="45">
        <f>IF(C52&gt;0,"FAIL ("&amp;C52&amp;")",IF(D52=0,"-","all pass"))</f>
      </c>
    </row>
    <row r="53" spans="1:5" x14ac:dyDescent="0.5">
      <c r="A53" s="77">
        <f>HYPERLINK("#'str_to_arr'!A1","str_to_arr")</f>
      </c>
      <c r="B53" s="48">
        <f>COUNTIF(str_to_arr!$A:$BZ,"PASS")</f>
      </c>
      <c r="C53" s="50">
        <f>COUNTIF(str_to_arr!$A:$BZ,"FAIL")</f>
      </c>
      <c r="D53" s="45">
        <f>B53+C53</f>
      </c>
      <c r="E53" s="45">
        <f>IF(C53&gt;0,"FAIL ("&amp;C53&amp;")",IF(D53=0,"-","all pass"))</f>
      </c>
    </row>
    <row r="54" spans="1:5" x14ac:dyDescent="0.5">
      <c r="A54" s="77">
        <f>HYPERLINK("#'streak'!A1","streak")</f>
      </c>
      <c r="B54" s="48">
        <f>COUNTIF(streak!$A:$BZ,"PASS")</f>
      </c>
      <c r="C54" s="50">
        <f>COUNTIF(streak!$A:$BZ,"FAIL")</f>
      </c>
      <c r="D54" s="45">
        <f>B54+C54</f>
      </c>
      <c r="E54" s="45">
        <f>IF(C54&gt;0,"FAIL ("&amp;C54&amp;")",IF(D54=0,"-","all pass"))</f>
      </c>
    </row>
    <row r="55" spans="1:5" x14ac:dyDescent="0.5">
      <c r="A55" s="77">
        <f>HYPERLINK("#'textbetween'!A1","textbetween")</f>
      </c>
      <c r="B55" s="48">
        <f>COUNTIF(textbetween!$A:$BZ,"PASS")</f>
      </c>
      <c r="C55" s="50">
        <f>COUNTIF(textbetween!$A:$BZ,"FAIL")</f>
      </c>
      <c r="D55" s="45">
        <f>B55+C55</f>
      </c>
      <c r="E55" s="45">
        <f>IF(C55&gt;0,"FAIL ("&amp;C55&amp;")",IF(D55=0,"-","all pass"))</f>
      </c>
    </row>
    <row r="56" spans="1:5" x14ac:dyDescent="0.5">
      <c r="A56" s="77">
        <f>HYPERLINK("#'transform_array'!A1","transform_array")</f>
      </c>
      <c r="B56" s="48">
        <f>COUNTIF(transform_array!$A:$BZ,"PASS")</f>
      </c>
      <c r="C56" s="50">
        <f>COUNTIF(transform_array!$A:$BZ,"FAIL")</f>
      </c>
      <c r="D56" s="45">
        <f>B56+C56</f>
      </c>
      <c r="E56" s="45">
        <f>IF(C56&gt;0,"FAIL ("&amp;C56&amp;")",IF(D56=0,"-","all pass"))</f>
      </c>
    </row>
    <row r="57" spans="1:5" x14ac:dyDescent="0.5">
      <c r="A57" s="77">
        <f>HYPERLINK("#'update_arr'!A1","update_arr")</f>
      </c>
      <c r="B57" s="48">
        <f>COUNTIF(update_arr!$A:$BZ,"PASS")</f>
      </c>
      <c r="C57" s="50">
        <f>COUNTIF(update_arr!$A:$BZ,"FAIL")</f>
      </c>
      <c r="D57" s="45">
        <f>B57+C57</f>
      </c>
      <c r="E57" s="45">
        <f>IF(C57&gt;0,"FAIL ("&amp;C57&amp;")",IF(D57=0,"-","all pass"))</f>
      </c>
    </row>
    <row r="58" spans="1:5" x14ac:dyDescent="0.5">
      <c r="A58" s="77">
        <f>HYPERLINK("#'xbycol'!A1","xbycol")</f>
      </c>
      <c r="B58" s="48">
        <f>COUNTIF(xbycol!$A:$BZ,"PASS")</f>
      </c>
      <c r="C58" s="50">
        <f>COUNTIF(xbycol!$A:$BZ,"FAIL")</f>
      </c>
      <c r="D58" s="45">
        <f>B58+C58</f>
      </c>
      <c r="E58" s="45">
        <f>IF(C58&gt;0,"FAIL ("&amp;C58&amp;")",IF(D58=0,"-","all pass"))</f>
      </c>
    </row>
    <row r="59" spans="1:5" x14ac:dyDescent="0.5">
      <c r="A59" s="77">
        <f>HYPERLINK("#'xbyrow'!A1","xbyrow")</f>
      </c>
      <c r="B59" s="48">
        <f>COUNTIF(xbyrow!$A:$BZ,"PASS")</f>
      </c>
      <c r="C59" s="50">
        <f>COUNTIF(xbyrow!$A:$BZ,"FAIL")</f>
      </c>
      <c r="D59" s="45">
        <f>B59+C59</f>
      </c>
      <c r="E59" s="45">
        <f>IF(C59&gt;0,"FAIL ("&amp;C59&amp;")",IF(D59=0,"-","all pass"))</f>
      </c>
    </row>
    <row r="60" spans="1:5" x14ac:dyDescent="0.5">
      <c r="A60" s="77">
        <f>HYPERLINK("#'xcountif'!A1","xcountif")</f>
      </c>
      <c r="B60" s="48">
        <f>COUNTIF(xcountif!$A:$BZ,"PASS")</f>
      </c>
      <c r="C60" s="50">
        <f>COUNTIF(xcountif!$A:$BZ,"FAIL")</f>
      </c>
      <c r="D60" s="45">
        <f>B60+C60</f>
      </c>
      <c r="E60" s="45">
        <f>IF(C60&gt;0,"FAIL ("&amp;C60&amp;")",IF(D60=0,"-","all pass"))</f>
      </c>
    </row>
    <row r="61" spans="1:5" x14ac:dyDescent="0.5">
      <c r="A61" s="77">
        <f>HYPERLINK("#'xdec2bin'!A1","xdec2bin")</f>
      </c>
      <c r="B61" s="48">
        <f>COUNTIF(xdec2bin!$A:$BZ,"PASS")</f>
      </c>
      <c r="C61" s="50">
        <f>COUNTIF(xdec2bin!$A:$BZ,"FAIL")</f>
      </c>
      <c r="D61" s="45">
        <f>B61+C61</f>
      </c>
      <c r="E61" s="45">
        <f>IF(C61&gt;0,"FAIL ("&amp;C61&amp;")",IF(D61=0,"-","all pass"))</f>
      </c>
    </row>
    <row r="62" spans="1:5" x14ac:dyDescent="0.5">
      <c r="A62" s="77">
        <f>HYPERLINK("#'xfilter'!A1","xfilter")</f>
      </c>
      <c r="B62" s="48">
        <f>COUNTIF(xfilter!$A:$BZ,"PASS")</f>
      </c>
      <c r="C62" s="50">
        <f>COUNTIF(xfilter!$A:$BZ,"FAIL")</f>
      </c>
      <c r="D62" s="45">
        <f>B62+C62</f>
      </c>
      <c r="E62" s="45">
        <f>IF(C62&gt;0,"FAIL ("&amp;C62&amp;")",IF(D62=0,"-","all pass"))</f>
      </c>
    </row>
    <row r="63" spans="1:5" x14ac:dyDescent="0.5">
      <c r="A63" s="77">
        <f>HYPERLINK("#'xmod'!A1","xmod")</f>
      </c>
      <c r="B63" s="48">
        <f>COUNTIF(xmod!$A:$BZ,"PASS")</f>
      </c>
      <c r="C63" s="50">
        <f>COUNTIF(xmod!$A:$BZ,"FAIL")</f>
      </c>
      <c r="D63" s="45">
        <f>B63+C63</f>
      </c>
      <c r="E63" s="45">
        <f>IF(C63&gt;0,"FAIL ("&amp;C63&amp;")",IF(D63=0,"-","all pass"))</f>
      </c>
    </row>
    <row r="64" spans="1:5" x14ac:dyDescent="0.5">
      <c r="A64" s="77">
        <f>HYPERLINK("#'xn'!A1","xn")</f>
      </c>
      <c r="B64" s="48">
        <f>COUNTIF(xn!$A:$BZ,"PASS")</f>
      </c>
      <c r="C64" s="50">
        <f>COUNTIF(xn!$A:$BZ,"FAIL")</f>
      </c>
      <c r="D64" s="45">
        <f>B64+C64</f>
      </c>
      <c r="E64" s="45">
        <f>IF(C64&gt;0,"FAIL ("&amp;C64&amp;")",IF(D64=0,"-","all pass"))</f>
      </c>
    </row>
    <row r="65" spans="2:5" x14ac:dyDescent="0.5">
      <c r="A65" s="77">
        <f>HYPERLINK("#'xrank'!A1","xrank")</f>
      </c>
      <c r="B65" s="48">
        <f>COUNTIF(xrank!$A:$BZ,"PASS")</f>
      </c>
      <c r="C65" s="50">
        <f>COUNTIF(xrank!$A:$BZ,"FAIL")</f>
      </c>
      <c r="D65" s="45">
        <f>B65+C65</f>
      </c>
      <c r="E65" s="45">
        <f>IF(C65&gt;0,"FAIL ("&amp;C65&amp;")",IF(D65=0,"-","all pass"))</f>
      </c>
    </row>
    <row r="66" spans="2:5" x14ac:dyDescent="0.5">
      <c r="A66" s="77">
        <f>HYPERLINK("#'xsequence'!A1","xsequence")</f>
      </c>
      <c r="B66" s="48">
        <f>COUNTIF(xsequence!$A:$BZ,"PASS")</f>
      </c>
      <c r="C66" s="50">
        <f>COUNTIF(xsequence!$A:$BZ,"FAIL")</f>
      </c>
      <c r="D66" s="45">
        <f>B66+C66</f>
      </c>
      <c r="E66" s="45">
        <f>IF(C66&gt;0,"FAIL ("&amp;C66&amp;")",IF(D66=0,"-","all pass"))</f>
      </c>
    </row>
    <row r="67">
      <c r="A67" s="77">
        <f>HYPERLINK("#'xtextjoin'!A1","xtextjoin")</f>
      </c>
      <c r="B67" s="48">
        <f>COUNTIF(xtextjoin!$A:$BZ,"PASS")</f>
      </c>
      <c r="C67" s="50">
        <f>COUNTIF(xtextjoin!$A:$BZ,"FAIL")</f>
      </c>
      <c r="D67" s="45">
        <f>B67+C67</f>
      </c>
      <c r="E67" s="45">
        <f>IF(C67&gt;0,"FAIL ("&amp;C67&amp;")",IF(D67=0,"-","all pass"))</f>
      </c>
    </row>
    <row r="68">
      <c r="A68" s="77">
        <f>HYPERLINK("#'xtocol'!A1","xtocol")</f>
      </c>
      <c r="B68" s="48">
        <f>COUNTIF(xtocol!$A:$BZ,"PASS")</f>
      </c>
      <c r="C68" s="50">
        <f>COUNTIF(xtocol!$A:$BZ,"FAIL")</f>
      </c>
      <c r="D68" s="45">
        <f>B68+C68</f>
      </c>
      <c r="E68" s="45">
        <f>IF(C68&gt;0,"FAIL ("&amp;C68&amp;")",IF(D68=0,"-","all pass"))</f>
      </c>
    </row>
    <row r="69">
      <c r="A69" s="101" t="inlineStr">
        <is>
          <t xml:space="preserve">TOTAL</t>
        </is>
      </c>
      <c r="B69" s="48">
        <f>SUM(B5:B68)</f>
      </c>
      <c r="C69" s="50">
        <f>SUM(C5:C68)</f>
      </c>
      <c r="D69" s="45">
        <f>SUM(D5:D68)</f>
      </c>
      <c r="E69" s="45">
        <f>IF(C69&gt;0,C69&amp;" FAILING","ALL PASS")</f>
      </c>
    </row>
    <row r="70">
      <c r="A70"/>
      <c r="B70" s="48"/>
      <c r="C70" s="50"/>
      <c r="D70" s="45"/>
      <c r="E70" s="45"/>
    </row>
    <row r="71">
      <c r="A71"/>
      <c r="B71" s="48"/>
      <c r="C71" s="50"/>
      <c r="D71" s="45"/>
      <c r="E71" s="45"/>
    </row>
    <row r="72">
      <c r="A72"/>
      <c r="B72" s="48"/>
      <c r="C72" s="50"/>
      <c r="D72" s="45"/>
      <c r="E72" s="45"/>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5EC08-FD3E-45E3-A504-A0FEEC70E0AA}">
  <sheetPr codeName="Sheet107"/>
  <dimension ref="A1:F83"/>
  <sheetViews>
    <sheetView topLeftCell="A58" workbookViewId="0">
      <selection activeCell="C39" sqref="C39"/>
    </sheetView>
  </sheetViews>
  <sheetFormatPr defaultRowHeight="21" x14ac:dyDescent="0.5"/>
  <cols>
    <col min="1" max="1" width="12.625" bestFit="1" customWidth="1"/>
    <col min="2" max="2" width="21.875" bestFit="1" customWidth="1"/>
    <col min="3" max="3" width="50.125" bestFit="1" customWidth="1"/>
    <col min="4" max="5" width="64.9375" style="56" bestFit="1" customWidth="1"/>
    <col min="6" max="6" width="6" bestFit="1" customWidth="1"/>
  </cols>
  <sheetData>
    <row r="1" spans="1:6" x14ac:dyDescent="0.5">
      <c r="A1" s="15" t="s">
        <v>3308</v>
      </c>
    </row>
    <row r="2" spans="1:6" x14ac:dyDescent="0.5">
      <c r="A2" t="s">
        <v>3573</v>
      </c>
    </row>
    <row r="4" spans="1:6" x14ac:dyDescent="0.5">
      <c r="A4" s="15" t="s">
        <v>7</v>
      </c>
      <c r="B4" s="15" t="s">
        <v>3309</v>
      </c>
      <c r="C4" s="15" t="s">
        <v>8</v>
      </c>
      <c r="D4" s="57" t="s">
        <v>10</v>
      </c>
      <c r="E4" s="57" t="s">
        <v>11</v>
      </c>
      <c r="F4" s="15" t="s">
        <v>3310</v>
      </c>
    </row>
    <row r="5" spans="1:6" x14ac:dyDescent="0.5">
      <c r="A5">
        <v>1</v>
      </c>
      <c r="B5" t="s">
        <v>3311</v>
      </c>
      <c r="C5" t="s">
        <v>3312</v>
      </c>
      <c r="D5" s="56" t="s">
        <v>3313</v>
      </c>
      <c r="E5" s="56" t="s">
        <v>3313</v>
      </c>
      <c r="F5" s="58" t="s">
        <v>3314</v>
      </c>
    </row>
    <row r="6" spans="1:6" x14ac:dyDescent="0.5">
      <c r="A6">
        <v>2</v>
      </c>
      <c r="B6" t="s">
        <v>3311</v>
      </c>
      <c r="C6" t="s">
        <v>3315</v>
      </c>
      <c r="D6" s="56" t="s">
        <v>3316</v>
      </c>
      <c r="E6" s="56" t="s">
        <v>3316</v>
      </c>
      <c r="F6" s="58" t="s">
        <v>3314</v>
      </c>
    </row>
    <row r="7" spans="1:6" x14ac:dyDescent="0.5">
      <c r="A7">
        <v>3</v>
      </c>
      <c r="B7" t="s">
        <v>3311</v>
      </c>
      <c r="C7" t="s">
        <v>3317</v>
      </c>
      <c r="D7" s="56" t="s">
        <v>3318</v>
      </c>
      <c r="E7" s="56" t="s">
        <v>3318</v>
      </c>
      <c r="F7" s="58" t="s">
        <v>3314</v>
      </c>
    </row>
    <row r="8" spans="1:6" x14ac:dyDescent="0.5">
      <c r="A8">
        <v>4</v>
      </c>
      <c r="B8" t="s">
        <v>3319</v>
      </c>
      <c r="C8" t="s">
        <v>3320</v>
      </c>
      <c r="D8" s="56" t="s">
        <v>3321</v>
      </c>
      <c r="E8" s="56" t="s">
        <v>3321</v>
      </c>
      <c r="F8" s="58" t="s">
        <v>3314</v>
      </c>
    </row>
    <row r="9" spans="1:6" x14ac:dyDescent="0.5">
      <c r="A9">
        <v>5</v>
      </c>
      <c r="B9" t="s">
        <v>3319</v>
      </c>
      <c r="C9" t="s">
        <v>3322</v>
      </c>
      <c r="D9" s="56" t="s">
        <v>3323</v>
      </c>
      <c r="E9" s="56" t="s">
        <v>3323</v>
      </c>
      <c r="F9" s="58" t="s">
        <v>3314</v>
      </c>
    </row>
    <row r="10" spans="1:6" x14ac:dyDescent="0.5">
      <c r="A10">
        <v>6</v>
      </c>
      <c r="B10" t="s">
        <v>3319</v>
      </c>
      <c r="C10" t="s">
        <v>3324</v>
      </c>
      <c r="D10" s="56" t="s">
        <v>3325</v>
      </c>
      <c r="E10" s="56" t="s">
        <v>3325</v>
      </c>
      <c r="F10" s="58" t="s">
        <v>3314</v>
      </c>
    </row>
    <row r="11" spans="1:6" x14ac:dyDescent="0.5">
      <c r="A11">
        <v>7</v>
      </c>
      <c r="B11" t="s">
        <v>3326</v>
      </c>
      <c r="C11" t="s">
        <v>3327</v>
      </c>
      <c r="D11" s="56" t="s">
        <v>3328</v>
      </c>
      <c r="E11" s="56" t="s">
        <v>3328</v>
      </c>
      <c r="F11" s="58" t="s">
        <v>3314</v>
      </c>
    </row>
    <row r="12" spans="1:6" x14ac:dyDescent="0.5">
      <c r="A12">
        <v>8</v>
      </c>
      <c r="B12" t="s">
        <v>3326</v>
      </c>
      <c r="C12" t="s">
        <v>3329</v>
      </c>
      <c r="D12" s="56" t="s">
        <v>3328</v>
      </c>
      <c r="E12" s="56" t="s">
        <v>3328</v>
      </c>
      <c r="F12" s="58" t="s">
        <v>3314</v>
      </c>
    </row>
    <row r="13" spans="1:6" x14ac:dyDescent="0.5">
      <c r="A13">
        <v>9</v>
      </c>
      <c r="B13" t="s">
        <v>3326</v>
      </c>
      <c r="C13" t="s">
        <v>3330</v>
      </c>
      <c r="D13" s="56" t="s">
        <v>3328</v>
      </c>
      <c r="E13" s="56" t="s">
        <v>3328</v>
      </c>
      <c r="F13" s="58" t="s">
        <v>3314</v>
      </c>
    </row>
    <row r="14" spans="1:6" x14ac:dyDescent="0.5">
      <c r="A14">
        <v>10</v>
      </c>
      <c r="B14" t="s">
        <v>3331</v>
      </c>
      <c r="C14" t="s">
        <v>3332</v>
      </c>
      <c r="D14" s="56" t="s">
        <v>3333</v>
      </c>
      <c r="E14" s="56" t="s">
        <v>3333</v>
      </c>
      <c r="F14" s="58" t="s">
        <v>3314</v>
      </c>
    </row>
    <row r="15" spans="1:6" x14ac:dyDescent="0.5">
      <c r="A15">
        <v>11</v>
      </c>
      <c r="B15" t="s">
        <v>3331</v>
      </c>
      <c r="C15" t="s">
        <v>3334</v>
      </c>
      <c r="D15" s="56" t="s">
        <v>3328</v>
      </c>
      <c r="E15" s="56" t="s">
        <v>3328</v>
      </c>
      <c r="F15" s="58" t="s">
        <v>3314</v>
      </c>
    </row>
    <row r="16" spans="1:6" x14ac:dyDescent="0.5">
      <c r="A16">
        <v>12</v>
      </c>
      <c r="B16" t="s">
        <v>3360</v>
      </c>
      <c r="C16" t="s">
        <v>3361</v>
      </c>
      <c r="D16" s="56" t="s">
        <v>3362</v>
      </c>
      <c r="E16" s="56" t="s">
        <v>3362</v>
      </c>
      <c r="F16" s="58" t="s">
        <v>3314</v>
      </c>
    </row>
    <row r="17" spans="1:6" x14ac:dyDescent="0.5">
      <c r="A17">
        <v>13</v>
      </c>
      <c r="B17" t="s">
        <v>3360</v>
      </c>
      <c r="C17" t="s">
        <v>3363</v>
      </c>
      <c r="D17" s="56" t="s">
        <v>136</v>
      </c>
      <c r="E17" s="56" t="s">
        <v>136</v>
      </c>
      <c r="F17" s="58" t="s">
        <v>3314</v>
      </c>
    </row>
    <row r="18" spans="1:6" x14ac:dyDescent="0.5">
      <c r="A18">
        <v>14</v>
      </c>
      <c r="B18" t="s">
        <v>3360</v>
      </c>
      <c r="C18" t="s">
        <v>3364</v>
      </c>
      <c r="D18" s="56" t="s">
        <v>156</v>
      </c>
      <c r="E18" s="56" t="s">
        <v>156</v>
      </c>
      <c r="F18" s="58" t="s">
        <v>3314</v>
      </c>
    </row>
    <row r="19" spans="1:6" x14ac:dyDescent="0.5">
      <c r="A19">
        <v>15</v>
      </c>
      <c r="B19" t="s">
        <v>3360</v>
      </c>
      <c r="C19" t="s">
        <v>3365</v>
      </c>
      <c r="D19" s="56" t="s">
        <v>3366</v>
      </c>
      <c r="E19" s="56" t="s">
        <v>3366</v>
      </c>
      <c r="F19" s="58" t="s">
        <v>3314</v>
      </c>
    </row>
    <row r="20" spans="1:6" x14ac:dyDescent="0.5">
      <c r="A20">
        <v>16</v>
      </c>
      <c r="B20" t="s">
        <v>3360</v>
      </c>
      <c r="C20" t="s">
        <v>3367</v>
      </c>
      <c r="D20" s="56" t="s">
        <v>3328</v>
      </c>
      <c r="E20" s="56" t="s">
        <v>3328</v>
      </c>
      <c r="F20" s="58" t="s">
        <v>3314</v>
      </c>
    </row>
    <row r="21" spans="1:6" x14ac:dyDescent="0.5">
      <c r="A21">
        <v>17</v>
      </c>
      <c r="B21" t="s">
        <v>3360</v>
      </c>
      <c r="C21" t="s">
        <v>3368</v>
      </c>
      <c r="D21" s="56" t="s">
        <v>3288</v>
      </c>
      <c r="E21" s="56" t="s">
        <v>3288</v>
      </c>
      <c r="F21" s="58" t="s">
        <v>3314</v>
      </c>
    </row>
    <row r="22" spans="1:6" x14ac:dyDescent="0.5">
      <c r="A22">
        <v>18</v>
      </c>
      <c r="B22" t="s">
        <v>3369</v>
      </c>
      <c r="C22" t="s">
        <v>3370</v>
      </c>
      <c r="D22" s="56" t="s">
        <v>3371</v>
      </c>
      <c r="E22" s="56" t="s">
        <v>3371</v>
      </c>
      <c r="F22" s="58" t="s">
        <v>3314</v>
      </c>
    </row>
    <row r="23" spans="1:6" x14ac:dyDescent="0.5">
      <c r="A23">
        <v>19</v>
      </c>
      <c r="B23" t="s">
        <v>3369</v>
      </c>
      <c r="C23" t="s">
        <v>3372</v>
      </c>
      <c r="D23" s="56" t="s">
        <v>3373</v>
      </c>
      <c r="E23" s="56" t="s">
        <v>3373</v>
      </c>
      <c r="F23" s="58" t="s">
        <v>3314</v>
      </c>
    </row>
    <row r="24" spans="1:6" x14ac:dyDescent="0.5">
      <c r="A24">
        <v>20</v>
      </c>
      <c r="B24" t="s">
        <v>3369</v>
      </c>
      <c r="C24" t="s">
        <v>3374</v>
      </c>
      <c r="D24" s="56" t="s">
        <v>3375</v>
      </c>
      <c r="E24" s="56" t="s">
        <v>3375</v>
      </c>
      <c r="F24" s="58" t="s">
        <v>3314</v>
      </c>
    </row>
    <row r="25" spans="1:6" x14ac:dyDescent="0.5">
      <c r="A25">
        <v>21</v>
      </c>
      <c r="B25" t="s">
        <v>3376</v>
      </c>
      <c r="C25" t="s">
        <v>3377</v>
      </c>
      <c r="D25" s="56" t="s">
        <v>3328</v>
      </c>
      <c r="E25" s="56" t="s">
        <v>3328</v>
      </c>
      <c r="F25" s="58" t="s">
        <v>3314</v>
      </c>
    </row>
    <row r="26" spans="1:6" x14ac:dyDescent="0.5">
      <c r="A26">
        <v>22</v>
      </c>
      <c r="B26" t="s">
        <v>3376</v>
      </c>
      <c r="C26" t="s">
        <v>3378</v>
      </c>
      <c r="D26" s="56" t="s">
        <v>3328</v>
      </c>
      <c r="E26" s="56" t="s">
        <v>3328</v>
      </c>
      <c r="F26" s="58" t="s">
        <v>3314</v>
      </c>
    </row>
    <row r="27" spans="1:6" x14ac:dyDescent="0.5">
      <c r="A27">
        <v>23</v>
      </c>
      <c r="B27" t="s">
        <v>3379</v>
      </c>
      <c r="C27" t="s">
        <v>3380</v>
      </c>
      <c r="D27" s="56" t="s">
        <v>3321</v>
      </c>
      <c r="E27" s="56" t="s">
        <v>3321</v>
      </c>
      <c r="F27" s="58" t="s">
        <v>3314</v>
      </c>
    </row>
    <row r="28" spans="1:6" x14ac:dyDescent="0.5">
      <c r="A28">
        <v>24</v>
      </c>
      <c r="B28" t="s">
        <v>3379</v>
      </c>
      <c r="C28" t="s">
        <v>3381</v>
      </c>
      <c r="D28" s="56" t="s">
        <v>3325</v>
      </c>
      <c r="E28" s="56" t="s">
        <v>3325</v>
      </c>
      <c r="F28" s="58" t="s">
        <v>3314</v>
      </c>
    </row>
    <row r="29" spans="1:6" x14ac:dyDescent="0.5">
      <c r="A29">
        <v>25</v>
      </c>
      <c r="B29" t="s">
        <v>3382</v>
      </c>
      <c r="C29" t="s">
        <v>3383</v>
      </c>
      <c r="D29" s="56" t="s">
        <v>2631</v>
      </c>
      <c r="E29" s="56" t="s">
        <v>2631</v>
      </c>
      <c r="F29" s="58" t="s">
        <v>3314</v>
      </c>
    </row>
    <row r="30" spans="1:6" x14ac:dyDescent="0.5">
      <c r="A30">
        <v>26</v>
      </c>
      <c r="B30" t="s">
        <v>3382</v>
      </c>
      <c r="C30" t="s">
        <v>3384</v>
      </c>
      <c r="D30" s="56" t="s">
        <v>3385</v>
      </c>
      <c r="E30" s="56" t="s">
        <v>3385</v>
      </c>
      <c r="F30" s="58" t="s">
        <v>3314</v>
      </c>
    </row>
    <row r="31" spans="1:6" x14ac:dyDescent="0.5">
      <c r="A31">
        <v>27</v>
      </c>
      <c r="B31" t="s">
        <v>3382</v>
      </c>
      <c r="C31" t="s">
        <v>3386</v>
      </c>
      <c r="D31" s="56" t="s">
        <v>3328</v>
      </c>
      <c r="E31" s="56" t="s">
        <v>3328</v>
      </c>
      <c r="F31" s="58" t="s">
        <v>3314</v>
      </c>
    </row>
    <row r="32" spans="1:6" x14ac:dyDescent="0.5">
      <c r="A32">
        <v>28</v>
      </c>
      <c r="B32" t="s">
        <v>3387</v>
      </c>
      <c r="C32" t="s">
        <v>3388</v>
      </c>
      <c r="D32" s="56" t="s">
        <v>2631</v>
      </c>
      <c r="E32" s="56" t="s">
        <v>2631</v>
      </c>
      <c r="F32" s="58" t="s">
        <v>3314</v>
      </c>
    </row>
    <row r="33" spans="1:6" x14ac:dyDescent="0.5">
      <c r="A33">
        <v>29</v>
      </c>
      <c r="B33" t="s">
        <v>3387</v>
      </c>
      <c r="C33" t="s">
        <v>3389</v>
      </c>
      <c r="D33" s="56" t="s">
        <v>2631</v>
      </c>
      <c r="E33" s="56" t="s">
        <v>2631</v>
      </c>
      <c r="F33" s="58" t="s">
        <v>3314</v>
      </c>
    </row>
    <row r="34" spans="1:6" x14ac:dyDescent="0.5">
      <c r="A34">
        <v>30</v>
      </c>
      <c r="B34" t="s">
        <v>3387</v>
      </c>
      <c r="C34" t="s">
        <v>3390</v>
      </c>
      <c r="D34" s="56" t="s">
        <v>3385</v>
      </c>
      <c r="E34" s="56" t="s">
        <v>3385</v>
      </c>
      <c r="F34" s="58" t="s">
        <v>3314</v>
      </c>
    </row>
    <row r="35" spans="1:6" x14ac:dyDescent="0.5">
      <c r="A35">
        <v>31</v>
      </c>
      <c r="B35" t="s">
        <v>3387</v>
      </c>
      <c r="C35" t="s">
        <v>3391</v>
      </c>
      <c r="D35" s="56" t="s">
        <v>3385</v>
      </c>
      <c r="E35" s="56" t="s">
        <v>3385</v>
      </c>
      <c r="F35" s="58" t="s">
        <v>3314</v>
      </c>
    </row>
    <row r="36" spans="1:6" x14ac:dyDescent="0.5">
      <c r="A36">
        <v>32</v>
      </c>
      <c r="B36" t="s">
        <v>3392</v>
      </c>
      <c r="C36" t="s">
        <v>3393</v>
      </c>
      <c r="D36" s="56" t="s">
        <v>3328</v>
      </c>
      <c r="E36" s="56" t="s">
        <v>3328</v>
      </c>
      <c r="F36" s="58" t="s">
        <v>3314</v>
      </c>
    </row>
    <row r="37" spans="1:6" x14ac:dyDescent="0.5">
      <c r="A37">
        <v>33</v>
      </c>
      <c r="B37" t="s">
        <v>3392</v>
      </c>
      <c r="C37" t="s">
        <v>3394</v>
      </c>
      <c r="D37" s="56" t="s">
        <v>3328</v>
      </c>
      <c r="E37" s="56" t="s">
        <v>3328</v>
      </c>
      <c r="F37" s="58" t="s">
        <v>3314</v>
      </c>
    </row>
    <row r="38" spans="1:6" x14ac:dyDescent="0.5">
      <c r="A38">
        <v>34</v>
      </c>
      <c r="B38" t="s">
        <v>3392</v>
      </c>
      <c r="C38" t="s">
        <v>3395</v>
      </c>
      <c r="D38" s="56" t="s">
        <v>3349</v>
      </c>
      <c r="E38" s="56" t="s">
        <v>3349</v>
      </c>
      <c r="F38" s="58" t="s">
        <v>3314</v>
      </c>
    </row>
    <row r="39" spans="1:6" x14ac:dyDescent="0.5">
      <c r="A39">
        <v>35</v>
      </c>
      <c r="B39" t="s">
        <v>3392</v>
      </c>
      <c r="C39" t="s">
        <v>3396</v>
      </c>
      <c r="D39" s="56" t="s">
        <v>3350</v>
      </c>
      <c r="E39" s="56" t="s">
        <v>3350</v>
      </c>
      <c r="F39" s="58" t="s">
        <v>3314</v>
      </c>
    </row>
    <row r="40" spans="1:6" x14ac:dyDescent="0.5">
      <c r="A40">
        <v>36</v>
      </c>
      <c r="B40" t="s">
        <v>3392</v>
      </c>
      <c r="C40" t="s">
        <v>3397</v>
      </c>
      <c r="D40" s="56" t="s">
        <v>2937</v>
      </c>
      <c r="E40" s="56" t="s">
        <v>2937</v>
      </c>
      <c r="F40" s="58" t="s">
        <v>3314</v>
      </c>
    </row>
    <row r="41" spans="1:6" x14ac:dyDescent="0.5">
      <c r="A41">
        <v>37</v>
      </c>
      <c r="B41" t="s">
        <v>3392</v>
      </c>
      <c r="C41" t="s">
        <v>3398</v>
      </c>
      <c r="D41" s="56" t="s">
        <v>136</v>
      </c>
      <c r="E41" s="56" t="s">
        <v>136</v>
      </c>
      <c r="F41" s="58" t="s">
        <v>3314</v>
      </c>
    </row>
    <row r="42" spans="1:6" x14ac:dyDescent="0.5">
      <c r="A42">
        <v>38</v>
      </c>
      <c r="B42" t="s">
        <v>3392</v>
      </c>
      <c r="C42" t="s">
        <v>3399</v>
      </c>
      <c r="D42" s="56" t="s">
        <v>2938</v>
      </c>
      <c r="E42" s="56" t="s">
        <v>2938</v>
      </c>
      <c r="F42" s="58" t="s">
        <v>3314</v>
      </c>
    </row>
    <row r="43" spans="1:6" x14ac:dyDescent="0.5">
      <c r="A43">
        <v>39</v>
      </c>
      <c r="B43" t="s">
        <v>3392</v>
      </c>
      <c r="C43" t="s">
        <v>3400</v>
      </c>
      <c r="D43" s="56" t="s">
        <v>577</v>
      </c>
      <c r="E43" s="56" t="s">
        <v>577</v>
      </c>
      <c r="F43" s="58" t="s">
        <v>3314</v>
      </c>
    </row>
    <row r="44" spans="1:6" x14ac:dyDescent="0.5">
      <c r="A44">
        <v>40</v>
      </c>
      <c r="B44" t="s">
        <v>3401</v>
      </c>
      <c r="C44" t="s">
        <v>3402</v>
      </c>
      <c r="D44" s="56" t="s">
        <v>3328</v>
      </c>
      <c r="E44" s="56" t="s">
        <v>3328</v>
      </c>
      <c r="F44" s="58" t="s">
        <v>3314</v>
      </c>
    </row>
    <row r="45" spans="1:6" x14ac:dyDescent="0.5">
      <c r="A45">
        <v>41</v>
      </c>
      <c r="B45" t="s">
        <v>3401</v>
      </c>
      <c r="C45" t="s">
        <v>3403</v>
      </c>
      <c r="D45" s="56" t="s">
        <v>3328</v>
      </c>
      <c r="E45" s="56" t="s">
        <v>3328</v>
      </c>
      <c r="F45" s="58" t="s">
        <v>3314</v>
      </c>
    </row>
    <row r="46" spans="1:6" x14ac:dyDescent="0.5">
      <c r="A46">
        <v>42</v>
      </c>
      <c r="B46" t="s">
        <v>3401</v>
      </c>
      <c r="C46" t="s">
        <v>3404</v>
      </c>
      <c r="D46" s="56" t="s">
        <v>2937</v>
      </c>
      <c r="E46" s="56" t="s">
        <v>2937</v>
      </c>
      <c r="F46" s="58" t="s">
        <v>3314</v>
      </c>
    </row>
    <row r="47" spans="1:6" x14ac:dyDescent="0.5">
      <c r="A47">
        <v>43</v>
      </c>
      <c r="B47" t="s">
        <v>3401</v>
      </c>
      <c r="C47" t="s">
        <v>3398</v>
      </c>
      <c r="D47" s="56" t="s">
        <v>136</v>
      </c>
      <c r="E47" s="56" t="s">
        <v>136</v>
      </c>
      <c r="F47" s="58" t="s">
        <v>3314</v>
      </c>
    </row>
    <row r="48" spans="1:6" x14ac:dyDescent="0.5">
      <c r="A48">
        <v>44</v>
      </c>
      <c r="B48" t="s">
        <v>3401</v>
      </c>
      <c r="C48" t="s">
        <v>3405</v>
      </c>
      <c r="D48" s="56" t="s">
        <v>3406</v>
      </c>
      <c r="E48" s="56" t="s">
        <v>3406</v>
      </c>
      <c r="F48" s="58" t="s">
        <v>3314</v>
      </c>
    </row>
    <row r="49" spans="1:6" x14ac:dyDescent="0.5">
      <c r="A49">
        <v>45</v>
      </c>
      <c r="B49" t="s">
        <v>3401</v>
      </c>
      <c r="C49" t="s">
        <v>3407</v>
      </c>
      <c r="D49" s="56" t="s">
        <v>2938</v>
      </c>
      <c r="E49" s="56" t="s">
        <v>2938</v>
      </c>
      <c r="F49" s="58" t="s">
        <v>3314</v>
      </c>
    </row>
    <row r="50" spans="1:6" x14ac:dyDescent="0.5">
      <c r="A50">
        <v>46</v>
      </c>
      <c r="B50" t="s">
        <v>3401</v>
      </c>
      <c r="C50" t="s">
        <v>3400</v>
      </c>
      <c r="D50" s="56" t="s">
        <v>577</v>
      </c>
      <c r="E50" s="56" t="s">
        <v>577</v>
      </c>
      <c r="F50" s="58" t="s">
        <v>3314</v>
      </c>
    </row>
    <row r="51" spans="1:6" x14ac:dyDescent="0.5">
      <c r="A51">
        <v>47</v>
      </c>
      <c r="B51" t="s">
        <v>3401</v>
      </c>
      <c r="C51" t="s">
        <v>3408</v>
      </c>
      <c r="D51" s="56" t="s">
        <v>3409</v>
      </c>
      <c r="E51" s="56" t="s">
        <v>3409</v>
      </c>
      <c r="F51" s="58" t="s">
        <v>3314</v>
      </c>
    </row>
    <row r="52" spans="1:6" x14ac:dyDescent="0.5">
      <c r="A52">
        <v>48</v>
      </c>
      <c r="B52" t="s">
        <v>3410</v>
      </c>
      <c r="C52" t="s">
        <v>3411</v>
      </c>
      <c r="D52" s="56" t="s">
        <v>3328</v>
      </c>
      <c r="E52" s="56" t="s">
        <v>3328</v>
      </c>
      <c r="F52" s="58" t="s">
        <v>3314</v>
      </c>
    </row>
    <row r="53" spans="1:6" x14ac:dyDescent="0.5">
      <c r="A53">
        <v>49</v>
      </c>
      <c r="B53" t="s">
        <v>3410</v>
      </c>
      <c r="C53" t="s">
        <v>3412</v>
      </c>
      <c r="D53" s="56" t="s">
        <v>3328</v>
      </c>
      <c r="E53" s="56" t="s">
        <v>3328</v>
      </c>
      <c r="F53" s="58" t="s">
        <v>3314</v>
      </c>
    </row>
    <row r="54" spans="1:6" x14ac:dyDescent="0.5">
      <c r="A54">
        <v>50</v>
      </c>
      <c r="B54" t="s">
        <v>3410</v>
      </c>
      <c r="C54" t="s">
        <v>3395</v>
      </c>
      <c r="D54" s="56" t="s">
        <v>3352</v>
      </c>
      <c r="E54" s="56" t="s">
        <v>3352</v>
      </c>
      <c r="F54" s="58" t="s">
        <v>3314</v>
      </c>
    </row>
    <row r="55" spans="1:6" x14ac:dyDescent="0.5">
      <c r="A55">
        <v>51</v>
      </c>
      <c r="B55" t="s">
        <v>3410</v>
      </c>
      <c r="C55" t="s">
        <v>3413</v>
      </c>
      <c r="D55" s="56" t="s">
        <v>2925</v>
      </c>
      <c r="E55" s="56" t="s">
        <v>2925</v>
      </c>
      <c r="F55" s="58" t="s">
        <v>3314</v>
      </c>
    </row>
    <row r="56" spans="1:6" x14ac:dyDescent="0.5">
      <c r="A56">
        <v>52</v>
      </c>
      <c r="B56" t="s">
        <v>3410</v>
      </c>
      <c r="C56" t="s">
        <v>3414</v>
      </c>
      <c r="D56" s="56" t="s">
        <v>3063</v>
      </c>
      <c r="E56" s="56" t="s">
        <v>3063</v>
      </c>
      <c r="F56" s="58" t="s">
        <v>3314</v>
      </c>
    </row>
    <row r="57" spans="1:6" x14ac:dyDescent="0.5">
      <c r="A57">
        <v>53</v>
      </c>
      <c r="B57" t="s">
        <v>3410</v>
      </c>
      <c r="C57" t="s">
        <v>3415</v>
      </c>
      <c r="D57" s="56" t="s">
        <v>3321</v>
      </c>
      <c r="E57" s="56" t="s">
        <v>3321</v>
      </c>
      <c r="F57" s="58" t="s">
        <v>3314</v>
      </c>
    </row>
    <row r="58" spans="1:6" x14ac:dyDescent="0.5">
      <c r="A58">
        <v>54</v>
      </c>
      <c r="B58" t="s">
        <v>3416</v>
      </c>
      <c r="C58" t="s">
        <v>3417</v>
      </c>
      <c r="D58" s="56" t="s">
        <v>137</v>
      </c>
      <c r="E58" s="56" t="s">
        <v>137</v>
      </c>
      <c r="F58" s="58" t="s">
        <v>3314</v>
      </c>
    </row>
    <row r="59" spans="1:6" x14ac:dyDescent="0.5">
      <c r="A59">
        <v>55</v>
      </c>
      <c r="B59" t="s">
        <v>3416</v>
      </c>
      <c r="C59" t="s">
        <v>3418</v>
      </c>
      <c r="D59" s="56" t="s">
        <v>2633</v>
      </c>
      <c r="E59" s="56" t="s">
        <v>2633</v>
      </c>
      <c r="F59" s="58" t="s">
        <v>3314</v>
      </c>
    </row>
    <row r="60" spans="1:6" x14ac:dyDescent="0.5">
      <c r="A60">
        <v>56</v>
      </c>
      <c r="B60" t="s">
        <v>3416</v>
      </c>
      <c r="C60" t="s">
        <v>3419</v>
      </c>
      <c r="D60" s="56" t="s">
        <v>3420</v>
      </c>
      <c r="E60" s="56" t="s">
        <v>3420</v>
      </c>
      <c r="F60" s="58" t="s">
        <v>3314</v>
      </c>
    </row>
    <row r="61" spans="1:6" x14ac:dyDescent="0.5">
      <c r="A61">
        <v>57</v>
      </c>
      <c r="B61" t="s">
        <v>3416</v>
      </c>
      <c r="C61" t="s">
        <v>3421</v>
      </c>
      <c r="D61" s="56" t="s">
        <v>3422</v>
      </c>
      <c r="E61" s="56" t="s">
        <v>3422</v>
      </c>
      <c r="F61" s="58" t="s">
        <v>3314</v>
      </c>
    </row>
    <row r="62" spans="1:6" x14ac:dyDescent="0.5">
      <c r="A62">
        <v>58</v>
      </c>
      <c r="B62" t="s">
        <v>3423</v>
      </c>
      <c r="C62" t="s">
        <v>3424</v>
      </c>
      <c r="D62" s="56" t="s">
        <v>3328</v>
      </c>
      <c r="E62" s="56" t="s">
        <v>3328</v>
      </c>
      <c r="F62" s="58" t="s">
        <v>3314</v>
      </c>
    </row>
    <row r="63" spans="1:6" x14ac:dyDescent="0.5">
      <c r="A63">
        <v>59</v>
      </c>
      <c r="B63" t="s">
        <v>3423</v>
      </c>
      <c r="C63" t="s">
        <v>3425</v>
      </c>
      <c r="D63" s="56" t="s">
        <v>3328</v>
      </c>
      <c r="E63" s="56" t="s">
        <v>3328</v>
      </c>
      <c r="F63" s="58" t="s">
        <v>3314</v>
      </c>
    </row>
    <row r="64" spans="1:6" x14ac:dyDescent="0.5">
      <c r="A64">
        <v>60</v>
      </c>
      <c r="B64" t="s">
        <v>3426</v>
      </c>
      <c r="C64" t="s">
        <v>3427</v>
      </c>
      <c r="D64" s="56" t="s">
        <v>3428</v>
      </c>
      <c r="E64" s="56" t="s">
        <v>3428</v>
      </c>
      <c r="F64" s="58" t="s">
        <v>3314</v>
      </c>
    </row>
    <row r="65" spans="1:6" x14ac:dyDescent="0.5">
      <c r="A65">
        <v>61</v>
      </c>
      <c r="B65" t="s">
        <v>3426</v>
      </c>
      <c r="C65" t="s">
        <v>3429</v>
      </c>
      <c r="D65" s="56" t="s">
        <v>3318</v>
      </c>
      <c r="E65" s="56" t="s">
        <v>3318</v>
      </c>
      <c r="F65" s="58" t="s">
        <v>3314</v>
      </c>
    </row>
    <row r="66" spans="1:6" x14ac:dyDescent="0.5">
      <c r="A66">
        <v>62</v>
      </c>
      <c r="B66" t="s">
        <v>3430</v>
      </c>
      <c r="C66" t="s">
        <v>3431</v>
      </c>
      <c r="D66" s="56" t="s">
        <v>3328</v>
      </c>
      <c r="E66" s="56" t="s">
        <v>3328</v>
      </c>
      <c r="F66" s="58" t="s">
        <v>3314</v>
      </c>
    </row>
    <row r="67" spans="1:6" x14ac:dyDescent="0.5">
      <c r="A67">
        <v>63</v>
      </c>
      <c r="B67" t="s">
        <v>3432</v>
      </c>
      <c r="C67" t="s">
        <v>3433</v>
      </c>
      <c r="D67" s="56" t="s">
        <v>3328</v>
      </c>
      <c r="E67" s="56" t="s">
        <v>3328</v>
      </c>
      <c r="F67" s="58" t="s">
        <v>3314</v>
      </c>
    </row>
    <row r="68" spans="1:6" x14ac:dyDescent="0.5">
      <c r="A68">
        <v>64</v>
      </c>
      <c r="B68" t="s">
        <v>3432</v>
      </c>
      <c r="C68" t="s">
        <v>3434</v>
      </c>
      <c r="D68" s="56" t="s">
        <v>3328</v>
      </c>
      <c r="E68" s="56" t="s">
        <v>3328</v>
      </c>
      <c r="F68" s="58" t="s">
        <v>3314</v>
      </c>
    </row>
    <row r="69" spans="1:6" x14ac:dyDescent="0.5">
      <c r="A69">
        <v>65</v>
      </c>
      <c r="B69" t="s">
        <v>3432</v>
      </c>
      <c r="C69" t="s">
        <v>3474</v>
      </c>
      <c r="D69" s="56" t="s">
        <v>3328</v>
      </c>
      <c r="E69" s="56" t="s">
        <v>3328</v>
      </c>
      <c r="F69" s="58" t="s">
        <v>3314</v>
      </c>
    </row>
    <row r="70" spans="1:6" x14ac:dyDescent="0.5">
      <c r="A70">
        <v>66</v>
      </c>
      <c r="B70" t="s">
        <v>3432</v>
      </c>
      <c r="C70" t="s">
        <v>3475</v>
      </c>
      <c r="D70" s="56" t="s">
        <v>3328</v>
      </c>
      <c r="E70" s="56" t="s">
        <v>3328</v>
      </c>
      <c r="F70" s="58" t="s">
        <v>3314</v>
      </c>
    </row>
    <row r="71" spans="1:6" x14ac:dyDescent="0.5">
      <c r="A71">
        <v>67</v>
      </c>
      <c r="B71" t="s">
        <v>3432</v>
      </c>
      <c r="C71" t="s">
        <v>3476</v>
      </c>
      <c r="D71" s="56" t="s">
        <v>3328</v>
      </c>
      <c r="E71" s="56" t="s">
        <v>3328</v>
      </c>
      <c r="F71" s="58" t="s">
        <v>3314</v>
      </c>
    </row>
    <row r="72" spans="1:6" x14ac:dyDescent="0.5">
      <c r="A72">
        <v>68</v>
      </c>
      <c r="B72" t="s">
        <v>3432</v>
      </c>
      <c r="C72" t="s">
        <v>3477</v>
      </c>
      <c r="D72" s="56" t="s">
        <v>3328</v>
      </c>
      <c r="E72" s="56" t="s">
        <v>3328</v>
      </c>
      <c r="F72" s="58" t="s">
        <v>3314</v>
      </c>
    </row>
    <row r="73" spans="1:6" x14ac:dyDescent="0.5">
      <c r="A73">
        <v>69</v>
      </c>
      <c r="B73" t="s">
        <v>3435</v>
      </c>
      <c r="C73" t="s">
        <v>3436</v>
      </c>
      <c r="D73" s="56" t="s">
        <v>3328</v>
      </c>
      <c r="E73" s="56" t="s">
        <v>3328</v>
      </c>
      <c r="F73" s="58" t="s">
        <v>3314</v>
      </c>
    </row>
    <row r="74" spans="1:6" x14ac:dyDescent="0.5">
      <c r="A74">
        <v>70</v>
      </c>
      <c r="B74" t="s">
        <v>3437</v>
      </c>
      <c r="C74" t="s">
        <v>3438</v>
      </c>
      <c r="D74" s="56" t="s">
        <v>161</v>
      </c>
      <c r="E74" s="56" t="s">
        <v>161</v>
      </c>
      <c r="F74" s="58" t="s">
        <v>3314</v>
      </c>
    </row>
    <row r="75" spans="1:6" x14ac:dyDescent="0.5">
      <c r="A75">
        <v>71</v>
      </c>
      <c r="B75" t="s">
        <v>3437</v>
      </c>
      <c r="C75" t="s">
        <v>3439</v>
      </c>
      <c r="D75" s="56" t="s">
        <v>3226</v>
      </c>
      <c r="E75" s="56" t="s">
        <v>3226</v>
      </c>
      <c r="F75" s="58" t="s">
        <v>3314</v>
      </c>
    </row>
    <row r="76" spans="1:6" x14ac:dyDescent="0.5">
      <c r="A76">
        <v>72</v>
      </c>
      <c r="B76" t="s">
        <v>3440</v>
      </c>
      <c r="C76" t="s">
        <v>3441</v>
      </c>
      <c r="D76" s="56" t="s">
        <v>3328</v>
      </c>
      <c r="E76" s="56" t="s">
        <v>3328</v>
      </c>
      <c r="F76" s="58" t="s">
        <v>3314</v>
      </c>
    </row>
    <row r="77" spans="1:6" x14ac:dyDescent="0.5">
      <c r="A77">
        <v>73</v>
      </c>
      <c r="B77" t="s">
        <v>3440</v>
      </c>
      <c r="C77" t="s">
        <v>3442</v>
      </c>
      <c r="D77" s="56" t="s">
        <v>3328</v>
      </c>
      <c r="E77" s="56" t="s">
        <v>3328</v>
      </c>
      <c r="F77" s="58" t="s">
        <v>3314</v>
      </c>
    </row>
    <row r="78" spans="1:6" x14ac:dyDescent="0.5">
      <c r="A78">
        <v>74</v>
      </c>
      <c r="B78" t="s">
        <v>3440</v>
      </c>
      <c r="C78" t="s">
        <v>3443</v>
      </c>
      <c r="D78" s="56" t="s">
        <v>3357</v>
      </c>
      <c r="E78" s="56" t="s">
        <v>3357</v>
      </c>
      <c r="F78" s="58" t="s">
        <v>3314</v>
      </c>
    </row>
    <row r="79" spans="1:6" x14ac:dyDescent="0.5">
      <c r="A79">
        <v>75</v>
      </c>
      <c r="B79" t="s">
        <v>3440</v>
      </c>
      <c r="C79" t="s">
        <v>3444</v>
      </c>
      <c r="D79" s="56" t="s">
        <v>3358</v>
      </c>
      <c r="E79" s="56" t="s">
        <v>3358</v>
      </c>
      <c r="F79" s="58" t="s">
        <v>3314</v>
      </c>
    </row>
    <row r="80" spans="1:6" x14ac:dyDescent="0.5">
      <c r="A80">
        <v>76</v>
      </c>
      <c r="B80" t="s">
        <v>3440</v>
      </c>
      <c r="C80" t="s">
        <v>3445</v>
      </c>
      <c r="D80" s="56" t="s">
        <v>3222</v>
      </c>
      <c r="E80" s="56" t="s">
        <v>3222</v>
      </c>
      <c r="F80" s="58" t="s">
        <v>3314</v>
      </c>
    </row>
    <row r="81" spans="1:6" x14ac:dyDescent="0.5">
      <c r="A81">
        <v>77</v>
      </c>
      <c r="B81" t="s">
        <v>3440</v>
      </c>
      <c r="C81" t="s">
        <v>3446</v>
      </c>
      <c r="D81" s="56" t="s">
        <v>3447</v>
      </c>
      <c r="E81" s="56" t="s">
        <v>3447</v>
      </c>
      <c r="F81" s="58" t="s">
        <v>3314</v>
      </c>
    </row>
    <row r="82" spans="1:6" x14ac:dyDescent="0.5">
      <c r="A82">
        <v>78</v>
      </c>
      <c r="B82" t="s">
        <v>3440</v>
      </c>
      <c r="C82" t="s">
        <v>3448</v>
      </c>
      <c r="D82" s="56" t="s">
        <v>3222</v>
      </c>
      <c r="E82" s="56" t="s">
        <v>3222</v>
      </c>
      <c r="F82" s="58" t="s">
        <v>3314</v>
      </c>
    </row>
    <row r="83" spans="1:6" x14ac:dyDescent="0.5">
      <c r="A83">
        <v>79</v>
      </c>
      <c r="B83" t="s">
        <v>3440</v>
      </c>
      <c r="C83" t="s">
        <v>3449</v>
      </c>
      <c r="D83" s="56" t="s">
        <v>3450</v>
      </c>
      <c r="E83" s="56" t="s">
        <v>3450</v>
      </c>
      <c r="F83" s="58" t="s">
        <v>3314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23993-9BCE-401B-BDC7-9C98DE9556E6}">
  <sheetPr codeName="Sheet53"/>
  <dimension ref="A1:S60"/>
  <sheetViews>
    <sheetView topLeftCell="A18" workbookViewId="0">
      <selection activeCell="B21" sqref="B21"/>
    </sheetView>
  </sheetViews>
  <sheetFormatPr defaultRowHeight="21" x14ac:dyDescent="0.5"/>
  <cols>
    <col min="1" max="1" width="4" customWidth="1"/>
    <col min="2" max="2" width="26" customWidth="1"/>
    <col min="4" max="6" width="5" customWidth="1"/>
    <col min="11" max="11" width="6" customWidth="1"/>
    <col min="13" max="14" width="6" customWidth="1"/>
    <col min="16" max="17" width="6" customWidth="1"/>
    <col min="19" max="19" width="9" customWidth="1"/>
  </cols>
  <sheetData>
    <row r="1" spans="1:19" ht="231" customHeight="1" x14ac:dyDescent="0.5">
      <c r="A1" s="45" t="s">
        <v>0</v>
      </c>
      <c r="B1" s="83" t="str" cm="1">
        <f t="array" aca="1" ref="B1" ca="1">_xlfn.LET(_xlpm.fn, CELL("filename",$A$1), _xlpm.nm, MID(_xlpm.fn, FIND("]", _xlpm.fn) + 1, 255), _xlfn.XLOOKUP(_xlpm.nm &amp; "(*", Lamb!$A$2:$A$1000, Lamb!$A$2:$A$1000, "", 2))</f>
        <v>ad_to_cont(ad_or_rng, arr)</v>
      </c>
      <c r="C1" s="79"/>
      <c r="D1" s="79"/>
      <c r="E1" s="79"/>
      <c r="F1" s="80"/>
      <c r="H1" s="45" t="s">
        <v>2</v>
      </c>
      <c r="I1" s="78" t="str" cm="1">
        <f t="array" aca="1" ref="I1" ca="1">_xlfn.LET(_xlpm.fn, CELL("filename",$A$1), _xlpm.nm, MID(_xlpm.fn, FIND("]", _xlpm.fn) + 1, 255), _xlfn.XLOOKUP(_xlpm.nm &amp; "(*", Lamb!$A$2:$A$1000, Lamb!$D$2:$D$1000, "", 2))</f>
        <v>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v>
      </c>
      <c r="C2" s="82"/>
      <c r="D2" s="82"/>
      <c r="E2" s="82"/>
      <c r="F2" s="82"/>
      <c r="G2" s="82"/>
      <c r="H2" s="82"/>
      <c r="I2" s="82"/>
      <c r="J2" s="82"/>
      <c r="K2" s="82"/>
      <c r="L2" s="82"/>
      <c r="M2" s="82"/>
      <c r="N2" s="82"/>
      <c r="O2" s="82"/>
      <c r="P2" s="82"/>
      <c r="Q2" s="82"/>
      <c r="R2" s="82"/>
    </row>
    <row r="4" spans="1:19" x14ac:dyDescent="0.5">
      <c r="A4" s="45" t="s">
        <v>3490</v>
      </c>
      <c r="S4" s="45" t="str">
        <f>COUNTIF(S11:S60,"PASS")&amp;" / 8 PASS"</f>
        <v>8 / 8 PASS</v>
      </c>
    </row>
    <row r="5" spans="1:19" x14ac:dyDescent="0.5">
      <c r="B5" s="45" t="s">
        <v>8</v>
      </c>
      <c r="M5" s="48" t="s">
        <v>10</v>
      </c>
      <c r="P5" s="49" t="s">
        <v>11</v>
      </c>
      <c r="S5" s="50" t="s">
        <v>12</v>
      </c>
    </row>
    <row r="6" spans="1:19" x14ac:dyDescent="0.5">
      <c r="D6" s="45" t="s">
        <v>2910</v>
      </c>
      <c r="K6" s="45" t="s">
        <v>2911</v>
      </c>
    </row>
    <row r="7" spans="1:19" x14ac:dyDescent="0.5">
      <c r="D7" s="51">
        <v>10</v>
      </c>
      <c r="E7" s="51">
        <v>20</v>
      </c>
      <c r="F7" s="51">
        <v>30</v>
      </c>
      <c r="I7">
        <v>0</v>
      </c>
      <c r="K7" s="51" t="s">
        <v>2912</v>
      </c>
    </row>
    <row r="8" spans="1:19" x14ac:dyDescent="0.5">
      <c r="D8" s="51">
        <v>40</v>
      </c>
      <c r="E8" s="51">
        <v>50</v>
      </c>
      <c r="F8" s="51">
        <v>60</v>
      </c>
      <c r="H8">
        <v>1</v>
      </c>
      <c r="K8" s="51" t="s">
        <v>2913</v>
      </c>
    </row>
    <row r="9" spans="1:19" x14ac:dyDescent="0.5">
      <c r="D9" s="51">
        <v>70</v>
      </c>
      <c r="E9" s="51">
        <v>80</v>
      </c>
      <c r="F9" s="51">
        <v>90</v>
      </c>
    </row>
    <row r="10" spans="1:19" x14ac:dyDescent="0.5">
      <c r="E10" s="51"/>
    </row>
    <row r="11" spans="1:19" x14ac:dyDescent="0.5">
      <c r="B11" s="47" t="s">
        <v>3491</v>
      </c>
      <c r="E11" s="51"/>
      <c r="M11" s="52">
        <v>50</v>
      </c>
      <c r="N11" s="52"/>
      <c r="P11" s="53" cm="1">
        <f t="array" ref="P11">ad_to_cont("E8",D7:F9)</f>
        <v>50</v>
      </c>
      <c r="Q11" s="53"/>
      <c r="S11" s="54" t="str">
        <f>IF(P11=M11,"PASS","FAIL")</f>
        <v>PASS</v>
      </c>
    </row>
    <row r="12" spans="1:19" x14ac:dyDescent="0.5">
      <c r="B12" s="47"/>
      <c r="E12" s="51"/>
      <c r="M12" s="52"/>
      <c r="N12" s="52"/>
      <c r="P12" s="53"/>
      <c r="Q12" s="53"/>
      <c r="S12" s="54"/>
    </row>
    <row r="13" spans="1:19" x14ac:dyDescent="0.5">
      <c r="B13" s="47" t="s">
        <v>2914</v>
      </c>
      <c r="E13" s="51"/>
      <c r="M13" s="52">
        <v>50</v>
      </c>
      <c r="N13" s="52"/>
      <c r="P13" s="53" cm="1">
        <f t="array" ref="P13">ad_to_cont(8000005,D7:F9)</f>
        <v>50</v>
      </c>
      <c r="Q13" s="53"/>
      <c r="S13" s="54" t="str">
        <f>IF(P13=M13,"PASS","FAIL")</f>
        <v>PASS</v>
      </c>
    </row>
    <row r="14" spans="1:19" x14ac:dyDescent="0.5">
      <c r="E14" s="51"/>
      <c r="M14" s="52"/>
      <c r="N14" s="52"/>
      <c r="P14" s="53"/>
      <c r="Q14" s="53"/>
      <c r="S14" s="54"/>
    </row>
    <row r="15" spans="1:19" x14ac:dyDescent="0.5">
      <c r="B15" s="47" t="s">
        <v>3492</v>
      </c>
      <c r="E15" s="51"/>
      <c r="M15" s="52">
        <v>10</v>
      </c>
      <c r="N15" s="52">
        <v>20</v>
      </c>
      <c r="P15" s="53" cm="1">
        <f t="array" ref="P15:Q16">ad_to_cont("D7:E8",D7:F9)</f>
        <v>10</v>
      </c>
      <c r="Q15" s="53">
        <v>20</v>
      </c>
      <c r="S15" s="54" t="str" cm="1">
        <f t="array" ref="S15">IF(AND(M15:N16=P15:Q16),"PASS","FAIL")</f>
        <v>PASS</v>
      </c>
    </row>
    <row r="16" spans="1:19" x14ac:dyDescent="0.5">
      <c r="B16" s="47"/>
      <c r="E16" s="51"/>
      <c r="M16" s="52">
        <v>40</v>
      </c>
      <c r="N16" s="52">
        <v>50</v>
      </c>
      <c r="P16" s="53">
        <v>40</v>
      </c>
      <c r="Q16" s="53">
        <v>50</v>
      </c>
      <c r="S16" s="54"/>
    </row>
    <row r="17" spans="2:19" x14ac:dyDescent="0.5">
      <c r="E17" s="51"/>
      <c r="M17" s="52"/>
      <c r="N17" s="52"/>
      <c r="P17" s="53"/>
      <c r="Q17" s="53"/>
      <c r="S17" s="54"/>
    </row>
    <row r="18" spans="2:19" x14ac:dyDescent="0.5">
      <c r="B18" s="47" t="s">
        <v>3493</v>
      </c>
      <c r="E18" s="51"/>
      <c r="M18" s="52">
        <v>10</v>
      </c>
      <c r="N18" s="52">
        <v>20</v>
      </c>
      <c r="P18" s="53" cm="1">
        <f t="array" ref="P18:Q19">ad_to_cont("7000004:8000005",D7:F9)</f>
        <v>10</v>
      </c>
      <c r="Q18" s="53">
        <v>20</v>
      </c>
      <c r="S18" s="54" t="str" cm="1">
        <f t="array" ref="S18">IF(AND(M18:N19=P18:Q19),"PASS","FAIL")</f>
        <v>PASS</v>
      </c>
    </row>
    <row r="19" spans="2:19" x14ac:dyDescent="0.5">
      <c r="B19" s="47"/>
      <c r="E19" s="51"/>
      <c r="M19" s="52">
        <v>40</v>
      </c>
      <c r="N19" s="52">
        <v>50</v>
      </c>
      <c r="P19" s="53">
        <v>40</v>
      </c>
      <c r="Q19" s="53">
        <v>50</v>
      </c>
      <c r="S19" s="54"/>
    </row>
    <row r="20" spans="2:19" x14ac:dyDescent="0.5">
      <c r="E20" s="51"/>
      <c r="M20" s="52"/>
      <c r="N20" s="52"/>
      <c r="P20" s="53"/>
      <c r="Q20" s="53"/>
      <c r="S20" s="54"/>
    </row>
    <row r="21" spans="2:19" x14ac:dyDescent="0.5">
      <c r="B21" s="47" t="s">
        <v>2915</v>
      </c>
      <c r="E21" s="51"/>
      <c r="M21" s="52">
        <v>10</v>
      </c>
      <c r="N21" s="52"/>
      <c r="P21" s="53" cm="1">
        <f t="array" ref="P21:P22">ad_to_cont(K7:K8,D7:F9)</f>
        <v>10</v>
      </c>
      <c r="Q21" s="53"/>
      <c r="S21" s="54" t="str" cm="1">
        <f t="array" ref="S21">IF(AND(M21:M22=P21:P22),"PASS","FAIL")</f>
        <v>PASS</v>
      </c>
    </row>
    <row r="22" spans="2:19" x14ac:dyDescent="0.5">
      <c r="E22" s="51"/>
      <c r="M22" s="52">
        <v>90</v>
      </c>
      <c r="N22" s="52"/>
      <c r="P22" s="53">
        <v>90</v>
      </c>
      <c r="Q22" s="53"/>
      <c r="S22" s="54"/>
    </row>
    <row r="23" spans="2:19" x14ac:dyDescent="0.5">
      <c r="E23" s="51"/>
      <c r="M23" s="52"/>
      <c r="N23" s="52"/>
      <c r="P23" s="53"/>
      <c r="Q23" s="53"/>
      <c r="S23" s="54"/>
    </row>
    <row r="24" spans="2:19" x14ac:dyDescent="0.5">
      <c r="B24" s="47" t="s">
        <v>3494</v>
      </c>
      <c r="E24" s="51"/>
      <c r="M24" s="52"/>
      <c r="N24" s="52"/>
      <c r="P24" s="53" t="str" cm="1">
        <f t="array" ref="P24">ad_to_cont("Z99",D7:F9)</f>
        <v/>
      </c>
      <c r="Q24" s="53"/>
      <c r="S24" s="54" t="str">
        <f>IF(P24=M24,"PASS","FAIL")</f>
        <v>PASS</v>
      </c>
    </row>
    <row r="25" spans="2:19" x14ac:dyDescent="0.5">
      <c r="B25" s="47"/>
      <c r="E25" s="51"/>
      <c r="M25" s="52"/>
      <c r="N25" s="52"/>
      <c r="P25" s="53"/>
      <c r="Q25" s="53"/>
      <c r="S25" s="54"/>
    </row>
    <row r="26" spans="2:19" x14ac:dyDescent="0.5">
      <c r="B26" s="47" t="s">
        <v>3495</v>
      </c>
      <c r="E26" s="51"/>
      <c r="M26" s="52"/>
      <c r="N26" s="52"/>
      <c r="P26" s="53" t="str" cm="1">
        <f t="array" ref="P26">ad_to_cont("H7",H7:H8)</f>
        <v/>
      </c>
      <c r="Q26" s="53"/>
      <c r="S26" s="54" t="str">
        <f>IF(AND(P26="",NOT(P26=0)),"PASS","FAIL")</f>
        <v>PASS</v>
      </c>
    </row>
    <row r="27" spans="2:19" x14ac:dyDescent="0.5">
      <c r="E27" s="51"/>
      <c r="M27" s="52"/>
      <c r="N27" s="52"/>
      <c r="P27" s="53"/>
      <c r="Q27" s="53"/>
      <c r="S27" s="54"/>
    </row>
    <row r="28" spans="2:19" x14ac:dyDescent="0.5">
      <c r="B28" s="47" t="s">
        <v>3496</v>
      </c>
      <c r="E28" s="51"/>
      <c r="M28" s="52">
        <v>0</v>
      </c>
      <c r="N28" s="52"/>
      <c r="P28" s="53" cm="1">
        <f t="array" ref="P28">ad_to_cont("I7",I7)</f>
        <v>0</v>
      </c>
      <c r="Q28" s="53"/>
      <c r="S28" s="54" t="str">
        <f>IF(AND(P28=0,NOT(P28="")),"PASS","FAIL")</f>
        <v>PASS</v>
      </c>
    </row>
    <row r="29" spans="2:19" x14ac:dyDescent="0.5">
      <c r="B29" s="47"/>
      <c r="E29" s="51"/>
      <c r="M29" s="52"/>
      <c r="N29" s="52"/>
      <c r="P29" s="53"/>
      <c r="Q29" s="53"/>
      <c r="S29" s="54"/>
    </row>
    <row r="30" spans="2:19" x14ac:dyDescent="0.5">
      <c r="B30" s="47"/>
      <c r="E30" s="51"/>
      <c r="M30" s="52"/>
      <c r="N30" s="52"/>
      <c r="P30" s="53"/>
      <c r="Q30" s="53"/>
      <c r="S30" s="54"/>
    </row>
    <row r="31" spans="2:19" x14ac:dyDescent="0.5">
      <c r="B31" s="47"/>
      <c r="E31" s="51"/>
      <c r="M31" s="52"/>
      <c r="N31" s="52"/>
      <c r="P31" s="53"/>
      <c r="Q31" s="53"/>
      <c r="S31" s="54"/>
    </row>
    <row r="32" spans="2:19" x14ac:dyDescent="0.5">
      <c r="B32" s="47"/>
      <c r="E32" s="51"/>
      <c r="M32" s="52"/>
      <c r="N32" s="52"/>
      <c r="P32" s="53"/>
      <c r="Q32" s="53"/>
      <c r="S32" s="54"/>
    </row>
    <row r="33" spans="2:19" x14ac:dyDescent="0.5">
      <c r="B33" s="47"/>
      <c r="E33" s="51"/>
      <c r="M33" s="52"/>
      <c r="N33" s="52"/>
      <c r="P33" s="53"/>
      <c r="Q33" s="53"/>
      <c r="S33" s="54"/>
    </row>
    <row r="34" spans="2:19" x14ac:dyDescent="0.5">
      <c r="B34" s="47"/>
      <c r="E34" s="51"/>
      <c r="M34" s="52"/>
      <c r="N34" s="52"/>
      <c r="P34" s="53"/>
      <c r="Q34" s="53"/>
      <c r="S34" s="54"/>
    </row>
    <row r="35" spans="2:19" ht="21.5" customHeight="1" x14ac:dyDescent="0.5"/>
    <row r="38" spans="2:19" x14ac:dyDescent="0.5">
      <c r="B38" s="47"/>
      <c r="M38" s="52"/>
      <c r="N38" s="52"/>
      <c r="Q38" s="53"/>
    </row>
    <row r="39" spans="2:19" x14ac:dyDescent="0.5">
      <c r="M39" s="52"/>
      <c r="N39" s="52"/>
      <c r="Q39" s="53"/>
    </row>
    <row r="40" spans="2:19" x14ac:dyDescent="0.5">
      <c r="B40" s="47"/>
      <c r="M40" s="52"/>
      <c r="N40" s="52"/>
      <c r="Q40" s="53"/>
    </row>
    <row r="41" spans="2:19" x14ac:dyDescent="0.5">
      <c r="M41" s="52"/>
      <c r="N41" s="52"/>
      <c r="Q41" s="53"/>
    </row>
    <row r="42" spans="2:19" x14ac:dyDescent="0.5">
      <c r="B42" s="47"/>
      <c r="M42" s="52"/>
      <c r="N42" s="52"/>
      <c r="Q42" s="53"/>
    </row>
    <row r="43" spans="2:19" x14ac:dyDescent="0.5">
      <c r="M43" s="52"/>
      <c r="N43" s="52"/>
      <c r="Q43" s="53"/>
    </row>
    <row r="44" spans="2:19" x14ac:dyDescent="0.5">
      <c r="M44" s="52"/>
      <c r="N44" s="52"/>
      <c r="Q44" s="53"/>
    </row>
    <row r="45" spans="2:19" x14ac:dyDescent="0.5">
      <c r="M45" s="52"/>
      <c r="N45" s="52"/>
      <c r="Q45" s="53"/>
    </row>
    <row r="46" spans="2:19" x14ac:dyDescent="0.5">
      <c r="M46" s="52"/>
      <c r="N46" s="52"/>
      <c r="Q46" s="53"/>
    </row>
    <row r="47" spans="2:19" x14ac:dyDescent="0.5">
      <c r="M47" s="52"/>
      <c r="N47" s="52"/>
      <c r="Q47" s="53"/>
    </row>
    <row r="48" spans="2:19" x14ac:dyDescent="0.5">
      <c r="M48" s="52"/>
      <c r="N48" s="52"/>
      <c r="Q48" s="53"/>
    </row>
    <row r="49" spans="13:17" x14ac:dyDescent="0.5">
      <c r="M49" s="52"/>
      <c r="N49" s="52"/>
      <c r="Q49" s="53"/>
    </row>
    <row r="50" spans="13:17" x14ac:dyDescent="0.5">
      <c r="M50" s="52"/>
      <c r="N50" s="52"/>
      <c r="Q50" s="53"/>
    </row>
    <row r="51" spans="13:17" x14ac:dyDescent="0.5">
      <c r="M51" s="52"/>
      <c r="N51" s="52"/>
      <c r="Q51" s="53"/>
    </row>
    <row r="52" spans="13:17" x14ac:dyDescent="0.5">
      <c r="M52" s="52"/>
      <c r="N52" s="52"/>
      <c r="Q52" s="53"/>
    </row>
    <row r="53" spans="13:17" x14ac:dyDescent="0.5">
      <c r="M53" s="52"/>
      <c r="N53" s="52"/>
      <c r="Q53" s="53"/>
    </row>
    <row r="54" spans="13:17" x14ac:dyDescent="0.5">
      <c r="M54" s="52"/>
      <c r="N54" s="52"/>
      <c r="Q54" s="53"/>
    </row>
    <row r="55" spans="13:17" x14ac:dyDescent="0.5">
      <c r="M55" s="52"/>
      <c r="N55" s="52"/>
      <c r="Q55" s="53"/>
    </row>
    <row r="56" spans="13:17" x14ac:dyDescent="0.5">
      <c r="M56" s="52"/>
      <c r="N56" s="52"/>
      <c r="Q56" s="53"/>
    </row>
    <row r="57" spans="13:17" x14ac:dyDescent="0.5">
      <c r="M57" s="52"/>
      <c r="N57" s="52"/>
      <c r="Q57" s="53"/>
    </row>
    <row r="58" spans="13:17" x14ac:dyDescent="0.5">
      <c r="M58" s="52"/>
      <c r="N58" s="52"/>
      <c r="Q58" s="53"/>
    </row>
    <row r="59" spans="13:17" x14ac:dyDescent="0.5">
      <c r="M59" s="52"/>
      <c r="N59" s="52"/>
      <c r="Q59" s="53"/>
    </row>
    <row r="60" spans="13:17" x14ac:dyDescent="0.5">
      <c r="M60" s="52"/>
      <c r="N60" s="52"/>
      <c r="Q60" s="53"/>
    </row>
  </sheetData>
  <mergeCells count="3">
    <mergeCell ref="I1:R1"/>
    <mergeCell ref="B2:R2"/>
    <mergeCell ref="B1:F1"/>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9191E-7754-4237-BBF1-5F5488E75658}">
  <sheetPr codeName="Sheet127"/>
  <dimension ref="A1:S19"/>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ad_to_rc(ad, [as_row])</v>
      </c>
      <c r="C1" s="79"/>
      <c r="D1" s="79"/>
      <c r="E1" s="79"/>
      <c r="F1" s="80"/>
      <c r="H1" s="45" t="s">
        <v>2</v>
      </c>
      <c r="I1" s="78" t="str" cm="1">
        <f t="array" aca="1" ref="I1" ca="1">_xlfn.LET(_xlpm.fn, CELL("filename",$A$1), _xlpm.nm, MID(_xlpm.fn, FIND("]", _xlpm.fn) + 1, 255), _xlfn.XLOOKUP(_xlpm.nm &amp; "(*", Lamb!$A$2:$A$1000, Lamb!$D$2:$D$1000, "", 2))</f>
        <v>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 [as_row],
  LET(
    wide, IF(ISOMITTED(as_row), 0, as_row),
    single, ROWS(ad) * COLUMNS(ad) = 1,
    box, IFERROR(z_ad_box(ad), 0),
    ok, IFERROR(AND(single, COUNT(box) = 4, INDEX(box, 1) = INDEX(box, 3), INDEX(box, 2) = INDEX(box, 4)), FALSE),
    IF(NOT(ok), #VALUE!,
       IF(wide, HSTACK(INDEX(box, 1), INDEX(box, 2)),
                VSTACK(INDEX(box, 1), INDEX(box, 2))))
  )
)</v>
      </c>
      <c r="C2" s="82"/>
      <c r="D2" s="82"/>
      <c r="E2" s="82"/>
      <c r="F2" s="82"/>
      <c r="G2" s="82"/>
      <c r="H2" s="82"/>
      <c r="I2" s="82"/>
      <c r="J2" s="82"/>
      <c r="K2" s="82"/>
      <c r="L2" s="82"/>
      <c r="M2" s="82"/>
      <c r="N2" s="82"/>
      <c r="O2" s="82"/>
      <c r="P2" s="82"/>
      <c r="Q2" s="82"/>
      <c r="R2" s="82"/>
    </row>
    <row r="4" spans="1:19" x14ac:dyDescent="0.5">
      <c r="A4" s="45" t="s">
        <v>3497</v>
      </c>
      <c r="J4" s="45" t="str">
        <f>COUNTIF(J6:J20,"PASS")&amp;" / 7 PASS"</f>
        <v>7 / 7 PASS</v>
      </c>
    </row>
    <row r="5" spans="1:19" x14ac:dyDescent="0.5">
      <c r="A5" s="45" t="s">
        <v>7</v>
      </c>
      <c r="B5" s="45" t="s">
        <v>8</v>
      </c>
      <c r="D5" s="45" t="s">
        <v>9</v>
      </c>
      <c r="F5" s="48" t="s">
        <v>10</v>
      </c>
      <c r="H5" s="49" t="s">
        <v>11</v>
      </c>
      <c r="J5" s="50" t="s">
        <v>12</v>
      </c>
    </row>
    <row r="6" spans="1:19" x14ac:dyDescent="0.5">
      <c r="A6" s="46">
        <v>1</v>
      </c>
      <c r="B6" s="47" t="s">
        <v>3457</v>
      </c>
      <c r="D6" s="51" t="s">
        <v>3057</v>
      </c>
      <c r="F6" s="52">
        <v>3</v>
      </c>
      <c r="G6" s="52"/>
      <c r="H6" s="53" cm="1">
        <f t="array" ref="H6:H7">ad_to_rc(D6)</f>
        <v>3</v>
      </c>
      <c r="I6" s="53"/>
      <c r="J6" s="54" t="str" cm="1">
        <f t="array" ref="J6">IF(AND(F6:F7=H6:H7),"PASS","FAIL")</f>
        <v>PASS</v>
      </c>
    </row>
    <row r="7" spans="1:19" x14ac:dyDescent="0.5">
      <c r="B7" s="47"/>
      <c r="D7" s="51"/>
      <c r="F7" s="52">
        <v>4</v>
      </c>
      <c r="G7" s="52"/>
      <c r="H7" s="53">
        <v>4</v>
      </c>
      <c r="I7" s="53"/>
      <c r="J7" s="54"/>
    </row>
    <row r="8" spans="1:19" x14ac:dyDescent="0.5">
      <c r="A8" s="46">
        <v>2</v>
      </c>
      <c r="B8" s="47" t="s">
        <v>3458</v>
      </c>
      <c r="D8" s="51">
        <v>3000004</v>
      </c>
      <c r="F8" s="52">
        <v>3</v>
      </c>
      <c r="G8" s="52"/>
      <c r="H8" s="53" cm="1">
        <f t="array" ref="H8:H9">ad_to_rc(D8)</f>
        <v>3</v>
      </c>
      <c r="I8" s="53"/>
      <c r="J8" s="54" t="str" cm="1">
        <f t="array" ref="J8">IF(AND(F8:F9=H8:H9),"PASS","FAIL")</f>
        <v>PASS</v>
      </c>
    </row>
    <row r="9" spans="1:19" x14ac:dyDescent="0.5">
      <c r="B9" s="47"/>
      <c r="D9" s="51"/>
      <c r="F9" s="52">
        <v>4</v>
      </c>
      <c r="G9" s="52"/>
      <c r="H9" s="53">
        <v>4</v>
      </c>
      <c r="I9" s="53"/>
      <c r="J9" s="54"/>
    </row>
    <row r="10" spans="1:19" x14ac:dyDescent="0.5">
      <c r="A10" s="46">
        <v>3</v>
      </c>
      <c r="B10" s="47" t="s">
        <v>3459</v>
      </c>
      <c r="D10" s="51" t="s">
        <v>3460</v>
      </c>
      <c r="F10" s="52">
        <v>3</v>
      </c>
      <c r="G10" s="52"/>
      <c r="H10" s="53" cm="1">
        <f t="array" ref="H10:H11">ad_to_rc(D10)</f>
        <v>3</v>
      </c>
      <c r="I10" s="53"/>
      <c r="J10" s="54" t="str" cm="1">
        <f t="array" ref="J10">IF(AND(F10:F11=H10:H11),"PASS","FAIL")</f>
        <v>PASS</v>
      </c>
    </row>
    <row r="11" spans="1:19" x14ac:dyDescent="0.5">
      <c r="B11" s="47"/>
      <c r="D11" s="51"/>
      <c r="F11" s="52">
        <v>4</v>
      </c>
      <c r="G11" s="52"/>
      <c r="H11" s="53">
        <v>4</v>
      </c>
      <c r="I11" s="53"/>
      <c r="J11" s="54"/>
    </row>
    <row r="12" spans="1:19" x14ac:dyDescent="0.5">
      <c r="A12" s="46">
        <v>4</v>
      </c>
      <c r="B12" s="47" t="s">
        <v>3461</v>
      </c>
      <c r="D12" s="51" t="s">
        <v>3057</v>
      </c>
      <c r="E12">
        <v>1</v>
      </c>
      <c r="F12" s="52">
        <v>3</v>
      </c>
      <c r="G12" s="52">
        <v>4</v>
      </c>
      <c r="H12" s="53" cm="1">
        <f t="array" ref="H12:I12">ad_to_rc(D12,E12)</f>
        <v>3</v>
      </c>
      <c r="I12" s="53">
        <v>4</v>
      </c>
      <c r="J12" s="54" t="str" cm="1">
        <f t="array" ref="J12">IF(AND(F12:G12=H12:I12),"PASS","FAIL")</f>
        <v>PASS</v>
      </c>
    </row>
    <row r="13" spans="1:19" x14ac:dyDescent="0.5">
      <c r="B13" s="47"/>
      <c r="D13" s="51"/>
      <c r="F13" s="52"/>
      <c r="G13" s="52"/>
      <c r="H13" s="53"/>
      <c r="I13" s="53"/>
      <c r="J13" s="54"/>
    </row>
    <row r="14" spans="1:19" x14ac:dyDescent="0.5">
      <c r="A14" s="46">
        <v>5</v>
      </c>
      <c r="B14" s="47" t="s">
        <v>3462</v>
      </c>
      <c r="D14" s="51" t="s">
        <v>3063</v>
      </c>
      <c r="F14" s="52">
        <v>3</v>
      </c>
      <c r="G14" s="52"/>
      <c r="H14" s="53" cm="1">
        <f t="array" ref="H14">ERROR.TYPE(ad_to_rc(D14))</f>
        <v>3</v>
      </c>
      <c r="I14" s="53"/>
      <c r="J14" s="54" t="str">
        <f>IF(H14=F14,"PASS","FAIL")</f>
        <v>PASS</v>
      </c>
    </row>
    <row r="15" spans="1:19" x14ac:dyDescent="0.5">
      <c r="B15" s="47"/>
      <c r="D15" s="51"/>
      <c r="F15" s="52"/>
      <c r="G15" s="52"/>
      <c r="H15" s="53"/>
      <c r="I15" s="53"/>
      <c r="J15" s="54"/>
    </row>
    <row r="16" spans="1:19" x14ac:dyDescent="0.5">
      <c r="A16" s="46">
        <v>6</v>
      </c>
      <c r="B16" s="47" t="s">
        <v>3463</v>
      </c>
      <c r="D16" s="51">
        <v>4</v>
      </c>
      <c r="F16" s="52">
        <v>3</v>
      </c>
      <c r="G16" s="52"/>
      <c r="H16" s="53" cm="1">
        <f t="array" ref="H16">ERROR.TYPE(ad_to_rc(D16))</f>
        <v>3</v>
      </c>
      <c r="I16" s="53"/>
      <c r="J16" s="54" t="str">
        <f>IF(H16=F16,"PASS","FAIL")</f>
        <v>PASS</v>
      </c>
    </row>
    <row r="17" spans="1:10" x14ac:dyDescent="0.5">
      <c r="A17" s="55"/>
      <c r="B17" s="47"/>
      <c r="D17" s="51"/>
      <c r="F17" s="52"/>
      <c r="G17" s="52"/>
      <c r="H17" s="53"/>
      <c r="I17" s="53"/>
      <c r="J17" s="54"/>
    </row>
    <row r="18" spans="1:10" x14ac:dyDescent="0.5">
      <c r="A18">
        <v>7</v>
      </c>
      <c r="B18" s="47" t="s">
        <v>3464</v>
      </c>
      <c r="D18" s="51" t="s">
        <v>3465</v>
      </c>
      <c r="F18" s="52">
        <v>1048576</v>
      </c>
      <c r="G18" s="52"/>
      <c r="H18" s="53" cm="1">
        <f t="array" ref="H18:H19">ad_to_rc(D18)</f>
        <v>1048576</v>
      </c>
      <c r="I18" s="53"/>
      <c r="J18" s="54" t="str" cm="1">
        <f t="array" ref="J18">IF(AND(F18:F19=H18:H19),"PASS","FAIL")</f>
        <v>PASS</v>
      </c>
    </row>
    <row r="19" spans="1:10" x14ac:dyDescent="0.5">
      <c r="B19" s="47"/>
      <c r="D19" s="51"/>
      <c r="F19" s="52">
        <v>16384</v>
      </c>
      <c r="G19" s="52"/>
      <c r="H19" s="53">
        <v>16384</v>
      </c>
      <c r="I19" s="53"/>
      <c r="J19" s="54"/>
    </row>
  </sheetData>
  <mergeCells count="3">
    <mergeCell ref="B1:F1"/>
    <mergeCell ref="I1:R1"/>
    <mergeCell ref="B2:R2"/>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DC1EE-2E4A-4EA3-93BB-7BCA9F9EED7F}">
  <sheetPr codeName="Sheet54"/>
  <dimension ref="A1:S18"/>
  <sheetViews>
    <sheetView zoomScale="85" zoomScaleNormal="85" workbookViewId="0">
      <selection activeCell="D3" sqref="D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arrow(str)</v>
      </c>
      <c r="C1" s="79"/>
      <c r="D1" s="79"/>
      <c r="E1" s="79"/>
      <c r="F1" s="80"/>
      <c r="H1" s="45" t="s">
        <v>2</v>
      </c>
      <c r="I1" s="78" t="str" cm="1">
        <f t="array" aca="1" ref="I1" ca="1">_xlfn.LET(_xlpm.fn, CELL("filename",$A$1), _xlpm.nm, MID(_xlpm.fn, FIND("]", _xlpm.fn) + 1, 255), _xlfn.XLOOKUP(_xlpm.nm &amp; "(*", Lamb!$A$2:$A$1000, Lamb!$D$2:$D$1000, "", 2))</f>
        <v>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=LAMBDA(str, IFNA(XLOOKUP(TRUE, EXACT(str, Prep!$V$13:$ALY$13), Prep!$V$14:$ALY$14), ""))</v>
      </c>
      <c r="C2" s="82"/>
      <c r="D2" s="82"/>
      <c r="E2" s="82"/>
      <c r="F2" s="82"/>
      <c r="G2" s="82"/>
      <c r="H2" s="82"/>
      <c r="I2" s="82"/>
      <c r="J2" s="82"/>
      <c r="K2" s="82"/>
      <c r="L2" s="82"/>
      <c r="M2" s="82"/>
      <c r="N2" s="82"/>
      <c r="O2" s="82"/>
      <c r="P2" s="82"/>
      <c r="Q2" s="82"/>
      <c r="R2" s="82"/>
    </row>
    <row r="4" spans="1:19" x14ac:dyDescent="0.5">
      <c r="A4" s="45" t="s">
        <v>2916</v>
      </c>
      <c r="J4" s="45" t="str">
        <f>COUNTIF(J6:J18,"PASS")&amp;" / 7 PASS"</f>
        <v>7 / 7 PASS</v>
      </c>
    </row>
    <row r="5" spans="1:19" x14ac:dyDescent="0.5">
      <c r="A5" s="45" t="s">
        <v>7</v>
      </c>
      <c r="B5" s="45" t="s">
        <v>8</v>
      </c>
      <c r="D5" s="45" t="s">
        <v>9</v>
      </c>
      <c r="F5" s="48" t="s">
        <v>10</v>
      </c>
      <c r="H5" s="49" t="s">
        <v>11</v>
      </c>
      <c r="J5" s="50" t="s">
        <v>12</v>
      </c>
    </row>
    <row r="6" spans="1:19" x14ac:dyDescent="0.5">
      <c r="A6" s="46">
        <v>1</v>
      </c>
      <c r="B6" s="47" t="s">
        <v>2917</v>
      </c>
      <c r="D6" s="51" t="s">
        <v>159</v>
      </c>
      <c r="F6" s="52" t="s">
        <v>160</v>
      </c>
      <c r="H6" s="53" t="str" cm="1">
        <f t="array" ref="H6">arrow(D6)</f>
        <v>↑</v>
      </c>
      <c r="J6" s="54" t="str">
        <f>IF(H6=F6,"PASS","FAIL")</f>
        <v>PASS</v>
      </c>
    </row>
    <row r="8" spans="1:19" x14ac:dyDescent="0.5">
      <c r="A8" s="46">
        <v>2</v>
      </c>
      <c r="B8" s="47" t="s">
        <v>2918</v>
      </c>
      <c r="D8" s="51" t="s">
        <v>437</v>
      </c>
      <c r="F8" s="52" t="s">
        <v>434</v>
      </c>
      <c r="H8" s="53" t="str" cm="1">
        <f t="array" ref="H8">arrow(D8)</f>
        <v>↙</v>
      </c>
      <c r="J8" s="54" t="str">
        <f>IF(H8=F8,"PASS","FAIL")</f>
        <v>PASS</v>
      </c>
    </row>
    <row r="10" spans="1:19" x14ac:dyDescent="0.5">
      <c r="A10" s="46">
        <v>3</v>
      </c>
      <c r="B10" s="47" t="s">
        <v>2919</v>
      </c>
      <c r="D10" s="51" t="s">
        <v>259</v>
      </c>
      <c r="F10" s="52" t="s">
        <v>254</v>
      </c>
      <c r="H10" s="53" t="str" cm="1">
        <f t="array" ref="H10">arrow(D10)</f>
        <v>↗</v>
      </c>
      <c r="J10" s="54" t="str">
        <f>IF(H10=F10,"PASS","FAIL")</f>
        <v>PASS</v>
      </c>
    </row>
    <row r="12" spans="1:19" x14ac:dyDescent="0.5">
      <c r="A12" s="46">
        <v>4</v>
      </c>
      <c r="B12" s="47" t="s">
        <v>2920</v>
      </c>
      <c r="D12" s="51" t="s">
        <v>241</v>
      </c>
      <c r="F12" s="52" t="s">
        <v>160</v>
      </c>
      <c r="H12" s="53" t="str" cm="1">
        <f t="array" ref="H12">arrow(D12)</f>
        <v>↑</v>
      </c>
      <c r="J12" s="54" t="str">
        <f>IF(H12=F12,"PASS","FAIL")</f>
        <v>PASS</v>
      </c>
    </row>
    <row r="14" spans="1:19" x14ac:dyDescent="0.5">
      <c r="A14" s="46">
        <v>5</v>
      </c>
      <c r="B14" s="47" t="s">
        <v>2921</v>
      </c>
      <c r="D14" s="51" t="s">
        <v>232</v>
      </c>
      <c r="F14" s="52" t="s">
        <v>160</v>
      </c>
      <c r="H14" s="53" t="str" cm="1">
        <f t="array" ref="H14">arrow(D14)</f>
        <v>↑</v>
      </c>
      <c r="J14" s="54" t="str">
        <f>IF(H14=F14,"PASS","FAIL")</f>
        <v>PASS</v>
      </c>
    </row>
    <row r="16" spans="1:19" x14ac:dyDescent="0.5">
      <c r="A16" s="46">
        <v>6</v>
      </c>
      <c r="B16" s="47" t="s">
        <v>2922</v>
      </c>
      <c r="D16" s="51" t="s">
        <v>249</v>
      </c>
      <c r="F16" s="52" t="s">
        <v>160</v>
      </c>
      <c r="H16" s="53" t="str" cm="1">
        <f t="array" ref="H16">arrow(D16)</f>
        <v>↑</v>
      </c>
      <c r="J16" s="54" t="str">
        <f>IF(H16=F16,"PASS","FAIL")</f>
        <v>PASS</v>
      </c>
    </row>
    <row r="18" spans="1:10" x14ac:dyDescent="0.5">
      <c r="A18" s="46">
        <v>7</v>
      </c>
      <c r="B18" s="47" t="s">
        <v>3274</v>
      </c>
      <c r="D18" s="51" t="s">
        <v>3275</v>
      </c>
      <c r="F18" s="52" t="str">
        <f>""</f>
        <v/>
      </c>
      <c r="H18" s="53" t="str" cm="1">
        <f t="array" ref="H18">arrow(D18)</f>
        <v/>
      </c>
      <c r="J18" s="54" t="str">
        <f>IF(H18=F18,"PASS","FAIL")</f>
        <v>PASS</v>
      </c>
    </row>
  </sheetData>
  <mergeCells count="3">
    <mergeCell ref="I1:R1"/>
    <mergeCell ref="B2:R2"/>
    <mergeCell ref="B1:F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F2CA3-888E-4BBB-9FD2-4E8041410071}">
  <sheetPr codeName="Sheet55"/>
  <dimension ref="A1:S20"/>
  <sheetViews>
    <sheetView workbookViewId="0">
      <selection activeCell="S1" sqref="S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94" customHeight="1" x14ac:dyDescent="0.5">
      <c r="A1" s="45" t="s">
        <v>0</v>
      </c>
      <c r="B1" s="83" t="str" cm="1">
        <f t="array" aca="1" ref="B1" ca="1">_xlfn.LET(_xlpm.fn, CELL("filename",$A$1), _xlpm.nm, MID(_xlpm.fn, FIND("]", _xlpm.fn) + 1, 255), _xlfn.XLOOKUP(_xlpm.nm &amp; "(*", Lamb!$A$2:$A$1000, Lamb!$A$2:$A$1000, "", 2))</f>
        <v>arrow_move(start_ad, arrow, [steps], [board_rng], [push_mode])</v>
      </c>
      <c r="C1" s="79"/>
      <c r="D1" s="79"/>
      <c r="E1" s="79"/>
      <c r="F1" s="80"/>
      <c r="H1" s="45" t="s">
        <v>2</v>
      </c>
      <c r="I1" s="78" t="str" cm="1">
        <f t="array" aca="1" ref="I1" ca="1">_xlfn.LET(_xlpm.fn, CELL("filename",$A$1), _xlpm.nm, MID(_xlpm.fn, FIND("]", _xlpm.fn) + 1, 255), _xlfn.XLOOKUP(_xlpm.nm &amp; "(*", Lamb!$A$2:$A$1000, Lamb!$D$2:$D$1000, "", 2))</f>
        <v>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v>
      </c>
      <c r="C2" s="82"/>
      <c r="D2" s="82"/>
      <c r="E2" s="82"/>
      <c r="F2" s="82"/>
      <c r="G2" s="82"/>
      <c r="H2" s="82"/>
      <c r="I2" s="82"/>
      <c r="J2" s="82"/>
      <c r="K2" s="82"/>
      <c r="L2" s="82"/>
      <c r="M2" s="82"/>
      <c r="N2" s="82"/>
      <c r="O2" s="82"/>
      <c r="P2" s="82"/>
      <c r="Q2" s="82"/>
      <c r="R2" s="82"/>
    </row>
    <row r="4" spans="1:19" x14ac:dyDescent="0.5">
      <c r="A4" s="45" t="s">
        <v>2923</v>
      </c>
      <c r="P4" s="45" t="str">
        <f>COUNTIF(P6:P60,"PASS")&amp;" / 8 PASS"</f>
        <v>8 / 8 PASS</v>
      </c>
    </row>
    <row r="5" spans="1:19" x14ac:dyDescent="0.5">
      <c r="A5" s="45" t="s">
        <v>7</v>
      </c>
      <c r="B5" s="45" t="s">
        <v>8</v>
      </c>
      <c r="D5" s="45" t="s">
        <v>9</v>
      </c>
      <c r="L5" s="48" t="s">
        <v>10</v>
      </c>
      <c r="N5" s="49" t="s">
        <v>11</v>
      </c>
      <c r="P5" s="50" t="s">
        <v>12</v>
      </c>
    </row>
    <row r="6" spans="1:19" x14ac:dyDescent="0.5">
      <c r="A6" s="46">
        <v>1</v>
      </c>
      <c r="B6" s="47" t="s">
        <v>2924</v>
      </c>
      <c r="D6" s="51" t="s">
        <v>2925</v>
      </c>
      <c r="F6" s="51" t="s">
        <v>192</v>
      </c>
      <c r="H6" s="51">
        <v>3</v>
      </c>
      <c r="L6" s="52">
        <v>1000004</v>
      </c>
      <c r="N6" s="53" cm="1">
        <f t="array" ref="N6">arrow_move(D6,F6,H6)</f>
        <v>1000004</v>
      </c>
      <c r="P6" s="54" t="str">
        <f>IF(N6=L6,"PASS","FAIL")</f>
        <v>PASS</v>
      </c>
    </row>
    <row r="8" spans="1:19" x14ac:dyDescent="0.5">
      <c r="A8" s="46">
        <v>2</v>
      </c>
      <c r="B8" s="47" t="s">
        <v>2926</v>
      </c>
      <c r="D8" s="51" t="s">
        <v>2925</v>
      </c>
      <c r="F8" s="51" t="s">
        <v>181</v>
      </c>
      <c r="H8" s="51">
        <v>2</v>
      </c>
      <c r="L8" s="52">
        <v>3000001</v>
      </c>
      <c r="N8" s="53" cm="1">
        <f t="array" ref="N8">arrow_move(D8,F8,H8)</f>
        <v>3000001</v>
      </c>
      <c r="P8" s="54" t="str">
        <f>IF(N8=L8,"PASS","FAIL")</f>
        <v>PASS</v>
      </c>
    </row>
    <row r="10" spans="1:19" x14ac:dyDescent="0.5">
      <c r="A10" s="46">
        <v>3</v>
      </c>
      <c r="B10" s="47" t="s">
        <v>2927</v>
      </c>
      <c r="D10" s="51" t="s">
        <v>2928</v>
      </c>
      <c r="F10" s="51" t="s">
        <v>160</v>
      </c>
      <c r="H10" s="51">
        <v>5</v>
      </c>
      <c r="L10" s="52">
        <v>1000001</v>
      </c>
      <c r="N10" s="53" cm="1">
        <f t="array" ref="N10">arrow_move(D10,F10,H10)</f>
        <v>1000001</v>
      </c>
      <c r="P10" s="54" t="str">
        <f>IF(N10=L10,"PASS","FAIL")</f>
        <v>PASS</v>
      </c>
    </row>
    <row r="12" spans="1:19" x14ac:dyDescent="0.5">
      <c r="A12" s="46">
        <v>4</v>
      </c>
      <c r="B12" s="47" t="s">
        <v>2929</v>
      </c>
      <c r="D12" s="51" t="s">
        <v>2928</v>
      </c>
      <c r="F12" s="51" t="s">
        <v>160</v>
      </c>
      <c r="H12" s="51">
        <v>5</v>
      </c>
      <c r="J12" s="51">
        <v>0</v>
      </c>
      <c r="L12" s="52">
        <v>3000001</v>
      </c>
      <c r="N12" s="53" cm="1">
        <f t="array" ref="N12">arrow_move(D12,F12,H12,,J12)</f>
        <v>3000001</v>
      </c>
      <c r="P12" s="54" t="str">
        <f>IF(N12=L12,"PASS","FAIL")</f>
        <v>PASS</v>
      </c>
    </row>
    <row r="14" spans="1:19" x14ac:dyDescent="0.5">
      <c r="A14" s="46">
        <v>5</v>
      </c>
      <c r="B14" s="47" t="s">
        <v>2930</v>
      </c>
      <c r="D14" s="51" t="s">
        <v>2928</v>
      </c>
      <c r="F14" s="51" t="s">
        <v>160</v>
      </c>
      <c r="H14" s="51">
        <v>5</v>
      </c>
      <c r="J14" s="51">
        <v>-1</v>
      </c>
      <c r="L14" s="52" t="s">
        <v>2931</v>
      </c>
      <c r="N14" s="53" t="str" cm="1">
        <f t="array" ref="N14">arrow_move(D14,F14,H14,,J14)</f>
        <v>oob</v>
      </c>
      <c r="P14" s="54" t="str">
        <f>IF(N14=L14,"PASS","FAIL")</f>
        <v>PASS</v>
      </c>
    </row>
    <row r="16" spans="1:19" x14ac:dyDescent="0.5">
      <c r="A16" s="46">
        <v>6</v>
      </c>
      <c r="B16" s="47" t="s">
        <v>3599</v>
      </c>
      <c r="D16" s="51" t="s">
        <v>2925</v>
      </c>
      <c r="F16" s="51">
        <v>1</v>
      </c>
      <c r="H16" s="51">
        <v>3</v>
      </c>
      <c r="L16" s="52">
        <v>1000004</v>
      </c>
      <c r="N16" s="53" cm="1">
        <f t="array" ref="N16">arrow_move(D16,F16,H16)</f>
        <v>1000004</v>
      </c>
      <c r="P16" s="54" t="str">
        <f>IF(N16=L16,"PASS","FAIL")</f>
        <v>PASS</v>
      </c>
    </row>
    <row r="18" spans="1:16" x14ac:dyDescent="0.5">
      <c r="A18" s="46">
        <v>7</v>
      </c>
      <c r="B18" s="47" t="s">
        <v>3600</v>
      </c>
      <c r="D18" s="51" t="s">
        <v>2925</v>
      </c>
      <c r="F18" s="51">
        <v>1000000</v>
      </c>
      <c r="H18" s="51">
        <v>2</v>
      </c>
      <c r="L18" s="52">
        <v>3000001</v>
      </c>
      <c r="N18" s="53" cm="1">
        <f t="array" ref="N18">arrow_move(D18,F18,H18)</f>
        <v>3000001</v>
      </c>
      <c r="P18" s="54" t="str">
        <f>IF(N18=L18,"PASS","FAIL")</f>
        <v>PASS</v>
      </c>
    </row>
    <row r="20" spans="1:16" x14ac:dyDescent="0.5">
      <c r="A20" s="46">
        <v>8</v>
      </c>
      <c r="B20" s="47" t="s">
        <v>3601</v>
      </c>
      <c r="D20" s="51" t="s">
        <v>2925</v>
      </c>
      <c r="F20" s="51" t="s">
        <v>191</v>
      </c>
      <c r="H20" s="51">
        <v>3</v>
      </c>
      <c r="L20" s="52">
        <v>1000004</v>
      </c>
      <c r="N20" s="53" cm="1">
        <f t="array" ref="N20">arrow_move(D20,F20,H20)</f>
        <v>1000004</v>
      </c>
      <c r="P20" s="54" t="str">
        <f>IF(N20=L20,"PASS","FAIL")</f>
        <v>PASS</v>
      </c>
    </row>
  </sheetData>
  <mergeCells count="3">
    <mergeCell ref="I1:R1"/>
    <mergeCell ref="B2:R2"/>
    <mergeCell ref="B1:F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AE070-87FC-472F-A8AD-D61E8E332925}">
  <sheetPr codeName="Sheet56"/>
  <dimension ref="A1:S39"/>
  <sheetViews>
    <sheetView topLeftCell="A2" workbookViewId="0">
      <selection activeCell="I1" sqref="I1:R1"/>
    </sheetView>
  </sheetViews>
  <sheetFormatPr defaultRowHeight="21" x14ac:dyDescent="0.5"/>
  <cols>
    <col min="1" max="1" width="4" customWidth="1"/>
    <col min="2" max="2" width="26" customWidth="1"/>
    <col min="4" max="8" width="4" customWidth="1"/>
    <col min="9" max="9" width="2" customWidth="1"/>
    <col min="10" max="10" width="10" customWidth="1"/>
    <col min="11" max="11" width="6" customWidth="1"/>
    <col min="12" max="12" width="2" customWidth="1"/>
    <col min="13" max="13" width="10" customWidth="1"/>
    <col min="14" max="14" width="6" customWidth="1"/>
    <col min="15" max="15" width="2" customWidth="1"/>
    <col min="16" max="16" width="9" customWidth="1"/>
  </cols>
  <sheetData>
    <row r="1" spans="1:19" ht="210" customHeight="1" x14ac:dyDescent="0.5">
      <c r="A1" s="45" t="s">
        <v>0</v>
      </c>
      <c r="B1" s="83" t="str" cm="1">
        <f t="array" aca="1" ref="B1" ca="1">_xlfn.LET(_xlpm.fn, CELL("filename",$A$1), _xlpm.nm, MID(_xlpm.fn, FIND("]", _xlpm.fn) + 1, 255), _xlfn.XLOOKUP(_xlpm.nm &amp; "(*", Lamb!$A$2:$A$1000, Lamb!$A$2:$A$1000, "", 2))</f>
        <v>arrow_trip(rng, start_ad, dir, [stopper])</v>
      </c>
      <c r="C1" s="79"/>
      <c r="D1" s="79"/>
      <c r="E1" s="79"/>
      <c r="F1" s="80"/>
      <c r="H1" s="45" t="s">
        <v>2</v>
      </c>
      <c r="I1" s="78" t="str" cm="1">
        <f t="array" aca="1" ref="I1" ca="1">_xlfn.LET(_xlpm.fn, CELL("filename",$A$1), _xlpm.nm, MID(_xlpm.fn, FIND("]", _xlpm.fn) + 1, 255), _xlfn.XLOOKUP(_xlpm.nm &amp; "(*", Lamb!$A$2:$A$1000, Lamb!$D$2:$D$1000, "", 2))</f>
        <v>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v>
      </c>
      <c r="C2" s="82"/>
      <c r="D2" s="82"/>
      <c r="E2" s="82"/>
      <c r="F2" s="82"/>
      <c r="G2" s="82"/>
      <c r="H2" s="82"/>
      <c r="I2" s="82"/>
      <c r="J2" s="82"/>
      <c r="K2" s="82"/>
      <c r="L2" s="82"/>
      <c r="M2" s="82"/>
      <c r="N2" s="82"/>
      <c r="O2" s="82"/>
      <c r="P2" s="82"/>
      <c r="Q2" s="82"/>
      <c r="R2" s="82"/>
    </row>
    <row r="4" spans="1:19" x14ac:dyDescent="0.5">
      <c r="A4" s="45" t="s">
        <v>2932</v>
      </c>
      <c r="P4" s="45" t="str">
        <f>COUNTIF(P9:P60,"PASS")&amp;" / 7 PASS"</f>
        <v>7 / 7 PASS</v>
      </c>
    </row>
    <row r="5" spans="1:19" x14ac:dyDescent="0.5">
      <c r="B5" s="45" t="s">
        <v>8</v>
      </c>
      <c r="J5" s="48" t="s">
        <v>2933</v>
      </c>
      <c r="K5" s="48" t="s">
        <v>2934</v>
      </c>
      <c r="M5" s="49" t="s">
        <v>2935</v>
      </c>
      <c r="N5" s="49" t="s">
        <v>2934</v>
      </c>
      <c r="P5" s="50" t="s">
        <v>12</v>
      </c>
    </row>
    <row r="6" spans="1:19" x14ac:dyDescent="0.5">
      <c r="B6" s="45" t="s">
        <v>2936</v>
      </c>
    </row>
    <row r="7" spans="1:19" x14ac:dyDescent="0.5">
      <c r="D7" s="51" t="s">
        <v>2937</v>
      </c>
      <c r="E7" s="51" t="s">
        <v>2938</v>
      </c>
      <c r="F7" s="51" t="s">
        <v>2631</v>
      </c>
      <c r="G7" s="51" t="s">
        <v>2939</v>
      </c>
      <c r="H7" s="51" t="s">
        <v>2940</v>
      </c>
    </row>
    <row r="9" spans="1:19" x14ac:dyDescent="0.5">
      <c r="B9" s="47" t="s">
        <v>2941</v>
      </c>
      <c r="J9" s="52">
        <v>7000004</v>
      </c>
      <c r="K9" s="52" t="s">
        <v>2937</v>
      </c>
      <c r="M9" s="53" cm="1">
        <f t="array" ref="M9:N13">arrow_trip(D7:H7,"D7","→")</f>
        <v>7000004</v>
      </c>
      <c r="N9" s="53" t="str">
        <v>a</v>
      </c>
      <c r="P9" s="54" t="str" cm="1">
        <f t="array" ref="P9">IF(AND(J9:K13=M9:N13),"PASS","FAIL")</f>
        <v>PASS</v>
      </c>
    </row>
    <row r="10" spans="1:19" x14ac:dyDescent="0.5">
      <c r="J10" s="52">
        <v>7000005</v>
      </c>
      <c r="K10" s="52" t="s">
        <v>2938</v>
      </c>
      <c r="M10" s="53">
        <v>7000005</v>
      </c>
      <c r="N10" s="53" t="str">
        <v>b</v>
      </c>
    </row>
    <row r="11" spans="1:19" x14ac:dyDescent="0.5">
      <c r="J11" s="52">
        <v>7000006</v>
      </c>
      <c r="K11" s="52" t="s">
        <v>2631</v>
      </c>
      <c r="M11" s="53">
        <v>7000006</v>
      </c>
      <c r="N11" s="53" t="str">
        <v>X</v>
      </c>
    </row>
    <row r="12" spans="1:19" x14ac:dyDescent="0.5">
      <c r="J12" s="52">
        <v>7000007</v>
      </c>
      <c r="K12" s="52" t="s">
        <v>2939</v>
      </c>
      <c r="M12" s="53">
        <v>7000007</v>
      </c>
      <c r="N12" s="53" t="str">
        <v>d</v>
      </c>
    </row>
    <row r="13" spans="1:19" x14ac:dyDescent="0.5">
      <c r="J13" s="52">
        <v>7000008</v>
      </c>
      <c r="K13" s="52" t="s">
        <v>2940</v>
      </c>
      <c r="M13" s="53">
        <v>7000008</v>
      </c>
      <c r="N13" s="53" t="str">
        <v>e</v>
      </c>
    </row>
    <row r="15" spans="1:19" x14ac:dyDescent="0.5">
      <c r="B15" s="47" t="s">
        <v>2942</v>
      </c>
      <c r="J15" s="52">
        <v>7000004</v>
      </c>
      <c r="K15" s="52" t="s">
        <v>2937</v>
      </c>
      <c r="M15" s="53" cm="1">
        <f t="array" ref="M15:N17">arrow_trip(D7:H7,"D7","→","X")</f>
        <v>7000004</v>
      </c>
      <c r="N15" s="53" t="str">
        <v>a</v>
      </c>
      <c r="P15" s="54" t="str" cm="1">
        <f t="array" ref="P15">IF(AND(J15:K17=M15:N17),"PASS","FAIL")</f>
        <v>PASS</v>
      </c>
    </row>
    <row r="16" spans="1:19" x14ac:dyDescent="0.5">
      <c r="J16" s="52">
        <v>7000005</v>
      </c>
      <c r="K16" s="52" t="s">
        <v>2938</v>
      </c>
      <c r="M16" s="53">
        <v>7000005</v>
      </c>
      <c r="N16" s="53" t="str">
        <v>b</v>
      </c>
    </row>
    <row r="17" spans="2:16" x14ac:dyDescent="0.5">
      <c r="J17" s="52">
        <v>7000006</v>
      </c>
      <c r="K17" s="52" t="s">
        <v>2631</v>
      </c>
      <c r="M17" s="53">
        <v>7000006</v>
      </c>
      <c r="N17" s="53" t="str">
        <v>X</v>
      </c>
    </row>
    <row r="19" spans="2:16" x14ac:dyDescent="0.5">
      <c r="B19" s="47" t="s">
        <v>2943</v>
      </c>
      <c r="J19" s="52">
        <v>7000004</v>
      </c>
      <c r="K19" s="52" t="s">
        <v>2937</v>
      </c>
      <c r="M19" s="53" cm="1">
        <f t="array" ref="M19:N23">arrow_trip(D7:H7,"D7","→","Z")</f>
        <v>7000004</v>
      </c>
      <c r="N19" s="53" t="str">
        <v>a</v>
      </c>
      <c r="P19" s="54" t="str" cm="1">
        <f t="array" ref="P19">IF(AND(J19:K23=M19:N23),"PASS","FAIL")</f>
        <v>PASS</v>
      </c>
    </row>
    <row r="20" spans="2:16" x14ac:dyDescent="0.5">
      <c r="J20" s="52">
        <v>7000005</v>
      </c>
      <c r="K20" s="52" t="s">
        <v>2938</v>
      </c>
      <c r="M20" s="53">
        <v>7000005</v>
      </c>
      <c r="N20" s="53" t="str">
        <v>b</v>
      </c>
    </row>
    <row r="21" spans="2:16" x14ac:dyDescent="0.5">
      <c r="J21" s="52">
        <v>7000006</v>
      </c>
      <c r="K21" s="52" t="s">
        <v>2631</v>
      </c>
      <c r="M21" s="53">
        <v>7000006</v>
      </c>
      <c r="N21" s="53" t="str">
        <v>X</v>
      </c>
    </row>
    <row r="22" spans="2:16" x14ac:dyDescent="0.5">
      <c r="J22" s="52">
        <v>7000007</v>
      </c>
      <c r="K22" s="52" t="s">
        <v>2939</v>
      </c>
      <c r="M22" s="53">
        <v>7000007</v>
      </c>
      <c r="N22" s="53" t="str">
        <v>d</v>
      </c>
    </row>
    <row r="23" spans="2:16" x14ac:dyDescent="0.5">
      <c r="J23" s="52">
        <v>7000008</v>
      </c>
      <c r="K23" s="52" t="s">
        <v>2940</v>
      </c>
      <c r="M23" s="53">
        <v>7000008</v>
      </c>
      <c r="N23" s="53" t="str">
        <v>e</v>
      </c>
    </row>
    <row r="25" spans="2:16" x14ac:dyDescent="0.5">
      <c r="B25" s="47" t="s">
        <v>3279</v>
      </c>
      <c r="J25" s="52" t="s">
        <v>2631</v>
      </c>
      <c r="M25" s="53" t="str" cm="1">
        <f t="array" ref="M25">arrow_trip(D7:H7,"D6","→")</f>
        <v>X</v>
      </c>
      <c r="P25" s="54" t="str">
        <f>IF(M25="X","PASS","FAIL")</f>
        <v>PASS</v>
      </c>
    </row>
    <row r="27" spans="2:16" x14ac:dyDescent="0.5">
      <c r="B27" s="47" t="s">
        <v>3280</v>
      </c>
      <c r="J27" s="52" t="str">
        <f>""</f>
        <v/>
      </c>
      <c r="M27" s="53" t="str" cm="1">
        <f t="array" ref="M27">arrow_trip(D7:H7,"D7","Z")</f>
        <v/>
      </c>
      <c r="P27" s="54" t="str">
        <f>IF(M27="","PASS","FAIL")</f>
        <v>PASS</v>
      </c>
    </row>
    <row r="29" spans="2:16" x14ac:dyDescent="0.5">
      <c r="B29" s="47" t="s">
        <v>3602</v>
      </c>
      <c r="J29" s="52">
        <v>7000004</v>
      </c>
      <c r="K29" s="52" t="s">
        <v>2937</v>
      </c>
      <c r="M29" s="53" cm="1">
        <f t="array" ref="M29:N33">arrow_trip(D7:H7,"D7",1)</f>
        <v>7000004</v>
      </c>
      <c r="N29" t="str">
        <v>a</v>
      </c>
      <c r="P29" s="54" t="str" cm="1">
        <f t="array" ref="P29">IF(AND(J29:K33=M29:N33),"PASS","FAIL")</f>
        <v>PASS</v>
      </c>
    </row>
    <row r="30" spans="2:16" x14ac:dyDescent="0.5">
      <c r="J30" s="52">
        <v>7000005</v>
      </c>
      <c r="K30" s="52" t="s">
        <v>2938</v>
      </c>
      <c r="M30">
        <v>7000005</v>
      </c>
      <c r="N30" t="str">
        <v>b</v>
      </c>
    </row>
    <row r="31" spans="2:16" x14ac:dyDescent="0.5">
      <c r="J31" s="52">
        <v>7000006</v>
      </c>
      <c r="K31" s="52" t="s">
        <v>2631</v>
      </c>
      <c r="M31">
        <v>7000006</v>
      </c>
      <c r="N31" t="str">
        <v>X</v>
      </c>
    </row>
    <row r="32" spans="2:16" x14ac:dyDescent="0.5">
      <c r="J32" s="52">
        <v>7000007</v>
      </c>
      <c r="K32" s="52" t="s">
        <v>2939</v>
      </c>
      <c r="M32">
        <v>7000007</v>
      </c>
      <c r="N32" t="str">
        <v>d</v>
      </c>
    </row>
    <row r="33" spans="2:16" x14ac:dyDescent="0.5">
      <c r="J33" s="52">
        <v>7000008</v>
      </c>
      <c r="K33" s="52" t="s">
        <v>2940</v>
      </c>
      <c r="M33">
        <v>7000008</v>
      </c>
      <c r="N33" t="str">
        <v>e</v>
      </c>
    </row>
    <row r="35" spans="2:16" x14ac:dyDescent="0.5">
      <c r="B35" s="47" t="s">
        <v>3603</v>
      </c>
      <c r="J35" s="52">
        <v>7000004</v>
      </c>
      <c r="K35" s="52" t="s">
        <v>2937</v>
      </c>
      <c r="M35" s="53" cm="1">
        <f t="array" ref="M35:N39">arrow_trip(D7:H7,"D7","R")</f>
        <v>7000004</v>
      </c>
      <c r="N35" t="str">
        <v>a</v>
      </c>
      <c r="P35" s="54" t="str" cm="1">
        <f t="array" ref="P35">IF(AND(J35:K39=M35:N39),"PASS","FAIL")</f>
        <v>PASS</v>
      </c>
    </row>
    <row r="36" spans="2:16" x14ac:dyDescent="0.5">
      <c r="J36" s="52">
        <v>7000005</v>
      </c>
      <c r="K36" s="52" t="s">
        <v>2938</v>
      </c>
      <c r="M36">
        <v>7000005</v>
      </c>
      <c r="N36" t="str">
        <v>b</v>
      </c>
    </row>
    <row r="37" spans="2:16" x14ac:dyDescent="0.5">
      <c r="J37" s="52">
        <v>7000006</v>
      </c>
      <c r="K37" s="52" t="s">
        <v>2631</v>
      </c>
      <c r="M37">
        <v>7000006</v>
      </c>
      <c r="N37" t="str">
        <v>X</v>
      </c>
    </row>
    <row r="38" spans="2:16" x14ac:dyDescent="0.5">
      <c r="J38" s="52">
        <v>7000007</v>
      </c>
      <c r="K38" s="52" t="s">
        <v>2939</v>
      </c>
      <c r="M38">
        <v>7000007</v>
      </c>
      <c r="N38" t="str">
        <v>d</v>
      </c>
    </row>
    <row r="39" spans="2:16" x14ac:dyDescent="0.5">
      <c r="J39" s="52">
        <v>7000008</v>
      </c>
      <c r="K39" s="52" t="s">
        <v>2940</v>
      </c>
      <c r="M39">
        <v>7000008</v>
      </c>
      <c r="N39" t="str">
        <v>e</v>
      </c>
    </row>
  </sheetData>
  <mergeCells count="3">
    <mergeCell ref="I1:R1"/>
    <mergeCell ref="B2:R2"/>
    <mergeCell ref="B1:F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81A58-B70E-4589-90AB-10C64CF85AAB}">
  <sheetPr codeName="Sheet57"/>
  <dimension ref="A1:S15"/>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biggest(check, return)</v>
      </c>
      <c r="C1" s="79"/>
      <c r="D1" s="79"/>
      <c r="E1" s="79"/>
      <c r="F1" s="80"/>
      <c r="H1" s="45" t="s">
        <v>2</v>
      </c>
      <c r="I1" s="78" t="str" cm="1">
        <f t="array" aca="1" ref="I1" ca="1">_xlfn.LET(_xlpm.fn, CELL("filename",$A$1), _xlpm.nm, MID(_xlpm.fn, FIND("]", _xlpm.fn) + 1, 255), _xlfn.XLOOKUP(_xlpm.nm &amp; "(*", Lamb!$A$2:$A$1000, Lamb!$D$2:$D$1000, "", 2))</f>
        <v>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IFNA(XLOOKUP(MAX(check), check, return), ""))</v>
      </c>
      <c r="C2" s="82"/>
      <c r="D2" s="82"/>
      <c r="E2" s="82"/>
      <c r="F2" s="82"/>
      <c r="G2" s="82"/>
      <c r="H2" s="82"/>
      <c r="I2" s="82"/>
      <c r="J2" s="82"/>
      <c r="K2" s="82"/>
      <c r="L2" s="82"/>
      <c r="M2" s="82"/>
      <c r="N2" s="82"/>
      <c r="O2" s="82"/>
      <c r="P2" s="82"/>
      <c r="Q2" s="82"/>
      <c r="R2" s="82"/>
    </row>
    <row r="4" spans="1:19" x14ac:dyDescent="0.5">
      <c r="A4" s="45" t="s">
        <v>2944</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2945</v>
      </c>
      <c r="D6" s="51">
        <v>30</v>
      </c>
      <c r="F6" s="51" t="s">
        <v>2937</v>
      </c>
      <c r="H6" s="52" t="s">
        <v>2938</v>
      </c>
      <c r="J6" s="53" t="str" cm="1">
        <f t="array" ref="J6">biggest(D6:D8,F6:F8)</f>
        <v>b</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2947</v>
      </c>
      <c r="D10" s="51">
        <v>5</v>
      </c>
      <c r="F10" s="51" t="s">
        <v>2948</v>
      </c>
      <c r="H10" s="52" t="s">
        <v>2949</v>
      </c>
      <c r="J10" s="53" t="str" cm="1">
        <f t="array" ref="J10">biggest(D10:D13,F10:F13)</f>
        <v>q</v>
      </c>
      <c r="L10" s="54" t="str">
        <f>IF(J10=H10,"PASS","FAIL")</f>
        <v>PASS</v>
      </c>
    </row>
    <row r="11" spans="1:19" x14ac:dyDescent="0.5">
      <c r="A11" s="55"/>
      <c r="B11" s="55"/>
      <c r="D11" s="51">
        <v>9</v>
      </c>
      <c r="F11" s="51" t="s">
        <v>2949</v>
      </c>
    </row>
    <row r="12" spans="1:19" x14ac:dyDescent="0.5">
      <c r="A12" s="55"/>
      <c r="B12" s="55"/>
      <c r="D12" s="51">
        <v>9</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biggest(D15,F15)</f>
        <v/>
      </c>
      <c r="L15" s="54" t="str">
        <f>IF(J15=H15,"PASS","FAIL")</f>
        <v>PASS</v>
      </c>
    </row>
  </sheetData>
  <mergeCells count="3">
    <mergeCell ref="I1:R1"/>
    <mergeCell ref="B2:R2"/>
    <mergeCell ref="B1:F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6150B-A4DE-4D4A-816C-23E4C4580757}">
  <sheetPr codeName="Sheet58"/>
  <dimension ref="A1:S19"/>
  <sheetViews>
    <sheetView topLeftCell="B1" zoomScale="115" zoomScaleNormal="115"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clamp(num_or_arr, [bottom], [top])</v>
      </c>
      <c r="C1" s="79"/>
      <c r="D1" s="79"/>
      <c r="E1" s="79"/>
      <c r="F1" s="80"/>
      <c r="H1" s="45" t="s">
        <v>2</v>
      </c>
      <c r="I1" s="100" t="str" cm="1">
        <f t="array" aca="1" ref="I1" ca="1">_xlfn.LET(_xlpm.fn, CELL("filename",$A$1), _xlpm.nm, MID(_xlpm.fn, FIND("]", _xlpm.fn) + 1, 255), _xlfn.XLOOKUP(_xlpm.nm &amp; "(*", Lamb!$A$2:$A$1000, Lamb!$D$2:$D$1000, "", 2))</f>
        <v>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=LAMBDA(num_or_arr, [bottom], [top], LET(
   clamp_one, LAMBDA(x,
      IF(
         ISERROR(x),
         x,
         IF(
            OR(x = "", ISTEXT(x)),
            "",
            LET(
               hi, IF(ISOMITTED(top), x, MIN(top, x)),
               lo, IF(ISOMITTED(bottom), hi, MAX(bottom, hi)),
               lo
            )
         )
      )
   ),
   IF(
      AND(ROWS(num_or_arr) = 1, COLUMNS(num_or_arr) = 1),
      clamp_one(num_or_arr),
      MAP(num_or_arr, clamp_one)
   )
))</v>
      </c>
      <c r="C2" s="82"/>
      <c r="D2" s="82"/>
      <c r="E2" s="82"/>
      <c r="F2" s="82"/>
      <c r="G2" s="82"/>
      <c r="H2" s="82"/>
      <c r="I2" s="82"/>
      <c r="J2" s="82"/>
      <c r="K2" s="82"/>
      <c r="L2" s="82"/>
      <c r="M2" s="82"/>
      <c r="N2" s="82"/>
      <c r="O2" s="82"/>
      <c r="P2" s="82"/>
      <c r="Q2" s="82"/>
      <c r="R2" s="82"/>
    </row>
    <row r="4" spans="1:19" x14ac:dyDescent="0.5">
      <c r="A4" s="45" t="s">
        <v>2952</v>
      </c>
      <c r="N4" s="45" t="str">
        <f>COUNTIF(N6:N21,"PASS")&amp;" / 5 PASS"</f>
        <v>5 / 5 PASS</v>
      </c>
    </row>
    <row r="5" spans="1:19" x14ac:dyDescent="0.5">
      <c r="A5" s="45" t="s">
        <v>7</v>
      </c>
      <c r="B5" s="45" t="s">
        <v>8</v>
      </c>
      <c r="D5" s="45" t="s">
        <v>9</v>
      </c>
      <c r="J5" s="48" t="s">
        <v>10</v>
      </c>
      <c r="L5" s="49" t="s">
        <v>11</v>
      </c>
      <c r="N5" s="50" t="s">
        <v>12</v>
      </c>
    </row>
    <row r="6" spans="1:19" x14ac:dyDescent="0.5">
      <c r="A6" s="46">
        <v>1</v>
      </c>
      <c r="B6" s="47" t="s">
        <v>2953</v>
      </c>
      <c r="D6" s="51">
        <v>5</v>
      </c>
      <c r="F6" s="51">
        <v>0</v>
      </c>
      <c r="H6" s="51">
        <v>100</v>
      </c>
      <c r="J6" s="52">
        <v>5</v>
      </c>
      <c r="L6" s="53" cm="1">
        <f t="array" ref="L6:L8">clamp(D6:D8,F6,H6)</f>
        <v>5</v>
      </c>
      <c r="N6" s="54" t="str" cm="1">
        <f t="array" ref="N6">IF(AND(J6:J8=L6:L8),"PASS","FAIL")</f>
        <v>PASS</v>
      </c>
    </row>
    <row r="7" spans="1:19" x14ac:dyDescent="0.5">
      <c r="A7" s="55"/>
      <c r="B7" s="55"/>
      <c r="D7" s="51">
        <v>-3</v>
      </c>
      <c r="J7" s="52">
        <v>0</v>
      </c>
      <c r="L7" s="53">
        <v>0</v>
      </c>
    </row>
    <row r="8" spans="1:19" x14ac:dyDescent="0.5">
      <c r="A8" s="55"/>
      <c r="B8" s="55"/>
      <c r="D8" s="51">
        <v>120</v>
      </c>
      <c r="J8" s="52">
        <v>100</v>
      </c>
      <c r="L8" s="53">
        <v>100</v>
      </c>
    </row>
    <row r="10" spans="1:19" x14ac:dyDescent="0.5">
      <c r="A10" s="46">
        <v>2</v>
      </c>
      <c r="B10" s="47" t="s">
        <v>2954</v>
      </c>
      <c r="D10" s="51">
        <v>150</v>
      </c>
      <c r="F10" s="51">
        <v>100</v>
      </c>
      <c r="J10" s="52">
        <v>100</v>
      </c>
      <c r="L10" s="53" cm="1">
        <f t="array" ref="L10">clamp(D10,,F10)</f>
        <v>100</v>
      </c>
      <c r="N10" s="54" t="str">
        <f>IF(L10=J10,"PASS","FAIL")</f>
        <v>PASS</v>
      </c>
    </row>
    <row r="12" spans="1:19" x14ac:dyDescent="0.5">
      <c r="A12" s="46">
        <v>3</v>
      </c>
      <c r="B12" s="47" t="s">
        <v>2955</v>
      </c>
      <c r="D12" s="51">
        <v>-5</v>
      </c>
      <c r="F12" s="51">
        <v>0</v>
      </c>
      <c r="J12" s="52">
        <v>0</v>
      </c>
      <c r="L12" s="53" cm="1">
        <f t="array" ref="L12">clamp(D12,F12)</f>
        <v>0</v>
      </c>
      <c r="N12" s="54" t="str">
        <f>IF(L12=J12,"PASS","FAIL")</f>
        <v>PASS</v>
      </c>
    </row>
    <row r="14" spans="1:19" x14ac:dyDescent="0.5">
      <c r="A14" s="46">
        <v>4</v>
      </c>
      <c r="B14" s="47" t="s">
        <v>2956</v>
      </c>
      <c r="D14" s="51">
        <v>5</v>
      </c>
      <c r="F14" s="51">
        <v>0</v>
      </c>
      <c r="H14" s="51">
        <v>10</v>
      </c>
      <c r="J14" s="52">
        <v>5</v>
      </c>
      <c r="L14" s="53" cm="1">
        <f t="array" ref="L14:L17">clamp(D14:D17,F14,H14)</f>
        <v>5</v>
      </c>
      <c r="N14" s="54" t="str" cm="1">
        <f t="array" ref="N14">IF(AND(J14:J17=L14:L17),"PASS","FAIL")</f>
        <v>PASS</v>
      </c>
    </row>
    <row r="15" spans="1:19" x14ac:dyDescent="0.5">
      <c r="A15" s="55"/>
      <c r="B15" s="55"/>
      <c r="D15" s="51" t="s">
        <v>2957</v>
      </c>
      <c r="J15" s="52"/>
      <c r="L15" s="53" t="str">
        <v/>
      </c>
    </row>
    <row r="16" spans="1:19" x14ac:dyDescent="0.5">
      <c r="A16" s="55"/>
      <c r="B16" s="55"/>
      <c r="D16" s="51"/>
      <c r="J16" s="52"/>
      <c r="L16" s="53" t="str">
        <v/>
      </c>
    </row>
    <row r="17" spans="1:14" x14ac:dyDescent="0.5">
      <c r="A17" s="55"/>
      <c r="B17" s="55"/>
      <c r="D17" s="51">
        <v>8</v>
      </c>
      <c r="J17" s="52">
        <v>8</v>
      </c>
      <c r="L17" s="53">
        <v>8</v>
      </c>
    </row>
    <row r="19" spans="1:14" x14ac:dyDescent="0.5">
      <c r="A19" s="46">
        <v>5</v>
      </c>
      <c r="B19" s="47" t="s">
        <v>2958</v>
      </c>
      <c r="D19" s="51" t="e">
        <f>NA()</f>
        <v>#N/A</v>
      </c>
      <c r="F19" s="51">
        <v>0</v>
      </c>
      <c r="H19" s="51">
        <v>10</v>
      </c>
      <c r="J19" s="52" t="e">
        <v>#N/A</v>
      </c>
      <c r="L19" s="53" t="e" cm="1">
        <f t="array" ref="L19">clamp(D19,F19,H19)</f>
        <v>#N/A</v>
      </c>
      <c r="N19" s="54" t="str">
        <f>IF(ISNA(L19),"PASS","FAIL")</f>
        <v>PASS</v>
      </c>
    </row>
  </sheetData>
  <mergeCells count="3">
    <mergeCell ref="I1:R1"/>
    <mergeCell ref="B2:R2"/>
    <mergeCell ref="B1:F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80C3C-4064-4991-88CD-0324A675971D}">
  <sheetPr codeName="Sheet130"/>
  <dimension ref="A1:S30"/>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cont_to_ad(cont, arr, [str])</v>
      </c>
      <c r="C1" s="79"/>
      <c r="D1" s="79"/>
      <c r="E1" s="79"/>
      <c r="F1" s="80"/>
      <c r="H1" s="45" t="s">
        <v>2</v>
      </c>
      <c r="I1" s="78" t="str" cm="1">
        <f t="array" aca="1" ref="I1" ca="1">_xlfn.LET(_xlpm.fn, CELL("filename",$A$1), _xlpm.nm, MID(_xlpm.fn, FIND("]", _xlpm.fn) + 1, 255), _xlfn.XLOOKUP(_xlpm.nm &amp; "(*", Lamb!$A$2:$A$1000, Lamb!$D$2:$D$1000, "", 2))</f>
        <v>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v>
      </c>
      <c r="C2" s="82"/>
      <c r="D2" s="82"/>
      <c r="E2" s="82"/>
      <c r="F2" s="82"/>
      <c r="G2" s="82"/>
      <c r="H2" s="82"/>
      <c r="I2" s="82"/>
      <c r="J2" s="82"/>
      <c r="K2" s="82"/>
      <c r="L2" s="82"/>
      <c r="M2" s="82"/>
      <c r="N2" s="82"/>
      <c r="O2" s="82"/>
      <c r="P2" s="82"/>
      <c r="Q2" s="82"/>
      <c r="R2" s="82"/>
    </row>
    <row r="4" spans="1:19" x14ac:dyDescent="0.5">
      <c r="A4" s="45" t="s">
        <v>3498</v>
      </c>
      <c r="J4" s="45" t="str">
        <f>COUNTIF(J11:J40,"PASS")&amp;" / 5 PASS"</f>
        <v>5 / 5 PASS</v>
      </c>
    </row>
    <row r="5" spans="1:19" x14ac:dyDescent="0.5">
      <c r="A5" s="45" t="s">
        <v>7</v>
      </c>
      <c r="B5" s="45" t="s">
        <v>8</v>
      </c>
      <c r="D5" s="45" t="s">
        <v>9</v>
      </c>
      <c r="F5" s="48" t="s">
        <v>10</v>
      </c>
      <c r="H5" s="49" t="s">
        <v>11</v>
      </c>
      <c r="J5" s="50" t="s">
        <v>12</v>
      </c>
    </row>
    <row r="6" spans="1:19" x14ac:dyDescent="0.5">
      <c r="A6" s="46"/>
      <c r="B6" s="47"/>
      <c r="D6" s="51"/>
      <c r="F6" s="52"/>
      <c r="H6" s="53"/>
      <c r="J6" s="54"/>
    </row>
    <row r="7" spans="1:19" x14ac:dyDescent="0.5">
      <c r="B7" s="47"/>
      <c r="D7" s="51">
        <v>5</v>
      </c>
      <c r="E7">
        <v>7</v>
      </c>
      <c r="F7" s="52">
        <v>9</v>
      </c>
      <c r="H7" s="53"/>
      <c r="J7" s="54"/>
    </row>
    <row r="8" spans="1:19" x14ac:dyDescent="0.5">
      <c r="A8" s="46"/>
      <c r="B8" s="47"/>
      <c r="D8" s="51">
        <v>7</v>
      </c>
      <c r="E8">
        <v>5</v>
      </c>
      <c r="F8" s="52">
        <v>1</v>
      </c>
      <c r="H8" s="53"/>
      <c r="J8" s="54"/>
    </row>
    <row r="9" spans="1:19" x14ac:dyDescent="0.5">
      <c r="B9" s="47"/>
      <c r="D9" s="51"/>
      <c r="F9" s="52"/>
      <c r="H9" s="53"/>
      <c r="J9" s="54"/>
    </row>
    <row r="10" spans="1:19" x14ac:dyDescent="0.5">
      <c r="A10" s="46" t="s">
        <v>7</v>
      </c>
      <c r="B10" s="47" t="s">
        <v>8</v>
      </c>
      <c r="D10" s="51" t="s">
        <v>9</v>
      </c>
      <c r="F10" s="52" t="s">
        <v>10</v>
      </c>
      <c r="H10" s="53" t="s">
        <v>11</v>
      </c>
      <c r="J10" s="54" t="s">
        <v>12</v>
      </c>
    </row>
    <row r="11" spans="1:19" x14ac:dyDescent="0.5">
      <c r="A11">
        <v>1</v>
      </c>
      <c r="B11" s="47" t="s">
        <v>3499</v>
      </c>
      <c r="D11" s="51"/>
      <c r="F11" s="52">
        <v>7000006</v>
      </c>
      <c r="H11" s="53" cm="1">
        <f t="array" ref="H11">cont_to_ad(9,D7:F8)</f>
        <v>7000006</v>
      </c>
      <c r="J11" s="54" t="str">
        <f>IF(H11=F11,"PASS","FAIL")</f>
        <v>PASS</v>
      </c>
    </row>
    <row r="12" spans="1:19" x14ac:dyDescent="0.5">
      <c r="A12" s="46"/>
      <c r="B12" s="47"/>
      <c r="D12" s="51"/>
      <c r="F12" s="52"/>
      <c r="H12" s="53"/>
      <c r="J12" s="54"/>
    </row>
    <row r="13" spans="1:19" x14ac:dyDescent="0.5">
      <c r="A13">
        <v>2</v>
      </c>
      <c r="B13" s="47" t="s">
        <v>3500</v>
      </c>
      <c r="D13" s="51"/>
      <c r="F13" s="52" t="s">
        <v>3501</v>
      </c>
      <c r="H13" s="53" t="str" cm="1">
        <f t="array" ref="H13">cont_to_ad(7,D7:F8)</f>
        <v>7000005;8000004</v>
      </c>
      <c r="J13" s="54" t="str">
        <f>IF(H13=F13,"PASS","FAIL")</f>
        <v>PASS</v>
      </c>
    </row>
    <row r="14" spans="1:19" x14ac:dyDescent="0.5">
      <c r="A14" s="46"/>
      <c r="B14" s="47"/>
      <c r="D14" s="51"/>
      <c r="F14" s="52"/>
      <c r="H14" s="53"/>
      <c r="J14" s="54"/>
    </row>
    <row r="15" spans="1:19" x14ac:dyDescent="0.5">
      <c r="A15">
        <v>3</v>
      </c>
      <c r="B15" s="47" t="s">
        <v>3502</v>
      </c>
      <c r="D15" s="51"/>
      <c r="F15" s="52" t="s">
        <v>3503</v>
      </c>
      <c r="H15" s="53" t="str" cm="1">
        <f t="array" ref="H15">cont_to_ad(9,D7:F8,1)</f>
        <v>F7</v>
      </c>
      <c r="J15" s="54" t="str">
        <f>IF(H15=F15,"PASS","FAIL")</f>
        <v>PASS</v>
      </c>
    </row>
    <row r="16" spans="1:19" x14ac:dyDescent="0.5">
      <c r="A16" s="46"/>
      <c r="B16" s="47"/>
      <c r="D16" s="51"/>
      <c r="F16" s="52"/>
      <c r="H16" s="53"/>
      <c r="J16" s="54"/>
    </row>
    <row r="17" spans="1:10" x14ac:dyDescent="0.5">
      <c r="A17" s="55">
        <v>4</v>
      </c>
      <c r="B17" s="47" t="s">
        <v>3504</v>
      </c>
      <c r="D17" s="51"/>
      <c r="F17" s="52"/>
      <c r="H17" s="53" t="str" cm="1">
        <f t="array" ref="H17">cont_to_ad(100,D7:F8)</f>
        <v/>
      </c>
      <c r="J17" s="54" t="str">
        <f>IF(H17=F17,"PASS","FAIL")</f>
        <v>PASS</v>
      </c>
    </row>
    <row r="18" spans="1:10" x14ac:dyDescent="0.5">
      <c r="B18" s="47"/>
      <c r="D18" s="51"/>
      <c r="F18" s="52"/>
      <c r="H18" s="53"/>
      <c r="J18" s="54"/>
    </row>
    <row r="19" spans="1:10" x14ac:dyDescent="0.5">
      <c r="A19">
        <v>5</v>
      </c>
      <c r="B19" s="47" t="s">
        <v>3505</v>
      </c>
      <c r="D19" s="51"/>
      <c r="F19" s="52">
        <v>7000006</v>
      </c>
      <c r="H19" s="53" cm="1">
        <f t="array" ref="H19:H20">cont_to_ad(_xlfn.VSTACK(9,1),D7:F8)</f>
        <v>7000006</v>
      </c>
      <c r="J19" s="54" t="str" cm="1">
        <f t="array" ref="J19">IF(AND(F19:F20=H19:H20),"PASS","FAIL")</f>
        <v>PASS</v>
      </c>
    </row>
    <row r="20" spans="1:10" x14ac:dyDescent="0.5">
      <c r="B20" s="47"/>
      <c r="D20" s="51"/>
      <c r="F20" s="52">
        <v>8000006</v>
      </c>
      <c r="H20" s="53">
        <v>8000006</v>
      </c>
      <c r="J20" s="54"/>
    </row>
    <row r="21" spans="1:10" x14ac:dyDescent="0.5">
      <c r="B21" s="47"/>
      <c r="D21" s="51"/>
      <c r="F21" s="52"/>
      <c r="H21" s="53"/>
      <c r="J21" s="54"/>
    </row>
    <row r="22" spans="1:10" x14ac:dyDescent="0.5">
      <c r="B22" s="47"/>
      <c r="D22" s="51"/>
      <c r="F22" s="52"/>
      <c r="H22" s="53"/>
      <c r="J22" s="54"/>
    </row>
    <row r="23" spans="1:10" x14ac:dyDescent="0.5">
      <c r="B23" s="47"/>
      <c r="D23" s="51"/>
      <c r="F23" s="52"/>
      <c r="H23" s="53"/>
      <c r="J23" s="54"/>
    </row>
    <row r="24" spans="1:10" x14ac:dyDescent="0.5">
      <c r="B24" s="47"/>
      <c r="D24" s="51"/>
      <c r="F24" s="52"/>
      <c r="H24" s="53"/>
      <c r="J24" s="54"/>
    </row>
    <row r="25" spans="1:10" x14ac:dyDescent="0.5">
      <c r="B25" s="47"/>
      <c r="D25" s="51"/>
      <c r="F25" s="52"/>
      <c r="H25" s="53"/>
      <c r="J25" s="54"/>
    </row>
    <row r="26" spans="1:10" x14ac:dyDescent="0.5">
      <c r="B26" s="47"/>
      <c r="D26" s="51"/>
      <c r="F26" s="52"/>
      <c r="H26" s="53"/>
      <c r="J26" s="54"/>
    </row>
    <row r="27" spans="1:10" x14ac:dyDescent="0.5">
      <c r="B27" s="47"/>
      <c r="D27" s="51"/>
      <c r="F27" s="52"/>
      <c r="H27" s="53"/>
      <c r="J27" s="54"/>
    </row>
    <row r="28" spans="1:10" x14ac:dyDescent="0.5">
      <c r="B28" s="47"/>
      <c r="D28" s="51"/>
      <c r="F28" s="52"/>
      <c r="H28" s="53"/>
      <c r="J28" s="54"/>
    </row>
    <row r="29" spans="1:10" x14ac:dyDescent="0.5">
      <c r="B29" s="47"/>
      <c r="D29" s="51"/>
      <c r="F29" s="52"/>
      <c r="H29" s="53"/>
      <c r="J29" s="54"/>
    </row>
    <row r="30" spans="1:10" x14ac:dyDescent="0.5">
      <c r="B30" s="47"/>
      <c r="D30" s="51"/>
      <c r="F30" s="52"/>
      <c r="H30" s="53"/>
      <c r="J30" s="54"/>
    </row>
  </sheetData>
  <mergeCells count="3">
    <mergeCell ref="I1:R1"/>
    <mergeCell ref="B2:R2"/>
    <mergeCell ref="B1:F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AB86B-F6C6-4DCE-A1D0-B324AFB9417D}">
  <sheetPr codeName="Sheet59"/>
  <dimension ref="A1:S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count_substring(str, sub, [case_sensitive])</v>
      </c>
      <c r="C1" s="79"/>
      <c r="D1" s="79"/>
      <c r="E1" s="79"/>
      <c r="F1" s="80"/>
      <c r="H1" s="45" t="s">
        <v>2</v>
      </c>
      <c r="I1" s="78"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82"/>
      <c r="D2" s="82"/>
      <c r="E2" s="82"/>
      <c r="F2" s="82"/>
      <c r="G2" s="82"/>
      <c r="H2" s="82"/>
      <c r="I2" s="82"/>
      <c r="J2" s="82"/>
      <c r="K2" s="82"/>
      <c r="L2" s="82"/>
      <c r="M2" s="82"/>
      <c r="N2" s="82"/>
      <c r="O2" s="82"/>
      <c r="P2" s="82"/>
      <c r="Q2" s="82"/>
      <c r="R2" s="82"/>
    </row>
    <row r="4" spans="1:19" x14ac:dyDescent="0.5">
      <c r="A4" s="45" t="s">
        <v>2959</v>
      </c>
      <c r="N4" s="45" t="str">
        <f>COUNTIF(N6:N20,"PASS")&amp;" / 6 PASS"</f>
        <v>6 / 6 PASS</v>
      </c>
    </row>
    <row r="5" spans="1:19" x14ac:dyDescent="0.5">
      <c r="A5" s="45" t="s">
        <v>7</v>
      </c>
      <c r="B5" s="45" t="s">
        <v>8</v>
      </c>
      <c r="D5" s="45" t="s">
        <v>9</v>
      </c>
      <c r="J5" s="48" t="s">
        <v>10</v>
      </c>
      <c r="L5" s="49" t="s">
        <v>11</v>
      </c>
      <c r="N5" s="50" t="s">
        <v>12</v>
      </c>
    </row>
    <row r="6" spans="1:19" x14ac:dyDescent="0.5">
      <c r="A6" s="46">
        <v>1</v>
      </c>
      <c r="B6" s="47" t="s">
        <v>2960</v>
      </c>
      <c r="D6" s="51" t="s">
        <v>2961</v>
      </c>
      <c r="F6" s="51" t="s">
        <v>2937</v>
      </c>
      <c r="J6" s="52">
        <v>3</v>
      </c>
      <c r="L6" s="53" cm="1">
        <f t="array" ref="L6">count_substring(D6,F6)</f>
        <v>3</v>
      </c>
      <c r="N6" s="54" t="str">
        <f>IF(L6=J6,"PASS","FAIL")</f>
        <v>PASS</v>
      </c>
    </row>
    <row r="8" spans="1:19" x14ac:dyDescent="0.5">
      <c r="A8" s="46">
        <v>2</v>
      </c>
      <c r="B8" s="47" t="s">
        <v>2962</v>
      </c>
      <c r="D8" s="51" t="s">
        <v>2961</v>
      </c>
      <c r="F8" s="51" t="s">
        <v>2963</v>
      </c>
      <c r="J8" s="52">
        <v>2</v>
      </c>
      <c r="L8" s="53" cm="1">
        <f t="array" ref="L8">count_substring(D8,F8)</f>
        <v>2</v>
      </c>
      <c r="N8" s="54" t="str">
        <f>IF(L8=J8,"PASS","FAIL")</f>
        <v>PASS</v>
      </c>
    </row>
    <row r="10" spans="1:19" x14ac:dyDescent="0.5">
      <c r="A10" s="46">
        <v>3</v>
      </c>
      <c r="B10" s="47" t="s">
        <v>2964</v>
      </c>
      <c r="D10" s="51" t="s">
        <v>2965</v>
      </c>
      <c r="F10" s="51" t="s">
        <v>2937</v>
      </c>
      <c r="H10" s="51">
        <v>1</v>
      </c>
      <c r="J10" s="52">
        <v>2</v>
      </c>
      <c r="L10" s="53" cm="1">
        <f t="array" ref="L10">count_substring(D10,F10,H10)</f>
        <v>2</v>
      </c>
      <c r="N10" s="54" t="str">
        <f>IF(L10=J10,"PASS","FAIL")</f>
        <v>PASS</v>
      </c>
    </row>
    <row r="12" spans="1:19" x14ac:dyDescent="0.5">
      <c r="A12" s="46">
        <v>4</v>
      </c>
      <c r="B12" s="47" t="s">
        <v>2966</v>
      </c>
      <c r="D12" s="51" t="s">
        <v>2965</v>
      </c>
      <c r="F12" s="51" t="s">
        <v>2937</v>
      </c>
      <c r="J12" s="52">
        <v>4</v>
      </c>
      <c r="L12" s="53" cm="1">
        <f t="array" ref="L12">count_substring(D12,F12)</f>
        <v>4</v>
      </c>
      <c r="N12" s="54" t="str">
        <f>IF(L12=J12,"PASS","FAIL")</f>
        <v>PASS</v>
      </c>
    </row>
    <row r="14" spans="1:19" x14ac:dyDescent="0.5">
      <c r="A14" s="46">
        <v>5</v>
      </c>
      <c r="B14" s="47" t="s">
        <v>2967</v>
      </c>
      <c r="D14" s="51" t="s">
        <v>2961</v>
      </c>
      <c r="F14" s="51" t="s">
        <v>2937</v>
      </c>
      <c r="J14" s="52">
        <v>3</v>
      </c>
      <c r="L14" s="53" cm="1">
        <f t="array" ref="L14:L15">count_substring(D14,F14:F15)</f>
        <v>3</v>
      </c>
      <c r="N14" s="54" t="str" cm="1">
        <f t="array" ref="N14">IF(AND(J14:J15=L14:L15),"PASS","FAIL")</f>
        <v>PASS</v>
      </c>
    </row>
    <row r="15" spans="1:19" x14ac:dyDescent="0.5">
      <c r="A15" s="55"/>
      <c r="B15" s="55"/>
      <c r="F15" s="51" t="s">
        <v>2968</v>
      </c>
      <c r="J15" s="52">
        <v>2</v>
      </c>
      <c r="L15" s="53">
        <v>2</v>
      </c>
    </row>
    <row r="17" spans="1:14" x14ac:dyDescent="0.5">
      <c r="A17" s="46">
        <v>6</v>
      </c>
      <c r="B17" s="47" t="s">
        <v>2969</v>
      </c>
      <c r="D17" s="51" t="s">
        <v>2961</v>
      </c>
      <c r="F17" s="51" t="s">
        <v>2937</v>
      </c>
      <c r="J17" s="52">
        <v>3</v>
      </c>
      <c r="L17" s="53" cm="1">
        <f t="array" ref="L17:L18">count_substring(D17:D18,F17)</f>
        <v>3</v>
      </c>
      <c r="N17" s="54" t="str" cm="1">
        <f t="array" ref="N17">IF(AND(J17:J18=L17:L18),"PASS","FAIL")</f>
        <v>PASS</v>
      </c>
    </row>
    <row r="18" spans="1:14" x14ac:dyDescent="0.5">
      <c r="A18" s="55"/>
      <c r="B18" s="55"/>
      <c r="D18" s="51" t="s">
        <v>2970</v>
      </c>
      <c r="J18" s="52">
        <v>1</v>
      </c>
      <c r="L18" s="53">
        <v>1</v>
      </c>
    </row>
  </sheetData>
  <mergeCells count="3">
    <mergeCell ref="I1:R1"/>
    <mergeCell ref="B2:R2"/>
    <mergeCell ref="B1:F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FA3AF-4C1A-4D57-A793-34CD305891E5}">
  <sheetPr codeName="Sheet60"/>
  <dimension ref="A1:S18"/>
  <sheetViews>
    <sheetView workbookViewId="0"/>
  </sheetViews>
  <sheetFormatPr defaultRowHeight="21" x14ac:dyDescent="0.5"/>
  <cols>
    <col min="1" max="1" width="4" customWidth="1"/>
    <col min="2" max="2" width="30" customWidth="1"/>
    <col min="4" max="7" width="11" customWidth="1"/>
    <col min="8" max="8" width="3" customWidth="1"/>
    <col min="9" max="12" width="11" customWidth="1"/>
    <col min="13" max="13" width="3" customWidth="1"/>
    <col min="14" max="17" width="11" customWidth="1"/>
    <col min="18" max="18" width="3" customWidth="1"/>
    <col min="19" max="19" width="9" customWidth="1"/>
  </cols>
  <sheetData>
    <row r="1" spans="1:19" ht="210" customHeight="1" x14ac:dyDescent="0.5">
      <c r="A1" s="45" t="s">
        <v>0</v>
      </c>
      <c r="B1" s="83" t="str" cm="1">
        <f t="array" aca="1" ref="B1" ca="1">_xlfn.LET(_xlpm.fn, CELL("filename",$A$1), _xlpm.nm, MID(_xlpm.fn, FIND("]", _xlpm.fn) + 1, 255), _xlfn.XLOOKUP(_xlpm.nm &amp; "(*", Lamb!$A$2:$A$1000, Lamb!$A$2:$A$1000, "", 2))</f>
        <v>ctotal(arr)</v>
      </c>
      <c r="C1" s="79"/>
      <c r="D1" s="79"/>
      <c r="E1" s="79"/>
      <c r="F1" s="80"/>
      <c r="H1" s="45" t="s">
        <v>2</v>
      </c>
      <c r="I1" s="78" t="str" cm="1">
        <f t="array" aca="1" ref="I1" ca="1">_xlfn.LET(_xlpm.fn, CELL("filename",$A$1), _xlpm.nm, MID(_xlpm.fn, FIND("]", _xlpm.fn) + 1, 255), _xlfn.XLOOKUP(_xlpm.nm &amp; "(*", Lamb!$A$2:$A$1000, Lamb!$D$2:$D$1000, "", 2))</f>
        <v>Running cumulative total of an array.
Arguments:
  arr - an array of numbers.
Returns:
  An array the same size as arr; each element is the sum of that element and all elements before it (row-major order).
Example:
  ctotal({1;2;3})  -&gt;  {1;3;6}</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SCAN(0, arr, LAMBDA(a, b, a + b)))</v>
      </c>
      <c r="C2" s="82"/>
      <c r="D2" s="82"/>
      <c r="E2" s="82"/>
      <c r="F2" s="82"/>
      <c r="G2" s="82"/>
      <c r="H2" s="82"/>
      <c r="I2" s="82"/>
      <c r="J2" s="82"/>
      <c r="K2" s="82"/>
      <c r="L2" s="82"/>
      <c r="M2" s="82"/>
      <c r="N2" s="82"/>
      <c r="O2" s="82"/>
      <c r="P2" s="82"/>
      <c r="Q2" s="82"/>
      <c r="R2" s="82"/>
    </row>
    <row r="4" spans="1:19" x14ac:dyDescent="0.5">
      <c r="A4" s="45" t="s">
        <v>2971</v>
      </c>
      <c r="S4" s="45" t="str">
        <f>COUNTIF(S6:S20,"PASS")&amp;" / 4 PASS"</f>
        <v>4 / 4 PASS</v>
      </c>
    </row>
    <row r="5" spans="1:19" x14ac:dyDescent="0.5">
      <c r="A5" s="45" t="s">
        <v>7</v>
      </c>
      <c r="B5" s="45" t="s">
        <v>8</v>
      </c>
      <c r="D5" s="45" t="s">
        <v>9</v>
      </c>
      <c r="I5" s="48" t="s">
        <v>10</v>
      </c>
      <c r="N5" s="49" t="s">
        <v>11</v>
      </c>
      <c r="S5" s="50" t="s">
        <v>12</v>
      </c>
    </row>
    <row r="6" spans="1:19" x14ac:dyDescent="0.5">
      <c r="A6" s="46">
        <v>1</v>
      </c>
      <c r="B6" s="47" t="s">
        <v>2972</v>
      </c>
      <c r="D6" s="51">
        <v>1</v>
      </c>
      <c r="I6" s="52">
        <v>1</v>
      </c>
      <c r="N6" s="53" cm="1">
        <f t="array" ref="N6:N8">ctotal(D6:D8)</f>
        <v>1</v>
      </c>
      <c r="S6" s="54" t="str" cm="1">
        <f t="array" ref="S6">IF(AND(I6:I8=N6:N8),"PASS","FAIL")</f>
        <v>PASS</v>
      </c>
    </row>
    <row r="7" spans="1:19" x14ac:dyDescent="0.5">
      <c r="A7" s="55"/>
      <c r="B7" s="55"/>
      <c r="D7" s="51">
        <v>2</v>
      </c>
      <c r="I7" s="52">
        <v>3</v>
      </c>
      <c r="N7" s="53">
        <v>3</v>
      </c>
    </row>
    <row r="8" spans="1:19" x14ac:dyDescent="0.5">
      <c r="A8" s="55"/>
      <c r="B8" s="55"/>
      <c r="D8" s="51">
        <v>3</v>
      </c>
      <c r="I8" s="52">
        <v>6</v>
      </c>
      <c r="N8" s="53">
        <v>6</v>
      </c>
    </row>
    <row r="10" spans="1:19" x14ac:dyDescent="0.5">
      <c r="A10" s="46">
        <v>2</v>
      </c>
      <c r="B10" s="47" t="s">
        <v>2973</v>
      </c>
      <c r="D10" s="51">
        <v>5</v>
      </c>
      <c r="I10" s="52">
        <v>5</v>
      </c>
      <c r="N10" s="53" cm="1">
        <f t="array" ref="N10:N12">ctotal(D10:D12)</f>
        <v>5</v>
      </c>
      <c r="S10" s="54" t="str" cm="1">
        <f t="array" ref="S10">IF(AND(I10:I12=N10:N12),"PASS","FAIL")</f>
        <v>PASS</v>
      </c>
    </row>
    <row r="11" spans="1:19" x14ac:dyDescent="0.5">
      <c r="A11" s="55"/>
      <c r="B11" s="55"/>
      <c r="D11" s="51">
        <v>-2</v>
      </c>
      <c r="I11" s="52">
        <v>3</v>
      </c>
      <c r="N11" s="53">
        <v>3</v>
      </c>
    </row>
    <row r="12" spans="1:19" x14ac:dyDescent="0.5">
      <c r="A12" s="55"/>
      <c r="B12" s="55"/>
      <c r="D12" s="51">
        <v>10</v>
      </c>
      <c r="I12" s="52">
        <v>13</v>
      </c>
      <c r="N12" s="53">
        <v>13</v>
      </c>
    </row>
    <row r="14" spans="1:19" x14ac:dyDescent="0.5">
      <c r="A14" s="46">
        <v>3</v>
      </c>
      <c r="B14" s="47" t="s">
        <v>2974</v>
      </c>
      <c r="D14" s="51">
        <v>1</v>
      </c>
      <c r="I14" s="52">
        <v>1</v>
      </c>
      <c r="N14" s="53" cm="1">
        <f t="array" ref="N14:N16">ctotal(D14:D16)</f>
        <v>1</v>
      </c>
      <c r="S14" s="54" t="str" cm="1">
        <f t="array" ref="S14">IF(AND(I14:I16=N14:N16),"PASS","FAIL")</f>
        <v>PASS</v>
      </c>
    </row>
    <row r="15" spans="1:19" x14ac:dyDescent="0.5">
      <c r="A15" s="55"/>
      <c r="B15" s="55"/>
      <c r="D15" s="51"/>
      <c r="I15" s="52">
        <v>1</v>
      </c>
      <c r="N15" s="53">
        <v>1</v>
      </c>
    </row>
    <row r="16" spans="1:19" x14ac:dyDescent="0.5">
      <c r="A16" s="55"/>
      <c r="B16" s="55"/>
      <c r="D16" s="51">
        <v>3</v>
      </c>
      <c r="I16" s="52">
        <v>4</v>
      </c>
      <c r="N16" s="53">
        <v>4</v>
      </c>
    </row>
    <row r="18" spans="1:19" x14ac:dyDescent="0.5">
      <c r="A18" s="46">
        <v>4</v>
      </c>
      <c r="B18" s="47" t="s">
        <v>2975</v>
      </c>
      <c r="D18" s="51">
        <v>1</v>
      </c>
      <c r="E18" s="51">
        <v>2</v>
      </c>
      <c r="F18" s="51">
        <v>3</v>
      </c>
      <c r="G18" s="51">
        <v>4</v>
      </c>
      <c r="I18" s="52">
        <v>1</v>
      </c>
      <c r="J18" s="52">
        <v>3</v>
      </c>
      <c r="K18" s="52">
        <v>6</v>
      </c>
      <c r="L18" s="52">
        <v>10</v>
      </c>
      <c r="N18" s="53" cm="1">
        <f t="array" ref="N18:Q18">ctotal(D18:G18)</f>
        <v>1</v>
      </c>
      <c r="O18" s="53">
        <v>3</v>
      </c>
      <c r="P18" s="53">
        <v>6</v>
      </c>
      <c r="Q18" s="53">
        <v>10</v>
      </c>
      <c r="S18" s="54" t="str" cm="1">
        <f t="array" ref="S18">IF(AND(I18:L18=N18:Q18),"PASS","FAIL")</f>
        <v>PASS</v>
      </c>
    </row>
  </sheetData>
  <mergeCells count="3">
    <mergeCell ref="I1:R1"/>
    <mergeCell ref="B2:R2"/>
    <mergeCell ref="B1:F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94DAF-5321-4CCF-9671-E1427AAD7FA6}">
  <sheetPr codeName="Sheet61"/>
  <dimension ref="A1:S18"/>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cycles(outer_n, inner_n)</v>
      </c>
      <c r="C1" s="79"/>
      <c r="D1" s="79"/>
      <c r="E1" s="79"/>
      <c r="F1" s="80"/>
      <c r="H1" s="45" t="s">
        <v>2</v>
      </c>
      <c r="I1" s="78" t="str" cm="1">
        <f t="array" aca="1" ref="I1" ca="1">_xlfn.LET(_xlpm.fn, CELL("filename",$A$1), _xlpm.nm, MID(_xlpm.fn, FIND("]", _xlpm.fn) + 1, 255), _xlfn.XLOOKUP(_xlpm.nm &amp; "(*", Lamb!$A$2:$A$1000, Lamb!$D$2:$D$1000, "", 2))</f>
        <v>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=LAMBDA(outer_n, inner_n, LET(
   seq, SEQUENCE(outer_n * inner_n, 1, 0),
   HSTACK(INT(seq / inner_n) + 1, MOD(seq, inner_n) + 1)
))</v>
      </c>
      <c r="C2" s="82"/>
      <c r="D2" s="82"/>
      <c r="E2" s="82"/>
      <c r="F2" s="82"/>
      <c r="G2" s="82"/>
      <c r="H2" s="82"/>
      <c r="I2" s="82"/>
      <c r="J2" s="82"/>
      <c r="K2" s="82"/>
      <c r="L2" s="82"/>
      <c r="M2" s="82"/>
      <c r="N2" s="82"/>
      <c r="O2" s="82"/>
      <c r="P2" s="82"/>
      <c r="Q2" s="82"/>
      <c r="R2" s="82"/>
    </row>
    <row r="4" spans="1:19" x14ac:dyDescent="0.5">
      <c r="A4" s="45" t="s">
        <v>2976</v>
      </c>
      <c r="N4" s="45" t="str">
        <f>COUNTIF(N6:N20,"PASS")&amp;" / 2 PASS"</f>
        <v>2 / 2 PASS</v>
      </c>
    </row>
    <row r="5" spans="1:19" x14ac:dyDescent="0.5">
      <c r="A5" s="45" t="s">
        <v>7</v>
      </c>
      <c r="B5" s="45" t="s">
        <v>8</v>
      </c>
      <c r="D5" s="45" t="s">
        <v>9</v>
      </c>
      <c r="H5" s="48" t="s">
        <v>10</v>
      </c>
      <c r="K5" s="49" t="s">
        <v>11</v>
      </c>
      <c r="N5" s="50" t="s">
        <v>12</v>
      </c>
    </row>
    <row r="6" spans="1:19" x14ac:dyDescent="0.5">
      <c r="A6" s="46">
        <v>1</v>
      </c>
      <c r="B6" s="47" t="s">
        <v>2977</v>
      </c>
      <c r="D6" s="51">
        <v>3</v>
      </c>
      <c r="F6" s="51">
        <v>2</v>
      </c>
      <c r="H6" s="52">
        <v>1</v>
      </c>
      <c r="I6" s="52">
        <v>1</v>
      </c>
      <c r="K6" s="53" cm="1">
        <f t="array" ref="K6:L11">cycles(D6,F6)</f>
        <v>1</v>
      </c>
      <c r="L6" s="53">
        <v>1</v>
      </c>
      <c r="N6" s="54" t="str" cm="1">
        <f t="array" ref="N6">IF(AND(H6:I11=K6:L11),"PASS","FAIL")</f>
        <v>PASS</v>
      </c>
    </row>
    <row r="7" spans="1:19" x14ac:dyDescent="0.5">
      <c r="A7" s="55"/>
      <c r="B7" s="55"/>
      <c r="H7" s="52">
        <v>1</v>
      </c>
      <c r="I7" s="52">
        <v>2</v>
      </c>
      <c r="K7" s="53">
        <v>1</v>
      </c>
      <c r="L7" s="53">
        <v>2</v>
      </c>
    </row>
    <row r="8" spans="1:19" x14ac:dyDescent="0.5">
      <c r="A8" s="55"/>
      <c r="B8" s="55"/>
      <c r="H8" s="52">
        <v>2</v>
      </c>
      <c r="I8" s="52">
        <v>1</v>
      </c>
      <c r="K8" s="53">
        <v>2</v>
      </c>
      <c r="L8" s="53">
        <v>1</v>
      </c>
    </row>
    <row r="9" spans="1:19" x14ac:dyDescent="0.5">
      <c r="A9" s="55"/>
      <c r="B9" s="55"/>
      <c r="H9" s="52">
        <v>2</v>
      </c>
      <c r="I9" s="52">
        <v>2</v>
      </c>
      <c r="K9" s="53">
        <v>2</v>
      </c>
      <c r="L9" s="53">
        <v>2</v>
      </c>
    </row>
    <row r="10" spans="1:19" x14ac:dyDescent="0.5">
      <c r="A10" s="55"/>
      <c r="B10" s="55"/>
      <c r="H10" s="52">
        <v>3</v>
      </c>
      <c r="I10" s="52">
        <v>1</v>
      </c>
      <c r="K10" s="53">
        <v>3</v>
      </c>
      <c r="L10" s="53">
        <v>1</v>
      </c>
    </row>
    <row r="11" spans="1:19" x14ac:dyDescent="0.5">
      <c r="A11" s="55"/>
      <c r="B11" s="55"/>
      <c r="H11" s="52">
        <v>3</v>
      </c>
      <c r="I11" s="52">
        <v>2</v>
      </c>
      <c r="K11" s="53">
        <v>3</v>
      </c>
      <c r="L11" s="53">
        <v>2</v>
      </c>
    </row>
    <row r="13" spans="1:19" x14ac:dyDescent="0.5">
      <c r="A13" s="46">
        <v>2</v>
      </c>
      <c r="B13" s="47" t="s">
        <v>2978</v>
      </c>
      <c r="D13" s="51">
        <v>2</v>
      </c>
      <c r="F13" s="51">
        <v>3</v>
      </c>
      <c r="H13" s="52">
        <v>1</v>
      </c>
      <c r="I13" s="52">
        <v>1</v>
      </c>
      <c r="K13" s="53" cm="1">
        <f t="array" ref="K13:L18">cycles(D13,F13)</f>
        <v>1</v>
      </c>
      <c r="L13" s="53">
        <v>1</v>
      </c>
      <c r="N13" s="54" t="str" cm="1">
        <f t="array" ref="N13">IF(AND(H13:I18=K13:L18),"PASS","FAIL")</f>
        <v>PASS</v>
      </c>
    </row>
    <row r="14" spans="1:19" x14ac:dyDescent="0.5">
      <c r="A14" s="55"/>
      <c r="B14" s="55"/>
      <c r="H14" s="52">
        <v>1</v>
      </c>
      <c r="I14" s="52">
        <v>2</v>
      </c>
      <c r="K14" s="53">
        <v>1</v>
      </c>
      <c r="L14" s="53">
        <v>2</v>
      </c>
    </row>
    <row r="15" spans="1:19" x14ac:dyDescent="0.5">
      <c r="A15" s="55"/>
      <c r="B15" s="55"/>
      <c r="H15" s="52">
        <v>1</v>
      </c>
      <c r="I15" s="52">
        <v>3</v>
      </c>
      <c r="K15" s="53">
        <v>1</v>
      </c>
      <c r="L15" s="53">
        <v>3</v>
      </c>
    </row>
    <row r="16" spans="1:19" x14ac:dyDescent="0.5">
      <c r="A16" s="55"/>
      <c r="B16" s="55"/>
      <c r="H16" s="52">
        <v>2</v>
      </c>
      <c r="I16" s="52">
        <v>1</v>
      </c>
      <c r="K16" s="53">
        <v>2</v>
      </c>
      <c r="L16" s="53">
        <v>1</v>
      </c>
    </row>
    <row r="17" spans="1:12" x14ac:dyDescent="0.5">
      <c r="A17" s="55"/>
      <c r="B17" s="55"/>
      <c r="H17" s="52">
        <v>2</v>
      </c>
      <c r="I17" s="52">
        <v>2</v>
      </c>
      <c r="K17" s="53">
        <v>2</v>
      </c>
      <c r="L17" s="53">
        <v>2</v>
      </c>
    </row>
    <row r="18" spans="1:12" x14ac:dyDescent="0.5">
      <c r="A18" s="55"/>
      <c r="B18" s="55"/>
      <c r="H18" s="52">
        <v>2</v>
      </c>
      <c r="I18" s="52">
        <v>3</v>
      </c>
      <c r="K18" s="53">
        <v>2</v>
      </c>
      <c r="L18" s="53">
        <v>3</v>
      </c>
    </row>
  </sheetData>
  <mergeCells count="3">
    <mergeCell ref="I1:R1"/>
    <mergeCell ref="B2:R2"/>
    <mergeCell ref="B1:F1"/>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32EC91-5648-47F8-9BE3-460E0E1771A1}">
  <sheetPr codeName="Sheet62"/>
  <dimension ref="A1:S16"/>
  <sheetViews>
    <sheetView zoomScale="70" zoomScaleNormal="70"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die_pips(st)</v>
      </c>
      <c r="C1" s="79"/>
      <c r="D1" s="79"/>
      <c r="E1" s="79"/>
      <c r="F1" s="80"/>
      <c r="H1" s="45" t="s">
        <v>2</v>
      </c>
      <c r="I1" s="78" t="str" cm="1">
        <f t="array" aca="1" ref="I1" ca="1">_xlfn.LET(_xlpm.fn, CELL("filename",$A$1), _xlpm.nm, MID(_xlpm.fn, FIND("]", _xlpm.fn) + 1, 255), _xlfn.XLOOKUP(_xlpm.nm &amp; "(*", Lamb!$A$2:$A$1000, Lamb!$D$2:$D$1000, "", 2))</f>
        <v>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 LET(
   toVals, LAMBDA(txt, LET(
      seq, SEQUENCE(LEN(txt)),
      chars, MID(txt, seq, 1),
      codes, UNICODE(chars),
      isDie, (codes &gt;= 9856) * (codes &lt;= 9861),
      vals, FILTER(codes - 9855, isDie, ""),
      IF(ROWS(vals) * COLUMNS(vals) = 1, INDEX(vals, 1), vals)
   )),
   IF(
      ROWS(st) * COLUMNS(st) = 1,
      toVals(st),
      MAP(st, LAMBDA(cell, toVals(cell)))
   )
))</v>
      </c>
      <c r="C2" s="82"/>
      <c r="D2" s="82"/>
      <c r="E2" s="82"/>
      <c r="F2" s="82"/>
      <c r="G2" s="82"/>
      <c r="H2" s="82"/>
      <c r="I2" s="82"/>
      <c r="J2" s="82"/>
      <c r="K2" s="82"/>
      <c r="L2" s="82"/>
      <c r="M2" s="82"/>
      <c r="N2" s="82"/>
      <c r="O2" s="82"/>
      <c r="P2" s="82"/>
      <c r="Q2" s="82"/>
      <c r="R2" s="82"/>
    </row>
    <row r="4" spans="1:19" x14ac:dyDescent="0.5">
      <c r="A4" s="45" t="s">
        <v>2979</v>
      </c>
      <c r="J4" s="45" t="str">
        <f>COUNTIF(J6:J16,"PASS")&amp;" / 5 PASS"</f>
        <v>5 / 5 PASS</v>
      </c>
    </row>
    <row r="5" spans="1:19" x14ac:dyDescent="0.5">
      <c r="A5" s="45" t="s">
        <v>7</v>
      </c>
      <c r="B5" s="45" t="s">
        <v>8</v>
      </c>
      <c r="D5" s="45" t="s">
        <v>9</v>
      </c>
      <c r="F5" s="48" t="s">
        <v>10</v>
      </c>
      <c r="H5" s="49" t="s">
        <v>11</v>
      </c>
      <c r="J5" s="50" t="s">
        <v>12</v>
      </c>
    </row>
    <row r="6" spans="1:19" x14ac:dyDescent="0.5">
      <c r="A6" s="46">
        <v>1</v>
      </c>
      <c r="B6" s="47" t="s">
        <v>2980</v>
      </c>
      <c r="D6" s="51" t="s">
        <v>2981</v>
      </c>
      <c r="F6" s="52">
        <v>5</v>
      </c>
      <c r="H6" s="53" cm="1">
        <f t="array" ref="H6">die_pips(D6)</f>
        <v>5</v>
      </c>
      <c r="J6" s="54" t="str">
        <f>IF(H6=F6,"PASS","FAIL")</f>
        <v>PASS</v>
      </c>
    </row>
    <row r="8" spans="1:19" x14ac:dyDescent="0.5">
      <c r="A8" s="46">
        <v>2</v>
      </c>
      <c r="B8" s="47" t="s">
        <v>2982</v>
      </c>
      <c r="D8" s="51" t="s">
        <v>2983</v>
      </c>
      <c r="F8" s="52">
        <v>2</v>
      </c>
      <c r="H8" s="53" cm="1">
        <f t="array" ref="H8">die_pips(D8)</f>
        <v>2</v>
      </c>
      <c r="J8" s="54" t="str">
        <f>IF(H8=F8,"PASS","FAIL")</f>
        <v>PASS</v>
      </c>
    </row>
    <row r="10" spans="1:19" x14ac:dyDescent="0.5">
      <c r="A10" s="46">
        <v>3</v>
      </c>
      <c r="B10" s="47" t="s">
        <v>2984</v>
      </c>
      <c r="D10" s="51" t="s">
        <v>2985</v>
      </c>
      <c r="F10" s="52">
        <v>1</v>
      </c>
      <c r="H10" s="53" cm="1">
        <f t="array" ref="H10:H11">die_pips(D10)</f>
        <v>1</v>
      </c>
      <c r="J10" s="54" t="str" cm="1">
        <f t="array" ref="J10">IF(AND(F10:F11=H10:H11),"PASS","FAIL")</f>
        <v>PASS</v>
      </c>
    </row>
    <row r="11" spans="1:19" x14ac:dyDescent="0.5">
      <c r="A11" s="55"/>
      <c r="B11" s="55"/>
      <c r="F11" s="52">
        <v>6</v>
      </c>
      <c r="H11" s="53">
        <v>6</v>
      </c>
    </row>
    <row r="13" spans="1:19" x14ac:dyDescent="0.5">
      <c r="A13" s="46">
        <v>4</v>
      </c>
      <c r="B13" s="47" t="s">
        <v>2986</v>
      </c>
      <c r="D13" s="51" t="s">
        <v>2987</v>
      </c>
      <c r="F13" s="52">
        <v>3</v>
      </c>
      <c r="H13" s="53" cm="1">
        <f t="array" ref="H13:H14">die_pips(D13:D14)</f>
        <v>3</v>
      </c>
      <c r="J13" s="54" t="str" cm="1">
        <f t="array" ref="J13">IF(AND(F13:F14=H13:H14),"PASS","FAIL")</f>
        <v>PASS</v>
      </c>
    </row>
    <row r="14" spans="1:19" x14ac:dyDescent="0.5">
      <c r="A14" s="55"/>
      <c r="B14" s="55"/>
      <c r="D14" s="51" t="s">
        <v>2981</v>
      </c>
      <c r="F14" s="52">
        <v>5</v>
      </c>
      <c r="H14" s="53">
        <v>5</v>
      </c>
    </row>
    <row r="16" spans="1:19" x14ac:dyDescent="0.5">
      <c r="A16" s="46">
        <v>5</v>
      </c>
      <c r="B16" s="47" t="s">
        <v>3283</v>
      </c>
      <c r="D16" s="51" t="s">
        <v>137</v>
      </c>
      <c r="F16" s="52" t="str">
        <f>""</f>
        <v/>
      </c>
      <c r="H16" s="53" t="str" cm="1">
        <f t="array" ref="H16">die_pips(D16)</f>
        <v/>
      </c>
      <c r="J16" s="54" t="str">
        <f>IF(H16=F16,"PASS","FAIL")</f>
        <v>PASS</v>
      </c>
    </row>
  </sheetData>
  <mergeCells count="3">
    <mergeCell ref="I1:R1"/>
    <mergeCell ref="B2:R2"/>
    <mergeCell ref="B1:F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F6D68-DB95-4F00-AB3A-33692385591F}">
  <sheetPr codeName="Sheet63"/>
  <dimension ref="A1:S31"/>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73" customHeight="1" x14ac:dyDescent="0.5">
      <c r="A1" s="45" t="s">
        <v>0</v>
      </c>
      <c r="B1" s="83" t="str" cm="1">
        <f t="array" aca="1" ref="B1" ca="1">_xlfn.LET(_xlpm.fn, CELL("filename",$A$1), _xlpm.nm, MID(_xlpm.fn, FIND("]", _xlpm.fn) + 1, 255), _xlfn.XLOOKUP(_xlpm.nm &amp; "(*", Lamb!$A$2:$A$1000, Lamb!$A$2:$A$1000, "", 2))</f>
        <v>dist(start_ad, end_ad, [diag_allowed], [print_components])</v>
      </c>
      <c r="C1" s="79"/>
      <c r="D1" s="79"/>
      <c r="E1" s="79"/>
      <c r="F1" s="80"/>
      <c r="H1" s="45" t="s">
        <v>2</v>
      </c>
      <c r="I1" s="78" t="str" cm="1">
        <f t="array" aca="1" ref="I1" ca="1">_xlfn.LET(_xlpm.fn, CELL("filename",$A$1), _xlpm.nm, MID(_xlpm.fn, FIND("]", _xlpm.fn) + 1, 255), _xlfn.XLOOKUP(_xlpm.nm &amp; "(*", Lamb!$A$2:$A$1000, Lamb!$D$2:$D$1000, "", 2))</f>
        <v>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v>
      </c>
      <c r="C2" s="82"/>
      <c r="D2" s="82"/>
      <c r="E2" s="82"/>
      <c r="F2" s="82"/>
      <c r="G2" s="82"/>
      <c r="H2" s="82"/>
      <c r="I2" s="82"/>
      <c r="J2" s="82"/>
      <c r="K2" s="82"/>
      <c r="L2" s="82"/>
      <c r="M2" s="82"/>
      <c r="N2" s="82"/>
      <c r="O2" s="82"/>
      <c r="P2" s="82"/>
      <c r="Q2" s="82"/>
      <c r="R2" s="82"/>
    </row>
    <row r="4" spans="1:19" x14ac:dyDescent="0.5">
      <c r="A4" s="45" t="s">
        <v>2988</v>
      </c>
      <c r="P4" s="45" t="str">
        <f>COUNTIF(P6:P33,"PASS")&amp;" / 7 PASS"</f>
        <v>7 / 7 PASS</v>
      </c>
    </row>
    <row r="5" spans="1:19" x14ac:dyDescent="0.5">
      <c r="A5" s="45" t="s">
        <v>7</v>
      </c>
      <c r="B5" s="45" t="s">
        <v>8</v>
      </c>
      <c r="D5" s="45" t="s">
        <v>9</v>
      </c>
      <c r="L5" s="48" t="s">
        <v>10</v>
      </c>
      <c r="N5" s="49" t="s">
        <v>11</v>
      </c>
      <c r="P5" s="50" t="s">
        <v>12</v>
      </c>
    </row>
    <row r="6" spans="1:19" x14ac:dyDescent="0.5">
      <c r="A6" s="46">
        <v>1</v>
      </c>
      <c r="B6" s="47" t="s">
        <v>2989</v>
      </c>
      <c r="D6" s="51" t="s">
        <v>2925</v>
      </c>
      <c r="F6" s="51" t="s">
        <v>2990</v>
      </c>
      <c r="L6" s="52">
        <v>2</v>
      </c>
      <c r="N6" s="53" cm="1">
        <f t="array" ref="N6">dist(D6,F6)</f>
        <v>2</v>
      </c>
      <c r="P6" s="54" t="str">
        <f>IF(N6=L6,"PASS","FAIL")</f>
        <v>PASS</v>
      </c>
    </row>
    <row r="8" spans="1:19" x14ac:dyDescent="0.5">
      <c r="A8" s="46">
        <v>2</v>
      </c>
      <c r="B8" s="47" t="s">
        <v>2991</v>
      </c>
      <c r="D8" s="51" t="s">
        <v>2925</v>
      </c>
      <c r="F8" s="51" t="s">
        <v>2990</v>
      </c>
      <c r="H8" s="51">
        <v>0</v>
      </c>
      <c r="L8" s="52">
        <v>4</v>
      </c>
      <c r="N8" s="53" cm="1">
        <f t="array" ref="N8">dist(D8,F8,H8)</f>
        <v>4</v>
      </c>
      <c r="P8" s="54" t="str">
        <f>IF(N8=L8,"PASS","FAIL")</f>
        <v>PASS</v>
      </c>
    </row>
    <row r="10" spans="1:19" x14ac:dyDescent="0.5">
      <c r="A10" s="46">
        <v>3</v>
      </c>
      <c r="B10" s="47" t="s">
        <v>2992</v>
      </c>
      <c r="D10" s="51" t="s">
        <v>2925</v>
      </c>
      <c r="F10" s="51" t="s">
        <v>2990</v>
      </c>
      <c r="H10" s="51">
        <v>-1</v>
      </c>
      <c r="L10" s="52">
        <v>2.8284271247461898</v>
      </c>
      <c r="N10" s="53" cm="1">
        <f t="array" ref="N10">dist(D10,F10,H10)</f>
        <v>2.8284271247461903</v>
      </c>
      <c r="P10" s="54" t="str">
        <f>IF(ABS(N10-L10)&lt;0.000000001,"PASS","FAIL")</f>
        <v>PASS</v>
      </c>
    </row>
    <row r="12" spans="1:19" x14ac:dyDescent="0.5">
      <c r="A12" s="46">
        <v>4</v>
      </c>
      <c r="B12" s="47" t="s">
        <v>2993</v>
      </c>
      <c r="D12" s="51" t="s">
        <v>2925</v>
      </c>
      <c r="F12" s="51" t="s">
        <v>2994</v>
      </c>
      <c r="L12" s="52">
        <v>3</v>
      </c>
      <c r="N12" s="53" cm="1">
        <f t="array" ref="N12">dist(D12,F12)</f>
        <v>3</v>
      </c>
      <c r="P12" s="54" t="str">
        <f>IF(N12=L12,"PASS","FAIL")</f>
        <v>PASS</v>
      </c>
    </row>
    <row r="14" spans="1:19" x14ac:dyDescent="0.5">
      <c r="A14" s="46">
        <v>5</v>
      </c>
      <c r="B14" s="47" t="s">
        <v>2995</v>
      </c>
      <c r="D14" s="51" t="s">
        <v>2925</v>
      </c>
      <c r="F14" s="51" t="s">
        <v>2990</v>
      </c>
      <c r="H14" s="51">
        <v>1</v>
      </c>
      <c r="J14" s="51">
        <v>1</v>
      </c>
      <c r="L14" s="52" t="s">
        <v>374</v>
      </c>
      <c r="N14" s="53" t="str" cm="1">
        <f t="array" ref="N14:N19">dist(D14,F14,H14,J14)</f>
        <v>↘</v>
      </c>
      <c r="P14" s="54" t="str" cm="1">
        <f t="array" ref="P14">IF(AND(L14:L19=N14:N19),"PASS","FAIL")</f>
        <v>PASS</v>
      </c>
    </row>
    <row r="15" spans="1:19" x14ac:dyDescent="0.5">
      <c r="A15" s="55"/>
      <c r="B15" s="55"/>
      <c r="L15" s="52">
        <v>2</v>
      </c>
      <c r="N15" s="53">
        <v>2</v>
      </c>
    </row>
    <row r="16" spans="1:19" x14ac:dyDescent="0.5">
      <c r="A16" s="55"/>
      <c r="B16" s="55"/>
      <c r="L16" s="52"/>
      <c r="N16" s="53" t="str">
        <v/>
      </c>
    </row>
    <row r="17" spans="1:16" x14ac:dyDescent="0.5">
      <c r="A17" s="55"/>
      <c r="B17" s="55"/>
      <c r="L17" s="52">
        <v>0</v>
      </c>
      <c r="N17" s="53">
        <v>0</v>
      </c>
    </row>
    <row r="18" spans="1:16" x14ac:dyDescent="0.5">
      <c r="A18" s="55"/>
      <c r="B18" s="55"/>
      <c r="L18" s="52"/>
      <c r="N18" s="53" t="str">
        <v/>
      </c>
    </row>
    <row r="19" spans="1:16" x14ac:dyDescent="0.5">
      <c r="A19" s="55"/>
      <c r="B19" s="55"/>
      <c r="L19" s="52">
        <v>0</v>
      </c>
      <c r="N19" s="53">
        <v>0</v>
      </c>
    </row>
    <row r="21" spans="1:16" x14ac:dyDescent="0.5">
      <c r="A21" s="46">
        <v>6</v>
      </c>
      <c r="B21" s="47" t="s">
        <v>2996</v>
      </c>
      <c r="D21" s="51" t="s">
        <v>2925</v>
      </c>
      <c r="F21" s="51" t="s">
        <v>2997</v>
      </c>
      <c r="H21" s="51">
        <v>1</v>
      </c>
      <c r="J21" s="51">
        <v>1</v>
      </c>
      <c r="L21" s="52" t="s">
        <v>374</v>
      </c>
      <c r="N21" s="53" t="str" cm="1">
        <f t="array" ref="N21:N26">dist(D21,F21,H21,J21)</f>
        <v>↘</v>
      </c>
      <c r="P21" s="54" t="str" cm="1">
        <f t="array" ref="P21">IF(AND(L21:L26=N21:N26),"PASS","FAIL")</f>
        <v>PASS</v>
      </c>
    </row>
    <row r="22" spans="1:16" x14ac:dyDescent="0.5">
      <c r="A22" s="55"/>
      <c r="B22" s="55"/>
      <c r="L22" s="52">
        <v>2</v>
      </c>
      <c r="N22" s="53">
        <v>2</v>
      </c>
    </row>
    <row r="23" spans="1:16" x14ac:dyDescent="0.5">
      <c r="A23" s="55"/>
      <c r="B23" s="55"/>
      <c r="L23" s="52" t="s">
        <v>181</v>
      </c>
      <c r="N23" s="53" t="str">
        <v>↓</v>
      </c>
    </row>
    <row r="24" spans="1:16" x14ac:dyDescent="0.5">
      <c r="A24" s="55"/>
      <c r="B24" s="55"/>
      <c r="L24" s="52">
        <v>1</v>
      </c>
      <c r="N24" s="53">
        <v>1</v>
      </c>
    </row>
    <row r="25" spans="1:16" x14ac:dyDescent="0.5">
      <c r="A25" s="55"/>
      <c r="B25" s="55"/>
      <c r="L25" s="52"/>
      <c r="N25" s="53" t="str">
        <v/>
      </c>
    </row>
    <row r="26" spans="1:16" x14ac:dyDescent="0.5">
      <c r="A26" s="55"/>
      <c r="B26" s="55"/>
      <c r="L26" s="52">
        <v>0</v>
      </c>
      <c r="N26" s="53">
        <v>0</v>
      </c>
    </row>
    <row r="28" spans="1:16" x14ac:dyDescent="0.5">
      <c r="A28" s="46">
        <v>7</v>
      </c>
      <c r="B28" s="47" t="s">
        <v>2998</v>
      </c>
      <c r="D28" s="51" t="s">
        <v>2925</v>
      </c>
      <c r="F28" s="51" t="s">
        <v>2990</v>
      </c>
      <c r="H28" s="51">
        <v>0</v>
      </c>
      <c r="J28" s="51">
        <v>1</v>
      </c>
      <c r="L28" s="52" t="s">
        <v>181</v>
      </c>
      <c r="N28" s="53" t="str" cm="1">
        <f t="array" ref="N28:N31">dist(D28,F28,H28,J28)</f>
        <v>↓</v>
      </c>
      <c r="P28" s="54" t="str" cm="1">
        <f t="array" ref="P28">IF(AND(L28:L31=N28:N31),"PASS","FAIL")</f>
        <v>PASS</v>
      </c>
    </row>
    <row r="29" spans="1:16" x14ac:dyDescent="0.5">
      <c r="A29" s="55"/>
      <c r="B29" s="55"/>
      <c r="L29" s="52">
        <v>2</v>
      </c>
      <c r="N29" s="53">
        <v>2</v>
      </c>
    </row>
    <row r="30" spans="1:16" x14ac:dyDescent="0.5">
      <c r="A30" s="55"/>
      <c r="B30" s="55"/>
      <c r="L30" s="52" t="s">
        <v>192</v>
      </c>
      <c r="N30" s="53" t="str">
        <v>→</v>
      </c>
    </row>
    <row r="31" spans="1:16" x14ac:dyDescent="0.5">
      <c r="A31" s="55"/>
      <c r="B31" s="55"/>
      <c r="L31" s="52">
        <v>2</v>
      </c>
      <c r="N31" s="53">
        <v>2</v>
      </c>
    </row>
  </sheetData>
  <mergeCells count="3">
    <mergeCell ref="I1:R1"/>
    <mergeCell ref="B2:R2"/>
    <mergeCell ref="B1:F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F7CCC-728A-4332-9262-D9685DB548A2}">
  <sheetPr codeName="Sheet64"/>
  <dimension ref="A1:S20"/>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exists(arr, value)</v>
      </c>
      <c r="C1" s="79"/>
      <c r="D1" s="79"/>
      <c r="E1" s="79"/>
      <c r="F1" s="80"/>
      <c r="H1" s="45" t="s">
        <v>2</v>
      </c>
      <c r="I1" s="78" t="str" cm="1">
        <f t="array" aca="1" ref="I1" ca="1">_xlfn.LET(_xlpm.fn, CELL("filename",$A$1), _xlpm.nm, MID(_xlpm.fn, FIND("]", _xlpm.fn) + 1, 255), _xlfn.XLOOKUP(_xlpm.nm &amp; "(*", Lamb!$A$2:$A$1000, Lamb!$D$2:$D$1000, "", 2))</f>
        <v>Membership test: is a value present in an array.
Arguments:
  arr   - array to search (flattened before testing).
  value - the scalar value to look for.
Returns:
  1 if value occurs in arr, otherwise 0.
Example:
  exists(list, "x")  -&gt;  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Val, IF(ISNUMBER(XMATCH(Val, TOCOL(Arr), 0)), 1, 0))</v>
      </c>
      <c r="C2" s="82"/>
      <c r="D2" s="82"/>
      <c r="E2" s="82"/>
      <c r="F2" s="82"/>
      <c r="G2" s="82"/>
      <c r="H2" s="82"/>
      <c r="I2" s="82"/>
      <c r="J2" s="82"/>
      <c r="K2" s="82"/>
      <c r="L2" s="82"/>
      <c r="M2" s="82"/>
      <c r="N2" s="82"/>
      <c r="O2" s="82"/>
      <c r="P2" s="82"/>
      <c r="Q2" s="82"/>
      <c r="R2" s="82"/>
    </row>
    <row r="4" spans="1:19" x14ac:dyDescent="0.5">
      <c r="A4" s="45" t="s">
        <v>2999</v>
      </c>
      <c r="L4" s="45" t="str">
        <f>COUNTIF(L6:L22,"PASS")&amp;" / 4 PASS"</f>
        <v>4 / 4 PASS</v>
      </c>
    </row>
    <row r="5" spans="1:19" x14ac:dyDescent="0.5">
      <c r="A5" s="45" t="s">
        <v>7</v>
      </c>
      <c r="B5" s="45" t="s">
        <v>8</v>
      </c>
      <c r="D5" s="45" t="s">
        <v>9</v>
      </c>
      <c r="H5" s="48" t="s">
        <v>10</v>
      </c>
      <c r="J5" s="49" t="s">
        <v>11</v>
      </c>
      <c r="L5" s="50" t="s">
        <v>12</v>
      </c>
    </row>
    <row r="6" spans="1:19" x14ac:dyDescent="0.5">
      <c r="A6" s="46">
        <v>1</v>
      </c>
      <c r="B6" s="47" t="s">
        <v>3000</v>
      </c>
      <c r="D6" s="51">
        <v>1</v>
      </c>
      <c r="F6" s="51">
        <v>2</v>
      </c>
      <c r="H6" s="52">
        <v>1</v>
      </c>
      <c r="J6" s="53" cm="1">
        <f t="array" ref="J6">exists(D6:D8,F6)</f>
        <v>1</v>
      </c>
      <c r="L6" s="54" t="str">
        <f>IF(J6=H6,"PASS","FAIL")</f>
        <v>PASS</v>
      </c>
    </row>
    <row r="7" spans="1:19" x14ac:dyDescent="0.5">
      <c r="A7" s="55"/>
      <c r="B7" s="55"/>
      <c r="D7" s="51">
        <v>2</v>
      </c>
    </row>
    <row r="8" spans="1:19" x14ac:dyDescent="0.5">
      <c r="A8" s="55"/>
      <c r="B8" s="55"/>
      <c r="D8" s="51">
        <v>3</v>
      </c>
    </row>
    <row r="10" spans="1:19" x14ac:dyDescent="0.5">
      <c r="A10" s="46">
        <v>2</v>
      </c>
      <c r="B10" s="47" t="s">
        <v>3001</v>
      </c>
      <c r="D10" s="51" t="s">
        <v>2937</v>
      </c>
      <c r="F10" s="51" t="s">
        <v>2957</v>
      </c>
      <c r="H10" s="52">
        <v>0</v>
      </c>
      <c r="J10" s="53" cm="1">
        <f t="array" ref="J10">exists(D10:D12,F10)</f>
        <v>0</v>
      </c>
      <c r="L10" s="54" t="str">
        <f>IF(J10=H10,"PASS","FAIL")</f>
        <v>PASS</v>
      </c>
    </row>
    <row r="11" spans="1:19" x14ac:dyDescent="0.5">
      <c r="A11" s="55"/>
      <c r="B11" s="55"/>
      <c r="D11" s="51" t="s">
        <v>2938</v>
      </c>
    </row>
    <row r="12" spans="1:19" x14ac:dyDescent="0.5">
      <c r="A12" s="55"/>
      <c r="B12" s="55"/>
      <c r="D12" s="51" t="s">
        <v>2946</v>
      </c>
    </row>
    <row r="14" spans="1:19" x14ac:dyDescent="0.5">
      <c r="A14" s="46">
        <v>3</v>
      </c>
      <c r="B14" s="47" t="s">
        <v>3002</v>
      </c>
      <c r="D14" s="51">
        <v>1</v>
      </c>
      <c r="F14" s="51">
        <v>2</v>
      </c>
      <c r="H14" s="52">
        <v>1</v>
      </c>
      <c r="J14" s="53" cm="1">
        <f t="array" ref="J14:J15">exists(D14:D16,F14:F15)</f>
        <v>1</v>
      </c>
      <c r="L14" s="54" t="str" cm="1">
        <f t="array" ref="L14">IF(AND(H14:H15=J14:J15),"PASS","FAIL")</f>
        <v>PASS</v>
      </c>
    </row>
    <row r="15" spans="1:19" x14ac:dyDescent="0.5">
      <c r="A15" s="55"/>
      <c r="B15" s="55"/>
      <c r="D15" s="51">
        <v>2</v>
      </c>
      <c r="F15" s="51">
        <v>9</v>
      </c>
      <c r="H15" s="52">
        <v>0</v>
      </c>
      <c r="J15" s="53">
        <v>0</v>
      </c>
    </row>
    <row r="16" spans="1:19" x14ac:dyDescent="0.5">
      <c r="A16" s="55"/>
      <c r="B16" s="55"/>
      <c r="D16" s="51">
        <v>3</v>
      </c>
    </row>
    <row r="18" spans="1:12" x14ac:dyDescent="0.5">
      <c r="A18" s="46">
        <v>4</v>
      </c>
      <c r="B18" s="47" t="s">
        <v>3003</v>
      </c>
      <c r="D18" s="51" t="s">
        <v>2937</v>
      </c>
      <c r="F18" s="51" t="s">
        <v>2937</v>
      </c>
      <c r="H18" s="52">
        <v>1</v>
      </c>
      <c r="J18" s="53" cm="1">
        <f t="array" ref="J18:J19">exists(D18:D20,F18:F19)</f>
        <v>1</v>
      </c>
      <c r="L18" s="54" t="str" cm="1">
        <f t="array" ref="L18">IF(AND(H18:H19=J18:J19),"PASS","FAIL")</f>
        <v>PASS</v>
      </c>
    </row>
    <row r="19" spans="1:12" x14ac:dyDescent="0.5">
      <c r="A19" s="55"/>
      <c r="B19" s="55"/>
      <c r="D19" s="51" t="s">
        <v>2938</v>
      </c>
      <c r="F19" s="51" t="s">
        <v>3004</v>
      </c>
      <c r="H19" s="52">
        <v>0</v>
      </c>
      <c r="J19" s="53">
        <v>0</v>
      </c>
    </row>
    <row r="20" spans="1:12" x14ac:dyDescent="0.5">
      <c r="A20" s="55"/>
      <c r="B20" s="55"/>
      <c r="D20" s="51" t="s">
        <v>2946</v>
      </c>
    </row>
  </sheetData>
  <mergeCells count="3">
    <mergeCell ref="I1:R1"/>
    <mergeCell ref="B2:R2"/>
    <mergeCell ref="B1:F1"/>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C9979-77C9-4B28-B0FE-E5E2B329DAEA}">
  <sheetPr codeName="Sheet76"/>
  <dimension ref="A1:S30"/>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expand_rng(ad_or_rng, [r_down], [c_right], [r_up], [c_left])</v>
      </c>
      <c r="C1" s="79"/>
      <c r="D1" s="79"/>
      <c r="E1" s="79"/>
      <c r="F1" s="80"/>
      <c r="H1" s="45" t="s">
        <v>2</v>
      </c>
      <c r="I1" s="78" t="str" cm="1">
        <f t="array" aca="1" ref="I1" ca="1">_xlfn.LET(_xlpm.fn, CELL("filename",$A$1), _xlpm.nm, MID(_xlpm.fn, FIND("]", _xlpm.fn) + 1, 255), _xlfn.XLOOKUP(_xlpm.nm &amp; "(*", Lamb!$A$2:$A$1000, Lamb!$D$2:$D$1000, "", 2))</f>
        <v>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v>
      </c>
      <c r="C2" s="82"/>
      <c r="D2" s="82"/>
      <c r="E2" s="82"/>
      <c r="F2" s="82"/>
      <c r="G2" s="82"/>
      <c r="H2" s="82"/>
      <c r="I2" s="82"/>
      <c r="J2" s="82"/>
      <c r="K2" s="82"/>
      <c r="L2" s="82"/>
      <c r="M2" s="82"/>
      <c r="N2" s="82"/>
      <c r="O2" s="82"/>
      <c r="P2" s="82"/>
      <c r="Q2" s="82"/>
      <c r="R2" s="82"/>
    </row>
    <row r="4" spans="1:19" x14ac:dyDescent="0.5">
      <c r="A4" s="45" t="s">
        <v>3506</v>
      </c>
      <c r="J4" t="str">
        <f>COUNTIF(J6:J40,"PASS")&amp;" / 7 PASS"</f>
        <v>7 / 7 PASS</v>
      </c>
      <c r="P4" s="45"/>
    </row>
    <row r="5" spans="1:19" x14ac:dyDescent="0.5">
      <c r="A5" s="45" t="s">
        <v>7</v>
      </c>
      <c r="B5" s="45" t="s">
        <v>8</v>
      </c>
      <c r="D5" s="45" t="s">
        <v>9</v>
      </c>
      <c r="F5" t="s">
        <v>10</v>
      </c>
      <c r="H5" s="48" t="s">
        <v>11</v>
      </c>
      <c r="J5" t="s">
        <v>12</v>
      </c>
      <c r="L5" s="49" t="s">
        <v>11</v>
      </c>
      <c r="P5" s="50" t="s">
        <v>12</v>
      </c>
    </row>
    <row r="6" spans="1:19" x14ac:dyDescent="0.5">
      <c r="A6" s="46">
        <v>1</v>
      </c>
      <c r="B6" s="47" t="s">
        <v>3507</v>
      </c>
      <c r="D6" s="51" t="s">
        <v>3508</v>
      </c>
      <c r="F6" s="52" t="s">
        <v>3509</v>
      </c>
      <c r="H6" s="53" t="str" cm="1">
        <f t="array" ref="H6">expand_rng("J10:K11",1,2,0,4)</f>
        <v>F10:M12</v>
      </c>
      <c r="I6" s="52"/>
      <c r="J6" s="54" t="str">
        <f>IF(H6=F6,"PASS","FAIL")</f>
        <v>PASS</v>
      </c>
      <c r="L6" s="53"/>
      <c r="M6" s="53"/>
      <c r="P6" s="54"/>
    </row>
    <row r="7" spans="1:19" x14ac:dyDescent="0.5">
      <c r="A7" s="55"/>
      <c r="B7" s="47"/>
      <c r="D7" s="51"/>
      <c r="F7" s="52"/>
      <c r="H7" s="53"/>
      <c r="I7" s="52"/>
      <c r="J7" s="54"/>
      <c r="L7" s="53"/>
      <c r="M7" s="53"/>
      <c r="P7" s="54"/>
    </row>
    <row r="8" spans="1:19" x14ac:dyDescent="0.5">
      <c r="A8">
        <v>2</v>
      </c>
      <c r="B8" s="47" t="s">
        <v>3510</v>
      </c>
      <c r="D8" s="51" t="s">
        <v>3511</v>
      </c>
      <c r="F8" s="52" t="s">
        <v>3512</v>
      </c>
      <c r="H8" s="53" t="str" cm="1">
        <f t="array" ref="H8">expand_rng("B3",0,0,10,0)</f>
        <v>B1:B3</v>
      </c>
      <c r="I8" s="52"/>
      <c r="J8" s="54" t="str">
        <f>IF(H8=F8,"PASS","FAIL")</f>
        <v>PASS</v>
      </c>
      <c r="L8" s="53"/>
      <c r="M8" s="53"/>
      <c r="P8" s="54"/>
    </row>
    <row r="9" spans="1:19" x14ac:dyDescent="0.5">
      <c r="A9" s="46"/>
      <c r="B9" s="47"/>
      <c r="D9" s="51"/>
      <c r="F9" s="52"/>
      <c r="H9" s="53"/>
      <c r="I9" s="52"/>
      <c r="J9" s="54"/>
      <c r="L9" s="53"/>
      <c r="M9" s="53"/>
      <c r="P9" s="54"/>
    </row>
    <row r="10" spans="1:19" x14ac:dyDescent="0.5">
      <c r="A10" s="55">
        <v>3</v>
      </c>
      <c r="B10" s="47" t="s">
        <v>3513</v>
      </c>
      <c r="D10" s="51" t="s">
        <v>3514</v>
      </c>
      <c r="F10" s="52" t="s">
        <v>3515</v>
      </c>
      <c r="H10" s="53" t="str" cm="1">
        <f t="array" ref="H10">expand_rng("B3",0,0,0,10)</f>
        <v>A3:B3</v>
      </c>
      <c r="I10" s="52"/>
      <c r="J10" s="54" t="str">
        <f>IF(H10=F10,"PASS","FAIL")</f>
        <v>PASS</v>
      </c>
      <c r="L10" s="53"/>
      <c r="M10" s="53"/>
      <c r="P10" s="54"/>
    </row>
    <row r="11" spans="1:19" x14ac:dyDescent="0.5">
      <c r="B11" s="47"/>
      <c r="D11" s="51"/>
      <c r="F11" s="52"/>
      <c r="H11" s="53"/>
      <c r="I11" s="52"/>
      <c r="J11" s="54"/>
      <c r="L11" s="53"/>
      <c r="M11" s="53"/>
      <c r="P11" s="54"/>
    </row>
    <row r="12" spans="1:19" ht="32" x14ac:dyDescent="0.5">
      <c r="A12" s="46">
        <v>4</v>
      </c>
      <c r="B12" s="47" t="s">
        <v>3516</v>
      </c>
      <c r="D12" s="51" t="s">
        <v>3517</v>
      </c>
      <c r="F12" s="52" t="s">
        <v>3518</v>
      </c>
      <c r="H12" s="53" t="str" cm="1">
        <f t="array" ref="H12">expand_rng("1000001:1000002",1,0,0,0)</f>
        <v>1000001:2000002</v>
      </c>
      <c r="I12" s="52"/>
      <c r="J12" s="54" t="str">
        <f>IF(H12=F12,"PASS","FAIL")</f>
        <v>PASS</v>
      </c>
      <c r="L12" s="53"/>
      <c r="M12" s="53"/>
      <c r="P12" s="54"/>
    </row>
    <row r="13" spans="1:19" x14ac:dyDescent="0.5">
      <c r="A13" s="55"/>
      <c r="B13" s="47"/>
      <c r="D13" s="51"/>
      <c r="F13" s="52"/>
      <c r="H13" s="53"/>
      <c r="I13" s="52"/>
      <c r="J13" s="54"/>
      <c r="L13" s="53"/>
      <c r="M13" s="53"/>
      <c r="P13" s="54"/>
    </row>
    <row r="14" spans="1:19" ht="32" x14ac:dyDescent="0.5">
      <c r="A14" s="55">
        <v>5</v>
      </c>
      <c r="B14" s="47" t="s">
        <v>3519</v>
      </c>
      <c r="D14" s="51" t="s">
        <v>3520</v>
      </c>
      <c r="F14" s="52" t="s">
        <v>3521</v>
      </c>
      <c r="H14" s="53" t="str" cm="1">
        <f t="array" ref="H14">expand_rng(3000004)</f>
        <v>3000004:3000004</v>
      </c>
      <c r="I14" s="52"/>
      <c r="J14" s="54" t="str">
        <f>IF(H14=F14,"PASS","FAIL")</f>
        <v>PASS</v>
      </c>
      <c r="L14" s="53"/>
      <c r="M14" s="53"/>
      <c r="P14" s="54"/>
    </row>
    <row r="15" spans="1:19" x14ac:dyDescent="0.5">
      <c r="B15" s="47"/>
      <c r="D15" s="51"/>
      <c r="F15" s="52"/>
      <c r="H15" s="53"/>
      <c r="I15" s="52"/>
      <c r="J15" s="54"/>
      <c r="L15" s="53"/>
      <c r="M15" s="53"/>
      <c r="P15" s="54"/>
    </row>
    <row r="16" spans="1:19" x14ac:dyDescent="0.5">
      <c r="A16" s="46">
        <v>6</v>
      </c>
      <c r="B16" s="47" t="s">
        <v>3522</v>
      </c>
      <c r="D16" s="51"/>
      <c r="F16" s="52">
        <v>3</v>
      </c>
      <c r="H16" s="53" cm="1">
        <f t="array" ref="H16">ERROR.TYPE(expand_rng({1,2}))</f>
        <v>3</v>
      </c>
      <c r="I16" s="52"/>
      <c r="J16" s="54" t="str">
        <f>IF(H16=F16,"PASS","FAIL")</f>
        <v>PASS</v>
      </c>
      <c r="L16" s="53"/>
      <c r="M16" s="53"/>
      <c r="N16" s="53"/>
      <c r="P16" s="54"/>
    </row>
    <row r="17" spans="1:16" x14ac:dyDescent="0.5">
      <c r="B17" s="47"/>
      <c r="D17" s="51"/>
      <c r="F17" s="52"/>
      <c r="H17" s="53"/>
      <c r="I17" s="52"/>
      <c r="J17" s="54"/>
      <c r="L17" s="53"/>
      <c r="M17" s="53"/>
      <c r="N17" s="53"/>
      <c r="P17" s="54"/>
    </row>
    <row r="18" spans="1:16" x14ac:dyDescent="0.5">
      <c r="A18" s="46">
        <v>7</v>
      </c>
      <c r="B18" s="47" t="s">
        <v>3523</v>
      </c>
      <c r="D18" s="51"/>
      <c r="F18" s="52">
        <v>3</v>
      </c>
      <c r="H18" s="53" cm="1">
        <f t="array" ref="H18">ERROR.TYPE(expand_rng("B3",-1))</f>
        <v>3</v>
      </c>
      <c r="I18" s="52"/>
      <c r="J18" s="54" t="str">
        <f>IF(H18=F18,"PASS","FAIL")</f>
        <v>PASS</v>
      </c>
      <c r="L18" s="53"/>
      <c r="M18" s="53"/>
      <c r="N18" s="53"/>
      <c r="P18" s="54"/>
    </row>
    <row r="19" spans="1:16" x14ac:dyDescent="0.5">
      <c r="B19" s="47"/>
      <c r="D19" s="51"/>
      <c r="F19" s="51"/>
      <c r="H19" s="52"/>
      <c r="I19" s="52"/>
      <c r="J19" s="52"/>
      <c r="L19" s="53"/>
      <c r="M19" s="53"/>
      <c r="N19" s="53"/>
      <c r="P19" s="54"/>
    </row>
    <row r="20" spans="1:16" x14ac:dyDescent="0.5">
      <c r="B20" s="47"/>
      <c r="D20" s="51"/>
      <c r="F20" s="51"/>
      <c r="H20" s="52"/>
      <c r="I20" s="52"/>
      <c r="J20" s="52"/>
      <c r="L20" s="53"/>
      <c r="M20" s="53"/>
      <c r="N20" s="53"/>
      <c r="P20" s="54"/>
    </row>
    <row r="21" spans="1:16" x14ac:dyDescent="0.5">
      <c r="B21" s="47"/>
      <c r="D21" s="51"/>
      <c r="F21" s="51"/>
      <c r="H21" s="52"/>
      <c r="I21" s="52"/>
      <c r="J21" s="52"/>
      <c r="L21" s="53"/>
      <c r="M21" s="53"/>
      <c r="N21" s="53"/>
      <c r="P21" s="54"/>
    </row>
    <row r="22" spans="1:16" x14ac:dyDescent="0.5">
      <c r="B22" s="47"/>
      <c r="D22" s="51"/>
      <c r="F22" s="51"/>
      <c r="H22" s="52"/>
      <c r="I22" s="52"/>
      <c r="J22" s="52"/>
      <c r="L22" s="53"/>
      <c r="M22" s="53"/>
      <c r="N22" s="53"/>
      <c r="P22" s="54"/>
    </row>
    <row r="23" spans="1:16" x14ac:dyDescent="0.5">
      <c r="B23" s="47"/>
      <c r="D23" s="51"/>
      <c r="F23" s="51"/>
      <c r="H23" s="52"/>
      <c r="I23" s="52"/>
      <c r="J23" s="52"/>
      <c r="L23" s="53"/>
      <c r="M23" s="53"/>
      <c r="N23" s="53"/>
      <c r="P23" s="54"/>
    </row>
    <row r="24" spans="1:16" x14ac:dyDescent="0.5">
      <c r="B24" s="47"/>
      <c r="D24" s="51"/>
      <c r="F24" s="51"/>
      <c r="H24" s="52"/>
      <c r="I24" s="52"/>
      <c r="J24" s="52"/>
      <c r="L24" s="53"/>
      <c r="M24" s="53"/>
      <c r="N24" s="53"/>
      <c r="P24" s="54"/>
    </row>
    <row r="25" spans="1:16" x14ac:dyDescent="0.5">
      <c r="B25" s="47"/>
      <c r="D25" s="51"/>
      <c r="F25" s="51"/>
      <c r="H25" s="52"/>
      <c r="I25" s="52"/>
      <c r="J25" s="52"/>
      <c r="L25" s="53"/>
      <c r="M25" s="53"/>
      <c r="N25" s="53"/>
      <c r="P25" s="54"/>
    </row>
    <row r="26" spans="1:16" x14ac:dyDescent="0.5">
      <c r="B26" s="47"/>
      <c r="D26" s="51"/>
      <c r="F26" s="51"/>
      <c r="H26" s="52"/>
      <c r="I26" s="52"/>
      <c r="J26" s="52"/>
      <c r="L26" s="53"/>
      <c r="M26" s="53"/>
      <c r="N26" s="53"/>
      <c r="P26" s="54"/>
    </row>
    <row r="27" spans="1:16" x14ac:dyDescent="0.5">
      <c r="B27" s="47"/>
      <c r="D27" s="51"/>
      <c r="F27" s="51"/>
      <c r="H27" s="52"/>
      <c r="I27" s="52"/>
      <c r="J27" s="52"/>
      <c r="L27" s="53"/>
      <c r="M27" s="53"/>
      <c r="N27" s="53"/>
      <c r="P27" s="54"/>
    </row>
    <row r="28" spans="1:16" x14ac:dyDescent="0.5">
      <c r="B28" s="47"/>
      <c r="D28" s="51"/>
      <c r="F28" s="51"/>
      <c r="H28" s="52"/>
      <c r="I28" s="52"/>
      <c r="J28" s="52"/>
      <c r="L28" s="53"/>
      <c r="M28" s="53"/>
      <c r="N28" s="53"/>
      <c r="P28" s="54"/>
    </row>
    <row r="29" spans="1:16" x14ac:dyDescent="0.5">
      <c r="B29" s="47"/>
      <c r="D29" s="51"/>
      <c r="F29" s="51"/>
      <c r="H29" s="52"/>
      <c r="I29" s="52"/>
      <c r="J29" s="52"/>
      <c r="L29" s="53"/>
      <c r="M29" s="53"/>
      <c r="N29" s="53"/>
      <c r="P29" s="54"/>
    </row>
    <row r="30" spans="1:16" x14ac:dyDescent="0.5">
      <c r="B30" s="47"/>
      <c r="D30" s="51"/>
      <c r="F30" s="51"/>
      <c r="H30" s="52"/>
      <c r="I30" s="52"/>
      <c r="J30" s="52"/>
      <c r="L30" s="53"/>
      <c r="M30" s="53"/>
      <c r="N30" s="53"/>
      <c r="P30" s="54"/>
    </row>
  </sheetData>
  <mergeCells count="3">
    <mergeCell ref="I1:R1"/>
    <mergeCell ref="B2:R2"/>
    <mergeCell ref="B1:F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FD3BE-3C8D-4E19-B8F9-CC39623FE5D9}">
  <sheetPr codeName="Sheet65"/>
  <dimension ref="A1:S3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freq_table(array, [min_freq])</v>
      </c>
      <c r="C1" s="79"/>
      <c r="D1" s="79"/>
      <c r="E1" s="79"/>
      <c r="F1" s="80"/>
      <c r="H1" s="45" t="s">
        <v>2</v>
      </c>
      <c r="I1" s="78" t="str" cm="1">
        <f t="array" aca="1" ref="I1" ca="1">_xlfn.LET(_xlpm.fn, CELL("filename",$A$1), _xlpm.nm, MID(_xlpm.fn, FIND("]", _xlpm.fn) + 1, 255), _xlfn.XLOOKUP(_xlpm.nm &amp; "(*", Lamb!$A$2:$A$1000, Lamb!$D$2:$D$1000, "", 2))</f>
        <v>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=LAMBDA(array, [min_freq], LET(
   mf, IF(ISOMITTED(min_freq), 1, min_freq),
   vec0, TOCOL(array, 1),
   vec, IFERROR(FILTER(vec0, vec0 &lt;&gt; ""), NA()),
   u, IFERROR(UNIQUE(vec), NA()),
   cnt, IFERROR(MAP(u, LAMBDA(x, SUM(--(vec = x)))), NA()),
   tab, IFERROR(FILTER(HSTACK(u, cnt), cnt &gt;= mf), NA()),
   IFERROR(SORT(tab, {2, 1}, {-1, 1}), NA())
))</v>
      </c>
      <c r="C2" s="82"/>
      <c r="D2" s="82"/>
      <c r="E2" s="82"/>
      <c r="F2" s="82"/>
      <c r="G2" s="82"/>
      <c r="H2" s="82"/>
      <c r="I2" s="82"/>
      <c r="J2" s="82"/>
      <c r="K2" s="82"/>
      <c r="L2" s="82"/>
      <c r="M2" s="82"/>
      <c r="N2" s="82"/>
      <c r="O2" s="82"/>
      <c r="P2" s="82"/>
      <c r="Q2" s="82"/>
      <c r="R2" s="82"/>
    </row>
    <row r="4" spans="1:19" x14ac:dyDescent="0.5">
      <c r="A4" s="45" t="s">
        <v>3005</v>
      </c>
      <c r="N4" s="45" t="str">
        <f>COUNTIF(N6:N33,"PASS")&amp;" / 5 PASS"</f>
        <v>5 / 5 PASS</v>
      </c>
    </row>
    <row r="5" spans="1:19" x14ac:dyDescent="0.5">
      <c r="A5" s="45" t="s">
        <v>7</v>
      </c>
      <c r="B5" s="45" t="s">
        <v>8</v>
      </c>
      <c r="D5" s="45" t="s">
        <v>9</v>
      </c>
      <c r="H5" s="48" t="s">
        <v>10</v>
      </c>
      <c r="K5" s="49" t="s">
        <v>11</v>
      </c>
      <c r="N5" s="50" t="s">
        <v>12</v>
      </c>
    </row>
    <row r="6" spans="1:19" x14ac:dyDescent="0.5">
      <c r="A6" s="46">
        <v>1</v>
      </c>
      <c r="B6" s="47" t="s">
        <v>3006</v>
      </c>
      <c r="D6" s="51">
        <v>1</v>
      </c>
      <c r="H6" s="52">
        <v>1</v>
      </c>
      <c r="I6" s="52">
        <v>2</v>
      </c>
      <c r="K6" s="53" cm="1">
        <f t="array" ref="K6:L7">freq_table(D6:D8)</f>
        <v>1</v>
      </c>
      <c r="L6" s="53">
        <v>2</v>
      </c>
      <c r="N6" s="54" t="str" cm="1">
        <f t="array" ref="N6">IF(AND(H6:I7=K6:L7),"PASS","FAIL")</f>
        <v>PASS</v>
      </c>
    </row>
    <row r="7" spans="1:19" x14ac:dyDescent="0.5">
      <c r="A7" s="55"/>
      <c r="B7" s="55"/>
      <c r="D7" s="51">
        <v>1</v>
      </c>
      <c r="H7" s="52">
        <v>2</v>
      </c>
      <c r="I7" s="52">
        <v>1</v>
      </c>
      <c r="K7" s="53">
        <v>2</v>
      </c>
      <c r="L7" s="53">
        <v>1</v>
      </c>
    </row>
    <row r="8" spans="1:19" x14ac:dyDescent="0.5">
      <c r="A8" s="55"/>
      <c r="B8" s="55"/>
      <c r="D8" s="51">
        <v>2</v>
      </c>
    </row>
    <row r="10" spans="1:19" x14ac:dyDescent="0.5">
      <c r="A10" s="46">
        <v>2</v>
      </c>
      <c r="B10" s="47" t="s">
        <v>3007</v>
      </c>
      <c r="D10" s="51" t="s">
        <v>2937</v>
      </c>
      <c r="H10" s="52" t="s">
        <v>2937</v>
      </c>
      <c r="I10" s="52">
        <v>3</v>
      </c>
      <c r="K10" s="53" t="str" cm="1">
        <f t="array" ref="K10:L12">freq_table(D10:D15)</f>
        <v>a</v>
      </c>
      <c r="L10" s="53">
        <v>3</v>
      </c>
      <c r="N10" s="54" t="str" cm="1">
        <f t="array" ref="N10">IF(AND(H10:I12=K10:L12),"PASS","FAIL")</f>
        <v>PASS</v>
      </c>
    </row>
    <row r="11" spans="1:19" x14ac:dyDescent="0.5">
      <c r="A11" s="55"/>
      <c r="B11" s="55"/>
      <c r="D11" s="51" t="s">
        <v>2937</v>
      </c>
      <c r="H11" s="52" t="s">
        <v>2938</v>
      </c>
      <c r="I11" s="52">
        <v>2</v>
      </c>
      <c r="K11" s="53" t="str">
        <v>b</v>
      </c>
      <c r="L11" s="53">
        <v>2</v>
      </c>
    </row>
    <row r="12" spans="1:19" x14ac:dyDescent="0.5">
      <c r="A12" s="55"/>
      <c r="B12" s="55"/>
      <c r="D12" s="51" t="s">
        <v>2937</v>
      </c>
      <c r="H12" s="52" t="s">
        <v>2946</v>
      </c>
      <c r="I12" s="52">
        <v>1</v>
      </c>
      <c r="K12" s="53" t="str">
        <v>c</v>
      </c>
      <c r="L12" s="53">
        <v>1</v>
      </c>
    </row>
    <row r="13" spans="1:19" x14ac:dyDescent="0.5">
      <c r="A13" s="55"/>
      <c r="B13" s="55"/>
      <c r="D13" s="51" t="s">
        <v>2938</v>
      </c>
    </row>
    <row r="14" spans="1:19" x14ac:dyDescent="0.5">
      <c r="A14" s="55"/>
      <c r="B14" s="55"/>
      <c r="D14" s="51" t="s">
        <v>2938</v>
      </c>
    </row>
    <row r="15" spans="1:19" x14ac:dyDescent="0.5">
      <c r="A15" s="55"/>
      <c r="B15" s="55"/>
      <c r="D15" s="51" t="s">
        <v>2946</v>
      </c>
    </row>
    <row r="17" spans="1:14" x14ac:dyDescent="0.5">
      <c r="A17" s="46">
        <v>3</v>
      </c>
      <c r="B17" s="47" t="s">
        <v>3008</v>
      </c>
      <c r="D17" s="51">
        <v>1</v>
      </c>
      <c r="H17" s="52">
        <v>1</v>
      </c>
      <c r="I17" s="52">
        <v>2</v>
      </c>
      <c r="K17" s="53" cm="1">
        <f t="array" ref="K17:L18">freq_table(D17:D20)</f>
        <v>1</v>
      </c>
      <c r="L17" s="53">
        <v>2</v>
      </c>
      <c r="N17" s="54" t="str" cm="1">
        <f t="array" ref="N17">IF(AND(H17:I18=K17:L18),"PASS","FAIL")</f>
        <v>PASS</v>
      </c>
    </row>
    <row r="18" spans="1:14" x14ac:dyDescent="0.5">
      <c r="A18" s="55"/>
      <c r="B18" s="55"/>
      <c r="D18" s="51">
        <v>1</v>
      </c>
      <c r="H18" s="52">
        <v>2</v>
      </c>
      <c r="I18" s="52">
        <v>1</v>
      </c>
      <c r="K18" s="53">
        <v>2</v>
      </c>
      <c r="L18" s="53">
        <v>1</v>
      </c>
    </row>
    <row r="19" spans="1:14" x14ac:dyDescent="0.5">
      <c r="A19" s="55"/>
      <c r="B19" s="55"/>
      <c r="D19" s="51"/>
    </row>
    <row r="20" spans="1:14" x14ac:dyDescent="0.5">
      <c r="A20" s="55"/>
      <c r="B20" s="55"/>
      <c r="D20" s="51">
        <v>2</v>
      </c>
    </row>
    <row r="22" spans="1:14" x14ac:dyDescent="0.5">
      <c r="A22" s="46">
        <v>4</v>
      </c>
      <c r="B22" s="47" t="s">
        <v>3009</v>
      </c>
      <c r="D22" s="51">
        <v>1</v>
      </c>
      <c r="F22" s="51">
        <v>2</v>
      </c>
      <c r="H22" s="52">
        <v>3</v>
      </c>
      <c r="I22" s="52">
        <v>3</v>
      </c>
      <c r="K22" s="53" cm="1">
        <f t="array" ref="K22:L23">freq_table(D22:D27,F22)</f>
        <v>3</v>
      </c>
      <c r="L22" s="53">
        <v>3</v>
      </c>
      <c r="N22" s="54" t="str" cm="1">
        <f t="array" ref="N22">IF(AND(H22:I23=K22:L23),"PASS","FAIL")</f>
        <v>PASS</v>
      </c>
    </row>
    <row r="23" spans="1:14" x14ac:dyDescent="0.5">
      <c r="A23" s="55"/>
      <c r="B23" s="55"/>
      <c r="D23" s="51">
        <v>1</v>
      </c>
      <c r="H23" s="52">
        <v>1</v>
      </c>
      <c r="I23" s="52">
        <v>2</v>
      </c>
      <c r="K23" s="53">
        <v>1</v>
      </c>
      <c r="L23" s="53">
        <v>2</v>
      </c>
    </row>
    <row r="24" spans="1:14" x14ac:dyDescent="0.5">
      <c r="A24" s="55"/>
      <c r="B24" s="55"/>
      <c r="D24" s="51">
        <v>2</v>
      </c>
    </row>
    <row r="25" spans="1:14" x14ac:dyDescent="0.5">
      <c r="A25" s="55"/>
      <c r="B25" s="55"/>
      <c r="D25" s="51">
        <v>3</v>
      </c>
    </row>
    <row r="26" spans="1:14" x14ac:dyDescent="0.5">
      <c r="A26" s="55"/>
      <c r="B26" s="55"/>
      <c r="D26" s="51">
        <v>3</v>
      </c>
    </row>
    <row r="27" spans="1:14" x14ac:dyDescent="0.5">
      <c r="A27" s="55"/>
      <c r="B27" s="55"/>
      <c r="D27" s="51">
        <v>3</v>
      </c>
    </row>
    <row r="29" spans="1:14" x14ac:dyDescent="0.5">
      <c r="A29" s="46">
        <v>5</v>
      </c>
      <c r="B29" s="47" t="s">
        <v>3010</v>
      </c>
      <c r="D29" s="51">
        <v>1</v>
      </c>
      <c r="H29" s="52" t="e">
        <v>#N/A</v>
      </c>
      <c r="K29" s="53" t="e" cm="1">
        <f t="array" ref="K29">freq_table(D29:D31)</f>
        <v>#N/A</v>
      </c>
      <c r="N29" s="54" t="str">
        <f>IF(ISNA(K29),"PASS","FAIL")</f>
        <v>PASS</v>
      </c>
    </row>
    <row r="30" spans="1:14" x14ac:dyDescent="0.5">
      <c r="A30" s="55"/>
      <c r="B30" s="55"/>
      <c r="D30" s="51">
        <v>1</v>
      </c>
    </row>
    <row r="31" spans="1:14" x14ac:dyDescent="0.5">
      <c r="A31" s="55"/>
      <c r="B31" s="55"/>
      <c r="D31" s="51" t="e">
        <f>NA()</f>
        <v>#N/A</v>
      </c>
    </row>
  </sheetData>
  <mergeCells count="3">
    <mergeCell ref="I1:R1"/>
    <mergeCell ref="B2:R2"/>
    <mergeCell ref="B1:F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70364-5639-4970-A094-58A6426C16C9}">
  <sheetPr codeName="Sheet135"/>
  <dimension ref="A1:V24"/>
  <sheetViews>
    <sheetView topLeftCell="A2" zoomScale="85" zoomScaleNormal="85" workbookViewId="0">
      <selection activeCell="A7" sqref="A7:C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22" ht="252" customHeight="1" x14ac:dyDescent="0.5">
      <c r="A1" s="45" t="s">
        <v>0</v>
      </c>
      <c r="B1" s="83" t="str" cm="1">
        <f t="array" aca="1" ref="B1" ca="1">_xlfn.LET(_xlpm.fn, CELL("filename",$A$1), _xlpm.nm, MID(_xlpm.fn, FIND("]", _xlpm.fn) + 1, 255), _xlfn.XLOOKUP(_xlpm.nm &amp; "(*", Lamb!$A$2:$A$1000, Lamb!$A$2:$A$1000, "", 2))</f>
        <v>ftd_maze_cost(board, start_ref, ftd_lambda, [max_steps])</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v>
      </c>
      <c r="J1" s="79"/>
      <c r="K1" s="79"/>
      <c r="L1" s="79"/>
      <c r="M1" s="79"/>
      <c r="N1" s="79"/>
      <c r="O1" s="79"/>
      <c r="P1" s="79"/>
      <c r="Q1" s="79"/>
      <c r="R1" s="80"/>
      <c r="S1" s="77" t="str">
        <f>HYPERLINK("#lambda_tests!A1","&lt;- test summary")</f>
        <v>&lt;- test summary</v>
      </c>
    </row>
    <row r="2" spans="1:22" ht="409" customHeight="1" x14ac:dyDescent="0.5">
      <c r="A2" s="45" t="s">
        <v>4</v>
      </c>
      <c r="B2" s="81" t="str" cm="1">
        <f t="array" aca="1" ref="B2" ca="1">_xlfn.LET(_xlpm.fn, CELL("filename",$A$1), _xlpm.nm, MID(_xlpm.fn, FIND("]", _xlpm.fn) + 1, 255), _xlfn.XLOOKUP(_xlpm.nm &amp; "(*", Lamb!$A$2:$A$1000, Lamb!$C$2:$C$1000, "", 2))</f>
        <v>=LAMBDA(board,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v>
      </c>
      <c r="C2" s="82"/>
      <c r="D2" s="82"/>
      <c r="E2" s="82"/>
      <c r="F2" s="82"/>
      <c r="G2" s="82"/>
      <c r="H2" s="82"/>
      <c r="I2" s="82"/>
      <c r="J2" s="82"/>
      <c r="K2" s="82"/>
      <c r="L2" s="82"/>
      <c r="M2" s="82"/>
      <c r="N2" s="82"/>
      <c r="O2" s="82"/>
      <c r="P2" s="82"/>
      <c r="Q2" s="82"/>
      <c r="R2" s="82"/>
    </row>
    <row r="4" spans="1:22" x14ac:dyDescent="0.5">
      <c r="A4" s="45" t="s">
        <v>3653</v>
      </c>
      <c r="N4" s="45"/>
      <c r="V4" s="45" t="str">
        <f>COUNTIF(V6:V40,"PASS")&amp;" / 5 PASS"</f>
        <v>5 / 5 PASS</v>
      </c>
    </row>
    <row r="5" spans="1:22" x14ac:dyDescent="0.5">
      <c r="A5" s="45" t="s">
        <v>7</v>
      </c>
      <c r="B5" s="45" t="s">
        <v>8</v>
      </c>
      <c r="D5" s="45" t="s">
        <v>3644</v>
      </c>
      <c r="J5" s="48"/>
      <c r="L5" s="49"/>
      <c r="N5" s="48" t="s">
        <v>10</v>
      </c>
      <c r="O5" s="48"/>
      <c r="P5" s="48"/>
      <c r="R5" s="49" t="s">
        <v>11</v>
      </c>
      <c r="S5" s="49"/>
      <c r="T5" s="49"/>
      <c r="V5" s="50" t="s">
        <v>12</v>
      </c>
    </row>
    <row r="6" spans="1:22" ht="32" x14ac:dyDescent="0.5">
      <c r="A6" s="46">
        <v>1</v>
      </c>
      <c r="B6" s="47" t="s">
        <v>3645</v>
      </c>
      <c r="D6" s="51">
        <v>1</v>
      </c>
      <c r="E6" s="51">
        <v>2</v>
      </c>
      <c r="F6" s="51">
        <v>3</v>
      </c>
      <c r="J6" s="52"/>
      <c r="L6" s="53"/>
      <c r="N6" s="52">
        <v>5</v>
      </c>
      <c r="O6" s="52">
        <v>3</v>
      </c>
      <c r="P6" s="52">
        <v>5</v>
      </c>
      <c r="R6" s="53" cm="1">
        <f t="array" ref="R6:T8">ftd_maze_cost(D6:F8,{2,2},_xlfn.LAMBDA(_xlpm.f,_xlpm.t,_xlpm.d,_xlfn.XLOOKUP(_xlpm.d,{"↑","↓","←","→","↖","↗","↙","↘"},{3,3,4,4,5,5,5,5},NA())),8)</f>
        <v>5</v>
      </c>
      <c r="S6">
        <v>3</v>
      </c>
      <c r="T6">
        <v>5</v>
      </c>
      <c r="V6" s="54" t="str" cm="1">
        <f t="array" ref="V6">IF(AND(N6:P8=R6:T8),"PASS","FAIL")</f>
        <v>PASS</v>
      </c>
    </row>
    <row r="7" spans="1:22" x14ac:dyDescent="0.5">
      <c r="A7" s="55"/>
      <c r="B7" s="55"/>
      <c r="D7" s="51">
        <v>4</v>
      </c>
      <c r="E7" s="51">
        <v>5</v>
      </c>
      <c r="F7" s="51">
        <v>6</v>
      </c>
      <c r="N7" s="52">
        <v>4</v>
      </c>
      <c r="O7" s="52">
        <v>0</v>
      </c>
      <c r="P7" s="52">
        <v>4</v>
      </c>
      <c r="R7">
        <v>4</v>
      </c>
      <c r="S7">
        <v>0</v>
      </c>
      <c r="T7">
        <v>4</v>
      </c>
    </row>
    <row r="8" spans="1:22" x14ac:dyDescent="0.5">
      <c r="A8" s="55"/>
      <c r="B8" s="55"/>
      <c r="D8" s="51">
        <v>7</v>
      </c>
      <c r="E8" s="51">
        <v>8</v>
      </c>
      <c r="F8" s="51">
        <v>9</v>
      </c>
      <c r="J8" s="52"/>
      <c r="L8" s="53"/>
      <c r="N8" s="52">
        <v>5</v>
      </c>
      <c r="O8" s="52">
        <v>3</v>
      </c>
      <c r="P8" s="52">
        <v>5</v>
      </c>
      <c r="R8">
        <v>5</v>
      </c>
      <c r="S8">
        <v>3</v>
      </c>
      <c r="T8">
        <v>5</v>
      </c>
    </row>
    <row r="10" spans="1:22" x14ac:dyDescent="0.5">
      <c r="A10" s="46">
        <v>2</v>
      </c>
      <c r="B10" s="47" t="s">
        <v>3654</v>
      </c>
      <c r="D10" s="51" t="s">
        <v>2662</v>
      </c>
      <c r="E10" s="51" t="s">
        <v>2662</v>
      </c>
      <c r="F10" s="51" t="s">
        <v>2662</v>
      </c>
      <c r="H10" s="51"/>
      <c r="J10" s="52"/>
      <c r="L10" s="53"/>
      <c r="N10" s="52">
        <v>0</v>
      </c>
      <c r="O10" s="52">
        <v>1</v>
      </c>
      <c r="P10" s="52">
        <v>2</v>
      </c>
      <c r="R10" s="53" cm="1">
        <f t="array" ref="R10:T12">ftd_maze_cost(D10:F12,{1,1},_xlfn.LAMBDA(_xlpm.f,_xlpm.t,_xlpm.d,IF(_xlpm.t="#",NA(),1)),8)</f>
        <v>0</v>
      </c>
      <c r="S10">
        <v>1</v>
      </c>
      <c r="T10">
        <v>2</v>
      </c>
      <c r="V10" s="54" t="str" cm="1">
        <f t="array" ref="V10">IF(AND(N10:P12=R10:T12),"PASS","FAIL")</f>
        <v>PASS</v>
      </c>
    </row>
    <row r="11" spans="1:22" x14ac:dyDescent="0.5">
      <c r="A11" s="55"/>
      <c r="B11" s="55"/>
      <c r="D11" s="51" t="s">
        <v>2662</v>
      </c>
      <c r="E11" s="51" t="s">
        <v>7</v>
      </c>
      <c r="F11" s="51" t="s">
        <v>2662</v>
      </c>
      <c r="N11" s="52">
        <v>1</v>
      </c>
      <c r="O11" s="52" t="s">
        <v>3318</v>
      </c>
      <c r="P11" s="52">
        <v>2</v>
      </c>
      <c r="R11">
        <v>1</v>
      </c>
      <c r="S11" t="str">
        <v/>
      </c>
      <c r="T11">
        <v>2</v>
      </c>
    </row>
    <row r="12" spans="1:22" x14ac:dyDescent="0.5">
      <c r="A12" s="55"/>
      <c r="B12" s="55"/>
      <c r="D12" s="51" t="s">
        <v>2662</v>
      </c>
      <c r="E12" s="51" t="s">
        <v>2662</v>
      </c>
      <c r="F12" s="51" t="s">
        <v>2662</v>
      </c>
      <c r="J12" s="52"/>
      <c r="L12" s="53"/>
      <c r="N12" s="52">
        <v>2</v>
      </c>
      <c r="O12" s="52">
        <v>2</v>
      </c>
      <c r="P12" s="52">
        <v>3</v>
      </c>
      <c r="R12">
        <v>2</v>
      </c>
      <c r="S12">
        <v>2</v>
      </c>
      <c r="T12">
        <v>3</v>
      </c>
    </row>
    <row r="14" spans="1:22" x14ac:dyDescent="0.5">
      <c r="A14" s="46">
        <v>3</v>
      </c>
      <c r="B14" s="47" t="s">
        <v>3646</v>
      </c>
      <c r="D14" s="51">
        <v>1</v>
      </c>
      <c r="E14" s="51">
        <v>2</v>
      </c>
      <c r="F14" s="51">
        <v>3</v>
      </c>
      <c r="J14" s="52"/>
      <c r="L14" s="53"/>
      <c r="N14" s="52" t="s">
        <v>2631</v>
      </c>
      <c r="R14" s="53" t="str" cm="1">
        <f t="array" ref="R14">ftd_maze_cost(D14:F16,{9,9},_xlfn.LAMBDA(_xlpm.f,_xlpm.t,_xlpm.d,_xlfn.XLOOKUP(_xlpm.d,{"↑","↓","←","→","↖","↗","↙","↘"},{3,3,4,4,5,5,5,5},NA())),8)</f>
        <v>X</v>
      </c>
      <c r="V14" s="54" t="str">
        <f>IF(R14=N14,"PASS","FAIL")</f>
        <v>PASS</v>
      </c>
    </row>
    <row r="15" spans="1:22" x14ac:dyDescent="0.5">
      <c r="A15" s="55"/>
      <c r="B15" s="55"/>
      <c r="D15" s="51">
        <v>4</v>
      </c>
      <c r="E15" s="51">
        <v>5</v>
      </c>
      <c r="F15" s="51">
        <v>6</v>
      </c>
      <c r="J15" s="52"/>
      <c r="L15" s="53"/>
    </row>
    <row r="16" spans="1:22" x14ac:dyDescent="0.5">
      <c r="A16" s="55"/>
      <c r="B16" s="55"/>
      <c r="D16" s="51">
        <v>7</v>
      </c>
      <c r="E16" s="51">
        <v>8</v>
      </c>
      <c r="F16" s="51">
        <v>9</v>
      </c>
    </row>
    <row r="17" spans="1:22" x14ac:dyDescent="0.5">
      <c r="A17" s="46"/>
      <c r="B17" s="47"/>
      <c r="D17" s="51"/>
      <c r="F17" s="51"/>
      <c r="J17" s="52"/>
      <c r="L17" s="53"/>
      <c r="N17" s="54"/>
    </row>
    <row r="18" spans="1:22" x14ac:dyDescent="0.5">
      <c r="A18" s="46">
        <v>4</v>
      </c>
      <c r="B18" s="47" t="s">
        <v>3647</v>
      </c>
      <c r="D18" s="51">
        <v>1</v>
      </c>
      <c r="E18" s="51">
        <v>2</v>
      </c>
      <c r="F18" s="51">
        <v>3</v>
      </c>
      <c r="J18" s="52"/>
      <c r="L18" s="53"/>
      <c r="N18" s="52">
        <v>3</v>
      </c>
      <c r="R18" s="53">
        <f>ROWS(ftd_maze_cost(D18:F20,{1,1},_xlfn.LAMBDA(_xlpm.f,_xlpm.t,_xlpm.d,1),8))</f>
        <v>3</v>
      </c>
      <c r="V18" s="54" t="str">
        <f>IF(R18=N18,"PASS","FAIL")</f>
        <v>PASS</v>
      </c>
    </row>
    <row r="19" spans="1:22" x14ac:dyDescent="0.5">
      <c r="A19" s="55"/>
      <c r="B19" s="55"/>
      <c r="D19" s="51">
        <v>4</v>
      </c>
      <c r="E19" s="51">
        <v>5</v>
      </c>
      <c r="F19" s="51">
        <v>6</v>
      </c>
    </row>
    <row r="20" spans="1:22" x14ac:dyDescent="0.5">
      <c r="A20" s="55"/>
      <c r="B20" s="55"/>
      <c r="D20" s="51">
        <v>7</v>
      </c>
      <c r="E20" s="51">
        <v>8</v>
      </c>
      <c r="F20" s="51">
        <v>9</v>
      </c>
    </row>
    <row r="22" spans="1:22" x14ac:dyDescent="0.5">
      <c r="A22" s="46">
        <v>5</v>
      </c>
      <c r="B22" s="47" t="s">
        <v>3648</v>
      </c>
      <c r="D22" s="51" t="s">
        <v>2662</v>
      </c>
      <c r="E22" s="51" t="s">
        <v>2662</v>
      </c>
      <c r="F22" s="51" t="s">
        <v>2662</v>
      </c>
      <c r="N22" s="52" t="s">
        <v>3649</v>
      </c>
      <c r="R22" s="53" t="str" cm="1">
        <f t="array" ref="R22">ftd_maze_cost(D22:F24,{1,1},_xlfn.LAMBDA(_xlpm.f,_xlpm.t,_xlpm.d,IF(_xlpm.t="#",NA(),1)),1)</f>
        <v>MORE STEPS</v>
      </c>
      <c r="V22" s="54" t="str">
        <f>IF(R22=N22,"PASS","FAIL")</f>
        <v>PASS</v>
      </c>
    </row>
    <row r="23" spans="1:22" x14ac:dyDescent="0.5">
      <c r="A23" s="55"/>
      <c r="B23" s="55"/>
      <c r="D23" s="51" t="s">
        <v>2662</v>
      </c>
      <c r="E23" s="51" t="s">
        <v>7</v>
      </c>
      <c r="F23" s="51" t="s">
        <v>2662</v>
      </c>
    </row>
    <row r="24" spans="1:22" x14ac:dyDescent="0.5">
      <c r="A24" s="55"/>
      <c r="B24" s="55"/>
      <c r="D24" s="51" t="s">
        <v>2662</v>
      </c>
      <c r="E24" s="51" t="s">
        <v>2662</v>
      </c>
      <c r="F24" s="51" t="s">
        <v>2662</v>
      </c>
    </row>
  </sheetData>
  <mergeCells count="3">
    <mergeCell ref="I1:R1"/>
    <mergeCell ref="B2:R2"/>
    <mergeCell ref="B1:F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BE070-B190-43F0-BD94-82DB838B808F}">
  <sheetPr codeName="Sheet66"/>
  <dimension ref="A1:S20"/>
  <sheetViews>
    <sheetView workbookViewId="0">
      <selection activeCell="N23" sqref="N2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is_unique(arr)</v>
      </c>
      <c r="C1" s="79"/>
      <c r="D1" s="79"/>
      <c r="E1" s="79"/>
      <c r="F1" s="80"/>
      <c r="H1" s="45" t="s">
        <v>2</v>
      </c>
      <c r="I1" s="78" t="str" cm="1">
        <f t="array" aca="1" ref="I1" ca="1">_xlfn.LET(_xlpm.fn, CELL("filename",$A$1), _xlpm.nm, MID(_xlpm.fn, FIND("]", _xlpm.fn) + 1, 255), _xlfn.XLOOKUP(_xlpm.nm &amp; "(*", Lamb!$A$2:$A$1000, Lamb!$D$2:$D$1000, "", 2))</f>
        <v>Tests whether every value in an array is distinct.
Arguments:
  arr - the array to test.
Returns:
  TRUE if all values are unique, FALSE otherwise. Comparison is case-insensitive ({"A","a"} is not unique).
Notes:
  Combine with str_to_arr to check a string character by character.</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 LET(
   flatArr, TOCOL(Arr, 1, 4),
   filtArr, FILTER(flatArr, flatArr &lt;&gt; ""),
   rowCount, ROWS(filtArr),
   matchMatrix, --(filtArr = TRANSPOSE(filtArr)),
   freq, MMULT(matchMatrix, SEQUENCE(rowCount, 1, 1, 0)),
   IF(MAX(freq) &gt; 1, 0, 1)
))</v>
      </c>
      <c r="C2" s="82"/>
      <c r="D2" s="82"/>
      <c r="E2" s="82"/>
      <c r="F2" s="82"/>
      <c r="G2" s="82"/>
      <c r="H2" s="82"/>
      <c r="I2" s="82"/>
      <c r="J2" s="82"/>
      <c r="K2" s="82"/>
      <c r="L2" s="82"/>
      <c r="M2" s="82"/>
      <c r="N2" s="82"/>
      <c r="O2" s="82"/>
      <c r="P2" s="82"/>
      <c r="Q2" s="82"/>
      <c r="R2" s="82"/>
    </row>
    <row r="4" spans="1:19" x14ac:dyDescent="0.5">
      <c r="A4" s="45" t="s">
        <v>3011</v>
      </c>
      <c r="J4" s="45" t="str">
        <f>COUNTIF(J6:J22,"PASS")&amp;" / 4 PASS"</f>
        <v>4 / 4 PASS</v>
      </c>
    </row>
    <row r="5" spans="1:19" x14ac:dyDescent="0.5">
      <c r="A5" s="45" t="s">
        <v>7</v>
      </c>
      <c r="B5" s="45" t="s">
        <v>8</v>
      </c>
      <c r="D5" s="45" t="s">
        <v>9</v>
      </c>
      <c r="F5" s="48" t="s">
        <v>10</v>
      </c>
      <c r="H5" s="49" t="s">
        <v>11</v>
      </c>
      <c r="J5" s="50" t="s">
        <v>12</v>
      </c>
    </row>
    <row r="6" spans="1:19" x14ac:dyDescent="0.5">
      <c r="A6" s="46">
        <v>1</v>
      </c>
      <c r="B6" s="47" t="s">
        <v>2972</v>
      </c>
      <c r="D6" s="51">
        <v>1</v>
      </c>
      <c r="F6" s="52">
        <v>1</v>
      </c>
      <c r="H6" s="53" cm="1">
        <f t="array" ref="H6">is_unique(D6:D8)</f>
        <v>1</v>
      </c>
      <c r="J6" s="54" t="str">
        <f>IF(H6=F6,"PASS","FAIL")</f>
        <v>PASS</v>
      </c>
    </row>
    <row r="7" spans="1:19" x14ac:dyDescent="0.5">
      <c r="A7" s="55"/>
      <c r="B7" s="55"/>
      <c r="D7" s="51">
        <v>2</v>
      </c>
    </row>
    <row r="8" spans="1:19" x14ac:dyDescent="0.5">
      <c r="A8" s="55"/>
      <c r="B8" s="55"/>
      <c r="D8" s="51">
        <v>3</v>
      </c>
    </row>
    <row r="10" spans="1:19" x14ac:dyDescent="0.5">
      <c r="A10" s="46">
        <v>2</v>
      </c>
      <c r="B10" s="47" t="s">
        <v>3012</v>
      </c>
      <c r="D10" s="51">
        <v>1</v>
      </c>
      <c r="F10" s="52">
        <v>0</v>
      </c>
      <c r="H10" s="53" cm="1">
        <f t="array" ref="H10">is_unique(D10:D12)</f>
        <v>0</v>
      </c>
      <c r="J10" s="54" t="str">
        <f>IF(H10=F10,"PASS","FAIL")</f>
        <v>PASS</v>
      </c>
    </row>
    <row r="11" spans="1:19" x14ac:dyDescent="0.5">
      <c r="A11" s="55"/>
      <c r="B11" s="55"/>
      <c r="D11" s="51">
        <v>2</v>
      </c>
    </row>
    <row r="12" spans="1:19" x14ac:dyDescent="0.5">
      <c r="A12" s="55"/>
      <c r="B12" s="55"/>
      <c r="D12" s="51">
        <v>2</v>
      </c>
    </row>
    <row r="14" spans="1:19" x14ac:dyDescent="0.5">
      <c r="A14" s="46">
        <v>3</v>
      </c>
      <c r="B14" s="47" t="s">
        <v>3013</v>
      </c>
      <c r="D14" s="51" t="s">
        <v>2937</v>
      </c>
      <c r="F14" s="52">
        <v>0</v>
      </c>
      <c r="H14" s="53" cm="1">
        <f t="array" ref="H14">is_unique(D14:D15)</f>
        <v>0</v>
      </c>
      <c r="J14" s="54" t="str">
        <f>IF(H14=F14,"PASS","FAIL")</f>
        <v>PASS</v>
      </c>
    </row>
    <row r="15" spans="1:19" x14ac:dyDescent="0.5">
      <c r="A15" s="55"/>
      <c r="B15" s="55"/>
      <c r="D15" s="51" t="s">
        <v>137</v>
      </c>
    </row>
    <row r="17" spans="1:10" x14ac:dyDescent="0.5">
      <c r="A17" s="46">
        <v>4</v>
      </c>
      <c r="B17" s="47" t="s">
        <v>3014</v>
      </c>
      <c r="D17" s="51">
        <v>1</v>
      </c>
      <c r="F17" s="52">
        <v>1</v>
      </c>
      <c r="H17" s="53" cm="1">
        <f t="array" ref="H17">is_unique(D17:D20)</f>
        <v>1</v>
      </c>
      <c r="J17" s="54" t="str">
        <f>IF(H17=F17,"PASS","FAIL")</f>
        <v>PASS</v>
      </c>
    </row>
    <row r="18" spans="1:10" x14ac:dyDescent="0.5">
      <c r="A18" s="55"/>
      <c r="B18" s="55"/>
      <c r="D18" s="51"/>
    </row>
    <row r="19" spans="1:10" x14ac:dyDescent="0.5">
      <c r="A19" s="55"/>
      <c r="B19" s="55"/>
      <c r="D19" s="51">
        <v>2</v>
      </c>
    </row>
    <row r="20" spans="1:10" x14ac:dyDescent="0.5">
      <c r="A20" s="55"/>
      <c r="B20" s="55"/>
      <c r="D20" s="51">
        <v>3</v>
      </c>
    </row>
  </sheetData>
  <mergeCells count="3">
    <mergeCell ref="I1:R1"/>
    <mergeCell ref="B2:R2"/>
    <mergeCell ref="B1:F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2B4FC-5B45-4A5F-BCD3-E529229AE48D}">
  <sheetPr codeName="Sheet67"/>
  <dimension ref="A1:S18"/>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knight_moves(start_ad, end_ad)</v>
      </c>
      <c r="C1" s="79"/>
      <c r="D1" s="79"/>
      <c r="E1" s="79"/>
      <c r="F1" s="80"/>
      <c r="H1" s="45" t="s">
        <v>2</v>
      </c>
      <c r="I1" s="78" t="str" cm="1">
        <f t="array" aca="1" ref="I1" ca="1">_xlfn.LET(_xlpm.fn, CELL("filename",$A$1), _xlpm.nm, MID(_xlpm.fn, FIND("]", _xlpm.fn) + 1, 255), _xlfn.XLOOKUP(_xlpm.nm &amp; "(*", Lamb!$A$2:$A$1000, Lamb!$D$2:$D$1000, "", 2))</f>
        <v>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v>
      </c>
      <c r="C2" s="82"/>
      <c r="D2" s="82"/>
      <c r="E2" s="82"/>
      <c r="F2" s="82"/>
      <c r="G2" s="82"/>
      <c r="H2" s="82"/>
      <c r="I2" s="82"/>
      <c r="J2" s="82"/>
      <c r="K2" s="82"/>
      <c r="L2" s="82"/>
      <c r="M2" s="82"/>
      <c r="N2" s="82"/>
      <c r="O2" s="82"/>
      <c r="P2" s="82"/>
      <c r="Q2" s="82"/>
      <c r="R2" s="82"/>
    </row>
    <row r="4" spans="1:19" x14ac:dyDescent="0.5">
      <c r="A4" s="45" t="s">
        <v>3015</v>
      </c>
      <c r="L4" s="45" t="str">
        <f>COUNTIF(L6:L20,"PASS")&amp;" / 7 PASS"</f>
        <v>7 / 7 PASS</v>
      </c>
    </row>
    <row r="5" spans="1:19" x14ac:dyDescent="0.5">
      <c r="A5" s="45" t="s">
        <v>7</v>
      </c>
      <c r="B5" s="45" t="s">
        <v>8</v>
      </c>
      <c r="D5" s="45" t="s">
        <v>9</v>
      </c>
      <c r="H5" s="48" t="s">
        <v>10</v>
      </c>
      <c r="J5" s="49" t="s">
        <v>11</v>
      </c>
      <c r="L5" s="50" t="s">
        <v>12</v>
      </c>
    </row>
    <row r="6" spans="1:19" x14ac:dyDescent="0.5">
      <c r="A6" s="46">
        <v>1</v>
      </c>
      <c r="B6" s="47" t="s">
        <v>3016</v>
      </c>
      <c r="D6" s="51" t="s">
        <v>2925</v>
      </c>
      <c r="F6" s="51" t="s">
        <v>3017</v>
      </c>
      <c r="H6" s="52">
        <v>1</v>
      </c>
      <c r="J6" s="53" cm="1">
        <f t="array" ref="J6">knight_moves(D6,F6)</f>
        <v>1</v>
      </c>
      <c r="L6" s="54" t="str">
        <f>IF(J6=H6,"PASS","FAIL")</f>
        <v>PASS</v>
      </c>
    </row>
    <row r="8" spans="1:19" x14ac:dyDescent="0.5">
      <c r="A8" s="46">
        <v>2</v>
      </c>
      <c r="B8" s="47" t="s">
        <v>3018</v>
      </c>
      <c r="D8" s="51" t="s">
        <v>2925</v>
      </c>
      <c r="F8" s="51" t="s">
        <v>2990</v>
      </c>
      <c r="H8" s="52">
        <v>4</v>
      </c>
      <c r="J8" s="53" cm="1">
        <f t="array" ref="J8">knight_moves(D8,F8)</f>
        <v>4</v>
      </c>
      <c r="L8" s="54" t="str">
        <f>IF(J8=H8,"PASS","FAIL")</f>
        <v>PASS</v>
      </c>
    </row>
    <row r="10" spans="1:19" x14ac:dyDescent="0.5">
      <c r="A10" s="46">
        <v>3</v>
      </c>
      <c r="B10" s="47" t="s">
        <v>3019</v>
      </c>
      <c r="D10" s="51" t="s">
        <v>2925</v>
      </c>
      <c r="F10" s="51" t="s">
        <v>2925</v>
      </c>
      <c r="H10" s="52">
        <v>0</v>
      </c>
      <c r="J10" s="53" cm="1">
        <f t="array" ref="J10">knight_moves(D10,F10)</f>
        <v>0</v>
      </c>
      <c r="L10" s="54" t="str">
        <f>IF(J10=H10,"PASS","FAIL")</f>
        <v>PASS</v>
      </c>
    </row>
    <row r="12" spans="1:19" x14ac:dyDescent="0.5">
      <c r="A12" s="46">
        <v>4</v>
      </c>
      <c r="B12" s="47" t="s">
        <v>3020</v>
      </c>
      <c r="D12" s="51" t="s">
        <v>2925</v>
      </c>
      <c r="F12" s="51" t="s">
        <v>3021</v>
      </c>
      <c r="H12" s="52">
        <v>3</v>
      </c>
      <c r="J12" s="53" cm="1">
        <f t="array" ref="J12">knight_moves(D12,F12)</f>
        <v>3</v>
      </c>
      <c r="L12" s="54" t="str">
        <f>IF(J12=H12,"PASS","FAIL")</f>
        <v>PASS</v>
      </c>
    </row>
    <row r="14" spans="1:19" x14ac:dyDescent="0.5">
      <c r="A14" s="46">
        <v>5</v>
      </c>
      <c r="B14" s="47" t="s">
        <v>3022</v>
      </c>
      <c r="D14" s="51" t="s">
        <v>2925</v>
      </c>
      <c r="F14" s="51" t="s">
        <v>3023</v>
      </c>
      <c r="H14" s="52">
        <v>6</v>
      </c>
      <c r="J14" s="53" cm="1">
        <f t="array" ref="J14">knight_moves(D14,F14)</f>
        <v>6</v>
      </c>
      <c r="L14" s="54" t="str">
        <f>IF(J14=H14,"PASS","FAIL")</f>
        <v>PASS</v>
      </c>
    </row>
    <row r="16" spans="1:19" x14ac:dyDescent="0.5">
      <c r="A16" s="46">
        <v>6</v>
      </c>
      <c r="B16" s="47" t="s">
        <v>3024</v>
      </c>
      <c r="D16" s="51">
        <v>1000001</v>
      </c>
      <c r="F16" s="51">
        <v>8000008</v>
      </c>
      <c r="H16" s="52">
        <v>6</v>
      </c>
      <c r="J16" s="53" cm="1">
        <f t="array" ref="J16">knight_moves(D16,F16)</f>
        <v>6</v>
      </c>
      <c r="L16" s="54" t="str">
        <f>IF(J16=H16,"PASS","FAIL")</f>
        <v>PASS</v>
      </c>
    </row>
    <row r="18" spans="1:12" x14ac:dyDescent="0.5">
      <c r="A18" s="46">
        <v>7</v>
      </c>
      <c r="B18" s="47" t="s">
        <v>3025</v>
      </c>
      <c r="D18" s="51">
        <v>1000001</v>
      </c>
      <c r="F18" s="51" t="s">
        <v>2990</v>
      </c>
      <c r="H18" s="52">
        <v>4</v>
      </c>
      <c r="J18" s="53" cm="1">
        <f t="array" ref="J18">knight_moves(D18,F18)</f>
        <v>4</v>
      </c>
      <c r="L18" s="54" t="str">
        <f>IF(J18=H18,"PASS","FAIL")</f>
        <v>PASS</v>
      </c>
    </row>
  </sheetData>
  <mergeCells count="3">
    <mergeCell ref="I1:R1"/>
    <mergeCell ref="B2:R2"/>
    <mergeCell ref="B1:F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715A7-8E51-4E4B-874E-285ECEB1FF7E}">
  <sheetPr codeName="Sheet68"/>
  <dimension ref="A1:S17"/>
  <sheetViews>
    <sheetView workbookViewId="0"/>
  </sheetViews>
  <sheetFormatPr defaultRowHeight="21" x14ac:dyDescent="0.5"/>
  <cols>
    <col min="1" max="1" width="4" customWidth="1"/>
    <col min="2" max="2" width="18" customWidth="1"/>
    <col min="4" max="7" width="5" customWidth="1"/>
    <col min="10" max="10" width="8" customWidth="1"/>
    <col min="12" max="12" width="8"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label_lookup(arr,row_label,column_label)</v>
      </c>
      <c r="C1" s="79"/>
      <c r="D1" s="79"/>
      <c r="E1" s="79"/>
      <c r="F1" s="80"/>
      <c r="H1" s="45" t="s">
        <v>2</v>
      </c>
      <c r="I1" s="78" t="str" cm="1">
        <f t="array" aca="1" ref="I1" ca="1">_xlfn.LET(_xlpm.fn, CELL("filename",$A$1), _xlpm.nm, MID(_xlpm.fn, FIND("]", _xlpm.fn) + 1, 255), _xlfn.XLOOKUP(_xlpm.nm &amp; "(*", Lamb!$A$2:$A$1000, Lamb!$D$2:$D$1000, "", 2))</f>
        <v>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v>
      </c>
      <c r="J1" s="79"/>
      <c r="K1" s="79"/>
      <c r="L1" s="79"/>
      <c r="M1" s="79"/>
      <c r="N1" s="79"/>
      <c r="O1" s="79"/>
      <c r="P1" s="79"/>
      <c r="Q1" s="79"/>
      <c r="R1" s="80"/>
      <c r="S1" s="77" t="str">
        <f>HYPERLINK("#lambda_tests!A1","&lt;- test summary")</f>
        <v>&lt;- test summary</v>
      </c>
    </row>
    <row r="2" spans="1:19" ht="147" customHeight="1" x14ac:dyDescent="0.5">
      <c r="A2" s="45" t="s">
        <v>4</v>
      </c>
      <c r="B2" s="81" t="str" cm="1">
        <f t="array" aca="1" ref="B2" ca="1">_xlfn.LET(_xlpm.fn, CELL("filename",$A$1), _xlpm.nm, MID(_xlpm.fn, FIND("]", _xlpm.fn) + 1, 255), _xlfn.XLOOKUP(_xlpm.nm &amp; "(*", Lamb!$A$2:$A$1000, Lamb!$C$2:$C$1000, "", 2))</f>
        <v>=LAMBDA(arr, row_label, column_label,
   IFNA(
      INDEX(
         arr,
         XMATCH(row_label, INDEX(arr, , 1), 0),
         XMATCH(column_label, INDEX(arr, 1, ), 0)
      ),
      ""
   )
)</v>
      </c>
      <c r="C2" s="82"/>
      <c r="D2" s="82"/>
      <c r="E2" s="82"/>
      <c r="F2" s="82"/>
      <c r="G2" s="82"/>
      <c r="H2" s="82"/>
      <c r="I2" s="82"/>
      <c r="J2" s="82"/>
      <c r="K2" s="82"/>
      <c r="L2" s="82"/>
      <c r="M2" s="82"/>
      <c r="N2" s="82"/>
      <c r="O2" s="82"/>
      <c r="P2" s="82"/>
      <c r="Q2" s="82"/>
      <c r="R2" s="82"/>
    </row>
    <row r="4" spans="1:19" x14ac:dyDescent="0.5">
      <c r="A4" s="45" t="s">
        <v>3026</v>
      </c>
      <c r="N4" s="45" t="str">
        <f>COUNTIF(N11:N20,"PASS")&amp;" / 4 PASS"</f>
        <v>4 / 4 PASS</v>
      </c>
    </row>
    <row r="5" spans="1:19" x14ac:dyDescent="0.5">
      <c r="B5" s="45" t="s">
        <v>8</v>
      </c>
      <c r="J5" s="48" t="s">
        <v>10</v>
      </c>
      <c r="L5" s="49" t="s">
        <v>11</v>
      </c>
      <c r="N5" s="50" t="s">
        <v>12</v>
      </c>
    </row>
    <row r="6" spans="1:19" x14ac:dyDescent="0.5">
      <c r="D6" s="45" t="s">
        <v>3027</v>
      </c>
    </row>
    <row r="7" spans="1:19" x14ac:dyDescent="0.5">
      <c r="D7" s="51"/>
      <c r="E7" s="51" t="s">
        <v>3028</v>
      </c>
      <c r="F7" s="51" t="s">
        <v>3029</v>
      </c>
      <c r="G7" s="51" t="s">
        <v>3030</v>
      </c>
    </row>
    <row r="8" spans="1:19" x14ac:dyDescent="0.5">
      <c r="D8" s="51" t="s">
        <v>137</v>
      </c>
      <c r="E8" s="51">
        <v>1</v>
      </c>
      <c r="F8" s="51">
        <v>2</v>
      </c>
      <c r="G8" s="51">
        <v>3</v>
      </c>
    </row>
    <row r="9" spans="1:19" x14ac:dyDescent="0.5">
      <c r="D9" s="51" t="s">
        <v>144</v>
      </c>
      <c r="E9" s="51">
        <v>4</v>
      </c>
      <c r="F9" s="51">
        <v>5</v>
      </c>
      <c r="G9" s="51">
        <v>6</v>
      </c>
    </row>
    <row r="11" spans="1:19" x14ac:dyDescent="0.5">
      <c r="B11" s="46" t="s">
        <v>3031</v>
      </c>
      <c r="J11" s="52">
        <v>5</v>
      </c>
      <c r="L11" s="53" cm="1">
        <f t="array" ref="L11">label_lookup(D7:G9,"B","Tue")</f>
        <v>5</v>
      </c>
      <c r="N11" s="54" t="str">
        <f>IF(L11=J11,"PASS","FAIL")</f>
        <v>PASS</v>
      </c>
    </row>
    <row r="13" spans="1:19" x14ac:dyDescent="0.5">
      <c r="B13" s="46" t="s">
        <v>3032</v>
      </c>
      <c r="J13" s="52">
        <v>3</v>
      </c>
      <c r="L13" s="53" cm="1">
        <f t="array" ref="L13">label_lookup(D7:G9,"A","Wed")</f>
        <v>3</v>
      </c>
      <c r="N13" s="54" t="str">
        <f>IF(L13=J13,"PASS","FAIL")</f>
        <v>PASS</v>
      </c>
    </row>
    <row r="15" spans="1:19" x14ac:dyDescent="0.5">
      <c r="B15" s="46" t="s">
        <v>3033</v>
      </c>
      <c r="J15" s="52">
        <v>4</v>
      </c>
      <c r="L15" s="53" cm="1">
        <f t="array" ref="L15">label_lookup(D7:G9,"B","Mon")</f>
        <v>4</v>
      </c>
      <c r="N15" s="54" t="str">
        <f>IF(L15=J15,"PASS","FAIL")</f>
        <v>PASS</v>
      </c>
    </row>
    <row r="17" spans="2:14" x14ac:dyDescent="0.5">
      <c r="B17" s="46" t="s">
        <v>3284</v>
      </c>
      <c r="J17" s="52" t="str">
        <f>""</f>
        <v/>
      </c>
      <c r="L17" s="53" t="str" cm="1">
        <f t="array" ref="L17">label_lookup(D7:G9,"ZZ","Mon")</f>
        <v/>
      </c>
      <c r="N17" s="54" t="str">
        <f>IF(L17=J17,"PASS","FAIL")</f>
        <v>PASS</v>
      </c>
    </row>
  </sheetData>
  <mergeCells count="3">
    <mergeCell ref="I1:R1"/>
    <mergeCell ref="B2:R2"/>
    <mergeCell ref="B1:F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2FE6E-A490-4926-A461-158B2819EE1F}">
  <sheetPr codeName="Sheet69"/>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1" width="11" customWidth="1"/>
    <col min="12" max="12" width="3" customWidth="1"/>
    <col min="13"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load_array(input_string,[col_delimiter],[row_delimiter])</v>
      </c>
      <c r="C1" s="79"/>
      <c r="D1" s="79"/>
      <c r="E1" s="79"/>
      <c r="F1" s="80"/>
      <c r="H1" s="45" t="s">
        <v>2</v>
      </c>
      <c r="I1" s="78" t="str" cm="1">
        <f t="array" aca="1" ref="I1" ca="1">_xlfn.LET(_xlpm.fn, CELL("filename",$A$1), _xlpm.nm, MID(_xlpm.fn, FIND("]", _xlpm.fn) + 1, 255), _xlfn.XLOOKUP(_xlpm.nm &amp; "(*", Lamb!$A$2:$A$1000, Lamb!$D$2:$D$1000, "", 2))</f>
        <v>Parses a delimited string back into a 2D array (inverse of save_array).
Arguments:
  input_string    - the delimited text to parse.
  [col_delimiter] - column separator (default "|").
  [row_delimiter] - row separator (default ";").
Returns:
  The reconstructed array.
Example:
  load_array("1|2;3|4")  -&gt;  {1,2;3,4}</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=LAMBDA(input_string, [col_delimiter], [row_delimiter],
   IF(
      input_string = "",
      "",
      LET(
         cd, IF(ISOMITTED(col_delimiter), "|", col_delimiter),
         rd, IF(ISOMITTED(row_delimiter), ";", row_delimiter),
         LET(
            arr, TEXTSPLIT(input_string, cd, rd, FALSE),
            MAP(arr, LAMBDA(val, IF(val = "", "", IFERROR(--val, val))))
         )
      )
   )
)</v>
      </c>
      <c r="C2" s="82"/>
      <c r="D2" s="82"/>
      <c r="E2" s="82"/>
      <c r="F2" s="82"/>
      <c r="G2" s="82"/>
      <c r="H2" s="82"/>
      <c r="I2" s="82"/>
      <c r="J2" s="82"/>
      <c r="K2" s="82"/>
      <c r="L2" s="82"/>
      <c r="M2" s="82"/>
      <c r="N2" s="82"/>
      <c r="O2" s="82"/>
      <c r="P2" s="82"/>
      <c r="Q2" s="82"/>
      <c r="R2" s="82"/>
    </row>
    <row r="4" spans="1:19" x14ac:dyDescent="0.5">
      <c r="A4" s="45" t="s">
        <v>3034</v>
      </c>
      <c r="P4" s="45" t="str">
        <f>COUNTIF(P6:P15,"PASS")&amp;" / 3 PASS"</f>
        <v>3 / 3 PASS</v>
      </c>
    </row>
    <row r="5" spans="1:19" x14ac:dyDescent="0.5">
      <c r="A5" s="45" t="s">
        <v>7</v>
      </c>
      <c r="B5" s="45" t="s">
        <v>8</v>
      </c>
      <c r="D5" s="45" t="s">
        <v>9</v>
      </c>
      <c r="J5" s="48" t="s">
        <v>10</v>
      </c>
      <c r="M5" s="49" t="s">
        <v>11</v>
      </c>
      <c r="P5" s="50" t="s">
        <v>12</v>
      </c>
    </row>
    <row r="6" spans="1:19" x14ac:dyDescent="0.5">
      <c r="A6" s="46">
        <v>1</v>
      </c>
      <c r="B6" s="47" t="s">
        <v>3035</v>
      </c>
      <c r="D6" s="51" t="s">
        <v>3035</v>
      </c>
      <c r="J6" s="52">
        <v>1</v>
      </c>
      <c r="K6" s="52">
        <v>2</v>
      </c>
      <c r="M6" s="53" cm="1">
        <f t="array" ref="M6:N7">load_array(D6)</f>
        <v>1</v>
      </c>
      <c r="N6" s="53">
        <v>2</v>
      </c>
      <c r="P6" s="54" t="str" cm="1">
        <f t="array" ref="P6">IF(AND(J6:K7=M6:N7),"PASS","FAIL")</f>
        <v>PASS</v>
      </c>
    </row>
    <row r="7" spans="1:19" x14ac:dyDescent="0.5">
      <c r="A7" s="55"/>
      <c r="B7" s="55"/>
      <c r="J7" s="52">
        <v>3</v>
      </c>
      <c r="K7" s="52">
        <v>4</v>
      </c>
      <c r="M7" s="53">
        <v>3</v>
      </c>
      <c r="N7" s="53">
        <v>4</v>
      </c>
    </row>
    <row r="9" spans="1:19" x14ac:dyDescent="0.5">
      <c r="A9" s="46">
        <v>2</v>
      </c>
      <c r="B9" s="47" t="s">
        <v>3036</v>
      </c>
      <c r="D9" s="51" t="s">
        <v>3036</v>
      </c>
      <c r="J9" s="52" t="s">
        <v>2937</v>
      </c>
      <c r="K9" s="52" t="s">
        <v>2938</v>
      </c>
      <c r="M9" s="53" t="str" cm="1">
        <f t="array" ref="M9:N10">load_array(D9)</f>
        <v>a</v>
      </c>
      <c r="N9" s="53" t="str">
        <v>b</v>
      </c>
      <c r="P9" s="54" t="str" cm="1">
        <f t="array" ref="P9">IF(AND(J9:K10=M9:N10),"PASS","FAIL")</f>
        <v>PASS</v>
      </c>
    </row>
    <row r="10" spans="1:19" x14ac:dyDescent="0.5">
      <c r="A10" s="55"/>
      <c r="B10" s="55"/>
      <c r="J10" s="52" t="s">
        <v>2946</v>
      </c>
      <c r="K10" s="52" t="s">
        <v>2939</v>
      </c>
      <c r="M10" s="53" t="str">
        <v>c</v>
      </c>
      <c r="N10" s="53" t="str">
        <v>d</v>
      </c>
    </row>
    <row r="12" spans="1:19" x14ac:dyDescent="0.5">
      <c r="A12" s="46">
        <v>3</v>
      </c>
      <c r="B12" s="47" t="s">
        <v>3037</v>
      </c>
      <c r="D12" s="51" t="s">
        <v>3038</v>
      </c>
      <c r="F12" s="51" t="s">
        <v>3039</v>
      </c>
      <c r="H12" s="51" t="s">
        <v>3040</v>
      </c>
      <c r="J12" s="52">
        <v>1</v>
      </c>
      <c r="K12" s="52">
        <v>2</v>
      </c>
      <c r="M12" s="53" cm="1">
        <f t="array" ref="M12:N13">load_array(D12,F12,H12)</f>
        <v>1</v>
      </c>
      <c r="N12" s="53">
        <v>2</v>
      </c>
      <c r="P12" s="54" t="str" cm="1">
        <f t="array" ref="P12">IF(AND(J12:K13=M12:N13),"PASS","FAIL")</f>
        <v>PASS</v>
      </c>
    </row>
    <row r="13" spans="1:19" x14ac:dyDescent="0.5">
      <c r="A13" s="55"/>
      <c r="B13" s="55"/>
      <c r="J13" s="52">
        <v>3</v>
      </c>
      <c r="K13" s="52">
        <v>4</v>
      </c>
      <c r="M13" s="53">
        <v>3</v>
      </c>
      <c r="N13" s="53">
        <v>4</v>
      </c>
    </row>
  </sheetData>
  <mergeCells count="3">
    <mergeCell ref="I1:R1"/>
    <mergeCell ref="B2:R2"/>
    <mergeCell ref="B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71EB7-23C0-4FE6-9018-323C580E5803}">
  <sheetPr codeName="Sheet132"/>
  <dimension ref="A1:S32"/>
  <sheetViews>
    <sheetView topLeftCell="A2" zoomScale="85" zoomScaleNormal="85" workbookViewId="0">
      <selection activeCell="Q16" sqref="Q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make_change(coins, price)</v>
      </c>
      <c r="C1" s="79"/>
      <c r="D1" s="79"/>
      <c r="E1" s="79"/>
      <c r="F1" s="80"/>
      <c r="H1" s="45" t="s">
        <v>2</v>
      </c>
      <c r="I1" s="78" t="str" cm="1">
        <f t="array" aca="1" ref="I1" ca="1">_xlfn.LET(_xlpm.fn, CELL("filename",$A$1), _xlpm.nm, MID(_xlpm.fn, FIND("]", _xlpm.fn) + 1, 255), _xlfn.XLOOKUP(_xlpm.nm &amp; "(*", Lamb!$A$2:$A$1000, Lamb!$D$2:$D$1000, "", 2))</f>
        <v>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v>
      </c>
      <c r="C2" s="82"/>
      <c r="D2" s="82"/>
      <c r="E2" s="82"/>
      <c r="F2" s="82"/>
      <c r="G2" s="82"/>
      <c r="H2" s="82"/>
      <c r="I2" s="82"/>
      <c r="J2" s="82"/>
      <c r="K2" s="82"/>
      <c r="L2" s="82"/>
      <c r="M2" s="82"/>
      <c r="N2" s="82"/>
      <c r="O2" s="82"/>
      <c r="P2" s="82"/>
      <c r="Q2" s="82"/>
      <c r="R2" s="82"/>
    </row>
    <row r="4" spans="1:19" x14ac:dyDescent="0.5">
      <c r="A4" s="45" t="s">
        <v>3604</v>
      </c>
      <c r="N4" s="45" t="str">
        <f>COUNTIF(N6:N40,"PASS")&amp;" / 6 PASS"</f>
        <v>6 / 6 PASS</v>
      </c>
    </row>
    <row r="5" spans="1:19" x14ac:dyDescent="0.5">
      <c r="A5" s="45" t="s">
        <v>7</v>
      </c>
      <c r="B5" s="45" t="s">
        <v>8</v>
      </c>
      <c r="D5" s="45" t="s">
        <v>9</v>
      </c>
      <c r="J5" s="48" t="s">
        <v>10</v>
      </c>
      <c r="L5" s="49" t="s">
        <v>11</v>
      </c>
      <c r="N5" s="50" t="s">
        <v>12</v>
      </c>
    </row>
    <row r="6" spans="1:19" x14ac:dyDescent="0.5">
      <c r="A6" s="46">
        <v>1</v>
      </c>
      <c r="B6" s="47" t="s">
        <v>3586</v>
      </c>
      <c r="D6" s="51">
        <v>1</v>
      </c>
      <c r="F6" s="51">
        <v>4.34</v>
      </c>
      <c r="J6" s="52">
        <v>4</v>
      </c>
      <c r="L6" s="53" cm="1">
        <f t="array" ref="L6:L9">make_change(D6:D9,F6)</f>
        <v>4</v>
      </c>
      <c r="N6" s="54" t="str" cm="1">
        <f t="array" ref="N6">IF(AND(J6:J9=L6:L9),"PASS","FAIL")</f>
        <v>PASS</v>
      </c>
    </row>
    <row r="7" spans="1:19" x14ac:dyDescent="0.5">
      <c r="A7" s="55"/>
      <c r="B7" s="55"/>
      <c r="D7" s="51">
        <v>0.5</v>
      </c>
      <c r="J7" s="52">
        <v>0</v>
      </c>
      <c r="L7" s="53">
        <v>0</v>
      </c>
    </row>
    <row r="8" spans="1:19" x14ac:dyDescent="0.5">
      <c r="A8" s="55"/>
      <c r="B8" s="55"/>
      <c r="D8" s="51">
        <v>0.25</v>
      </c>
      <c r="J8" s="52">
        <v>1</v>
      </c>
      <c r="L8" s="53">
        <v>1</v>
      </c>
    </row>
    <row r="9" spans="1:19" x14ac:dyDescent="0.5">
      <c r="A9" s="55"/>
      <c r="B9" s="55"/>
      <c r="D9" s="51">
        <v>0.05</v>
      </c>
      <c r="J9" s="52">
        <v>1</v>
      </c>
      <c r="L9" s="53">
        <v>1</v>
      </c>
    </row>
    <row r="11" spans="1:19" ht="32" x14ac:dyDescent="0.5">
      <c r="A11" s="46">
        <v>2</v>
      </c>
      <c r="B11" s="47" t="s">
        <v>3605</v>
      </c>
      <c r="D11" s="51">
        <v>0.25</v>
      </c>
      <c r="F11" s="51">
        <v>0.3</v>
      </c>
      <c r="J11" s="52">
        <v>1</v>
      </c>
      <c r="L11" s="53" cm="1">
        <f t="array" ref="L11:L12">make_change(D11:D12,F11)</f>
        <v>1</v>
      </c>
      <c r="N11" s="54" t="str" cm="1">
        <f t="array" ref="N11">IF(AND(J11:J12=L11:L12),"PASS","FAIL")</f>
        <v>PASS</v>
      </c>
    </row>
    <row r="12" spans="1:19" x14ac:dyDescent="0.5">
      <c r="A12" s="55"/>
      <c r="B12" s="55"/>
      <c r="D12" s="51">
        <v>0.1</v>
      </c>
      <c r="J12" s="52">
        <v>0</v>
      </c>
      <c r="L12" s="53">
        <v>0</v>
      </c>
    </row>
    <row r="14" spans="1:19" x14ac:dyDescent="0.5">
      <c r="A14" s="46">
        <v>3</v>
      </c>
      <c r="B14" s="47" t="s">
        <v>3587</v>
      </c>
      <c r="D14" s="51">
        <v>2</v>
      </c>
      <c r="F14" s="51">
        <v>5</v>
      </c>
      <c r="J14" s="52">
        <v>2</v>
      </c>
      <c r="L14" s="53" cm="1">
        <f t="array" ref="L14:L16">make_change(D14:D16,F14)</f>
        <v>2</v>
      </c>
      <c r="N14" s="54" t="str" cm="1">
        <f t="array" ref="N14">IF(AND(J14:J16=L14:L16),"PASS","FAIL")</f>
        <v>PASS</v>
      </c>
    </row>
    <row r="15" spans="1:19" x14ac:dyDescent="0.5">
      <c r="A15" s="55"/>
      <c r="B15" s="55"/>
      <c r="D15" s="51">
        <v>1</v>
      </c>
      <c r="J15" s="52">
        <v>1</v>
      </c>
      <c r="L15" s="53">
        <v>1</v>
      </c>
    </row>
    <row r="16" spans="1:19" x14ac:dyDescent="0.5">
      <c r="A16" s="55"/>
      <c r="B16" s="55"/>
      <c r="D16" s="51">
        <v>0.5</v>
      </c>
      <c r="J16" s="52">
        <v>0</v>
      </c>
      <c r="L16" s="53">
        <v>0</v>
      </c>
    </row>
    <row r="18" spans="1:14" x14ac:dyDescent="0.5">
      <c r="A18" s="46">
        <v>4</v>
      </c>
      <c r="B18" s="47" t="s">
        <v>3588</v>
      </c>
      <c r="D18" s="51">
        <v>1</v>
      </c>
      <c r="F18" s="51">
        <v>0.04</v>
      </c>
      <c r="J18" s="52">
        <v>0</v>
      </c>
      <c r="L18" s="53" cm="1">
        <f t="array" ref="L18:L21">make_change(D18:D21,F18)</f>
        <v>0</v>
      </c>
      <c r="N18" s="54" t="str" cm="1">
        <f t="array" ref="N18">IF(AND(J18:J21=L18:L21),"PASS","FAIL")</f>
        <v>PASS</v>
      </c>
    </row>
    <row r="19" spans="1:14" x14ac:dyDescent="0.5">
      <c r="A19" s="55"/>
      <c r="B19" s="55"/>
      <c r="D19" s="51">
        <v>0.5</v>
      </c>
      <c r="J19" s="52">
        <v>0</v>
      </c>
      <c r="L19" s="53">
        <v>0</v>
      </c>
    </row>
    <row r="20" spans="1:14" x14ac:dyDescent="0.5">
      <c r="A20" s="55"/>
      <c r="B20" s="55"/>
      <c r="D20" s="51">
        <v>0.25</v>
      </c>
      <c r="J20" s="52">
        <v>0</v>
      </c>
      <c r="L20" s="53">
        <v>0</v>
      </c>
    </row>
    <row r="21" spans="1:14" x14ac:dyDescent="0.5">
      <c r="A21" s="55"/>
      <c r="B21" s="55"/>
      <c r="D21" s="51">
        <v>0.05</v>
      </c>
      <c r="J21" s="52">
        <v>0</v>
      </c>
      <c r="L21" s="53">
        <v>0</v>
      </c>
    </row>
    <row r="23" spans="1:14" ht="32" x14ac:dyDescent="0.5">
      <c r="A23" s="46">
        <v>5</v>
      </c>
      <c r="B23" s="47" t="s">
        <v>3606</v>
      </c>
      <c r="D23" s="51">
        <v>5</v>
      </c>
      <c r="F23" s="51">
        <v>6</v>
      </c>
      <c r="J23" s="52">
        <v>1</v>
      </c>
      <c r="L23" s="53" cm="1">
        <f t="array" ref="L23:L24">make_change(D23:D24,F23)</f>
        <v>1</v>
      </c>
      <c r="N23" s="54" t="str" cm="1">
        <f t="array" ref="N23">IF(AND(J23:J24=L23:L24),"PASS","FAIL")</f>
        <v>PASS</v>
      </c>
    </row>
    <row r="24" spans="1:14" x14ac:dyDescent="0.5">
      <c r="A24" s="55"/>
      <c r="B24" s="55"/>
      <c r="D24" s="51">
        <v>3</v>
      </c>
      <c r="J24" s="52">
        <v>0</v>
      </c>
      <c r="L24" s="53">
        <v>0</v>
      </c>
    </row>
    <row r="26" spans="1:14" ht="32" x14ac:dyDescent="0.5">
      <c r="A26" s="46">
        <v>6</v>
      </c>
      <c r="B26" s="47" t="s">
        <v>3589</v>
      </c>
      <c r="D26" s="51">
        <v>50</v>
      </c>
      <c r="F26" s="51">
        <v>117.5</v>
      </c>
      <c r="J26" s="52">
        <v>2</v>
      </c>
      <c r="L26" s="53" cm="1">
        <f t="array" ref="L26:L32">make_change(D26:D32,F26)</f>
        <v>2</v>
      </c>
      <c r="N26" s="54" t="str" cm="1">
        <f t="array" ref="N26">IF(AND(J26:J32=L26:L32),"PASS","FAIL")</f>
        <v>PASS</v>
      </c>
    </row>
    <row r="27" spans="1:14" x14ac:dyDescent="0.5">
      <c r="A27" s="55"/>
      <c r="B27" s="55"/>
      <c r="D27" s="51">
        <v>40</v>
      </c>
      <c r="J27" s="52">
        <v>0</v>
      </c>
      <c r="L27" s="53">
        <v>0</v>
      </c>
    </row>
    <row r="28" spans="1:14" x14ac:dyDescent="0.5">
      <c r="A28" s="55"/>
      <c r="B28" s="55"/>
      <c r="D28" s="51">
        <v>30</v>
      </c>
      <c r="J28" s="52">
        <v>0</v>
      </c>
      <c r="L28" s="53">
        <v>0</v>
      </c>
    </row>
    <row r="29" spans="1:14" x14ac:dyDescent="0.5">
      <c r="A29" s="55"/>
      <c r="B29" s="55"/>
      <c r="D29" s="51">
        <v>20</v>
      </c>
      <c r="J29" s="52">
        <v>0</v>
      </c>
      <c r="L29" s="53">
        <v>0</v>
      </c>
    </row>
    <row r="30" spans="1:14" x14ac:dyDescent="0.5">
      <c r="A30" s="55"/>
      <c r="B30" s="55"/>
      <c r="D30" s="51">
        <v>10</v>
      </c>
      <c r="J30" s="52">
        <v>1</v>
      </c>
      <c r="L30" s="53">
        <v>1</v>
      </c>
    </row>
    <row r="31" spans="1:14" x14ac:dyDescent="0.5">
      <c r="A31" s="55"/>
      <c r="B31" s="55"/>
      <c r="D31" s="51">
        <v>5</v>
      </c>
      <c r="J31" s="52">
        <v>1</v>
      </c>
      <c r="L31" s="53">
        <v>1</v>
      </c>
    </row>
    <row r="32" spans="1:14" x14ac:dyDescent="0.5">
      <c r="A32" s="55"/>
      <c r="B32" s="55"/>
      <c r="D32" s="51">
        <v>2.5</v>
      </c>
      <c r="J32" s="52">
        <v>1</v>
      </c>
      <c r="L32" s="53">
        <v>1</v>
      </c>
    </row>
  </sheetData>
  <mergeCells count="3">
    <mergeCell ref="I1:R1"/>
    <mergeCell ref="B2:R2"/>
    <mergeCell ref="B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82661-959E-4D07-B60D-D11F27495FE6}">
  <sheetPr codeName="Sheet70"/>
  <dimension ref="A1:S17"/>
  <sheetViews>
    <sheetView workbookViewId="0">
      <selection activeCell="B1" sqref="B1:F1"/>
    </sheetView>
  </sheetViews>
  <sheetFormatPr defaultRowHeight="21" x14ac:dyDescent="0.5"/>
  <cols>
    <col min="1" max="1" width="4" customWidth="1"/>
    <col min="2" max="2" width="22" customWidth="1"/>
    <col min="4" max="6" width="4" customWidth="1"/>
    <col min="7" max="8" width="3" customWidth="1"/>
    <col min="9" max="11" width="5" customWidth="1"/>
    <col min="12" max="12" width="3" customWidth="1"/>
    <col min="13" max="15" width="5" customWidth="1"/>
    <col min="16" max="16" width="3" customWidth="1"/>
    <col min="17" max="17"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neighbors_count(arr, val, dist, [diag_allowed], [self_count])</v>
      </c>
      <c r="C1" s="79"/>
      <c r="D1" s="79"/>
      <c r="E1" s="79"/>
      <c r="F1" s="80"/>
      <c r="H1" s="45" t="s">
        <v>2</v>
      </c>
      <c r="I1" s="78" t="str" cm="1">
        <f t="array" aca="1" ref="I1" ca="1">_xlfn.LET(_xlpm.fn, CELL("filename",$A$1), _xlpm.nm, MID(_xlpm.fn, FIND("]", _xlpm.fn) + 1, 255), _xlfn.XLOOKUP(_xlpm.nm &amp; "(*", Lamb!$A$2:$A$1000, Lamb!$D$2:$D$1000, "", 2))</f>
        <v>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v>
      </c>
      <c r="C2" s="82"/>
      <c r="D2" s="82"/>
      <c r="E2" s="82"/>
      <c r="F2" s="82"/>
      <c r="G2" s="82"/>
      <c r="H2" s="82"/>
      <c r="I2" s="82"/>
      <c r="J2" s="82"/>
      <c r="K2" s="82"/>
      <c r="L2" s="82"/>
      <c r="M2" s="82"/>
      <c r="N2" s="82"/>
      <c r="O2" s="82"/>
      <c r="P2" s="82"/>
      <c r="Q2" s="82"/>
      <c r="R2" s="82"/>
    </row>
    <row r="4" spans="1:19" x14ac:dyDescent="0.5">
      <c r="A4" s="45" t="s">
        <v>3041</v>
      </c>
      <c r="Q4" s="45" t="str">
        <f>COUNTIF(Q7:Q20,"PASS")&amp;" / 3 PASS"</f>
        <v>3 / 3 PASS</v>
      </c>
    </row>
    <row r="5" spans="1:19" x14ac:dyDescent="0.5">
      <c r="B5" s="45" t="s">
        <v>8</v>
      </c>
      <c r="D5" s="45" t="s">
        <v>3042</v>
      </c>
      <c r="I5" s="48" t="s">
        <v>10</v>
      </c>
      <c r="M5" s="49" t="s">
        <v>11</v>
      </c>
      <c r="Q5" s="50" t="s">
        <v>12</v>
      </c>
    </row>
    <row r="6" spans="1:19" x14ac:dyDescent="0.5">
      <c r="B6" s="45" t="s">
        <v>3043</v>
      </c>
    </row>
    <row r="7" spans="1:19" x14ac:dyDescent="0.5">
      <c r="B7" s="47" t="s">
        <v>3044</v>
      </c>
      <c r="D7" s="51">
        <v>1</v>
      </c>
      <c r="E7" s="51">
        <v>1</v>
      </c>
      <c r="F7" s="51">
        <v>0</v>
      </c>
      <c r="I7" s="52">
        <v>3</v>
      </c>
      <c r="J7" s="52">
        <v>4</v>
      </c>
      <c r="K7" s="52">
        <v>3</v>
      </c>
      <c r="M7" s="53" cm="1">
        <f t="array" ref="M7:O9">neighbors_count(D7:F9,1,1)</f>
        <v>3</v>
      </c>
      <c r="N7" s="53">
        <v>4</v>
      </c>
      <c r="O7" s="53">
        <v>3</v>
      </c>
      <c r="Q7" s="54" t="str" cm="1">
        <f t="array" ref="Q7">IF(AND(I7:K9=M7:O9),"PASS","FAIL")</f>
        <v>PASS</v>
      </c>
    </row>
    <row r="8" spans="1:19" x14ac:dyDescent="0.5">
      <c r="D8" s="51">
        <v>0</v>
      </c>
      <c r="E8" s="51">
        <v>1</v>
      </c>
      <c r="F8" s="51">
        <v>1</v>
      </c>
      <c r="I8" s="52">
        <v>4</v>
      </c>
      <c r="J8" s="52">
        <v>6</v>
      </c>
      <c r="K8" s="52">
        <v>4</v>
      </c>
      <c r="M8" s="53">
        <v>4</v>
      </c>
      <c r="N8" s="53">
        <v>6</v>
      </c>
      <c r="O8" s="53">
        <v>4</v>
      </c>
    </row>
    <row r="9" spans="1:19" x14ac:dyDescent="0.5">
      <c r="D9" s="51">
        <v>1</v>
      </c>
      <c r="E9" s="51">
        <v>0</v>
      </c>
      <c r="F9" s="51">
        <v>1</v>
      </c>
      <c r="I9" s="52">
        <v>2</v>
      </c>
      <c r="J9" s="52">
        <v>4</v>
      </c>
      <c r="K9" s="52">
        <v>3</v>
      </c>
      <c r="M9" s="53">
        <v>2</v>
      </c>
      <c r="N9" s="53">
        <v>4</v>
      </c>
      <c r="O9" s="53">
        <v>3</v>
      </c>
    </row>
    <row r="11" spans="1:19" x14ac:dyDescent="0.5">
      <c r="B11" s="47" t="s">
        <v>3045</v>
      </c>
      <c r="I11" s="52">
        <v>2</v>
      </c>
      <c r="J11" s="52">
        <v>3</v>
      </c>
      <c r="K11" s="52">
        <v>3</v>
      </c>
      <c r="M11" s="53" cm="1">
        <f t="array" ref="M11:O13">neighbors_count(D7:F9,1,1,,0)</f>
        <v>2</v>
      </c>
      <c r="N11" s="53">
        <v>3</v>
      </c>
      <c r="O11" s="53">
        <v>3</v>
      </c>
      <c r="Q11" s="54" t="str" cm="1">
        <f t="array" ref="Q11">IF(AND(I11:K13=M11:O13),"PASS","FAIL")</f>
        <v>PASS</v>
      </c>
    </row>
    <row r="12" spans="1:19" x14ac:dyDescent="0.5">
      <c r="I12" s="52">
        <v>4</v>
      </c>
      <c r="J12" s="52">
        <v>5</v>
      </c>
      <c r="K12" s="52">
        <v>3</v>
      </c>
      <c r="M12" s="53">
        <v>4</v>
      </c>
      <c r="N12" s="53">
        <v>5</v>
      </c>
      <c r="O12" s="53">
        <v>3</v>
      </c>
    </row>
    <row r="13" spans="1:19" x14ac:dyDescent="0.5">
      <c r="I13" s="52">
        <v>1</v>
      </c>
      <c r="J13" s="52">
        <v>4</v>
      </c>
      <c r="K13" s="52">
        <v>2</v>
      </c>
      <c r="M13" s="53">
        <v>1</v>
      </c>
      <c r="N13" s="53">
        <v>4</v>
      </c>
      <c r="O13" s="53">
        <v>2</v>
      </c>
    </row>
    <row r="15" spans="1:19" x14ac:dyDescent="0.5">
      <c r="B15" s="47" t="s">
        <v>3046</v>
      </c>
      <c r="I15" s="52">
        <v>2</v>
      </c>
      <c r="J15" s="52">
        <v>3</v>
      </c>
      <c r="K15" s="52">
        <v>2</v>
      </c>
      <c r="M15" s="53" cm="1">
        <f t="array" ref="M15:O17">neighbors_count(D7:F9,1,1,0)</f>
        <v>2</v>
      </c>
      <c r="N15" s="53">
        <v>3</v>
      </c>
      <c r="O15" s="53">
        <v>2</v>
      </c>
      <c r="Q15" s="54" t="str" cm="1">
        <f t="array" ref="Q15">IF(AND(I15:K17=M15:O17),"PASS","FAIL")</f>
        <v>PASS</v>
      </c>
    </row>
    <row r="16" spans="1:19" x14ac:dyDescent="0.5">
      <c r="I16" s="52">
        <v>3</v>
      </c>
      <c r="J16" s="52">
        <v>3</v>
      </c>
      <c r="K16" s="52">
        <v>3</v>
      </c>
      <c r="M16" s="53">
        <v>3</v>
      </c>
      <c r="N16" s="53">
        <v>3</v>
      </c>
      <c r="O16" s="53">
        <v>3</v>
      </c>
    </row>
    <row r="17" spans="9:15" x14ac:dyDescent="0.5">
      <c r="I17" s="52">
        <v>1</v>
      </c>
      <c r="J17" s="52">
        <v>3</v>
      </c>
      <c r="K17" s="52">
        <v>2</v>
      </c>
      <c r="M17" s="53">
        <v>1</v>
      </c>
      <c r="N17" s="53">
        <v>3</v>
      </c>
      <c r="O17" s="53">
        <v>2</v>
      </c>
    </row>
  </sheetData>
  <mergeCells count="3">
    <mergeCell ref="I1:R1"/>
    <mergeCell ref="B2:R2"/>
    <mergeCell ref="B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A7F24-6027-44C6-9D8E-0BB2974E50CB}">
  <sheetPr codeName="Sheet71"/>
  <dimension ref="A1:S4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neighbors_list(center_ad, [size], [boundary_rng], [diag_allowed])</v>
      </c>
      <c r="C1" s="79"/>
      <c r="D1" s="79"/>
      <c r="E1" s="79"/>
      <c r="F1" s="80"/>
      <c r="H1" s="45" t="s">
        <v>2</v>
      </c>
      <c r="I1" s="78" t="str" cm="1">
        <f t="array" aca="1" ref="I1" ca="1">_xlfn.LET(_xlpm.fn, CELL("filename",$A$1), _xlpm.nm, MID(_xlpm.fn, FIND("]", _xlpm.fn) + 1, 255), _xlfn.XLOOKUP(_xlpm.nm &amp; "(*", Lamb!$A$2:$A$1000, Lamb!$D$2:$D$1000, "", 2))</f>
        <v>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v>
      </c>
      <c r="C2" s="82"/>
      <c r="D2" s="82"/>
      <c r="E2" s="82"/>
      <c r="F2" s="82"/>
      <c r="G2" s="82"/>
      <c r="H2" s="82"/>
      <c r="I2" s="82"/>
      <c r="J2" s="82"/>
      <c r="K2" s="82"/>
      <c r="L2" s="82"/>
      <c r="M2" s="82"/>
      <c r="N2" s="82"/>
      <c r="O2" s="82"/>
      <c r="P2" s="82"/>
      <c r="Q2" s="82"/>
      <c r="R2" s="82"/>
    </row>
    <row r="4" spans="1:19" x14ac:dyDescent="0.5">
      <c r="A4" s="45" t="s">
        <v>3047</v>
      </c>
      <c r="L4" s="45" t="str">
        <f>COUNTIF(L6:L43,"PASS")&amp;" / 5 PASS"</f>
        <v>5 / 5 PASS</v>
      </c>
    </row>
    <row r="5" spans="1:19" x14ac:dyDescent="0.5">
      <c r="A5" s="45" t="s">
        <v>7</v>
      </c>
      <c r="B5" s="45" t="s">
        <v>8</v>
      </c>
      <c r="D5" s="45" t="s">
        <v>9</v>
      </c>
      <c r="H5" s="48" t="s">
        <v>10</v>
      </c>
      <c r="J5" s="49" t="s">
        <v>11</v>
      </c>
      <c r="L5" s="50" t="s">
        <v>12</v>
      </c>
    </row>
    <row r="6" spans="1:19" x14ac:dyDescent="0.5">
      <c r="A6" s="46">
        <v>1</v>
      </c>
      <c r="B6" s="47" t="s">
        <v>3048</v>
      </c>
      <c r="D6" s="51" t="s">
        <v>3049</v>
      </c>
      <c r="F6" s="51">
        <v>0</v>
      </c>
      <c r="H6" s="52" t="s">
        <v>3021</v>
      </c>
      <c r="J6" s="53" t="str" cm="1">
        <f t="array" ref="J6:J9">neighbors_list(D6,,,F6)</f>
        <v>B1</v>
      </c>
      <c r="L6" s="54" t="str" cm="1">
        <f t="array" ref="L6">IF(AND(H6:H9=J6:J9),"PASS","FAIL")</f>
        <v>PASS</v>
      </c>
    </row>
    <row r="7" spans="1:19" x14ac:dyDescent="0.5">
      <c r="A7" s="55"/>
      <c r="B7" s="55"/>
      <c r="H7" s="52" t="s">
        <v>3050</v>
      </c>
      <c r="J7" s="53" t="str">
        <v>A2</v>
      </c>
    </row>
    <row r="8" spans="1:19" x14ac:dyDescent="0.5">
      <c r="A8" s="55"/>
      <c r="B8" s="55"/>
      <c r="H8" s="52" t="s">
        <v>3051</v>
      </c>
      <c r="J8" s="53" t="str">
        <v>C2</v>
      </c>
    </row>
    <row r="9" spans="1:19" x14ac:dyDescent="0.5">
      <c r="A9" s="55"/>
      <c r="B9" s="55"/>
      <c r="H9" s="52" t="s">
        <v>3017</v>
      </c>
      <c r="J9" s="53" t="str">
        <v>B3</v>
      </c>
    </row>
    <row r="11" spans="1:19" x14ac:dyDescent="0.5">
      <c r="A11" s="46">
        <v>2</v>
      </c>
      <c r="B11" s="47" t="s">
        <v>3052</v>
      </c>
      <c r="D11" s="51" t="s">
        <v>3049</v>
      </c>
      <c r="H11" s="52" t="s">
        <v>2925</v>
      </c>
      <c r="J11" s="53" t="str" cm="1">
        <f t="array" ref="J11:J18">neighbors_list(D11)</f>
        <v>A1</v>
      </c>
      <c r="L11" s="54" t="str" cm="1">
        <f t="array" ref="L11">IF(AND(H11:H18=J11:J18),"PASS","FAIL")</f>
        <v>PASS</v>
      </c>
    </row>
    <row r="12" spans="1:19" x14ac:dyDescent="0.5">
      <c r="A12" s="55"/>
      <c r="B12" s="55"/>
      <c r="H12" s="52" t="s">
        <v>3021</v>
      </c>
      <c r="J12" s="53" t="str">
        <v>B1</v>
      </c>
    </row>
    <row r="13" spans="1:19" x14ac:dyDescent="0.5">
      <c r="A13" s="55"/>
      <c r="B13" s="55"/>
      <c r="H13" s="52" t="s">
        <v>3053</v>
      </c>
      <c r="J13" s="53" t="str">
        <v>C1</v>
      </c>
    </row>
    <row r="14" spans="1:19" x14ac:dyDescent="0.5">
      <c r="A14" s="55"/>
      <c r="B14" s="55"/>
      <c r="H14" s="52" t="s">
        <v>3050</v>
      </c>
      <c r="J14" s="53" t="str">
        <v>A2</v>
      </c>
    </row>
    <row r="15" spans="1:19" x14ac:dyDescent="0.5">
      <c r="A15" s="55"/>
      <c r="B15" s="55"/>
      <c r="H15" s="52" t="s">
        <v>3051</v>
      </c>
      <c r="J15" s="53" t="str">
        <v>C2</v>
      </c>
    </row>
    <row r="16" spans="1:19" x14ac:dyDescent="0.5">
      <c r="A16" s="55"/>
      <c r="B16" s="55"/>
      <c r="H16" s="52" t="s">
        <v>2928</v>
      </c>
      <c r="J16" s="53" t="str">
        <v>A3</v>
      </c>
    </row>
    <row r="17" spans="1:12" x14ac:dyDescent="0.5">
      <c r="A17" s="55"/>
      <c r="B17" s="55"/>
      <c r="H17" s="52" t="s">
        <v>3017</v>
      </c>
      <c r="J17" s="53" t="str">
        <v>B3</v>
      </c>
    </row>
    <row r="18" spans="1:12" x14ac:dyDescent="0.5">
      <c r="A18" s="55"/>
      <c r="B18" s="55"/>
      <c r="H18" s="52" t="s">
        <v>2990</v>
      </c>
      <c r="J18" s="53" t="str">
        <v>C3</v>
      </c>
    </row>
    <row r="20" spans="1:12" x14ac:dyDescent="0.5">
      <c r="A20" s="46">
        <v>3</v>
      </c>
      <c r="B20" s="47" t="s">
        <v>3054</v>
      </c>
      <c r="D20" s="51">
        <v>2000002</v>
      </c>
      <c r="H20" s="52" t="s">
        <v>2925</v>
      </c>
      <c r="J20" s="53" t="str" cm="1">
        <f t="array" ref="J20:J27">neighbors_list(D20)</f>
        <v>A1</v>
      </c>
      <c r="L20" s="54" t="str" cm="1">
        <f t="array" ref="L20">IF(AND(H20:H27=J20:J27),"PASS","FAIL")</f>
        <v>PASS</v>
      </c>
    </row>
    <row r="21" spans="1:12" x14ac:dyDescent="0.5">
      <c r="A21" s="55"/>
      <c r="B21" s="55"/>
      <c r="H21" s="52" t="s">
        <v>3021</v>
      </c>
      <c r="J21" s="53" t="str">
        <v>B1</v>
      </c>
    </row>
    <row r="22" spans="1:12" x14ac:dyDescent="0.5">
      <c r="A22" s="55"/>
      <c r="B22" s="55"/>
      <c r="H22" s="52" t="s">
        <v>3053</v>
      </c>
      <c r="J22" s="53" t="str">
        <v>C1</v>
      </c>
    </row>
    <row r="23" spans="1:12" x14ac:dyDescent="0.5">
      <c r="A23" s="55"/>
      <c r="B23" s="55"/>
      <c r="H23" s="52" t="s">
        <v>3050</v>
      </c>
      <c r="J23" s="53" t="str">
        <v>A2</v>
      </c>
    </row>
    <row r="24" spans="1:12" x14ac:dyDescent="0.5">
      <c r="A24" s="55"/>
      <c r="B24" s="55"/>
      <c r="H24" s="52" t="s">
        <v>3051</v>
      </c>
      <c r="J24" s="53" t="str">
        <v>C2</v>
      </c>
    </row>
    <row r="25" spans="1:12" x14ac:dyDescent="0.5">
      <c r="A25" s="55"/>
      <c r="B25" s="55"/>
      <c r="H25" s="52" t="s">
        <v>2928</v>
      </c>
      <c r="J25" s="53" t="str">
        <v>A3</v>
      </c>
    </row>
    <row r="26" spans="1:12" x14ac:dyDescent="0.5">
      <c r="A26" s="55"/>
      <c r="B26" s="55"/>
      <c r="H26" s="52" t="s">
        <v>3017</v>
      </c>
      <c r="J26" s="53" t="str">
        <v>B3</v>
      </c>
    </row>
    <row r="27" spans="1:12" x14ac:dyDescent="0.5">
      <c r="A27" s="55"/>
      <c r="B27" s="55"/>
      <c r="H27" s="52" t="s">
        <v>2990</v>
      </c>
      <c r="J27" s="53" t="str">
        <v>C3</v>
      </c>
    </row>
    <row r="29" spans="1:12" x14ac:dyDescent="0.5">
      <c r="A29" s="46">
        <v>4</v>
      </c>
      <c r="B29" s="47" t="s">
        <v>3055</v>
      </c>
      <c r="D29" s="51">
        <v>2000002</v>
      </c>
      <c r="F29" s="51">
        <v>0</v>
      </c>
      <c r="H29" s="52" t="s">
        <v>3021</v>
      </c>
      <c r="J29" s="53" t="str" cm="1">
        <f t="array" ref="J29:J32">neighbors_list(D29,,,F29)</f>
        <v>B1</v>
      </c>
      <c r="L29" s="54" t="str" cm="1">
        <f t="array" ref="L29">IF(AND(H29:H32=J29:J32),"PASS","FAIL")</f>
        <v>PASS</v>
      </c>
    </row>
    <row r="30" spans="1:12" x14ac:dyDescent="0.5">
      <c r="A30" s="55"/>
      <c r="B30" s="55"/>
      <c r="H30" s="52" t="s">
        <v>3050</v>
      </c>
      <c r="J30" s="53" t="str">
        <v>A2</v>
      </c>
    </row>
    <row r="31" spans="1:12" x14ac:dyDescent="0.5">
      <c r="A31" s="55"/>
      <c r="B31" s="55"/>
      <c r="H31" s="52" t="s">
        <v>3051</v>
      </c>
      <c r="J31" s="53" t="str">
        <v>C2</v>
      </c>
    </row>
    <row r="32" spans="1:12" x14ac:dyDescent="0.5">
      <c r="A32" s="55"/>
      <c r="B32" s="55"/>
      <c r="H32" s="52" t="s">
        <v>3017</v>
      </c>
      <c r="J32" s="53" t="str">
        <v>B3</v>
      </c>
    </row>
    <row r="34" spans="1:12" x14ac:dyDescent="0.5">
      <c r="A34" s="46">
        <v>5</v>
      </c>
      <c r="B34" s="47" t="s">
        <v>3056</v>
      </c>
      <c r="D34" s="51">
        <v>3000003</v>
      </c>
      <c r="H34" s="52" t="s">
        <v>3049</v>
      </c>
      <c r="J34" s="53" t="str" cm="1">
        <f t="array" ref="J34:J41">neighbors_list(D34)</f>
        <v>B2</v>
      </c>
      <c r="L34" s="54" t="str" cm="1">
        <f t="array" ref="L34">IF(AND(H34:H41=J34:J41),"PASS","FAIL")</f>
        <v>PASS</v>
      </c>
    </row>
    <row r="35" spans="1:12" x14ac:dyDescent="0.5">
      <c r="A35" s="55"/>
      <c r="B35" s="55"/>
      <c r="H35" s="52" t="s">
        <v>3051</v>
      </c>
      <c r="J35" s="53" t="str">
        <v>C2</v>
      </c>
    </row>
    <row r="36" spans="1:12" x14ac:dyDescent="0.5">
      <c r="A36" s="55"/>
      <c r="B36" s="55"/>
      <c r="H36" s="52" t="s">
        <v>2994</v>
      </c>
      <c r="J36" s="53" t="str">
        <v>D2</v>
      </c>
    </row>
    <row r="37" spans="1:12" x14ac:dyDescent="0.5">
      <c r="A37" s="55"/>
      <c r="B37" s="55"/>
      <c r="H37" s="52" t="s">
        <v>3017</v>
      </c>
      <c r="J37" s="53" t="str">
        <v>B3</v>
      </c>
    </row>
    <row r="38" spans="1:12" x14ac:dyDescent="0.5">
      <c r="A38" s="55"/>
      <c r="B38" s="55"/>
      <c r="H38" s="52" t="s">
        <v>3057</v>
      </c>
      <c r="J38" s="53" t="str">
        <v>D3</v>
      </c>
    </row>
    <row r="39" spans="1:12" x14ac:dyDescent="0.5">
      <c r="A39" s="55"/>
      <c r="B39" s="55"/>
      <c r="H39" s="52" t="s">
        <v>3058</v>
      </c>
      <c r="J39" s="53" t="str">
        <v>B4</v>
      </c>
    </row>
    <row r="40" spans="1:12" x14ac:dyDescent="0.5">
      <c r="A40" s="55"/>
      <c r="B40" s="55"/>
      <c r="H40" s="52" t="s">
        <v>2997</v>
      </c>
      <c r="J40" s="53" t="str">
        <v>C4</v>
      </c>
    </row>
    <row r="41" spans="1:12" x14ac:dyDescent="0.5">
      <c r="A41" s="55"/>
      <c r="B41" s="55"/>
      <c r="H41" s="52" t="s">
        <v>3059</v>
      </c>
      <c r="J41" s="53" t="str">
        <v>D4</v>
      </c>
    </row>
  </sheetData>
  <mergeCells count="3">
    <mergeCell ref="I1:R1"/>
    <mergeCell ref="B2:R2"/>
    <mergeCell ref="B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D0D55-4282-4695-966E-C5746DFE29FF}">
  <sheetPr codeName="Sheet72"/>
  <dimension ref="A1:S26"/>
  <sheetViews>
    <sheetView topLeftCell="A29" workbookViewId="0">
      <selection activeCell="G18" sqref="G18"/>
    </sheetView>
  </sheetViews>
  <sheetFormatPr defaultRowHeight="21" x14ac:dyDescent="0.5"/>
  <cols>
    <col min="1" max="1" width="4" customWidth="1"/>
    <col min="2" max="2" width="30" customWidth="1"/>
    <col min="4" max="4" width="11" customWidth="1"/>
    <col min="5" max="5" width="3" customWidth="1"/>
    <col min="6" max="6" width="11" customWidth="1"/>
    <col min="7" max="7" width="5.8125" bestFit="1" customWidth="1"/>
    <col min="8" max="8" width="11" customWidth="1"/>
    <col min="9" max="9" width="5.8125" bestFit="1"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num_ad(ad_or_rng)</v>
      </c>
      <c r="C1" s="79"/>
      <c r="D1" s="79"/>
      <c r="E1" s="79"/>
      <c r="F1" s="80"/>
      <c r="H1" s="45" t="s">
        <v>2</v>
      </c>
      <c r="I1" s="78" t="str" cm="1">
        <f t="array" aca="1" ref="I1" ca="1">_xlfn.LET(_xlpm.fn, CELL("filename",$A$1), _xlpm.nm, MID(_xlpm.fn, FIND("]", _xlpm.fn) + 1, 255), _xlfn.XLOOKUP(_xlpm.nm &amp; "(*", Lamb!$A$2:$A$1000, Lamb!$D$2:$D$1000, "", 2))</f>
        <v>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v>
      </c>
      <c r="C2" s="82"/>
      <c r="D2" s="82"/>
      <c r="E2" s="82"/>
      <c r="F2" s="82"/>
      <c r="G2" s="82"/>
      <c r="H2" s="82"/>
      <c r="I2" s="82"/>
      <c r="J2" s="82"/>
      <c r="K2" s="82"/>
      <c r="L2" s="82"/>
      <c r="M2" s="82"/>
      <c r="N2" s="82"/>
      <c r="O2" s="82"/>
      <c r="P2" s="82"/>
      <c r="Q2" s="82"/>
      <c r="R2" s="82"/>
    </row>
    <row r="4" spans="1:19" x14ac:dyDescent="0.5">
      <c r="A4" s="45" t="s">
        <v>3524</v>
      </c>
      <c r="J4" s="45" t="str">
        <f>COUNTIF(J6:J60,"PASS")&amp;" / 10 PASS"</f>
        <v>10 / 10 PASS</v>
      </c>
    </row>
    <row r="5" spans="1:19" x14ac:dyDescent="0.5">
      <c r="A5" s="45" t="s">
        <v>7</v>
      </c>
      <c r="B5" s="45" t="s">
        <v>8</v>
      </c>
      <c r="D5" s="45" t="s">
        <v>9</v>
      </c>
      <c r="F5" s="48" t="s">
        <v>10</v>
      </c>
      <c r="H5" s="49" t="s">
        <v>11</v>
      </c>
      <c r="J5" s="50" t="s">
        <v>12</v>
      </c>
    </row>
    <row r="6" spans="1:19" x14ac:dyDescent="0.5">
      <c r="A6" s="46">
        <v>1</v>
      </c>
      <c r="B6" s="47" t="s">
        <v>3060</v>
      </c>
      <c r="D6" s="51" t="s">
        <v>3057</v>
      </c>
      <c r="F6" s="52">
        <v>3000004</v>
      </c>
      <c r="H6" s="53" cm="1">
        <f t="array" ref="H6">num_ad(D6)</f>
        <v>3000004</v>
      </c>
      <c r="J6" s="54" t="str">
        <f>IF(H6=F6,"PASS","FAIL")</f>
        <v>PASS</v>
      </c>
    </row>
    <row r="7" spans="1:19" x14ac:dyDescent="0.5">
      <c r="F7" s="52"/>
      <c r="H7" s="53"/>
      <c r="J7" s="54"/>
    </row>
    <row r="8" spans="1:19" x14ac:dyDescent="0.5">
      <c r="A8" s="46">
        <v>2</v>
      </c>
      <c r="B8" s="47" t="s">
        <v>3061</v>
      </c>
      <c r="D8" s="51">
        <v>3000004</v>
      </c>
      <c r="F8" s="52">
        <v>3000004</v>
      </c>
      <c r="H8" s="53" cm="1">
        <f t="array" ref="H8">num_ad(D8)</f>
        <v>3000004</v>
      </c>
      <c r="J8" s="54" t="str">
        <f>IF(H8=F8,"PASS","FAIL")</f>
        <v>PASS</v>
      </c>
    </row>
    <row r="9" spans="1:19" x14ac:dyDescent="0.5">
      <c r="F9" s="52"/>
      <c r="H9" s="53"/>
      <c r="J9" s="54"/>
    </row>
    <row r="10" spans="1:19" x14ac:dyDescent="0.5">
      <c r="A10" s="46">
        <v>3</v>
      </c>
      <c r="B10" s="47" t="s">
        <v>3062</v>
      </c>
      <c r="D10" s="51" t="s">
        <v>3063</v>
      </c>
      <c r="F10" s="52" t="s">
        <v>3063</v>
      </c>
      <c r="H10" s="53" t="str" cm="1">
        <f t="array" ref="H10">num_ad(D10)</f>
        <v>hi</v>
      </c>
      <c r="J10" s="54" t="str">
        <f>IF(H10=F10,"PASS","FAIL")</f>
        <v>PASS</v>
      </c>
    </row>
    <row r="11" spans="1:19" x14ac:dyDescent="0.5">
      <c r="F11" s="52"/>
      <c r="H11" s="53"/>
      <c r="J11" s="54"/>
    </row>
    <row r="12" spans="1:19" x14ac:dyDescent="0.5">
      <c r="A12" s="46">
        <v>4</v>
      </c>
      <c r="B12" s="47" t="s">
        <v>3064</v>
      </c>
      <c r="D12" s="51" t="s">
        <v>3065</v>
      </c>
      <c r="F12" s="52">
        <v>2000002</v>
      </c>
      <c r="H12" s="53" cm="1">
        <f t="array" ref="H12">num_ad(D12)</f>
        <v>2000002</v>
      </c>
      <c r="J12" s="54" t="str">
        <f>IF(H12=F12,"PASS","FAIL")</f>
        <v>PASS</v>
      </c>
    </row>
    <row r="13" spans="1:19" x14ac:dyDescent="0.5">
      <c r="J13" s="54"/>
    </row>
    <row r="14" spans="1:19" x14ac:dyDescent="0.5">
      <c r="A14" s="46">
        <v>5</v>
      </c>
      <c r="B14" s="47" t="s">
        <v>3525</v>
      </c>
      <c r="D14" s="51" t="s">
        <v>3526</v>
      </c>
      <c r="F14" s="52">
        <v>1000001</v>
      </c>
      <c r="G14" s="52">
        <v>1000002</v>
      </c>
      <c r="H14" s="53" cm="1">
        <f t="array" ref="H14:I15">num_ad(D14)</f>
        <v>1000001</v>
      </c>
      <c r="I14" s="53">
        <v>1000002</v>
      </c>
      <c r="J14" s="54" t="str" cm="1">
        <f t="array" ref="J14">IF(AND(F14:G15=H14:I15),"PASS","FAIL")</f>
        <v>PASS</v>
      </c>
    </row>
    <row r="15" spans="1:19" x14ac:dyDescent="0.5">
      <c r="F15" s="52">
        <v>2000001</v>
      </c>
      <c r="G15" s="52">
        <v>2000002</v>
      </c>
      <c r="H15" s="53">
        <v>2000001</v>
      </c>
      <c r="I15" s="53">
        <v>2000002</v>
      </c>
      <c r="J15" s="54"/>
    </row>
    <row r="16" spans="1:19" x14ac:dyDescent="0.5">
      <c r="A16" s="46">
        <v>6</v>
      </c>
      <c r="B16" s="47" t="s">
        <v>3066</v>
      </c>
      <c r="D16" s="51" t="s">
        <v>2925</v>
      </c>
      <c r="F16" s="52">
        <v>1000001</v>
      </c>
      <c r="H16" s="53" cm="1">
        <f t="array" ref="H16:H17">num_ad(D16:D17)</f>
        <v>1000001</v>
      </c>
      <c r="J16" s="54" t="str" cm="1">
        <f t="array" ref="J16">IF(AND(F16:F17=H16:H17),"PASS","FAIL")</f>
        <v>PASS</v>
      </c>
    </row>
    <row r="17" spans="1:10" x14ac:dyDescent="0.5">
      <c r="A17" s="55"/>
      <c r="B17" s="55"/>
      <c r="D17" s="51" t="s">
        <v>3049</v>
      </c>
      <c r="F17" s="52">
        <v>2000002</v>
      </c>
      <c r="H17" s="53">
        <v>2000002</v>
      </c>
      <c r="J17" s="54"/>
    </row>
    <row r="18" spans="1:10" x14ac:dyDescent="0.5">
      <c r="J18" s="54"/>
    </row>
    <row r="19" spans="1:10" x14ac:dyDescent="0.5">
      <c r="A19">
        <v>7</v>
      </c>
      <c r="B19" s="55" t="s">
        <v>3527</v>
      </c>
      <c r="D19" s="51" t="s">
        <v>3528</v>
      </c>
      <c r="F19" s="52">
        <v>1000001</v>
      </c>
      <c r="G19" s="52">
        <v>1000002</v>
      </c>
      <c r="H19" s="53" cm="1">
        <f t="array" ref="H19:I19">num_ad(D19)</f>
        <v>1000001</v>
      </c>
      <c r="I19" s="53">
        <v>1000002</v>
      </c>
      <c r="J19" s="54" t="str" cm="1">
        <f t="array" ref="J19">IF(AND(F19:G19=H19:I19),"PASS","FAIL")</f>
        <v>PASS</v>
      </c>
    </row>
    <row r="20" spans="1:10" x14ac:dyDescent="0.5">
      <c r="J20" s="54"/>
    </row>
    <row r="21" spans="1:10" x14ac:dyDescent="0.5">
      <c r="A21">
        <v>8</v>
      </c>
      <c r="B21" s="55" t="s">
        <v>3529</v>
      </c>
      <c r="D21" s="51"/>
      <c r="F21" s="52"/>
      <c r="H21" s="53" t="str" cm="1">
        <f t="array" ref="H21">num_ad(D21)</f>
        <v/>
      </c>
      <c r="J21" s="54" t="str">
        <f>IF(AND(H21="",NOT(H21=0)),"PASS","FAIL")</f>
        <v>PASS</v>
      </c>
    </row>
    <row r="23" spans="1:10" x14ac:dyDescent="0.5">
      <c r="A23" s="46">
        <v>9</v>
      </c>
      <c r="B23" s="47" t="s">
        <v>3607</v>
      </c>
      <c r="D23" s="51" t="s">
        <v>192</v>
      </c>
      <c r="F23" s="52">
        <v>1</v>
      </c>
      <c r="H23" s="53" cm="1">
        <f t="array" ref="H23">num_ad(D23)</f>
        <v>1</v>
      </c>
      <c r="J23" s="54" t="str">
        <f>IF(F23=H23,"PASS","FAIL")</f>
        <v>PASS</v>
      </c>
    </row>
    <row r="25" spans="1:10" x14ac:dyDescent="0.5">
      <c r="A25" s="46">
        <v>10</v>
      </c>
      <c r="B25" s="47" t="s">
        <v>3608</v>
      </c>
      <c r="D25" s="51" t="s">
        <v>3057</v>
      </c>
      <c r="F25" s="52">
        <v>3000004</v>
      </c>
      <c r="H25" s="53" cm="1">
        <f t="array" ref="H25:H26">num_ad(D25:D26)</f>
        <v>3000004</v>
      </c>
      <c r="J25" s="54" t="str" cm="1">
        <f t="array" ref="J25">IF(AND(F25:F26=H25:H26),"PASS","FAIL")</f>
        <v>PASS</v>
      </c>
    </row>
    <row r="26" spans="1:10" x14ac:dyDescent="0.5">
      <c r="D26" s="51" t="s">
        <v>160</v>
      </c>
      <c r="F26" s="52">
        <v>-1000000</v>
      </c>
      <c r="H26">
        <v>-1000000</v>
      </c>
    </row>
  </sheetData>
  <mergeCells count="3">
    <mergeCell ref="I1:R1"/>
    <mergeCell ref="B2:R2"/>
    <mergeCell ref="B1:F1"/>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33B43-4C62-4CD6-BE87-91B282DBBD64}">
  <sheetPr codeName="Sheet73"/>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offset_letter(st, offset)</v>
      </c>
      <c r="C1" s="79"/>
      <c r="D1" s="79"/>
      <c r="E1" s="79"/>
      <c r="F1" s="80"/>
      <c r="H1" s="45" t="s">
        <v>2</v>
      </c>
      <c r="I1" s="78" t="str" cm="1">
        <f t="array" aca="1" ref="I1" ca="1">_xlfn.LET(_xlpm.fn, CELL("filename",$A$1), _xlpm.nm, MID(_xlpm.fn, FIND("]", _xlpm.fn) + 1, 255), _xlfn.XLOOKUP(_xlpm.nm &amp; "(*", Lamb!$A$2:$A$1000, Lamb!$D$2:$D$1000, "", 2))</f>
        <v>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v>
      </c>
      <c r="C2" s="82"/>
      <c r="D2" s="82"/>
      <c r="E2" s="82"/>
      <c r="F2" s="82"/>
      <c r="G2" s="82"/>
      <c r="H2" s="82"/>
      <c r="I2" s="82"/>
      <c r="J2" s="82"/>
      <c r="K2" s="82"/>
      <c r="L2" s="82"/>
      <c r="M2" s="82"/>
      <c r="N2" s="82"/>
      <c r="O2" s="82"/>
      <c r="P2" s="82"/>
      <c r="Q2" s="82"/>
      <c r="R2" s="82"/>
    </row>
    <row r="4" spans="1:19" x14ac:dyDescent="0.5">
      <c r="A4" s="45" t="s">
        <v>3067</v>
      </c>
      <c r="L4" s="45" t="str">
        <f>COUNTIF(L6:L19,"PASS")&amp;" / 6 PASS"</f>
        <v>6 / 6 PASS</v>
      </c>
    </row>
    <row r="5" spans="1:19" x14ac:dyDescent="0.5">
      <c r="A5" s="45" t="s">
        <v>7</v>
      </c>
      <c r="B5" s="45" t="s">
        <v>8</v>
      </c>
      <c r="D5" s="45" t="s">
        <v>9</v>
      </c>
      <c r="H5" s="48" t="s">
        <v>10</v>
      </c>
      <c r="J5" s="49" t="s">
        <v>11</v>
      </c>
      <c r="L5" s="50" t="s">
        <v>12</v>
      </c>
    </row>
    <row r="6" spans="1:19" x14ac:dyDescent="0.5">
      <c r="A6" s="46">
        <v>1</v>
      </c>
      <c r="B6" s="47" t="s">
        <v>3068</v>
      </c>
      <c r="D6" s="51" t="s">
        <v>3069</v>
      </c>
      <c r="F6" s="51">
        <v>2</v>
      </c>
      <c r="H6" s="52" t="s">
        <v>3070</v>
      </c>
      <c r="J6" s="53" t="str" cm="1">
        <f t="array" ref="J6">offset_letter(D6,F6)</f>
        <v>zab</v>
      </c>
      <c r="L6" s="54" t="str">
        <f>IF(J6=H6,"PASS","FAIL")</f>
        <v>PASS</v>
      </c>
    </row>
    <row r="8" spans="1:19" x14ac:dyDescent="0.5">
      <c r="A8" s="46">
        <v>2</v>
      </c>
      <c r="B8" s="47" t="s">
        <v>3071</v>
      </c>
      <c r="D8" s="51" t="s">
        <v>3072</v>
      </c>
      <c r="F8" s="51">
        <v>1</v>
      </c>
      <c r="H8" s="52" t="s">
        <v>3073</v>
      </c>
      <c r="J8" s="53" t="str" cm="1">
        <f t="array" ref="J8">offset_letter(D8,F8)</f>
        <v>bcd</v>
      </c>
      <c r="L8" s="54" t="str">
        <f>IF(J8=H8,"PASS","FAIL")</f>
        <v>PASS</v>
      </c>
    </row>
    <row r="10" spans="1:19" x14ac:dyDescent="0.5">
      <c r="A10" s="46">
        <v>3</v>
      </c>
      <c r="B10" s="47" t="s">
        <v>3074</v>
      </c>
      <c r="D10" s="51" t="s">
        <v>3075</v>
      </c>
      <c r="F10" s="51">
        <v>1</v>
      </c>
      <c r="H10" s="52" t="s">
        <v>3076</v>
      </c>
      <c r="J10" s="53" t="str" cm="1">
        <f t="array" ref="J10">offset_letter(D10,F10)</f>
        <v>Ifmmp</v>
      </c>
      <c r="L10" s="54" t="str">
        <f>IF(J10=H10,"PASS","FAIL")</f>
        <v>PASS</v>
      </c>
    </row>
    <row r="12" spans="1:19" x14ac:dyDescent="0.5">
      <c r="A12" s="46">
        <v>4</v>
      </c>
      <c r="B12" s="47" t="s">
        <v>3077</v>
      </c>
      <c r="D12" s="51" t="s">
        <v>3078</v>
      </c>
      <c r="F12" s="51">
        <v>1</v>
      </c>
      <c r="H12" s="52" t="s">
        <v>3079</v>
      </c>
      <c r="J12" s="53" t="str" cm="1">
        <f t="array" ref="J12">offset_letter(D12,F12)</f>
        <v>b1c</v>
      </c>
      <c r="L12" s="54" t="str">
        <f>IF(J12=H12,"PASS","FAIL")</f>
        <v>PASS</v>
      </c>
    </row>
    <row r="14" spans="1:19" x14ac:dyDescent="0.5">
      <c r="A14" s="46">
        <v>5</v>
      </c>
      <c r="B14" s="47" t="s">
        <v>3080</v>
      </c>
      <c r="D14" s="51" t="s">
        <v>3073</v>
      </c>
      <c r="F14" s="51">
        <v>-1</v>
      </c>
      <c r="H14" s="52" t="s">
        <v>3072</v>
      </c>
      <c r="J14" s="53" t="str" cm="1">
        <f t="array" ref="J14">offset_letter(D14,F14)</f>
        <v>abc</v>
      </c>
      <c r="L14" s="54" t="str">
        <f>IF(J14=H14,"PASS","FAIL")</f>
        <v>PASS</v>
      </c>
    </row>
    <row r="16" spans="1:19" x14ac:dyDescent="0.5">
      <c r="A16" s="46">
        <v>6</v>
      </c>
      <c r="B16" s="47" t="s">
        <v>3081</v>
      </c>
      <c r="D16" s="51" t="s">
        <v>3072</v>
      </c>
      <c r="F16" s="51">
        <v>1</v>
      </c>
      <c r="H16" s="52" t="s">
        <v>3073</v>
      </c>
      <c r="J16" s="53" t="str" cm="1">
        <f t="array" ref="J16:J17">offset_letter(D16:D17,F16)</f>
        <v>bcd</v>
      </c>
      <c r="L16" s="54" t="str" cm="1">
        <f t="array" ref="L16">IF(AND(H16:H17=J16:J17),"PASS","FAIL")</f>
        <v>PASS</v>
      </c>
    </row>
    <row r="17" spans="1:10" x14ac:dyDescent="0.5">
      <c r="A17" s="55"/>
      <c r="B17" s="55"/>
      <c r="D17" s="51" t="s">
        <v>3082</v>
      </c>
      <c r="H17" s="52" t="s">
        <v>3083</v>
      </c>
      <c r="J17" s="53" t="str">
        <v>YZA</v>
      </c>
    </row>
  </sheetData>
  <mergeCells count="3">
    <mergeCell ref="I1:R1"/>
    <mergeCell ref="B2:R2"/>
    <mergeCell ref="B1:F1"/>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985C4-EA07-413C-A4C0-C69316E4AA84}">
  <sheetPr codeName="Sheet7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only_letters(st)</v>
      </c>
      <c r="C1" s="79"/>
      <c r="D1" s="79"/>
      <c r="E1" s="79"/>
      <c r="F1" s="80"/>
      <c r="H1" s="45" t="s">
        <v>2</v>
      </c>
      <c r="I1" s="78" t="str" cm="1">
        <f t="array" aca="1" ref="I1" ca="1">_xlfn.LET(_xlpm.fn, CELL("filename",$A$1), _xlpm.nm, MID(_xlpm.fn, FIND("]", _xlpm.fn) + 1, 255), _xlfn.XLOOKUP(_xlpm.nm &amp; "(*", Lamb!$A$2:$A$1000, Lamb!$D$2:$D$1000, "", 2))</f>
        <v>Strips everything except letters from text.
Arguments:
  st - a string or array of strings.
Returns:
  The input with all non-letter characters removed.
Example:
  only_letters("A12")  -&gt;  "A"</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=LAMBDA(arr, LET(
   f, LAMBDA(x, IFERROR(CONCAT(REGEXEXTRACT(x, "[a-z]", 1, 1)), "")),
   IF(ROWS(arr) * COLUMNS(arr) = 1, f(arr), MAP(arr, f))
))</v>
      </c>
      <c r="C2" s="82"/>
      <c r="D2" s="82"/>
      <c r="E2" s="82"/>
      <c r="F2" s="82"/>
      <c r="G2" s="82"/>
      <c r="H2" s="82"/>
      <c r="I2" s="82"/>
      <c r="J2" s="82"/>
      <c r="K2" s="82"/>
      <c r="L2" s="82"/>
      <c r="M2" s="82"/>
      <c r="N2" s="82"/>
      <c r="O2" s="82"/>
      <c r="P2" s="82"/>
      <c r="Q2" s="82"/>
      <c r="R2" s="82"/>
    </row>
    <row r="4" spans="1:19" x14ac:dyDescent="0.5">
      <c r="A4" s="45" t="s">
        <v>3084</v>
      </c>
      <c r="J4" s="45" t="str">
        <f>COUNTIF(J6:J17,"PASS")&amp;" / 5 PASS"</f>
        <v>5 / 5 PASS</v>
      </c>
    </row>
    <row r="5" spans="1:19" x14ac:dyDescent="0.5">
      <c r="A5" s="45" t="s">
        <v>7</v>
      </c>
      <c r="B5" s="45" t="s">
        <v>8</v>
      </c>
      <c r="D5" s="45" t="s">
        <v>9</v>
      </c>
      <c r="F5" s="48" t="s">
        <v>10</v>
      </c>
      <c r="H5" s="49" t="s">
        <v>11</v>
      </c>
      <c r="J5" s="50" t="s">
        <v>12</v>
      </c>
    </row>
    <row r="6" spans="1:19" x14ac:dyDescent="0.5">
      <c r="A6" s="46">
        <v>1</v>
      </c>
      <c r="B6" s="47" t="s">
        <v>3085</v>
      </c>
      <c r="D6" s="51" t="s">
        <v>3086</v>
      </c>
      <c r="F6" s="52" t="s">
        <v>3087</v>
      </c>
      <c r="H6" s="53" t="str" cm="1">
        <f t="array" ref="H6">only_letters(D6)</f>
        <v>aBc</v>
      </c>
      <c r="J6" s="54" t="str">
        <f>IF(H6=F6,"PASS","FAIL")</f>
        <v>PASS</v>
      </c>
    </row>
    <row r="8" spans="1:19" x14ac:dyDescent="0.5">
      <c r="A8" s="46">
        <v>2</v>
      </c>
      <c r="B8" s="47" t="s">
        <v>3088</v>
      </c>
      <c r="D8" s="51" t="s">
        <v>3075</v>
      </c>
      <c r="F8" s="52" t="s">
        <v>3075</v>
      </c>
      <c r="H8" s="53" t="str" cm="1">
        <f t="array" ref="H8">only_letters(D8)</f>
        <v>Hello</v>
      </c>
      <c r="J8" s="54" t="str">
        <f>IF(H8=F8,"PASS","FAIL")</f>
        <v>PASS</v>
      </c>
    </row>
    <row r="10" spans="1:19" x14ac:dyDescent="0.5">
      <c r="A10" s="46">
        <v>3</v>
      </c>
      <c r="B10" s="47" t="s">
        <v>3089</v>
      </c>
      <c r="D10" s="51" t="s">
        <v>3090</v>
      </c>
      <c r="F10" s="52" t="s">
        <v>3091</v>
      </c>
      <c r="H10" s="53" t="str" cm="1">
        <f t="array" ref="H10">only_letters(D10)</f>
        <v>XYz</v>
      </c>
      <c r="J10" s="54" t="str">
        <f>IF(H10=F10,"PASS","FAIL")</f>
        <v>PASS</v>
      </c>
    </row>
    <row r="12" spans="1:19" x14ac:dyDescent="0.5">
      <c r="A12" s="46">
        <v>4</v>
      </c>
      <c r="B12" s="47" t="s">
        <v>3092</v>
      </c>
      <c r="D12" s="51" t="s">
        <v>3093</v>
      </c>
      <c r="F12" s="52"/>
      <c r="H12" s="53" t="str" cm="1">
        <f t="array" ref="H12">only_letters(D12)</f>
        <v/>
      </c>
      <c r="J12" s="54" t="str">
        <f>IF(H12=F12,"PASS","FAIL")</f>
        <v>PASS</v>
      </c>
    </row>
    <row r="14" spans="1:19" x14ac:dyDescent="0.5">
      <c r="A14" s="46">
        <v>5</v>
      </c>
      <c r="B14" s="47" t="s">
        <v>3094</v>
      </c>
      <c r="D14" s="51" t="s">
        <v>3078</v>
      </c>
      <c r="F14" s="52" t="s">
        <v>3095</v>
      </c>
      <c r="H14" s="53" t="str" cm="1">
        <f t="array" ref="H14:H15">only_letters(D14:D15)</f>
        <v>ab</v>
      </c>
      <c r="J14" s="54" t="str" cm="1">
        <f t="array" ref="J14">IF(AND(F14:F15=H14:H15),"PASS","FAIL")</f>
        <v>PASS</v>
      </c>
    </row>
    <row r="15" spans="1:19" x14ac:dyDescent="0.5">
      <c r="A15" s="55"/>
      <c r="B15" s="55"/>
      <c r="D15" s="51" t="s">
        <v>3096</v>
      </c>
      <c r="F15" s="52" t="s">
        <v>3097</v>
      </c>
      <c r="H15" s="53" t="str">
        <v>Cd</v>
      </c>
    </row>
  </sheetData>
  <mergeCells count="3">
    <mergeCell ref="I1:R1"/>
    <mergeCell ref="B2:R2"/>
    <mergeCell ref="B1:F1"/>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E63C1-5957-4CCA-B869-9D2EFBEE3A32}">
  <sheetPr codeName="Sheet75"/>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only_numbers(st)</v>
      </c>
      <c r="C1" s="79"/>
      <c r="D1" s="79"/>
      <c r="E1" s="79"/>
      <c r="F1" s="80"/>
      <c r="H1" s="45" t="s">
        <v>2</v>
      </c>
      <c r="I1" s="78" t="str" cm="1">
        <f t="array" aca="1" ref="I1" ca="1">_xlfn.LET(_xlpm.fn, CELL("filename",$A$1), _xlpm.nm, MID(_xlpm.fn, FIND("]", _xlpm.fn) + 1, 255), _xlfn.XLOOKUP(_xlpm.nm &amp; "(*", Lamb!$A$2:$A$1000, Lamb!$D$2:$D$1000, "", 2))</f>
        <v>Extracts numeric values from a string.
Arguments:
  st - the text to pull numbers from.
Returns:
  The number(s) found, using the pattern -?\d+(?:\.\d+)?. A single string can yield several numbers, so this is not array-safe; wrap in MAP when applying one-to-one across an array.
Example:
  only_numbers("A12.5")  -&gt;  12.5</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=LAMBDA(txt, LET(
   matches, IFERROR(--REGEXEXTRACT(txt, "-?\d+(?:\.\d+)?", 1), ""),
   IF(ROWS(matches) * COLUMNS(matches) = 1, INDEX(matches, 1), matches)
))</v>
      </c>
      <c r="C2" s="82"/>
      <c r="D2" s="82"/>
      <c r="E2" s="82"/>
      <c r="F2" s="82"/>
      <c r="G2" s="82"/>
      <c r="H2" s="82"/>
      <c r="I2" s="82"/>
      <c r="J2" s="82"/>
      <c r="K2" s="82"/>
      <c r="L2" s="82"/>
      <c r="M2" s="82"/>
      <c r="N2" s="82"/>
      <c r="O2" s="82"/>
      <c r="P2" s="82"/>
      <c r="Q2" s="82"/>
      <c r="R2" s="82"/>
    </row>
    <row r="4" spans="1:19" x14ac:dyDescent="0.5">
      <c r="A4" s="45" t="s">
        <v>3098</v>
      </c>
      <c r="J4" s="45" t="str">
        <f>COUNTIF(J6:J19,"PASS")&amp;" / 5 PASS"</f>
        <v>5 / 5 PASS</v>
      </c>
    </row>
    <row r="5" spans="1:19" x14ac:dyDescent="0.5">
      <c r="A5" s="45" t="s">
        <v>7</v>
      </c>
      <c r="B5" s="45" t="s">
        <v>8</v>
      </c>
      <c r="D5" s="45" t="s">
        <v>9</v>
      </c>
      <c r="F5" s="48" t="s">
        <v>10</v>
      </c>
      <c r="H5" s="49" t="s">
        <v>11</v>
      </c>
      <c r="J5" s="50" t="s">
        <v>12</v>
      </c>
    </row>
    <row r="6" spans="1:19" x14ac:dyDescent="0.5">
      <c r="A6" s="46">
        <v>1</v>
      </c>
      <c r="B6" s="47" t="s">
        <v>3099</v>
      </c>
      <c r="D6" s="51" t="s">
        <v>3100</v>
      </c>
      <c r="F6" s="52">
        <v>10</v>
      </c>
      <c r="H6" s="53" cm="1">
        <f t="array" ref="H6">only_numbers(D6)</f>
        <v>10</v>
      </c>
      <c r="J6" s="54" t="str">
        <f>IF(H6=F6,"PASS","FAIL")</f>
        <v>PASS</v>
      </c>
    </row>
    <row r="8" spans="1:19" x14ac:dyDescent="0.5">
      <c r="A8" s="46">
        <v>2</v>
      </c>
      <c r="B8" s="47" t="s">
        <v>3101</v>
      </c>
      <c r="D8" s="51" t="s">
        <v>3102</v>
      </c>
      <c r="F8" s="52">
        <v>3.5</v>
      </c>
      <c r="H8" s="53" cm="1">
        <f t="array" ref="H8">only_numbers(D8)</f>
        <v>3.5</v>
      </c>
      <c r="J8" s="54" t="str">
        <f>IF(H8=F8,"PASS","FAIL")</f>
        <v>PASS</v>
      </c>
    </row>
    <row r="10" spans="1:19" x14ac:dyDescent="0.5">
      <c r="A10" s="46">
        <v>3</v>
      </c>
      <c r="B10" s="47" t="s">
        <v>3103</v>
      </c>
      <c r="D10" s="51" t="s">
        <v>3072</v>
      </c>
      <c r="H10" s="53" t="str" cm="1">
        <f t="array" ref="H10">only_numbers(D10)</f>
        <v/>
      </c>
      <c r="J10" s="54" t="str" cm="1">
        <f t="array" ref="J10">IF(AND(F9:F10=H9:H10),"PASS","FAIL")</f>
        <v>PASS</v>
      </c>
    </row>
    <row r="12" spans="1:19" x14ac:dyDescent="0.5">
      <c r="A12" s="46">
        <v>4</v>
      </c>
      <c r="B12" s="47" t="s">
        <v>3104</v>
      </c>
      <c r="D12" s="51" t="s">
        <v>3105</v>
      </c>
      <c r="F12" s="52">
        <v>1</v>
      </c>
      <c r="H12" s="53" cm="1">
        <f t="array" ref="H12:H14">_xlfn.TOCOL(only_numbers(D12))</f>
        <v>1</v>
      </c>
      <c r="J12" s="54" t="str" cm="1">
        <f t="array" ref="J12">IF(AND(F12:F14=H12:H14),"PASS","FAIL")</f>
        <v>PASS</v>
      </c>
    </row>
    <row r="13" spans="1:19" x14ac:dyDescent="0.5">
      <c r="A13" s="55"/>
      <c r="B13" s="55"/>
      <c r="F13" s="52">
        <v>2</v>
      </c>
      <c r="H13" s="53">
        <v>2</v>
      </c>
    </row>
    <row r="14" spans="1:19" x14ac:dyDescent="0.5">
      <c r="A14" s="55"/>
      <c r="B14" s="55"/>
      <c r="F14" s="52">
        <v>3</v>
      </c>
      <c r="H14" s="53">
        <v>3</v>
      </c>
    </row>
    <row r="16" spans="1:19" x14ac:dyDescent="0.5">
      <c r="A16" s="46">
        <v>5</v>
      </c>
      <c r="B16" s="47" t="s">
        <v>3106</v>
      </c>
      <c r="D16" s="51" t="s">
        <v>3106</v>
      </c>
      <c r="F16" s="52">
        <v>-5</v>
      </c>
      <c r="H16" s="53" cm="1">
        <f t="array" ref="H16:H17">_xlfn.TOCOL(only_numbers(D16))</f>
        <v>-5</v>
      </c>
      <c r="J16" s="54" t="str" cm="1">
        <f t="array" ref="J16">IF(AND(F16:F17=H16:H17),"PASS","FAIL")</f>
        <v>PASS</v>
      </c>
    </row>
    <row r="17" spans="1:8" x14ac:dyDescent="0.5">
      <c r="A17" s="55"/>
      <c r="B17" s="55"/>
      <c r="F17" s="52">
        <v>12</v>
      </c>
      <c r="H17" s="53">
        <v>12</v>
      </c>
    </row>
  </sheetData>
  <mergeCells count="3">
    <mergeCell ref="I1:R1"/>
    <mergeCell ref="B2:R2"/>
    <mergeCell ref="B1:F1"/>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FEC11-0655-4639-9C9F-6411C5B45ADD}">
  <sheetPr codeName="Sheet128"/>
  <dimension ref="A1:S19"/>
  <sheetViews>
    <sheetView topLeftCell="A2" workbookViewId="0">
      <selection activeCell="T8" sqref="T8"/>
    </sheetView>
  </sheetViews>
  <sheetFormatPr defaultRowHeight="21" x14ac:dyDescent="0.5"/>
  <cols>
    <col min="1" max="1" width="4" customWidth="1"/>
    <col min="2" max="2" width="30" customWidth="1"/>
    <col min="4" max="4" width="11" customWidth="1"/>
    <col min="5" max="5" width="5.6875" bestFit="1"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rc_to_ad(row_n, col_n, [str])</v>
      </c>
      <c r="C1" s="79"/>
      <c r="D1" s="79"/>
      <c r="E1" s="79"/>
      <c r="F1" s="80"/>
      <c r="H1" s="45" t="s">
        <v>2</v>
      </c>
      <c r="I1" s="78" t="str" cm="1">
        <f t="array" aca="1" ref="I1" ca="1">_xlfn.LET(_xlpm.fn, CELL("filename",$A$1), _xlpm.nm, MID(_xlpm.fn, FIND("]", _xlpm.fn) + 1, 255), _xlfn.XLOOKUP(_xlpm.nm &amp; "(*", Lamb!$A$2:$A$1000, Lamb!$D$2:$D$1000, "", 2))</f>
        <v>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=LAMBDA(row_n, col_n, [str],
  LET(
    want_str, IF(ISOMITTED(str), 0, str),
    ok, IFERROR(AND(ISNUMBER(row_n), ISNUMBER(col_n),
                    row_n = INT(row_n), col_n = INT(col_n),
                    row_n &gt;= 1, row_n &lt;= 1048576,
                    col_n &gt;= 1, col_n &lt;= 16384), FALSE),
    IF(NOT(ok), #VALUE!,
       IF(want_str,
          str_ad(1000000 * row_n + col_n),
          1000000 * row_n + col_n))
  )
)</v>
      </c>
      <c r="C2" s="82"/>
      <c r="D2" s="82"/>
      <c r="E2" s="82"/>
      <c r="F2" s="82"/>
      <c r="G2" s="82"/>
      <c r="H2" s="82"/>
      <c r="I2" s="82"/>
      <c r="J2" s="82"/>
      <c r="K2" s="82"/>
      <c r="L2" s="82"/>
      <c r="M2" s="82"/>
      <c r="N2" s="82"/>
      <c r="O2" s="82"/>
      <c r="P2" s="82"/>
      <c r="Q2" s="82"/>
      <c r="R2" s="82"/>
    </row>
    <row r="4" spans="1:19" x14ac:dyDescent="0.5">
      <c r="A4" s="45" t="s">
        <v>3530</v>
      </c>
      <c r="J4" s="45" t="str">
        <f>COUNTIF(J6:J20,"PASS")&amp;" / 7 PASS"</f>
        <v>7 / 7 PASS</v>
      </c>
    </row>
    <row r="5" spans="1:19" x14ac:dyDescent="0.5">
      <c r="A5" s="45" t="s">
        <v>7</v>
      </c>
      <c r="B5" s="45" t="s">
        <v>8</v>
      </c>
      <c r="D5" s="45" t="s">
        <v>9</v>
      </c>
      <c r="E5" s="45"/>
      <c r="F5" s="48" t="s">
        <v>10</v>
      </c>
      <c r="H5" s="49" t="s">
        <v>11</v>
      </c>
      <c r="J5" s="50" t="s">
        <v>12</v>
      </c>
    </row>
    <row r="6" spans="1:19" x14ac:dyDescent="0.5">
      <c r="A6" s="46">
        <v>1</v>
      </c>
      <c r="B6" s="47" t="s">
        <v>3466</v>
      </c>
      <c r="D6" s="51">
        <v>3</v>
      </c>
      <c r="E6" s="51">
        <v>4</v>
      </c>
      <c r="F6" s="52">
        <v>3000004</v>
      </c>
      <c r="H6" s="53" cm="1">
        <f t="array" ref="H6">rc_to_ad(D6,E6)</f>
        <v>3000004</v>
      </c>
      <c r="J6" s="54" t="str">
        <f>IF(H6=F6,"PASS","FAIL")</f>
        <v>PASS</v>
      </c>
    </row>
    <row r="7" spans="1:19" x14ac:dyDescent="0.5">
      <c r="B7" s="47"/>
      <c r="D7" s="51"/>
      <c r="E7" s="51"/>
      <c r="F7" s="52"/>
      <c r="H7" s="53"/>
      <c r="J7" s="54"/>
    </row>
    <row r="8" spans="1:19" x14ac:dyDescent="0.5">
      <c r="A8" s="46">
        <v>2</v>
      </c>
      <c r="B8" s="47" t="s">
        <v>3467</v>
      </c>
      <c r="D8" s="51">
        <v>3</v>
      </c>
      <c r="E8" s="51">
        <v>4</v>
      </c>
      <c r="F8" s="52" t="s">
        <v>3057</v>
      </c>
      <c r="G8">
        <v>1</v>
      </c>
      <c r="H8" s="53" t="str" cm="1">
        <f t="array" ref="H8">rc_to_ad(D8,E8,G8)</f>
        <v>D3</v>
      </c>
      <c r="J8" s="54" t="str">
        <f>IF(H8=F8,"PASS","FAIL")</f>
        <v>PASS</v>
      </c>
    </row>
    <row r="9" spans="1:19" x14ac:dyDescent="0.5">
      <c r="B9" s="47"/>
      <c r="D9" s="51"/>
      <c r="E9" s="51"/>
      <c r="F9" s="52"/>
      <c r="H9" s="53"/>
      <c r="J9" s="54"/>
    </row>
    <row r="10" spans="1:19" x14ac:dyDescent="0.5">
      <c r="A10" s="46">
        <v>3</v>
      </c>
      <c r="B10" s="47" t="s">
        <v>3468</v>
      </c>
      <c r="D10" s="51">
        <v>0</v>
      </c>
      <c r="E10" s="51">
        <v>4</v>
      </c>
      <c r="F10" s="52">
        <v>3</v>
      </c>
      <c r="H10" s="53" cm="1">
        <f t="array" ref="H10">ERROR.TYPE(rc_to_ad(D10,E10))</f>
        <v>3</v>
      </c>
      <c r="J10" s="54" t="str">
        <f>IF(H10=F10,"PASS","FAIL")</f>
        <v>PASS</v>
      </c>
    </row>
    <row r="11" spans="1:19" x14ac:dyDescent="0.5">
      <c r="B11" s="47"/>
      <c r="D11" s="51"/>
      <c r="E11" s="51"/>
      <c r="F11" s="52"/>
      <c r="H11" s="53"/>
      <c r="J11" s="54"/>
    </row>
    <row r="12" spans="1:19" x14ac:dyDescent="0.5">
      <c r="A12" s="46">
        <v>4</v>
      </c>
      <c r="B12" s="47" t="s">
        <v>3469</v>
      </c>
      <c r="D12" s="51">
        <v>3</v>
      </c>
      <c r="E12" s="51">
        <v>16385</v>
      </c>
      <c r="F12" s="52">
        <v>3</v>
      </c>
      <c r="H12" s="53" cm="1">
        <f t="array" ref="H12">ERROR.TYPE(rc_to_ad(D12,E12))</f>
        <v>3</v>
      </c>
      <c r="J12" s="54" t="str">
        <f>IF(H12=F12,"PASS","FAIL")</f>
        <v>PASS</v>
      </c>
    </row>
    <row r="13" spans="1:19" x14ac:dyDescent="0.5">
      <c r="B13" s="47"/>
      <c r="D13" s="51"/>
      <c r="E13" s="51"/>
      <c r="F13" s="52"/>
      <c r="H13" s="53"/>
      <c r="J13" s="54"/>
    </row>
    <row r="14" spans="1:19" x14ac:dyDescent="0.5">
      <c r="A14" s="46">
        <v>5</v>
      </c>
      <c r="B14" s="47" t="s">
        <v>3470</v>
      </c>
      <c r="D14" s="51">
        <v>3.5</v>
      </c>
      <c r="E14" s="51">
        <v>4</v>
      </c>
      <c r="F14" s="52">
        <v>3</v>
      </c>
      <c r="H14" s="53" cm="1">
        <f t="array" ref="H14">ERROR.TYPE(rc_to_ad(D14,E14))</f>
        <v>3</v>
      </c>
      <c r="J14" s="54" t="str">
        <f>IF(H14=F14,"PASS","FAIL")</f>
        <v>PASS</v>
      </c>
    </row>
    <row r="15" spans="1:19" x14ac:dyDescent="0.5">
      <c r="B15" s="47"/>
      <c r="D15" s="51"/>
      <c r="E15" s="51"/>
      <c r="F15" s="52"/>
      <c r="H15" s="53"/>
      <c r="J15" s="54"/>
    </row>
    <row r="16" spans="1:19" x14ac:dyDescent="0.5">
      <c r="A16" s="46">
        <v>6</v>
      </c>
      <c r="B16" s="47" t="s">
        <v>3471</v>
      </c>
      <c r="D16" s="51">
        <v>1048576</v>
      </c>
      <c r="E16" s="51">
        <v>16384</v>
      </c>
      <c r="F16" s="52" t="s">
        <v>3465</v>
      </c>
      <c r="G16">
        <v>1</v>
      </c>
      <c r="H16" s="53" t="str" cm="1">
        <f t="array" ref="H16">rc_to_ad(D16,E16,G16)</f>
        <v>XFD1048576</v>
      </c>
      <c r="J16" s="54" t="str">
        <f>IF(H16=F16,"PASS","FAIL")</f>
        <v>PASS</v>
      </c>
    </row>
    <row r="17" spans="1:10" x14ac:dyDescent="0.5">
      <c r="A17" s="55"/>
      <c r="B17" s="47"/>
      <c r="D17" s="51"/>
      <c r="E17" s="51"/>
      <c r="F17" s="52"/>
      <c r="H17" s="53"/>
      <c r="J17" s="54"/>
    </row>
    <row r="18" spans="1:10" x14ac:dyDescent="0.5">
      <c r="A18">
        <v>7</v>
      </c>
      <c r="B18" s="47" t="s">
        <v>3472</v>
      </c>
      <c r="D18" s="51">
        <v>3</v>
      </c>
      <c r="E18" s="51">
        <v>4</v>
      </c>
      <c r="F18" s="52">
        <v>3000004</v>
      </c>
      <c r="H18" s="53" cm="1">
        <f t="array" ref="H18">rc_to_ad(INDEX(ad_to_rc(rc_to_ad(D18,E18)),1),INDEX(ad_to_rc(rc_to_ad(D18,E18)),2))</f>
        <v>3000004</v>
      </c>
      <c r="J18" s="54" t="str">
        <f>IF(H18=F18,"PASS","FAIL")</f>
        <v>PASS</v>
      </c>
    </row>
    <row r="19" spans="1:10" x14ac:dyDescent="0.5">
      <c r="B19" s="47"/>
      <c r="D19" s="51"/>
      <c r="E19" s="51"/>
      <c r="F19" s="52"/>
      <c r="H19" s="53"/>
      <c r="J19" s="54"/>
    </row>
  </sheetData>
  <mergeCells count="3">
    <mergeCell ref="B1:F1"/>
    <mergeCell ref="I1:R1"/>
    <mergeCell ref="B2:R2"/>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1A2BF-6263-4CDE-8A29-39C24ED55026}">
  <sheetPr codeName="Sheet77"/>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rev(arr)</v>
      </c>
      <c r="C1" s="79"/>
      <c r="D1" s="79"/>
      <c r="E1" s="79"/>
      <c r="F1" s="80"/>
      <c r="H1" s="45" t="s">
        <v>2</v>
      </c>
      <c r="I1" s="78" t="str" cm="1">
        <f t="array" aca="1" ref="I1" ca="1">_xlfn.LET(_xlpm.fn, CELL("filename",$A$1), _xlpm.nm, MID(_xlpm.fn, FIND("]", _xlpm.fn) + 1, 255), _xlfn.XLOOKUP(_xlpm.nm &amp; "(*", Lamb!$A$2:$A$1000, Lamb!$D$2:$D$1000, "", 2))</f>
        <v>Reverses the order of an array.
Arguments:
  arr - the array to reverse.
Returns:
  The cleaned, fully reversed array (equivalent to xtocol(arr, 0, , "←↑")).
Example:
  rev({1;2;3})  -&gt;  {3;2;1}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xtocol(arr, 0, , arrow("L") &amp; arrow("U")))</v>
      </c>
      <c r="C2" s="82"/>
      <c r="D2" s="82"/>
      <c r="E2" s="82"/>
      <c r="F2" s="82"/>
      <c r="G2" s="82"/>
      <c r="H2" s="82"/>
      <c r="I2" s="82"/>
      <c r="J2" s="82"/>
      <c r="K2" s="82"/>
      <c r="L2" s="82"/>
      <c r="M2" s="82"/>
      <c r="N2" s="82"/>
      <c r="O2" s="82"/>
      <c r="P2" s="82"/>
      <c r="Q2" s="82"/>
      <c r="R2" s="82"/>
    </row>
    <row r="4" spans="1:19" x14ac:dyDescent="0.5">
      <c r="A4" s="45" t="s">
        <v>3107</v>
      </c>
      <c r="J4" s="45" t="str">
        <f>COUNTIF(J6:J18,"PASS")&amp;" / 3 PASS"</f>
        <v>3 / 3 PASS</v>
      </c>
    </row>
    <row r="5" spans="1:19" x14ac:dyDescent="0.5">
      <c r="A5" s="45" t="s">
        <v>7</v>
      </c>
      <c r="B5" s="45" t="s">
        <v>8</v>
      </c>
      <c r="D5" s="45" t="s">
        <v>9</v>
      </c>
      <c r="F5" s="48" t="s">
        <v>10</v>
      </c>
      <c r="H5" s="49" t="s">
        <v>11</v>
      </c>
      <c r="J5" s="50" t="s">
        <v>12</v>
      </c>
    </row>
    <row r="6" spans="1:19" x14ac:dyDescent="0.5">
      <c r="A6" s="46">
        <v>1</v>
      </c>
      <c r="B6" s="47" t="s">
        <v>2972</v>
      </c>
      <c r="D6" s="51">
        <v>1</v>
      </c>
      <c r="F6" s="52">
        <v>3</v>
      </c>
      <c r="H6" s="53" cm="1">
        <f t="array" ref="H6:H8">rev(D6:D8)</f>
        <v>3</v>
      </c>
      <c r="J6" s="54" t="str" cm="1">
        <f t="array" ref="J6">IF(AND(F6:F8=H6:H8),"PASS","FAIL")</f>
        <v>PASS</v>
      </c>
    </row>
    <row r="7" spans="1:19" x14ac:dyDescent="0.5">
      <c r="A7" s="55"/>
      <c r="B7" s="55"/>
      <c r="D7" s="51">
        <v>2</v>
      </c>
      <c r="F7" s="52">
        <v>2</v>
      </c>
      <c r="H7" s="53">
        <v>2</v>
      </c>
    </row>
    <row r="8" spans="1:19" x14ac:dyDescent="0.5">
      <c r="A8" s="55"/>
      <c r="B8" s="55"/>
      <c r="D8" s="51">
        <v>3</v>
      </c>
      <c r="F8" s="52">
        <v>1</v>
      </c>
      <c r="H8" s="53">
        <v>1</v>
      </c>
    </row>
    <row r="10" spans="1:19" x14ac:dyDescent="0.5">
      <c r="A10" s="46">
        <v>2</v>
      </c>
      <c r="B10" s="47" t="s">
        <v>3108</v>
      </c>
      <c r="D10" s="51" t="s">
        <v>2937</v>
      </c>
      <c r="F10" s="52" t="s">
        <v>2946</v>
      </c>
      <c r="H10" s="53" t="str" cm="1">
        <f t="array" ref="H10:H12">rev(D10:D12)</f>
        <v>c</v>
      </c>
      <c r="J10" s="54" t="str" cm="1">
        <f t="array" ref="J10">IF(AND(F10:F12=H10:H12),"PASS","FAIL")</f>
        <v>PASS</v>
      </c>
    </row>
    <row r="11" spans="1:19" x14ac:dyDescent="0.5">
      <c r="A11" s="55"/>
      <c r="B11" s="55"/>
      <c r="D11" s="51" t="s">
        <v>2938</v>
      </c>
      <c r="F11" s="52" t="s">
        <v>2938</v>
      </c>
      <c r="H11" s="53" t="str">
        <v>b</v>
      </c>
    </row>
    <row r="12" spans="1:19" x14ac:dyDescent="0.5">
      <c r="A12" s="55"/>
      <c r="B12" s="55"/>
      <c r="D12" s="51" t="s">
        <v>2946</v>
      </c>
      <c r="F12" s="52" t="s">
        <v>2937</v>
      </c>
      <c r="H12" s="53" t="str">
        <v>a</v>
      </c>
    </row>
    <row r="14" spans="1:19" x14ac:dyDescent="0.5">
      <c r="A14" s="46">
        <v>3</v>
      </c>
      <c r="B14" s="47" t="s">
        <v>3109</v>
      </c>
      <c r="D14" s="51">
        <v>1</v>
      </c>
      <c r="F14" s="52">
        <v>3</v>
      </c>
      <c r="H14" s="53" cm="1">
        <f t="array" ref="H14:H15">rev(D14:D16)</f>
        <v>3</v>
      </c>
      <c r="J14" s="54" t="str" cm="1">
        <f t="array" ref="J14">IF(AND(F14:F15=H14:H15),"PASS","FAIL")</f>
        <v>PASS</v>
      </c>
    </row>
    <row r="15" spans="1:19" x14ac:dyDescent="0.5">
      <c r="A15" s="55"/>
      <c r="B15" s="55"/>
      <c r="D15" s="51"/>
      <c r="F15" s="52">
        <v>1</v>
      </c>
      <c r="H15" s="53">
        <v>1</v>
      </c>
    </row>
    <row r="16" spans="1:19" x14ac:dyDescent="0.5">
      <c r="A16" s="55"/>
      <c r="B16" s="55"/>
      <c r="D16" s="51">
        <v>3</v>
      </c>
    </row>
  </sheetData>
  <mergeCells count="3">
    <mergeCell ref="I1:R1"/>
    <mergeCell ref="B2:R2"/>
    <mergeCell ref="B1:F1"/>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C5C90-9BF5-4A26-B947-72932C260F1E}">
  <sheetPr codeName="Sheet78"/>
  <dimension ref="A1:S2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rotate_arrow(arrow, steps, [clockwise], [as_num])</v>
      </c>
      <c r="C1" s="79"/>
      <c r="D1" s="79"/>
      <c r="E1" s="79"/>
      <c r="F1" s="80"/>
      <c r="H1" s="45" t="s">
        <v>2</v>
      </c>
      <c r="I1" s="78" t="str" cm="1">
        <f t="array" aca="1" ref="I1" ca="1">_xlfn.LET(_xlpm.fn, CELL("filename",$A$1), _xlpm.nm, MID(_xlpm.fn, FIND("]", _xlpm.fn) + 1, 255), _xlfn.XLOOKUP(_xlpm.nm &amp; "(*", Lamb!$A$2:$A$1000, Lamb!$D$2:$D$1000, "", 2))</f>
        <v>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v>
      </c>
      <c r="C2" s="82"/>
      <c r="D2" s="82"/>
      <c r="E2" s="82"/>
      <c r="F2" s="82"/>
      <c r="G2" s="82"/>
      <c r="H2" s="82"/>
      <c r="I2" s="82"/>
      <c r="J2" s="82"/>
      <c r="K2" s="82"/>
      <c r="L2" s="82"/>
      <c r="M2" s="82"/>
      <c r="N2" s="82"/>
      <c r="O2" s="82"/>
      <c r="P2" s="82"/>
      <c r="Q2" s="82"/>
      <c r="R2" s="82"/>
    </row>
    <row r="4" spans="1:19" x14ac:dyDescent="0.5">
      <c r="A4" s="45" t="s">
        <v>3110</v>
      </c>
      <c r="N4" s="45" t="str">
        <f>COUNTIF(N6:N60,"PASS")&amp;" / 10 PASS"</f>
        <v>10 / 10 PASS</v>
      </c>
    </row>
    <row r="5" spans="1:19" x14ac:dyDescent="0.5">
      <c r="A5" s="45" t="s">
        <v>7</v>
      </c>
      <c r="B5" s="45" t="s">
        <v>8</v>
      </c>
      <c r="D5" s="45" t="s">
        <v>9</v>
      </c>
      <c r="J5" s="48" t="s">
        <v>10</v>
      </c>
      <c r="L5" s="49" t="s">
        <v>11</v>
      </c>
      <c r="N5" s="50" t="s">
        <v>12</v>
      </c>
    </row>
    <row r="6" spans="1:19" x14ac:dyDescent="0.5">
      <c r="A6" s="46">
        <v>1</v>
      </c>
      <c r="B6" s="47" t="s">
        <v>3111</v>
      </c>
      <c r="D6" s="51" t="s">
        <v>192</v>
      </c>
      <c r="F6" s="51">
        <v>1</v>
      </c>
      <c r="J6" s="52" t="s">
        <v>374</v>
      </c>
      <c r="L6" s="53" t="str" cm="1">
        <f t="array" ref="L6">rotate_arrow(D6,F6)</f>
        <v>↘</v>
      </c>
      <c r="N6" s="54" t="str">
        <f>IF(L6=J6,"PASS","FAIL")</f>
        <v>PASS</v>
      </c>
    </row>
    <row r="8" spans="1:19" x14ac:dyDescent="0.5">
      <c r="A8" s="46">
        <v>2</v>
      </c>
      <c r="B8" s="47" t="s">
        <v>3112</v>
      </c>
      <c r="D8" s="51" t="s">
        <v>160</v>
      </c>
      <c r="F8" s="51">
        <v>2</v>
      </c>
      <c r="J8" s="52" t="s">
        <v>192</v>
      </c>
      <c r="L8" s="53" t="str" cm="1">
        <f t="array" ref="L8">rotate_arrow(D8,F8)</f>
        <v>→</v>
      </c>
      <c r="N8" s="54" t="str">
        <f>IF(L8=J8,"PASS","FAIL")</f>
        <v>PASS</v>
      </c>
    </row>
    <row r="10" spans="1:19" x14ac:dyDescent="0.5">
      <c r="A10" s="46">
        <v>3</v>
      </c>
      <c r="B10" s="47" t="s">
        <v>3113</v>
      </c>
      <c r="D10" s="51" t="s">
        <v>160</v>
      </c>
      <c r="F10" s="51">
        <v>1</v>
      </c>
      <c r="H10" s="51" t="s">
        <v>3114</v>
      </c>
      <c r="J10" s="52" t="s">
        <v>522</v>
      </c>
      <c r="L10" s="53" t="str" cm="1">
        <f t="array" ref="L10">rotate_arrow(D10,F10,H10)</f>
        <v>↖</v>
      </c>
      <c r="N10" s="54" t="str">
        <f>IF(L10=J10,"PASS","FAIL")</f>
        <v>PASS</v>
      </c>
    </row>
    <row r="12" spans="1:19" x14ac:dyDescent="0.5">
      <c r="A12" s="46">
        <v>4</v>
      </c>
      <c r="B12" s="47" t="s">
        <v>3115</v>
      </c>
      <c r="D12" s="51" t="s">
        <v>160</v>
      </c>
      <c r="F12" s="51">
        <v>4</v>
      </c>
      <c r="J12" s="52" t="s">
        <v>181</v>
      </c>
      <c r="L12" s="53" t="str" cm="1">
        <f t="array" ref="L12">rotate_arrow(D12,F12)</f>
        <v>↓</v>
      </c>
      <c r="N12" s="54" t="str">
        <f>IF(L12=J12,"PASS","FAIL")</f>
        <v>PASS</v>
      </c>
    </row>
    <row r="14" spans="1:19" x14ac:dyDescent="0.5">
      <c r="A14" s="46">
        <v>5</v>
      </c>
      <c r="B14" s="47" t="s">
        <v>3116</v>
      </c>
      <c r="D14" s="51" t="s">
        <v>192</v>
      </c>
      <c r="F14" s="51">
        <v>1</v>
      </c>
      <c r="H14" s="51" t="s">
        <v>3114</v>
      </c>
      <c r="J14" s="52" t="s">
        <v>254</v>
      </c>
      <c r="L14" s="53" t="str" cm="1">
        <f t="array" ref="L14">rotate_arrow(D14,F14,H14)</f>
        <v>↗</v>
      </c>
      <c r="N14" s="54" t="str">
        <f>IF(L14=J14,"PASS","FAIL")</f>
        <v>PASS</v>
      </c>
    </row>
    <row r="16" spans="1:19" x14ac:dyDescent="0.5">
      <c r="A16" s="46">
        <v>6</v>
      </c>
      <c r="B16" s="47" t="s">
        <v>3285</v>
      </c>
      <c r="D16" s="51" t="s">
        <v>2633</v>
      </c>
      <c r="F16" s="51">
        <v>1</v>
      </c>
      <c r="J16" s="52" t="str">
        <f>""</f>
        <v/>
      </c>
      <c r="L16" s="53" t="str" cm="1">
        <f t="array" ref="L16">rotate_arrow(D16,F16)</f>
        <v/>
      </c>
      <c r="N16" s="54" t="str">
        <f>IF(L16=J16,"PASS","FAIL")</f>
        <v>PASS</v>
      </c>
    </row>
    <row r="18" spans="1:14" x14ac:dyDescent="0.5">
      <c r="A18" s="46">
        <v>7</v>
      </c>
      <c r="B18" s="47" t="s">
        <v>3609</v>
      </c>
      <c r="D18" s="51">
        <v>1</v>
      </c>
      <c r="F18" s="51">
        <v>2</v>
      </c>
      <c r="J18" s="52" t="s">
        <v>181</v>
      </c>
      <c r="L18" s="53" t="str" cm="1">
        <f t="array" ref="L18">rotate_arrow(D18,F18)</f>
        <v>↓</v>
      </c>
      <c r="N18" s="54" t="str">
        <f>IF(L18=J18,"PASS","FAIL")</f>
        <v>PASS</v>
      </c>
    </row>
    <row r="20" spans="1:14" x14ac:dyDescent="0.5">
      <c r="A20" s="46">
        <v>8</v>
      </c>
      <c r="B20" s="47" t="s">
        <v>3610</v>
      </c>
      <c r="D20" s="51" t="s">
        <v>192</v>
      </c>
      <c r="F20" s="51">
        <v>1</v>
      </c>
      <c r="J20" s="52">
        <v>1000001</v>
      </c>
      <c r="L20" s="53" cm="1">
        <f t="array" ref="L20">rotate_arrow(D20,F20,1,1)</f>
        <v>1000001</v>
      </c>
      <c r="N20" s="54" t="str">
        <f>IF(L20=J20,"PASS","FAIL")</f>
        <v>PASS</v>
      </c>
    </row>
    <row r="22" spans="1:14" x14ac:dyDescent="0.5">
      <c r="A22" s="46">
        <v>9</v>
      </c>
      <c r="B22" s="47" t="s">
        <v>3611</v>
      </c>
      <c r="D22" s="51" t="s">
        <v>192</v>
      </c>
      <c r="F22" s="51">
        <v>1</v>
      </c>
      <c r="H22" s="51">
        <v>0</v>
      </c>
      <c r="J22" s="52" t="s">
        <v>254</v>
      </c>
      <c r="L22" s="53" t="str" cm="1">
        <f t="array" ref="L22">rotate_arrow(D22,F22,H22)</f>
        <v>↗</v>
      </c>
      <c r="N22" s="54" t="str">
        <f>IF(L22=J22,"PASS","FAIL")</f>
        <v>PASS</v>
      </c>
    </row>
    <row r="24" spans="1:14" x14ac:dyDescent="0.5">
      <c r="A24" s="46">
        <v>10</v>
      </c>
      <c r="B24" s="47" t="s">
        <v>3612</v>
      </c>
      <c r="D24" s="51" t="s">
        <v>191</v>
      </c>
      <c r="F24" s="51">
        <v>1</v>
      </c>
      <c r="J24" s="52" t="s">
        <v>374</v>
      </c>
      <c r="L24" s="53" t="str" cm="1">
        <f t="array" ref="L24">rotate_arrow(D24,F24)</f>
        <v>↘</v>
      </c>
      <c r="N24" s="54" t="str">
        <f>IF(L24=J24,"PASS","FAIL")</f>
        <v>PASS</v>
      </c>
    </row>
  </sheetData>
  <mergeCells count="3">
    <mergeCell ref="I1:R1"/>
    <mergeCell ref="B2:R2"/>
    <mergeCell ref="B1:F1"/>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63AF6-2BE9-4C17-B62B-69698C87D9A3}">
  <sheetPr codeName="Sheet79"/>
  <dimension ref="A1:S23"/>
  <sheetViews>
    <sheetView workbookViewId="0">
      <selection activeCell="B2" sqref="B2:R2"/>
    </sheetView>
  </sheetViews>
  <sheetFormatPr defaultRowHeight="21" x14ac:dyDescent="0.5"/>
  <cols>
    <col min="1" max="1" width="4" customWidth="1"/>
    <col min="2" max="2" width="26" customWidth="1"/>
    <col min="4" max="5" width="5" customWidth="1"/>
    <col min="9" max="10" width="6" customWidth="1"/>
    <col min="12" max="13" width="6" customWidth="1"/>
    <col min="15" max="15" width="9" customWidth="1"/>
  </cols>
  <sheetData>
    <row r="1" spans="1:19" ht="231" customHeight="1" x14ac:dyDescent="0.5">
      <c r="A1" s="45" t="s">
        <v>0</v>
      </c>
      <c r="B1" s="83" t="str" cm="1">
        <f t="array" aca="1" ref="B1" ca="1">_xlfn.LET(_xlpm.fn, CELL("filename",$A$1), _xlpm.nm, MID(_xlpm.fn, FIND("]", _xlpm.fn) + 1, 255), _xlfn.XLOOKUP(_xlpm.nm &amp; "(*", Lamb!$A$2:$A$1000, Lamb!$A$2:$A$1000, "", 2))</f>
        <v>route_cost(cost_map, start_ref, [diag_allowed])</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v>
      </c>
      <c r="C2" s="82"/>
      <c r="D2" s="82"/>
      <c r="E2" s="82"/>
      <c r="F2" s="82"/>
      <c r="G2" s="82"/>
      <c r="H2" s="82"/>
      <c r="I2" s="82"/>
      <c r="J2" s="82"/>
      <c r="K2" s="82"/>
      <c r="L2" s="82"/>
      <c r="M2" s="82"/>
      <c r="N2" s="82"/>
      <c r="O2" s="82"/>
      <c r="P2" s="82"/>
      <c r="Q2" s="82"/>
      <c r="R2" s="82"/>
    </row>
    <row r="4" spans="1:19" x14ac:dyDescent="0.5">
      <c r="A4" s="45" t="s">
        <v>3117</v>
      </c>
      <c r="O4" s="45" t="str">
        <f>COUNTIF(O11:O30,"PASS")&amp;" / 5 PASS"</f>
        <v>5 / 5 PASS</v>
      </c>
    </row>
    <row r="5" spans="1:19" x14ac:dyDescent="0.5">
      <c r="B5" s="45" t="s">
        <v>8</v>
      </c>
      <c r="I5" s="48" t="s">
        <v>10</v>
      </c>
      <c r="L5" s="49" t="s">
        <v>11</v>
      </c>
      <c r="O5" s="50" t="s">
        <v>12</v>
      </c>
    </row>
    <row r="6" spans="1:19" x14ac:dyDescent="0.5">
      <c r="D6" s="45" t="s">
        <v>3118</v>
      </c>
    </row>
    <row r="7" spans="1:19" x14ac:dyDescent="0.5">
      <c r="D7" s="51">
        <v>1</v>
      </c>
      <c r="E7" s="51">
        <v>1</v>
      </c>
    </row>
    <row r="8" spans="1:19" x14ac:dyDescent="0.5">
      <c r="D8" s="51">
        <v>1</v>
      </c>
      <c r="E8" s="51">
        <v>1</v>
      </c>
    </row>
    <row r="11" spans="1:19" x14ac:dyDescent="0.5">
      <c r="B11" s="47" t="s">
        <v>3119</v>
      </c>
      <c r="I11" s="52">
        <v>0</v>
      </c>
      <c r="J11" s="52">
        <v>1</v>
      </c>
      <c r="L11" s="53" cm="1">
        <f t="array" ref="L11:M12">route_cost(D7:E8,{1,1},0)</f>
        <v>0</v>
      </c>
      <c r="M11" s="53">
        <v>1</v>
      </c>
      <c r="O11" s="54" t="str" cm="1">
        <f t="array" ref="O11">IF(AND(I11:J12=L11:M12),"PASS","FAIL")</f>
        <v>PASS</v>
      </c>
    </row>
    <row r="12" spans="1:19" x14ac:dyDescent="0.5">
      <c r="I12" s="52">
        <v>1</v>
      </c>
      <c r="J12" s="52">
        <v>2</v>
      </c>
      <c r="L12" s="53">
        <v>1</v>
      </c>
      <c r="M12" s="53">
        <v>2</v>
      </c>
    </row>
    <row r="14" spans="1:19" x14ac:dyDescent="0.5">
      <c r="B14" s="47" t="s">
        <v>3120</v>
      </c>
      <c r="I14" s="52">
        <v>0</v>
      </c>
      <c r="J14" s="52">
        <v>1</v>
      </c>
      <c r="L14" s="53" cm="1">
        <f t="array" ref="L14:M15">route_cost(D7:E8,"D7",0)</f>
        <v>0</v>
      </c>
      <c r="M14" s="53">
        <v>1</v>
      </c>
      <c r="O14" s="54" t="str" cm="1">
        <f t="array" ref="O14">IF(AND(I14:J15=L14:M15),"PASS","FAIL")</f>
        <v>PASS</v>
      </c>
    </row>
    <row r="15" spans="1:19" x14ac:dyDescent="0.5">
      <c r="I15" s="52">
        <v>1</v>
      </c>
      <c r="J15" s="52">
        <v>2</v>
      </c>
      <c r="L15" s="53">
        <v>1</v>
      </c>
      <c r="M15" s="53">
        <v>2</v>
      </c>
    </row>
    <row r="17" spans="2:15" x14ac:dyDescent="0.5">
      <c r="B17" s="47" t="s">
        <v>3121</v>
      </c>
      <c r="I17" s="52">
        <v>0</v>
      </c>
      <c r="J17" s="52">
        <v>1</v>
      </c>
      <c r="L17" s="53" cm="1">
        <f t="array" ref="L17:M18">route_cost(D7:E8,7000004,0)</f>
        <v>0</v>
      </c>
      <c r="M17" s="53">
        <v>1</v>
      </c>
      <c r="O17" s="54" t="str" cm="1">
        <f t="array" ref="O17">IF(AND(I17:J18=L17:M18),"PASS","FAIL")</f>
        <v>PASS</v>
      </c>
    </row>
    <row r="18" spans="2:15" x14ac:dyDescent="0.5">
      <c r="I18" s="52">
        <v>1</v>
      </c>
      <c r="J18" s="52">
        <v>2</v>
      </c>
      <c r="L18" s="53">
        <v>1</v>
      </c>
      <c r="M18" s="53">
        <v>2</v>
      </c>
    </row>
    <row r="20" spans="2:15" x14ac:dyDescent="0.5">
      <c r="B20" s="47" t="s">
        <v>3122</v>
      </c>
      <c r="I20" s="52">
        <v>0</v>
      </c>
      <c r="J20" s="52">
        <v>1</v>
      </c>
      <c r="L20" s="53" cm="1">
        <f t="array" ref="L20:M21">route_cost(D7:E8,{1,1},1)</f>
        <v>0</v>
      </c>
      <c r="M20" s="53">
        <v>1</v>
      </c>
      <c r="O20" s="54" t="str" cm="1">
        <f t="array" ref="O20">IF(AND(I20:J21=L20:M21),"PASS","FAIL")</f>
        <v>PASS</v>
      </c>
    </row>
    <row r="21" spans="2:15" x14ac:dyDescent="0.5">
      <c r="I21" s="52">
        <v>1</v>
      </c>
      <c r="J21" s="52">
        <v>1</v>
      </c>
      <c r="L21" s="53">
        <v>1</v>
      </c>
      <c r="M21" s="53">
        <v>1</v>
      </c>
    </row>
    <row r="23" spans="2:15" x14ac:dyDescent="0.5">
      <c r="B23" s="47" t="s">
        <v>3286</v>
      </c>
      <c r="I23" s="52" t="s">
        <v>2631</v>
      </c>
      <c r="L23" s="53" t="str" cm="1">
        <f t="array" ref="L23">route_cost(D7:E8,{9,9})</f>
        <v>X</v>
      </c>
      <c r="O23" s="54" t="str">
        <f>IF(L23=I23,"PASS","FAIL")</f>
        <v>PASS</v>
      </c>
    </row>
  </sheetData>
  <mergeCells count="3">
    <mergeCell ref="I1:R1"/>
    <mergeCell ref="B2:R2"/>
    <mergeCell ref="B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E34B7-AC4B-4ED9-8CAB-592318DDCC48}">
  <sheetPr codeName="Sheet80"/>
  <dimension ref="A1:S12"/>
  <sheetViews>
    <sheetView workbookViewId="0"/>
  </sheetViews>
  <sheetFormatPr defaultRowHeight="21" x14ac:dyDescent="0.5"/>
  <cols>
    <col min="1" max="1" width="4" customWidth="1"/>
    <col min="2" max="2" width="30" customWidth="1"/>
    <col min="4" max="5" width="11" customWidth="1"/>
    <col min="6" max="6" width="3" customWidth="1"/>
    <col min="7" max="7" width="11" customWidth="1"/>
    <col min="8" max="8" width="3" customWidth="1"/>
    <col min="9" max="9" width="11" customWidth="1"/>
    <col min="10" max="10" width="3" customWidth="1"/>
    <col min="11" max="11" width="11" customWidth="1"/>
    <col min="12" max="12" width="3" customWidth="1"/>
    <col min="13" max="13" width="11" customWidth="1"/>
    <col min="14" max="14" width="3" customWidth="1"/>
    <col min="15" max="15" width="9" customWidth="1"/>
  </cols>
  <sheetData>
    <row r="1" spans="1:19" ht="252" customHeight="1" x14ac:dyDescent="0.5">
      <c r="A1" s="45" t="s">
        <v>0</v>
      </c>
      <c r="B1" s="83" t="str" cm="1">
        <f t="array" aca="1" ref="B1" ca="1">_xlfn.LET(_xlpm.fn, CELL("filename",$A$1), _xlpm.nm, MID(_xlpm.fn, FIND("]", _xlpm.fn) + 1, 255), _xlfn.XLOOKUP(_xlpm.nm &amp; "(*", Lamb!$A$2:$A$1000, Lamb!$A$2:$A$1000, "", 2))</f>
        <v>save_array(input_array,[col_delimiter],[row_delimiter])</v>
      </c>
      <c r="C1" s="79"/>
      <c r="D1" s="79"/>
      <c r="E1" s="79"/>
      <c r="F1" s="80"/>
      <c r="H1" s="45" t="s">
        <v>2</v>
      </c>
      <c r="I1" s="78" t="str" cm="1">
        <f t="array" aca="1" ref="I1" ca="1">_xlfn.LET(_xlpm.fn, CELL("filename",$A$1), _xlpm.nm, MID(_xlpm.fn, FIND("]", _xlpm.fn) + 1, 255), _xlfn.XLOOKUP(_xlpm.nm &amp; "(*", Lamb!$A$2:$A$1000, Lamb!$D$2:$D$1000, "", 2))</f>
        <v>Serializes a 2D array into a single delimited string (inverse of load_array).
Arguments:
  input_array     - the array to serialize.
  [col_delimiter] - column separator (default "|").
  [row_delimiter] - row separator (default ";").
Returns:
  A text string encoding the array.
Example:
  save_array({1,2;3,4})  -&gt;  "1|2;3|4"</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=LAMBDA(input_array, [col_delimiter], [row_delimiter], LET(
   cd, IF(ISOMITTED(col_delimiter), "|", col_delimiter),
   rd, IF(ISOMITTED(row_delimiter), ";", row_delimiter),
   TEXTJOIN(
      rd,
      FALSE,
      BYROW(input_array, LAMBDA(row, TEXTJOIN(cd, FALSE, row)))
   )
))</v>
      </c>
      <c r="C2" s="82"/>
      <c r="D2" s="82"/>
      <c r="E2" s="82"/>
      <c r="F2" s="82"/>
      <c r="G2" s="82"/>
      <c r="H2" s="82"/>
      <c r="I2" s="82"/>
      <c r="J2" s="82"/>
      <c r="K2" s="82"/>
      <c r="L2" s="82"/>
      <c r="M2" s="82"/>
      <c r="N2" s="82"/>
      <c r="O2" s="82"/>
      <c r="P2" s="82"/>
      <c r="Q2" s="82"/>
      <c r="R2" s="82"/>
    </row>
    <row r="4" spans="1:19" x14ac:dyDescent="0.5">
      <c r="A4" s="45" t="s">
        <v>3123</v>
      </c>
      <c r="O4" s="45" t="str">
        <f>COUNTIF(O6:O14,"PASS")&amp;" / 3 PASS"</f>
        <v>3 / 3 PASS</v>
      </c>
    </row>
    <row r="5" spans="1:19" x14ac:dyDescent="0.5">
      <c r="A5" s="45" t="s">
        <v>7</v>
      </c>
      <c r="B5" s="45" t="s">
        <v>8</v>
      </c>
      <c r="D5" s="45" t="s">
        <v>9</v>
      </c>
      <c r="K5" s="48" t="s">
        <v>10</v>
      </c>
      <c r="M5" s="49" t="s">
        <v>11</v>
      </c>
      <c r="O5" s="50" t="s">
        <v>12</v>
      </c>
    </row>
    <row r="6" spans="1:19" x14ac:dyDescent="0.5">
      <c r="A6" s="46">
        <v>1</v>
      </c>
      <c r="B6" s="47" t="s">
        <v>3124</v>
      </c>
      <c r="D6" s="51">
        <v>1</v>
      </c>
      <c r="E6" s="51">
        <v>2</v>
      </c>
      <c r="K6" s="52" t="s">
        <v>3035</v>
      </c>
      <c r="M6" s="53" t="str" cm="1">
        <f t="array" ref="M6">save_array(D6:E7)</f>
        <v>1|2;3|4</v>
      </c>
      <c r="O6" s="54" t="str">
        <f>IF(M6=K6,"PASS","FAIL")</f>
        <v>PASS</v>
      </c>
    </row>
    <row r="7" spans="1:19" x14ac:dyDescent="0.5">
      <c r="A7" s="55"/>
      <c r="B7" s="55"/>
      <c r="D7" s="51">
        <v>3</v>
      </c>
      <c r="E7" s="51">
        <v>4</v>
      </c>
    </row>
    <row r="9" spans="1:19" x14ac:dyDescent="0.5">
      <c r="A9" s="46">
        <v>2</v>
      </c>
      <c r="B9" s="47" t="s">
        <v>3125</v>
      </c>
      <c r="D9" s="51" t="s">
        <v>2937</v>
      </c>
      <c r="E9" s="51" t="s">
        <v>2938</v>
      </c>
      <c r="K9" s="52" t="s">
        <v>3126</v>
      </c>
      <c r="M9" s="53" t="str" cm="1">
        <f t="array" ref="M9">save_array(D9:E9)</f>
        <v>a|b</v>
      </c>
      <c r="O9" s="54" t="str">
        <f>IF(M9=K9,"PASS","FAIL")</f>
        <v>PASS</v>
      </c>
    </row>
    <row r="11" spans="1:19" x14ac:dyDescent="0.5">
      <c r="A11" s="46">
        <v>3</v>
      </c>
      <c r="B11" s="47" t="s">
        <v>3037</v>
      </c>
      <c r="D11" s="51">
        <v>1</v>
      </c>
      <c r="E11" s="51">
        <v>2</v>
      </c>
      <c r="G11" s="51" t="s">
        <v>3039</v>
      </c>
      <c r="I11" s="51" t="s">
        <v>3040</v>
      </c>
      <c r="K11" s="52" t="s">
        <v>3038</v>
      </c>
      <c r="M11" s="53" t="str" cm="1">
        <f t="array" ref="M11">save_array(D11:E12,G11,I11)</f>
        <v>1,2/3,4</v>
      </c>
      <c r="O11" s="54" t="str">
        <f>IF(M11=K11,"PASS","FAIL")</f>
        <v>PASS</v>
      </c>
    </row>
    <row r="12" spans="1:19" x14ac:dyDescent="0.5">
      <c r="A12" s="55"/>
      <c r="B12" s="55"/>
      <c r="D12" s="51">
        <v>3</v>
      </c>
      <c r="E12" s="51">
        <v>4</v>
      </c>
    </row>
  </sheetData>
  <mergeCells count="3">
    <mergeCell ref="I1:R1"/>
    <mergeCell ref="B2:R2"/>
    <mergeCell ref="B1:F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7ABB8-CFAC-4AF0-9267-0B212C8ABFA8}">
  <sheetPr codeName="Sheet133"/>
  <dimension ref="A1:S19"/>
  <sheetViews>
    <sheetView topLeftCell="A2" zoomScale="85" zoomScaleNormal="85" workbookViewId="0">
      <selection activeCell="M16" sqref="M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scan2(start_a, start_b, arr, lambda_a, lambda_b)</v>
      </c>
      <c r="C1" s="79"/>
      <c r="D1" s="79"/>
      <c r="E1" s="79"/>
      <c r="F1" s="80"/>
      <c r="H1" s="45" t="s">
        <v>2</v>
      </c>
      <c r="I1" s="78" t="str" cm="1">
        <f t="array" aca="1" ref="I1" ca="1">_xlfn.LET(_xlpm.fn, CELL("filename",$A$1), _xlpm.nm, MID(_xlpm.fn, FIND("]", _xlpm.fn) + 1, 255), _xlfn.XLOOKUP(_xlpm.nm &amp; "(*", Lamb!$A$2:$A$1000, Lamb!$D$2:$D$1000, "", 2))</f>
        <v>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arr, lambda_a, lambda_b, LET(
   vec, TOCOL(arr),
   seeded, REDUCE(HSTACK(start_a, start_b), vec, LAMBDA(acc, item, LET(
      cur_a, INDEX(acc, ROWS(acc), 1),
      cur_b, INDEX(acc, ROWS(acc), 2),
      VSTACK(acc, HSTACK(lambda_a(cur_a, cur_b, item), lambda_b(cur_a, cur_b, item)))
   ))),
   DROP(seeded, 1)
))</v>
      </c>
      <c r="C2" s="82"/>
      <c r="D2" s="82"/>
      <c r="E2" s="82"/>
      <c r="F2" s="82"/>
      <c r="G2" s="82"/>
      <c r="H2" s="82"/>
      <c r="I2" s="82"/>
      <c r="J2" s="82"/>
      <c r="K2" s="82"/>
      <c r="L2" s="82"/>
      <c r="M2" s="82"/>
      <c r="N2" s="82"/>
      <c r="O2" s="82"/>
      <c r="P2" s="82"/>
      <c r="Q2" s="82"/>
      <c r="R2" s="82"/>
    </row>
    <row r="4" spans="1:19" x14ac:dyDescent="0.5">
      <c r="A4" s="45" t="s">
        <v>3590</v>
      </c>
      <c r="P4" s="45" t="str">
        <f>COUNTIF(P6:P40,"PASS")&amp;" / 3 PASS"</f>
        <v>3 / 3 PASS</v>
      </c>
    </row>
    <row r="5" spans="1:19" x14ac:dyDescent="0.5">
      <c r="A5" s="45" t="s">
        <v>7</v>
      </c>
      <c r="B5" s="45" t="s">
        <v>8</v>
      </c>
      <c r="D5" s="45" t="s">
        <v>9</v>
      </c>
      <c r="J5" s="48" t="s">
        <v>3591</v>
      </c>
      <c r="K5" s="48"/>
      <c r="M5" s="49" t="s">
        <v>11</v>
      </c>
      <c r="N5" s="49"/>
      <c r="P5" s="50" t="s">
        <v>12</v>
      </c>
    </row>
    <row r="6" spans="1:19" ht="32" x14ac:dyDescent="0.5">
      <c r="A6" s="46">
        <v>1</v>
      </c>
      <c r="B6" s="47" t="s">
        <v>3592</v>
      </c>
      <c r="D6" s="51">
        <v>3</v>
      </c>
      <c r="J6" s="52">
        <v>3</v>
      </c>
      <c r="K6" s="52">
        <v>3</v>
      </c>
      <c r="M6" s="53" cm="1">
        <f t="array" ref="M6:N10">scan2(0,0,D6:D10,_xlfn.LAMBDA(_xlpm.a,_xlpm.b,_xlpm.x,_xlpm.a+_xlpm.x),_xlfn.LAMBDA(_xlpm.a,_xlpm.b,_xlpm.x,MAX(_xlpm.b,_xlpm.x)))</f>
        <v>3</v>
      </c>
      <c r="N6" s="53">
        <v>3</v>
      </c>
      <c r="P6" s="54" t="str" cm="1">
        <f t="array" ref="P6">IF(AND(J6:K10=M6:N10),"PASS","FAIL")</f>
        <v>PASS</v>
      </c>
    </row>
    <row r="7" spans="1:19" x14ac:dyDescent="0.5">
      <c r="A7" s="55"/>
      <c r="B7" s="55"/>
      <c r="D7" s="51">
        <v>1</v>
      </c>
      <c r="J7" s="52">
        <v>4</v>
      </c>
      <c r="K7" s="52">
        <v>3</v>
      </c>
      <c r="M7" s="53">
        <v>4</v>
      </c>
      <c r="N7" s="53">
        <v>3</v>
      </c>
    </row>
    <row r="8" spans="1:19" x14ac:dyDescent="0.5">
      <c r="A8" s="55"/>
      <c r="B8" s="55"/>
      <c r="D8" s="51">
        <v>4</v>
      </c>
      <c r="J8" s="52">
        <v>8</v>
      </c>
      <c r="K8" s="52">
        <v>4</v>
      </c>
      <c r="M8" s="53">
        <v>8</v>
      </c>
      <c r="N8" s="53">
        <v>4</v>
      </c>
    </row>
    <row r="9" spans="1:19" x14ac:dyDescent="0.5">
      <c r="A9" s="55"/>
      <c r="B9" s="55"/>
      <c r="D9" s="51">
        <v>1</v>
      </c>
      <c r="J9" s="52">
        <v>9</v>
      </c>
      <c r="K9" s="52">
        <v>4</v>
      </c>
      <c r="M9" s="53">
        <v>9</v>
      </c>
      <c r="N9" s="53">
        <v>4</v>
      </c>
    </row>
    <row r="10" spans="1:19" x14ac:dyDescent="0.5">
      <c r="A10" s="55"/>
      <c r="B10" s="55"/>
      <c r="D10" s="51">
        <v>5</v>
      </c>
      <c r="J10" s="52">
        <v>14</v>
      </c>
      <c r="K10" s="52">
        <v>5</v>
      </c>
      <c r="M10" s="53">
        <v>14</v>
      </c>
      <c r="N10" s="53">
        <v>5</v>
      </c>
    </row>
    <row r="12" spans="1:19" ht="32" x14ac:dyDescent="0.5">
      <c r="A12" s="46">
        <v>2</v>
      </c>
      <c r="B12" s="47" t="s">
        <v>3593</v>
      </c>
      <c r="D12" s="51">
        <v>10</v>
      </c>
      <c r="J12" s="52">
        <v>10</v>
      </c>
      <c r="K12" s="52">
        <v>1</v>
      </c>
      <c r="M12" s="53" cm="1">
        <f t="array" ref="M12:N14">scan2(0,0,D12:D14,_xlfn.LAMBDA(_xlpm.a,_xlpm.b,_xlpm.x,_xlpm.a+_xlpm.x),_xlfn.LAMBDA(_xlpm.a,_xlpm.b,_xlpm.x,_xlpm.b+1))</f>
        <v>10</v>
      </c>
      <c r="N12" s="53">
        <v>1</v>
      </c>
      <c r="P12" s="54" t="str" cm="1">
        <f t="array" ref="P12">IF(AND(J12:K14=M12:N14),"PASS","FAIL")</f>
        <v>PASS</v>
      </c>
    </row>
    <row r="13" spans="1:19" x14ac:dyDescent="0.5">
      <c r="A13" s="55"/>
      <c r="B13" s="55"/>
      <c r="D13" s="51">
        <v>20</v>
      </c>
      <c r="J13" s="52">
        <v>30</v>
      </c>
      <c r="K13" s="52">
        <v>2</v>
      </c>
      <c r="M13" s="53">
        <v>30</v>
      </c>
      <c r="N13" s="53">
        <v>2</v>
      </c>
    </row>
    <row r="14" spans="1:19" x14ac:dyDescent="0.5">
      <c r="A14" s="55"/>
      <c r="B14" s="55"/>
      <c r="D14" s="51">
        <v>30</v>
      </c>
      <c r="J14" s="52">
        <v>60</v>
      </c>
      <c r="K14" s="52">
        <v>3</v>
      </c>
      <c r="M14" s="53">
        <v>60</v>
      </c>
      <c r="N14" s="53">
        <v>3</v>
      </c>
    </row>
    <row r="16" spans="1:19" x14ac:dyDescent="0.5">
      <c r="A16" s="46">
        <v>3</v>
      </c>
      <c r="B16" s="47" t="s">
        <v>3594</v>
      </c>
      <c r="D16" s="51">
        <v>1</v>
      </c>
      <c r="J16" s="52">
        <v>1</v>
      </c>
      <c r="K16" s="52">
        <v>1</v>
      </c>
      <c r="M16" s="53" cm="1">
        <f t="array" ref="M16:N19">scan2(0,1,D16:D19,_xlfn.LAMBDA(_xlpm.a,_xlpm.b,_xlpm.x,_xlpm.b),_xlfn.LAMBDA(_xlpm.a,_xlpm.b,_xlpm.x,_xlpm.a+_xlpm.b))</f>
        <v>1</v>
      </c>
      <c r="N16" s="53">
        <v>1</v>
      </c>
      <c r="P16" s="54" t="str" cm="1">
        <f t="array" ref="P16">IF(AND(J16:K19=M16:N19),"PASS","FAIL")</f>
        <v>PASS</v>
      </c>
    </row>
    <row r="17" spans="1:14" x14ac:dyDescent="0.5">
      <c r="A17" s="55"/>
      <c r="B17" s="55"/>
      <c r="D17" s="51">
        <v>1</v>
      </c>
      <c r="J17" s="52">
        <v>1</v>
      </c>
      <c r="K17" s="52">
        <v>2</v>
      </c>
      <c r="M17" s="53">
        <v>1</v>
      </c>
      <c r="N17" s="53">
        <v>2</v>
      </c>
    </row>
    <row r="18" spans="1:14" x14ac:dyDescent="0.5">
      <c r="A18" s="55"/>
      <c r="B18" s="55"/>
      <c r="D18" s="51">
        <v>1</v>
      </c>
      <c r="J18" s="52">
        <v>2</v>
      </c>
      <c r="K18" s="52">
        <v>3</v>
      </c>
      <c r="M18" s="53">
        <v>2</v>
      </c>
      <c r="N18" s="53">
        <v>3</v>
      </c>
    </row>
    <row r="19" spans="1:14" x14ac:dyDescent="0.5">
      <c r="A19" s="55"/>
      <c r="B19" s="55"/>
      <c r="D19" s="51">
        <v>1</v>
      </c>
      <c r="J19" s="52">
        <v>3</v>
      </c>
      <c r="K19" s="52">
        <v>5</v>
      </c>
      <c r="M19" s="53">
        <v>3</v>
      </c>
      <c r="N19" s="53">
        <v>5</v>
      </c>
    </row>
  </sheetData>
  <mergeCells count="3">
    <mergeCell ref="I1:R1"/>
    <mergeCell ref="B2:R2"/>
    <mergeCell ref="B1:F1"/>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BD39A-28F0-425D-AE47-BBDE41CB355D}">
  <sheetPr codeName="Sheet134"/>
  <dimension ref="A1:S18"/>
  <sheetViews>
    <sheetView topLeftCell="A2" zoomScale="85" zoomScaleNormal="85" workbookViewId="0">
      <selection activeCell="A25" sqref="A25:XFD25"/>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scan3(start_a, start_b, start_c, arr, lambda_a, lambda_b, lambda_c)</v>
      </c>
      <c r="C1" s="79"/>
      <c r="D1" s="79"/>
      <c r="E1" s="79"/>
      <c r="F1" s="80"/>
      <c r="H1" s="45" t="s">
        <v>2</v>
      </c>
      <c r="I1" s="78" t="str" cm="1">
        <f t="array" aca="1" ref="I1" ca="1">_xlfn.LET(_xlpm.fn, CELL("filename",$A$1), _xlpm.nm, MID(_xlpm.fn, FIND("]", _xlpm.fn) + 1, 255), _xlfn.XLOOKUP(_xlpm.nm &amp; "(*", Lamb!$A$2:$A$1000, Lamb!$D$2:$D$1000, "", 2))</f>
        <v>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v>
      </c>
      <c r="C2" s="82"/>
      <c r="D2" s="82"/>
      <c r="E2" s="82"/>
      <c r="F2" s="82"/>
      <c r="G2" s="82"/>
      <c r="H2" s="82"/>
      <c r="I2" s="82"/>
      <c r="J2" s="82"/>
      <c r="K2" s="82"/>
      <c r="L2" s="82"/>
      <c r="M2" s="82"/>
      <c r="N2" s="82"/>
      <c r="O2" s="82"/>
      <c r="P2" s="82"/>
      <c r="Q2" s="82"/>
      <c r="R2" s="82"/>
    </row>
    <row r="4" spans="1:19" x14ac:dyDescent="0.5">
      <c r="A4" s="45" t="s">
        <v>3595</v>
      </c>
      <c r="R4" s="45" t="str">
        <f>COUNTIF(R6:R40,"PASS")&amp;" / 2 PASS"</f>
        <v>2 / 2 PASS</v>
      </c>
    </row>
    <row r="5" spans="1:19" x14ac:dyDescent="0.5">
      <c r="A5" s="45" t="s">
        <v>7</v>
      </c>
      <c r="B5" s="45" t="s">
        <v>8</v>
      </c>
      <c r="D5" s="45" t="s">
        <v>9</v>
      </c>
      <c r="J5" s="48" t="s">
        <v>3596</v>
      </c>
      <c r="K5" s="48"/>
      <c r="L5" s="48"/>
      <c r="N5" s="49" t="s">
        <v>11</v>
      </c>
      <c r="O5" s="49"/>
      <c r="P5" s="49"/>
      <c r="R5" s="50" t="s">
        <v>12</v>
      </c>
    </row>
    <row r="6" spans="1:19" x14ac:dyDescent="0.5">
      <c r="A6" s="46">
        <v>1</v>
      </c>
      <c r="B6" s="47" t="s">
        <v>3597</v>
      </c>
      <c r="D6" s="51">
        <v>2</v>
      </c>
      <c r="J6" s="52">
        <v>2</v>
      </c>
      <c r="K6" s="52">
        <v>2</v>
      </c>
      <c r="L6" s="52">
        <v>1</v>
      </c>
      <c r="N6" s="53" cm="1">
        <f t="array" ref="N6:P8">scan3(0,1,0,D6:D8,_xlfn.LAMBDA(_xlpm.a,_xlpm.b,_xlpm.c,_xlpm.x,_xlpm.a+_xlpm.x),_xlfn.LAMBDA(_xlpm.a,_xlpm.b,_xlpm.c,_xlpm.x,_xlpm.b*_xlpm.x),_xlfn.LAMBDA(_xlpm.a,_xlpm.b,_xlpm.c,_xlpm.x,_xlpm.c+1))</f>
        <v>2</v>
      </c>
      <c r="O6" s="53">
        <v>2</v>
      </c>
      <c r="P6" s="53">
        <v>1</v>
      </c>
      <c r="R6" s="54" t="str" cm="1">
        <f t="array" ref="R6">IF(AND(J6:L8=N6:P8),"PASS","FAIL")</f>
        <v>PASS</v>
      </c>
    </row>
    <row r="7" spans="1:19" x14ac:dyDescent="0.5">
      <c r="A7" s="55"/>
      <c r="B7" s="55"/>
      <c r="D7" s="51">
        <v>3</v>
      </c>
      <c r="J7" s="52">
        <v>5</v>
      </c>
      <c r="K7" s="52">
        <v>6</v>
      </c>
      <c r="L7" s="52">
        <v>2</v>
      </c>
      <c r="N7" s="53">
        <v>5</v>
      </c>
      <c r="O7" s="53">
        <v>6</v>
      </c>
      <c r="P7" s="53">
        <v>2</v>
      </c>
    </row>
    <row r="8" spans="1:19" x14ac:dyDescent="0.5">
      <c r="A8" s="55"/>
      <c r="B8" s="55"/>
      <c r="D8" s="51">
        <v>4</v>
      </c>
      <c r="J8" s="52">
        <v>9</v>
      </c>
      <c r="K8" s="52">
        <v>24</v>
      </c>
      <c r="L8" s="52">
        <v>3</v>
      </c>
      <c r="N8" s="53">
        <v>9</v>
      </c>
      <c r="O8" s="53">
        <v>24</v>
      </c>
      <c r="P8" s="53">
        <v>3</v>
      </c>
    </row>
    <row r="10" spans="1:19" x14ac:dyDescent="0.5">
      <c r="A10" s="46">
        <v>2</v>
      </c>
      <c r="B10" s="47" t="s">
        <v>3598</v>
      </c>
      <c r="D10" s="51">
        <v>5</v>
      </c>
      <c r="J10" s="52">
        <v>5</v>
      </c>
      <c r="K10" s="52">
        <v>5</v>
      </c>
      <c r="L10" s="52">
        <v>5</v>
      </c>
      <c r="N10" s="53" cm="1">
        <f t="array" ref="N10:P12">scan3(0,0,1000000000,D10:D12,_xlfn.LAMBDA(_xlpm.a,_xlpm.b,_xlpm.c,_xlpm.x,_xlpm.a+_xlpm.x),_xlfn.LAMBDA(_xlpm.a,_xlpm.b,_xlpm.c,_xlpm.x,MAX(_xlpm.b,_xlpm.x)),_xlfn.LAMBDA(_xlpm.a,_xlpm.b,_xlpm.c,_xlpm.x,MIN(_xlpm.c,_xlpm.x)))</f>
        <v>5</v>
      </c>
      <c r="O10" s="53">
        <v>5</v>
      </c>
      <c r="P10" s="53">
        <v>5</v>
      </c>
      <c r="R10" s="54" t="str" cm="1">
        <f t="array" ref="R10">IF(AND(J10:L12=N10:P12),"PASS","FAIL")</f>
        <v>PASS</v>
      </c>
    </row>
    <row r="11" spans="1:19" x14ac:dyDescent="0.5">
      <c r="A11" s="55"/>
      <c r="B11" s="55"/>
      <c r="D11" s="51">
        <v>2</v>
      </c>
      <c r="J11" s="52">
        <v>7</v>
      </c>
      <c r="K11" s="52">
        <v>5</v>
      </c>
      <c r="L11" s="52">
        <v>2</v>
      </c>
      <c r="N11" s="53">
        <v>7</v>
      </c>
      <c r="O11" s="53">
        <v>5</v>
      </c>
      <c r="P11" s="53">
        <v>2</v>
      </c>
    </row>
    <row r="12" spans="1:19" x14ac:dyDescent="0.5">
      <c r="A12" s="55"/>
      <c r="B12" s="55"/>
      <c r="D12" s="51">
        <v>8</v>
      </c>
      <c r="J12" s="52">
        <v>15</v>
      </c>
      <c r="K12" s="52">
        <v>8</v>
      </c>
      <c r="L12" s="52">
        <v>2</v>
      </c>
      <c r="N12" s="53">
        <v>15</v>
      </c>
      <c r="O12" s="53">
        <v>8</v>
      </c>
      <c r="P12" s="53">
        <v>2</v>
      </c>
    </row>
    <row r="15" spans="1:19" x14ac:dyDescent="0.5">
      <c r="A15" s="55"/>
      <c r="B15" s="55"/>
      <c r="F15" s="51"/>
      <c r="J15" s="52"/>
      <c r="L15" s="53"/>
    </row>
    <row r="17" spans="1:14" x14ac:dyDescent="0.5">
      <c r="A17" s="46"/>
      <c r="B17" s="47"/>
      <c r="D17" s="51"/>
      <c r="F17" s="51"/>
      <c r="J17" s="52"/>
      <c r="L17" s="53"/>
      <c r="N17" s="54"/>
    </row>
    <row r="18" spans="1:14" x14ac:dyDescent="0.5">
      <c r="A18" s="55"/>
      <c r="B18" s="55"/>
      <c r="D18" s="51"/>
      <c r="J18" s="52"/>
      <c r="L18" s="53"/>
    </row>
  </sheetData>
  <mergeCells count="3">
    <mergeCell ref="I1:R1"/>
    <mergeCell ref="B2:R2"/>
    <mergeCell ref="B1:F1"/>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AAB2F-3D41-461E-97DC-B74BB2D002ED}">
  <sheetPr codeName="Sheet81"/>
  <dimension ref="A1:S30"/>
  <sheetViews>
    <sheetView workbookViewId="0">
      <selection sqref="A1:XFD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315" customHeight="1" x14ac:dyDescent="0.5">
      <c r="A1" s="45" t="s">
        <v>0</v>
      </c>
      <c r="B1" s="83" t="str" cm="1">
        <f t="array" aca="1" ref="B1" ca="1">_xlfn.LET(_xlpm.fn, CELL("filename",$A$1), _xlpm.nm, MID(_xlpm.fn, FIND("]", _xlpm.fn) + 1, 255), _xlfn.XLOOKUP(_xlpm.nm &amp; "(*", Lamb!$A$2:$A$1000, Lamb!$A$2:$A$1000, "", 2))</f>
        <v>selections(arr, n, [order_matters], [repeats_allowed], [countdown_mode], [clean_inputs])</v>
      </c>
      <c r="C1" s="79"/>
      <c r="D1" s="79"/>
      <c r="E1" s="79"/>
      <c r="F1" s="80"/>
      <c r="H1" s="45" t="s">
        <v>2</v>
      </c>
      <c r="I1" s="78" t="str" cm="1">
        <f t="array" aca="1" ref="I1" ca="1">_xlfn.LET(_xlpm.fn, CELL("filename",$A$1), _xlpm.nm, MID(_xlpm.fn, FIND("]", _xlpm.fn) + 1, 255), _xlfn.XLOOKUP(_xlpm.nm &amp; "(*", Lamb!$A$2:$A$1000, Lamb!$D$2:$D$1000, "", 2))</f>
        <v>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v>
      </c>
      <c r="C2" s="82"/>
      <c r="D2" s="82"/>
      <c r="E2" s="82"/>
      <c r="F2" s="82"/>
      <c r="G2" s="82"/>
      <c r="H2" s="82"/>
      <c r="I2" s="82"/>
      <c r="J2" s="82"/>
      <c r="K2" s="82"/>
      <c r="L2" s="82"/>
      <c r="M2" s="82"/>
      <c r="N2" s="82"/>
      <c r="O2" s="82"/>
      <c r="P2" s="82"/>
      <c r="Q2" s="82"/>
      <c r="R2" s="82"/>
    </row>
    <row r="4" spans="1:19" x14ac:dyDescent="0.5">
      <c r="A4" s="45" t="s">
        <v>3127</v>
      </c>
      <c r="R4" s="45" t="str">
        <f>COUNTIF(R6:R40,"PASS")&amp;" / 5 PASS"</f>
        <v>5 / 5 PASS</v>
      </c>
    </row>
    <row r="5" spans="1:19" x14ac:dyDescent="0.5">
      <c r="A5" s="45" t="s">
        <v>7</v>
      </c>
      <c r="B5" s="45" t="s">
        <v>8</v>
      </c>
      <c r="D5" s="45" t="s">
        <v>9</v>
      </c>
      <c r="L5" s="48" t="s">
        <v>10</v>
      </c>
      <c r="O5" s="49" t="s">
        <v>11</v>
      </c>
      <c r="R5" s="50" t="s">
        <v>12</v>
      </c>
    </row>
    <row r="6" spans="1:19" x14ac:dyDescent="0.5">
      <c r="A6" s="46">
        <v>1</v>
      </c>
      <c r="B6" s="47" t="s">
        <v>3128</v>
      </c>
      <c r="D6" s="51" t="s">
        <v>2937</v>
      </c>
      <c r="F6" s="51">
        <v>2</v>
      </c>
      <c r="L6" s="52" t="s">
        <v>2937</v>
      </c>
      <c r="M6" s="52" t="s">
        <v>2938</v>
      </c>
      <c r="O6" s="53" t="str" cm="1">
        <f t="array" ref="O6:P8">selections(D6:D8,F6)</f>
        <v>a</v>
      </c>
      <c r="P6" s="53" t="str">
        <v>b</v>
      </c>
      <c r="R6" s="54" t="str" cm="1">
        <f t="array" ref="R6">IF(AND(L6:M8=O6:P8),"PASS","FAIL")</f>
        <v>PASS</v>
      </c>
    </row>
    <row r="7" spans="1:19" x14ac:dyDescent="0.5">
      <c r="A7" s="55"/>
      <c r="B7" s="55"/>
      <c r="D7" s="51" t="s">
        <v>2938</v>
      </c>
      <c r="L7" s="52" t="s">
        <v>2937</v>
      </c>
      <c r="M7" s="52" t="s">
        <v>2946</v>
      </c>
      <c r="O7" s="53" t="str">
        <v>a</v>
      </c>
      <c r="P7" s="53" t="str">
        <v>c</v>
      </c>
    </row>
    <row r="8" spans="1:19" x14ac:dyDescent="0.5">
      <c r="A8" s="55"/>
      <c r="B8" s="55"/>
      <c r="D8" s="51" t="s">
        <v>2946</v>
      </c>
      <c r="L8" s="52" t="s">
        <v>2938</v>
      </c>
      <c r="M8" s="52" t="s">
        <v>2946</v>
      </c>
      <c r="O8" s="53" t="str">
        <v>b</v>
      </c>
      <c r="P8" s="53" t="str">
        <v>c</v>
      </c>
    </row>
    <row r="10" spans="1:19" x14ac:dyDescent="0.5">
      <c r="A10" s="46">
        <v>2</v>
      </c>
      <c r="B10" s="47" t="s">
        <v>3129</v>
      </c>
      <c r="D10" s="51">
        <v>1</v>
      </c>
      <c r="F10" s="51">
        <v>2</v>
      </c>
      <c r="L10" s="52">
        <v>1</v>
      </c>
      <c r="M10" s="52">
        <v>2</v>
      </c>
      <c r="O10" s="53" cm="1">
        <f t="array" ref="O10:P15">selections(D10:D13,F10)</f>
        <v>1</v>
      </c>
      <c r="P10" s="53">
        <v>2</v>
      </c>
      <c r="R10" s="54" t="str" cm="1">
        <f t="array" ref="R10">IF(AND(L10:M15=O10:P15),"PASS","FAIL")</f>
        <v>PASS</v>
      </c>
    </row>
    <row r="11" spans="1:19" x14ac:dyDescent="0.5">
      <c r="A11" s="55"/>
      <c r="B11" s="55"/>
      <c r="D11" s="51">
        <v>2</v>
      </c>
      <c r="L11" s="52">
        <v>1</v>
      </c>
      <c r="M11" s="52">
        <v>3</v>
      </c>
      <c r="O11" s="53">
        <v>1</v>
      </c>
      <c r="P11" s="53">
        <v>3</v>
      </c>
    </row>
    <row r="12" spans="1:19" x14ac:dyDescent="0.5">
      <c r="A12" s="55"/>
      <c r="B12" s="55"/>
      <c r="D12" s="51">
        <v>3</v>
      </c>
      <c r="L12" s="52">
        <v>1</v>
      </c>
      <c r="M12" s="52">
        <v>4</v>
      </c>
      <c r="O12" s="53">
        <v>1</v>
      </c>
      <c r="P12" s="53">
        <v>4</v>
      </c>
    </row>
    <row r="13" spans="1:19" x14ac:dyDescent="0.5">
      <c r="A13" s="55"/>
      <c r="B13" s="55"/>
      <c r="D13" s="51">
        <v>4</v>
      </c>
      <c r="L13" s="52">
        <v>2</v>
      </c>
      <c r="M13" s="52">
        <v>3</v>
      </c>
      <c r="O13" s="53">
        <v>2</v>
      </c>
      <c r="P13" s="53">
        <v>3</v>
      </c>
    </row>
    <row r="14" spans="1:19" x14ac:dyDescent="0.5">
      <c r="A14" s="55"/>
      <c r="B14" s="55"/>
      <c r="L14" s="52">
        <v>2</v>
      </c>
      <c r="M14" s="52">
        <v>4</v>
      </c>
      <c r="O14" s="53">
        <v>2</v>
      </c>
      <c r="P14" s="53">
        <v>4</v>
      </c>
    </row>
    <row r="15" spans="1:19" x14ac:dyDescent="0.5">
      <c r="A15" s="55"/>
      <c r="B15" s="55"/>
      <c r="L15" s="52">
        <v>3</v>
      </c>
      <c r="M15" s="52">
        <v>4</v>
      </c>
      <c r="O15" s="53">
        <v>3</v>
      </c>
      <c r="P15" s="53">
        <v>4</v>
      </c>
    </row>
    <row r="17" spans="1:18" x14ac:dyDescent="0.5">
      <c r="A17" s="46">
        <v>3</v>
      </c>
      <c r="B17" s="47" t="s">
        <v>3130</v>
      </c>
      <c r="D17" s="51" t="s">
        <v>2937</v>
      </c>
      <c r="F17" s="51">
        <v>2</v>
      </c>
      <c r="H17" s="51">
        <v>1</v>
      </c>
      <c r="L17" s="52" t="s">
        <v>2937</v>
      </c>
      <c r="M17" s="52" t="s">
        <v>2938</v>
      </c>
      <c r="O17" s="53" t="str" cm="1">
        <f t="array" ref="O17:P22">selections(D17:D19,F17,H17)</f>
        <v>a</v>
      </c>
      <c r="P17" s="53" t="str">
        <v>b</v>
      </c>
      <c r="R17" s="54" t="str" cm="1">
        <f t="array" ref="R17">IF(AND(L17:M22=O17:P22),"PASS","FAIL")</f>
        <v>PASS</v>
      </c>
    </row>
    <row r="18" spans="1:18" x14ac:dyDescent="0.5">
      <c r="A18" s="55"/>
      <c r="B18" s="55"/>
      <c r="D18" s="51" t="s">
        <v>2938</v>
      </c>
      <c r="L18" s="52" t="s">
        <v>2937</v>
      </c>
      <c r="M18" s="52" t="s">
        <v>2946</v>
      </c>
      <c r="O18" s="53" t="str">
        <v>a</v>
      </c>
      <c r="P18" s="53" t="str">
        <v>c</v>
      </c>
    </row>
    <row r="19" spans="1:18" x14ac:dyDescent="0.5">
      <c r="A19" s="55"/>
      <c r="B19" s="55"/>
      <c r="D19" s="51" t="s">
        <v>2946</v>
      </c>
      <c r="L19" s="52" t="s">
        <v>2938</v>
      </c>
      <c r="M19" s="52" t="s">
        <v>2937</v>
      </c>
      <c r="O19" s="53" t="str">
        <v>b</v>
      </c>
      <c r="P19" s="53" t="str">
        <v>a</v>
      </c>
    </row>
    <row r="20" spans="1:18" x14ac:dyDescent="0.5">
      <c r="A20" s="55"/>
      <c r="B20" s="55"/>
      <c r="L20" s="52" t="s">
        <v>2938</v>
      </c>
      <c r="M20" s="52" t="s">
        <v>2946</v>
      </c>
      <c r="O20" s="53" t="str">
        <v>b</v>
      </c>
      <c r="P20" s="53" t="str">
        <v>c</v>
      </c>
    </row>
    <row r="21" spans="1:18" x14ac:dyDescent="0.5">
      <c r="A21" s="55"/>
      <c r="B21" s="55"/>
      <c r="L21" s="52" t="s">
        <v>2946</v>
      </c>
      <c r="M21" s="52" t="s">
        <v>2937</v>
      </c>
      <c r="O21" s="53" t="str">
        <v>c</v>
      </c>
      <c r="P21" s="53" t="str">
        <v>a</v>
      </c>
    </row>
    <row r="22" spans="1:18" x14ac:dyDescent="0.5">
      <c r="A22" s="55"/>
      <c r="B22" s="55"/>
      <c r="L22" s="52" t="s">
        <v>2946</v>
      </c>
      <c r="M22" s="52" t="s">
        <v>2938</v>
      </c>
      <c r="O22" s="53" t="str">
        <v>c</v>
      </c>
      <c r="P22" s="53" t="str">
        <v>b</v>
      </c>
    </row>
    <row r="24" spans="1:18" x14ac:dyDescent="0.5">
      <c r="A24" s="46">
        <v>4</v>
      </c>
      <c r="B24" s="47" t="s">
        <v>3131</v>
      </c>
      <c r="D24" s="51" t="s">
        <v>2937</v>
      </c>
      <c r="F24" s="51">
        <v>2</v>
      </c>
      <c r="H24" s="51">
        <v>0</v>
      </c>
      <c r="J24" s="51">
        <v>1</v>
      </c>
      <c r="L24" s="52" t="s">
        <v>2937</v>
      </c>
      <c r="M24" s="52" t="s">
        <v>2937</v>
      </c>
      <c r="O24" s="53" t="str" cm="1">
        <f t="array" ref="O24:P26">selections(D24:D25,F24,H24,J24)</f>
        <v>a</v>
      </c>
      <c r="P24" s="53" t="str">
        <v>a</v>
      </c>
      <c r="R24" s="54" t="str" cm="1">
        <f t="array" ref="R24">IF(AND(L24:M26=O24:P26),"PASS","FAIL")</f>
        <v>PASS</v>
      </c>
    </row>
    <row r="25" spans="1:18" x14ac:dyDescent="0.5">
      <c r="A25" s="55"/>
      <c r="B25" s="55"/>
      <c r="D25" s="51" t="s">
        <v>2938</v>
      </c>
      <c r="L25" s="52" t="s">
        <v>2937</v>
      </c>
      <c r="M25" s="52" t="s">
        <v>2938</v>
      </c>
      <c r="O25" s="53" t="str">
        <v>a</v>
      </c>
      <c r="P25" s="53" t="str">
        <v>b</v>
      </c>
    </row>
    <row r="26" spans="1:18" x14ac:dyDescent="0.5">
      <c r="A26" s="55"/>
      <c r="B26" s="55"/>
      <c r="L26" s="52" t="s">
        <v>2938</v>
      </c>
      <c r="M26" s="52" t="s">
        <v>2938</v>
      </c>
      <c r="O26" s="53" t="str">
        <v>b</v>
      </c>
      <c r="P26" s="53" t="str">
        <v>b</v>
      </c>
    </row>
    <row r="28" spans="1:18" x14ac:dyDescent="0.5">
      <c r="A28" s="46">
        <v>5</v>
      </c>
      <c r="B28" s="47" t="s">
        <v>3647</v>
      </c>
      <c r="D28" s="51" t="s">
        <v>2937</v>
      </c>
      <c r="F28" s="51">
        <v>2</v>
      </c>
      <c r="L28" s="52">
        <v>3</v>
      </c>
      <c r="O28" s="53">
        <f>ROWS(selections(D28:D30,F28))</f>
        <v>3</v>
      </c>
      <c r="R28" s="54" t="str">
        <f>IF(O28=L28,"PASS","FAIL")</f>
        <v>PASS</v>
      </c>
    </row>
    <row r="29" spans="1:18" x14ac:dyDescent="0.5">
      <c r="D29" s="51" t="s">
        <v>2938</v>
      </c>
    </row>
    <row r="30" spans="1:18" x14ac:dyDescent="0.5">
      <c r="D30" s="51" t="s">
        <v>2946</v>
      </c>
    </row>
  </sheetData>
  <mergeCells count="3">
    <mergeCell ref="I1:R1"/>
    <mergeCell ref="B2:R2"/>
    <mergeCell ref="B1:F1"/>
  </mergeCell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8C998-5A97-470C-B659-F20810ACBF51}">
  <sheetPr codeName="Sheet82"/>
  <dimension ref="A1:S2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set(rng, [as_row])</v>
      </c>
      <c r="C1" s="79"/>
      <c r="D1" s="79"/>
      <c r="E1" s="79"/>
      <c r="F1" s="80"/>
      <c r="H1" s="45" t="s">
        <v>2</v>
      </c>
      <c r="I1" s="78" t="str" cm="1">
        <f t="array" aca="1" ref="I1" ca="1">_xlfn.LET(_xlpm.fn, CELL("filename",$A$1), _xlpm.nm, MID(_xlpm.fn, FIND("]", _xlpm.fn) + 1, 255), _xlfn.XLOOKUP(_xlpm.nm &amp; "(*", Lamb!$A$2:$A$1000, Lamb!$D$2:$D$1000, "", 2))</f>
        <v>Reduces a range to a clean, sorted set of unique values.
Arguments:
  rng      - the source range.
  [as_row] - 1 to return a horizontal row; default 0 returns a vertical column.
Returns:
  The unique, sorted values with blanks and errors removed.
Example:
  set(A1:A20)</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=LAMBDA(data_rng, [as_row],
   IFERROR(
      LET(
         _flat, TOCOL(data_rng, 3),
         _clean, FILTER(_flat, _flat &lt;&gt; ""),
         _res, SORT(UNIQUE(_clean)),
         IF(IF(ISOMITTED(as_row), 0, as_row), TOROW(_res), _res)
      ),
      ""
   )
)</v>
      </c>
      <c r="C2" s="82"/>
      <c r="D2" s="82"/>
      <c r="E2" s="82"/>
      <c r="F2" s="82"/>
      <c r="G2" s="82"/>
      <c r="H2" s="82"/>
      <c r="I2" s="82"/>
      <c r="J2" s="82"/>
      <c r="K2" s="82"/>
      <c r="L2" s="82"/>
      <c r="M2" s="82"/>
      <c r="N2" s="82"/>
      <c r="O2" s="82"/>
      <c r="P2" s="82"/>
      <c r="Q2" s="82"/>
      <c r="R2" s="82"/>
    </row>
    <row r="4" spans="1:19" x14ac:dyDescent="0.5">
      <c r="A4" s="45" t="s">
        <v>3132</v>
      </c>
      <c r="P4" s="45" t="str">
        <f>COUNTIF(P6:P25,"PASS")&amp;" / 4 PASS"</f>
        <v>4 / 4 PASS</v>
      </c>
    </row>
    <row r="5" spans="1:19" x14ac:dyDescent="0.5">
      <c r="A5" s="45" t="s">
        <v>7</v>
      </c>
      <c r="B5" s="45" t="s">
        <v>8</v>
      </c>
      <c r="D5" s="45" t="s">
        <v>9</v>
      </c>
      <c r="H5" s="48" t="s">
        <v>10</v>
      </c>
      <c r="L5" s="49" t="s">
        <v>11</v>
      </c>
      <c r="P5" s="50" t="s">
        <v>12</v>
      </c>
    </row>
    <row r="6" spans="1:19" x14ac:dyDescent="0.5">
      <c r="A6" s="46">
        <v>1</v>
      </c>
      <c r="B6" s="47" t="s">
        <v>3133</v>
      </c>
      <c r="D6" s="51">
        <v>3</v>
      </c>
      <c r="H6" s="52">
        <v>1</v>
      </c>
      <c r="L6" s="53" cm="1">
        <f t="array" ref="L6:L8">set(D6:D9)</f>
        <v>1</v>
      </c>
      <c r="P6" s="54" t="str" cm="1">
        <f t="array" ref="P6">IF(AND(H6:H8=L6:L8),"PASS","FAIL")</f>
        <v>PASS</v>
      </c>
    </row>
    <row r="7" spans="1:19" x14ac:dyDescent="0.5">
      <c r="A7" s="55"/>
      <c r="B7" s="55"/>
      <c r="D7" s="51">
        <v>1</v>
      </c>
      <c r="H7" s="52">
        <v>2</v>
      </c>
      <c r="L7" s="53">
        <v>2</v>
      </c>
    </row>
    <row r="8" spans="1:19" x14ac:dyDescent="0.5">
      <c r="A8" s="55"/>
      <c r="B8" s="55"/>
      <c r="D8" s="51">
        <v>2</v>
      </c>
      <c r="H8" s="52">
        <v>3</v>
      </c>
      <c r="L8" s="53">
        <v>3</v>
      </c>
    </row>
    <row r="9" spans="1:19" x14ac:dyDescent="0.5">
      <c r="A9" s="55"/>
      <c r="B9" s="55"/>
      <c r="D9" s="51">
        <v>1</v>
      </c>
    </row>
    <row r="11" spans="1:19" x14ac:dyDescent="0.5">
      <c r="A11" s="46">
        <v>2</v>
      </c>
      <c r="B11" s="47" t="s">
        <v>3134</v>
      </c>
      <c r="D11" s="51" t="s">
        <v>2946</v>
      </c>
      <c r="H11" s="52" t="s">
        <v>2937</v>
      </c>
      <c r="L11" s="53" t="str" cm="1">
        <f t="array" ref="L11:L13">set(D11:D14)</f>
        <v>a</v>
      </c>
      <c r="P11" s="54" t="str" cm="1">
        <f t="array" ref="P11">IF(AND(H11:H13=L11:L13),"PASS","FAIL")</f>
        <v>PASS</v>
      </c>
    </row>
    <row r="12" spans="1:19" x14ac:dyDescent="0.5">
      <c r="A12" s="55"/>
      <c r="B12" s="55"/>
      <c r="D12" s="51" t="s">
        <v>2937</v>
      </c>
      <c r="H12" s="52" t="s">
        <v>2938</v>
      </c>
      <c r="L12" s="53" t="str">
        <v>b</v>
      </c>
    </row>
    <row r="13" spans="1:19" x14ac:dyDescent="0.5">
      <c r="A13" s="55"/>
      <c r="B13" s="55"/>
      <c r="D13" s="51" t="s">
        <v>2938</v>
      </c>
      <c r="H13" s="52" t="s">
        <v>2946</v>
      </c>
      <c r="L13" s="53" t="str">
        <v>c</v>
      </c>
    </row>
    <row r="14" spans="1:19" x14ac:dyDescent="0.5">
      <c r="A14" s="55"/>
      <c r="B14" s="55"/>
      <c r="D14" s="51" t="s">
        <v>2937</v>
      </c>
    </row>
    <row r="16" spans="1:19" x14ac:dyDescent="0.5">
      <c r="A16" s="46">
        <v>3</v>
      </c>
      <c r="B16" s="47" t="s">
        <v>3135</v>
      </c>
      <c r="D16" s="51">
        <v>3</v>
      </c>
      <c r="H16" s="52">
        <v>1</v>
      </c>
      <c r="L16" s="53" cm="1">
        <f t="array" ref="L16:L18">set(D16:D19)</f>
        <v>1</v>
      </c>
      <c r="P16" s="54" t="str" cm="1">
        <f t="array" ref="P16">IF(AND(H16:H18=L16:L18),"PASS","FAIL")</f>
        <v>PASS</v>
      </c>
    </row>
    <row r="17" spans="1:16" x14ac:dyDescent="0.5">
      <c r="A17" s="55"/>
      <c r="B17" s="55"/>
      <c r="D17" s="51"/>
      <c r="H17" s="52">
        <v>2</v>
      </c>
      <c r="L17" s="53">
        <v>2</v>
      </c>
    </row>
    <row r="18" spans="1:16" x14ac:dyDescent="0.5">
      <c r="A18" s="55"/>
      <c r="B18" s="55"/>
      <c r="D18" s="51">
        <v>1</v>
      </c>
      <c r="H18" s="52">
        <v>3</v>
      </c>
      <c r="L18" s="53">
        <v>3</v>
      </c>
    </row>
    <row r="19" spans="1:16" x14ac:dyDescent="0.5">
      <c r="A19" s="55"/>
      <c r="B19" s="55"/>
      <c r="D19" s="51">
        <v>2</v>
      </c>
    </row>
    <row r="21" spans="1:16" x14ac:dyDescent="0.5">
      <c r="A21" s="46">
        <v>4</v>
      </c>
      <c r="B21" s="47" t="s">
        <v>3136</v>
      </c>
      <c r="D21" s="51">
        <v>3</v>
      </c>
      <c r="F21" s="51">
        <v>1</v>
      </c>
      <c r="H21" s="52">
        <v>1</v>
      </c>
      <c r="I21" s="52">
        <v>2</v>
      </c>
      <c r="J21" s="52">
        <v>3</v>
      </c>
      <c r="L21" s="53" cm="1">
        <f t="array" ref="L21:N21">set(D21:D23,F21)</f>
        <v>1</v>
      </c>
      <c r="M21" s="53">
        <v>2</v>
      </c>
      <c r="N21" s="53">
        <v>3</v>
      </c>
      <c r="P21" s="54" t="str" cm="1">
        <f t="array" ref="P21">IF(AND(H21:J21=L21:N21),"PASS","FAIL")</f>
        <v>PASS</v>
      </c>
    </row>
    <row r="22" spans="1:16" x14ac:dyDescent="0.5">
      <c r="A22" s="55"/>
      <c r="B22" s="55"/>
      <c r="D22" s="51">
        <v>1</v>
      </c>
    </row>
    <row r="23" spans="1:16" x14ac:dyDescent="0.5">
      <c r="A23" s="55"/>
      <c r="B23" s="55"/>
      <c r="D23" s="51">
        <v>2</v>
      </c>
    </row>
  </sheetData>
  <mergeCells count="3">
    <mergeCell ref="I1:R1"/>
    <mergeCell ref="B2:R2"/>
    <mergeCell ref="B1:F1"/>
  </mergeCell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91F02A-452E-4B2E-81BF-EA7551D66457}">
  <sheetPr codeName="Sheet83"/>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set_d(a, b, [as_row])</v>
      </c>
      <c r="C1" s="79"/>
      <c r="D1" s="79"/>
      <c r="E1" s="79"/>
      <c r="F1" s="80"/>
      <c r="H1" s="45" t="s">
        <v>2</v>
      </c>
      <c r="I1" s="78" t="str" cm="1">
        <f t="array" aca="1" ref="I1" ca="1">_xlfn.LET(_xlpm.fn, CELL("filename",$A$1), _xlpm.nm, MID(_xlpm.fn, FIND("]", _xlpm.fn) + 1, 255), _xlfn.XLOOKUP(_xlpm.nm &amp; "(*", Lamb!$A$2:$A$1000, Lamb!$D$2:$D$1000, "", 2))</f>
        <v>Set difference of two ranges (a minus b).
Arguments:
  a        - first range/set.
  b        - second range/set.
  [as_row] - 1 for a horizontal result; default 0 vertical.
Returns:
  The cleaned, sorted values that appear in a but not in b.
Example:
  set_d(A1:A5,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ISNA(XMATCH(list_a,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3137</v>
      </c>
      <c r="L4" s="45" t="str">
        <f>COUNTIF(L6:L15,"PASS")&amp;" / 2 PASS"</f>
        <v>2 / 2 PASS</v>
      </c>
    </row>
    <row r="5" spans="1:19" x14ac:dyDescent="0.5">
      <c r="A5" s="45" t="s">
        <v>7</v>
      </c>
      <c r="B5" s="45" t="s">
        <v>8</v>
      </c>
      <c r="D5" s="45" t="s">
        <v>9</v>
      </c>
      <c r="H5" s="48" t="s">
        <v>10</v>
      </c>
      <c r="J5" s="49" t="s">
        <v>11</v>
      </c>
      <c r="L5" s="50" t="s">
        <v>12</v>
      </c>
    </row>
    <row r="6" spans="1:19" x14ac:dyDescent="0.5">
      <c r="A6" s="46">
        <v>1</v>
      </c>
      <c r="B6" s="47" t="s">
        <v>3138</v>
      </c>
      <c r="D6" s="51">
        <v>1</v>
      </c>
      <c r="F6" s="51">
        <v>2</v>
      </c>
      <c r="H6" s="52">
        <v>1</v>
      </c>
      <c r="J6" s="53" cm="1">
        <f t="array" ref="J6:J7">set_d(D6:D8,F6)</f>
        <v>1</v>
      </c>
      <c r="L6" s="54" t="str" cm="1">
        <f t="array" ref="L6">IF(AND(H6:H7=J6:J7),"PASS","FAIL")</f>
        <v>PASS</v>
      </c>
    </row>
    <row r="7" spans="1:19" x14ac:dyDescent="0.5">
      <c r="A7" s="55"/>
      <c r="B7" s="55"/>
      <c r="D7" s="51">
        <v>2</v>
      </c>
      <c r="H7" s="52">
        <v>3</v>
      </c>
      <c r="J7" s="53">
        <v>3</v>
      </c>
    </row>
    <row r="8" spans="1:19" x14ac:dyDescent="0.5">
      <c r="A8" s="55"/>
      <c r="B8" s="55"/>
      <c r="D8" s="51">
        <v>3</v>
      </c>
    </row>
    <row r="10" spans="1:19" x14ac:dyDescent="0.5">
      <c r="A10" s="46">
        <v>2</v>
      </c>
      <c r="B10" s="47" t="s">
        <v>3139</v>
      </c>
      <c r="D10" s="51" t="s">
        <v>2937</v>
      </c>
      <c r="F10" s="51" t="s">
        <v>2938</v>
      </c>
      <c r="H10" s="52" t="s">
        <v>2937</v>
      </c>
      <c r="J10" s="53" t="str" cm="1">
        <f t="array" ref="J10:J11">set_d(D10:D13,F10:F11)</f>
        <v>a</v>
      </c>
      <c r="L10" s="54" t="str" cm="1">
        <f t="array" ref="L10">IF(AND(H10:H11=J10:J11),"PASS","FAIL")</f>
        <v>PASS</v>
      </c>
    </row>
    <row r="11" spans="1:19" x14ac:dyDescent="0.5">
      <c r="A11" s="55"/>
      <c r="B11" s="55"/>
      <c r="D11" s="51" t="s">
        <v>2938</v>
      </c>
      <c r="F11" s="51" t="s">
        <v>2939</v>
      </c>
      <c r="H11" s="52" t="s">
        <v>2946</v>
      </c>
      <c r="J11" s="53" t="str">
        <v>c</v>
      </c>
    </row>
    <row r="12" spans="1:19" x14ac:dyDescent="0.5">
      <c r="A12" s="55"/>
      <c r="B12" s="55"/>
      <c r="D12" s="51" t="s">
        <v>2946</v>
      </c>
    </row>
    <row r="13" spans="1:19" x14ac:dyDescent="0.5">
      <c r="A13" s="55"/>
      <c r="B13" s="55"/>
      <c r="D13" s="51" t="s">
        <v>2939</v>
      </c>
    </row>
  </sheetData>
  <mergeCells count="3">
    <mergeCell ref="I1:R1"/>
    <mergeCell ref="B2:R2"/>
    <mergeCell ref="B1:F1"/>
  </mergeCell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E69E9-94CB-4A55-AD90-0D8D934F281E}">
  <sheetPr codeName="Sheet8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set_i(a, b, [as_row])</v>
      </c>
      <c r="C1" s="79"/>
      <c r="D1" s="79"/>
      <c r="E1" s="79"/>
      <c r="F1" s="80"/>
      <c r="H1" s="45" t="s">
        <v>2</v>
      </c>
      <c r="I1" s="78" t="str" cm="1">
        <f t="array" aca="1" ref="I1" ca="1">_xlfn.LET(_xlpm.fn, CELL("filename",$A$1), _xlpm.nm, MID(_xlpm.fn, FIND("]", _xlpm.fn) + 1, 255), _xlfn.XLOOKUP(_xlpm.nm &amp; "(*", Lamb!$A$2:$A$1000, Lamb!$D$2:$D$1000, "", 2))</f>
        <v>Set intersection of two ranges.
Arguments:
  a        - first range/set.
  b        - second range/set.
  [as_row] - 1 for a horizontal result; default 0 vertical.
Returns:
  The cleaned, sorted values common to both a and b.
Example:
  set_i(A1:A5,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ISNUMBER(XMATCH(list_a,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3140</v>
      </c>
      <c r="L4" s="45" t="str">
        <f>COUNTIF(L6:L17,"PASS")&amp;" / 3 PASS"</f>
        <v>3 / 3 PASS</v>
      </c>
    </row>
    <row r="5" spans="1:19" x14ac:dyDescent="0.5">
      <c r="A5" s="45" t="s">
        <v>7</v>
      </c>
      <c r="B5" s="45" t="s">
        <v>8</v>
      </c>
      <c r="D5" s="45" t="s">
        <v>9</v>
      </c>
      <c r="H5" s="48" t="s">
        <v>10</v>
      </c>
      <c r="J5" s="49" t="s">
        <v>11</v>
      </c>
      <c r="L5" s="50" t="s">
        <v>12</v>
      </c>
    </row>
    <row r="6" spans="1:19" x14ac:dyDescent="0.5">
      <c r="A6" s="46">
        <v>1</v>
      </c>
      <c r="B6" s="47" t="s">
        <v>3141</v>
      </c>
      <c r="D6" s="51">
        <v>1</v>
      </c>
      <c r="F6" s="51">
        <v>2</v>
      </c>
      <c r="H6" s="52">
        <v>2</v>
      </c>
      <c r="J6" s="53" cm="1">
        <f t="array" ref="J6:J7">set_i(D6:D8,F6:F8)</f>
        <v>2</v>
      </c>
      <c r="L6" s="54" t="str" cm="1">
        <f t="array" ref="L6">IF(AND(H6:H7=J6:J7),"PASS","FAIL")</f>
        <v>PASS</v>
      </c>
    </row>
    <row r="7" spans="1:19" x14ac:dyDescent="0.5">
      <c r="A7" s="55"/>
      <c r="B7" s="55"/>
      <c r="D7" s="51">
        <v>2</v>
      </c>
      <c r="F7" s="51">
        <v>3</v>
      </c>
      <c r="H7" s="52">
        <v>3</v>
      </c>
      <c r="J7" s="53">
        <v>3</v>
      </c>
    </row>
    <row r="8" spans="1:19" x14ac:dyDescent="0.5">
      <c r="A8" s="55"/>
      <c r="B8" s="55"/>
      <c r="D8" s="51">
        <v>3</v>
      </c>
      <c r="F8" s="51">
        <v>4</v>
      </c>
    </row>
    <row r="10" spans="1:19" x14ac:dyDescent="0.5">
      <c r="A10" s="46">
        <v>2</v>
      </c>
      <c r="B10" s="47" t="s">
        <v>3142</v>
      </c>
      <c r="D10" s="51" t="s">
        <v>2937</v>
      </c>
      <c r="F10" s="51" t="s">
        <v>2938</v>
      </c>
      <c r="H10" s="52" t="s">
        <v>2938</v>
      </c>
      <c r="J10" s="53" t="str" cm="1">
        <f t="array" ref="J10:J11">set_i(D10:D12,F10:F11)</f>
        <v>b</v>
      </c>
      <c r="L10" s="54" t="str" cm="1">
        <f t="array" ref="L10">IF(AND(H10:H11=J10:J11),"PASS","FAIL")</f>
        <v>PASS</v>
      </c>
    </row>
    <row r="11" spans="1:19" x14ac:dyDescent="0.5">
      <c r="A11" s="55"/>
      <c r="B11" s="55"/>
      <c r="D11" s="51" t="s">
        <v>2938</v>
      </c>
      <c r="F11" s="51" t="s">
        <v>2946</v>
      </c>
      <c r="H11" s="52" t="s">
        <v>2946</v>
      </c>
      <c r="J11" s="53" t="str">
        <v>c</v>
      </c>
    </row>
    <row r="12" spans="1:19" x14ac:dyDescent="0.5">
      <c r="A12" s="55"/>
      <c r="B12" s="55"/>
      <c r="D12" s="51" t="s">
        <v>2946</v>
      </c>
    </row>
    <row r="14" spans="1:19" x14ac:dyDescent="0.5">
      <c r="A14" s="46">
        <v>3</v>
      </c>
      <c r="B14" s="47" t="s">
        <v>3143</v>
      </c>
      <c r="D14" s="51">
        <v>1</v>
      </c>
      <c r="F14" s="51">
        <v>3</v>
      </c>
      <c r="H14" s="52"/>
      <c r="J14" s="53" t="str" cm="1">
        <f t="array" ref="J14">IFERROR(set_i(D14:D15,F14:F15),"")</f>
        <v/>
      </c>
      <c r="L14" s="54" t="str">
        <f>IF(J14=H14,"PASS","FAIL")</f>
        <v>PASS</v>
      </c>
    </row>
    <row r="15" spans="1:19" x14ac:dyDescent="0.5">
      <c r="A15" s="55"/>
      <c r="B15" s="55"/>
      <c r="D15" s="51">
        <v>2</v>
      </c>
      <c r="F15" s="51">
        <v>4</v>
      </c>
    </row>
  </sheetData>
  <mergeCells count="3">
    <mergeCell ref="I1:R1"/>
    <mergeCell ref="B2:R2"/>
    <mergeCell ref="B1:F1"/>
  </mergeCell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60220-02F0-4E8F-BEE9-06F145294C7B}">
  <sheetPr codeName="Sheet85"/>
  <dimension ref="A1:S16"/>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set_u(a, b, [as_row])</v>
      </c>
      <c r="C1" s="79"/>
      <c r="D1" s="79"/>
      <c r="E1" s="79"/>
      <c r="F1" s="80"/>
      <c r="H1" s="45" t="s">
        <v>2</v>
      </c>
      <c r="I1" s="78" t="str" cm="1">
        <f t="array" aca="1" ref="I1" ca="1">_xlfn.LET(_xlpm.fn, CELL("filename",$A$1), _xlpm.nm, MID(_xlpm.fn, FIND("]", _xlpm.fn) + 1, 255), _xlfn.XLOOKUP(_xlpm.nm &amp; "(*", Lamb!$A$2:$A$1000, Lamb!$D$2:$D$1000, "", 2))</f>
        <v>Set union of two ranges.
Arguments:
  a        - first range/set.
  b        - second range/set.
  [as_row] - 1 for a horizontal result; default 0 vertical.
Returns:
  The cleaned, sorted values found in either a or b.
Example:
  set_u(A1:A5, B1:B5)</v>
      </c>
      <c r="J1" s="79"/>
      <c r="K1" s="79"/>
      <c r="L1" s="79"/>
      <c r="M1" s="79"/>
      <c r="N1" s="79"/>
      <c r="O1" s="79"/>
      <c r="P1" s="79"/>
      <c r="Q1" s="79"/>
      <c r="R1" s="80"/>
      <c r="S1" s="77" t="str">
        <f>HYPERLINK("#lambda_tests!A1","&lt;- test summary")</f>
        <v>&lt;- test summary</v>
      </c>
    </row>
    <row r="2" spans="1:19" ht="63" customHeight="1" x14ac:dyDescent="0.5">
      <c r="A2" s="45" t="s">
        <v>4</v>
      </c>
      <c r="B2" s="81" t="str" cm="1">
        <f t="array" aca="1" ref="B2" ca="1">_xlfn.LET(_xlpm.fn, CELL("filename",$A$1), _xlpm.nm, MID(_xlpm.fn, FIND("]", _xlpm.fn) + 1, 255), _xlfn.XLOOKUP(_xlpm.nm &amp; "(*", Lamb!$A$2:$A$1000, Lamb!$C$2:$C$1000, "", 2))</f>
        <v>=LAMBDA(val_a, val_b, [as_row],
   set(VSTACK(val_a, val_b), IF(ISOMITTED(as_row), 0, as_row))
)</v>
      </c>
      <c r="C2" s="82"/>
      <c r="D2" s="82"/>
      <c r="E2" s="82"/>
      <c r="F2" s="82"/>
      <c r="G2" s="82"/>
      <c r="H2" s="82"/>
      <c r="I2" s="82"/>
      <c r="J2" s="82"/>
      <c r="K2" s="82"/>
      <c r="L2" s="82"/>
      <c r="M2" s="82"/>
      <c r="N2" s="82"/>
      <c r="O2" s="82"/>
      <c r="P2" s="82"/>
      <c r="Q2" s="82"/>
      <c r="R2" s="82"/>
    </row>
    <row r="4" spans="1:19" x14ac:dyDescent="0.5">
      <c r="A4" s="45" t="s">
        <v>3144</v>
      </c>
      <c r="R4" s="45" t="str">
        <f>COUNTIF(R6:R18,"PASS")&amp;" / 3 PASS"</f>
        <v>3 / 3 PASS</v>
      </c>
    </row>
    <row r="5" spans="1:19" x14ac:dyDescent="0.5">
      <c r="A5" s="45" t="s">
        <v>7</v>
      </c>
      <c r="B5" s="45" t="s">
        <v>8</v>
      </c>
      <c r="D5" s="45" t="s">
        <v>9</v>
      </c>
      <c r="J5" s="48" t="s">
        <v>10</v>
      </c>
      <c r="N5" s="49" t="s">
        <v>11</v>
      </c>
      <c r="R5" s="50" t="s">
        <v>12</v>
      </c>
    </row>
    <row r="6" spans="1:19" x14ac:dyDescent="0.5">
      <c r="A6" s="46">
        <v>1</v>
      </c>
      <c r="B6" s="47" t="s">
        <v>3145</v>
      </c>
      <c r="D6" s="51">
        <v>1</v>
      </c>
      <c r="F6" s="51">
        <v>2</v>
      </c>
      <c r="J6" s="52">
        <v>1</v>
      </c>
      <c r="N6" s="53" cm="1">
        <f t="array" ref="N6:N8">set_u(D6:D7,F6:F7)</f>
        <v>1</v>
      </c>
      <c r="R6" s="54" t="str" cm="1">
        <f t="array" ref="R6">IF(AND(J6:J8=N6:N8),"PASS","FAIL")</f>
        <v>PASS</v>
      </c>
    </row>
    <row r="7" spans="1:19" x14ac:dyDescent="0.5">
      <c r="A7" s="55"/>
      <c r="B7" s="55"/>
      <c r="D7" s="51">
        <v>2</v>
      </c>
      <c r="F7" s="51">
        <v>3</v>
      </c>
      <c r="J7" s="52">
        <v>2</v>
      </c>
      <c r="N7" s="53">
        <v>2</v>
      </c>
    </row>
    <row r="8" spans="1:19" x14ac:dyDescent="0.5">
      <c r="A8" s="55"/>
      <c r="B8" s="55"/>
      <c r="J8" s="52">
        <v>3</v>
      </c>
      <c r="N8" s="53">
        <v>3</v>
      </c>
    </row>
    <row r="10" spans="1:19" x14ac:dyDescent="0.5">
      <c r="A10" s="46">
        <v>2</v>
      </c>
      <c r="B10" s="47" t="s">
        <v>3146</v>
      </c>
      <c r="D10" s="51" t="s">
        <v>2937</v>
      </c>
      <c r="F10" s="51" t="s">
        <v>2938</v>
      </c>
      <c r="J10" s="52" t="s">
        <v>2937</v>
      </c>
      <c r="N10" s="53" t="str" cm="1">
        <f t="array" ref="N10:N13">set_u(D10:D11,F10:F12)</f>
        <v>a</v>
      </c>
      <c r="R10" s="54" t="str" cm="1">
        <f t="array" ref="R10">IF(AND(J10:J13=N10:N13),"PASS","FAIL")</f>
        <v>PASS</v>
      </c>
    </row>
    <row r="11" spans="1:19" x14ac:dyDescent="0.5">
      <c r="A11" s="55"/>
      <c r="B11" s="55"/>
      <c r="D11" s="51" t="s">
        <v>2938</v>
      </c>
      <c r="F11" s="51" t="s">
        <v>2946</v>
      </c>
      <c r="J11" s="52" t="s">
        <v>2938</v>
      </c>
      <c r="N11" s="53" t="str">
        <v>b</v>
      </c>
    </row>
    <row r="12" spans="1:19" x14ac:dyDescent="0.5">
      <c r="A12" s="55"/>
      <c r="B12" s="55"/>
      <c r="F12" s="51" t="s">
        <v>2939</v>
      </c>
      <c r="J12" s="52" t="s">
        <v>2946</v>
      </c>
      <c r="N12" s="53" t="str">
        <v>c</v>
      </c>
    </row>
    <row r="13" spans="1:19" x14ac:dyDescent="0.5">
      <c r="A13" s="55"/>
      <c r="B13" s="55"/>
      <c r="J13" s="52" t="s">
        <v>2939</v>
      </c>
      <c r="N13" s="53" t="str">
        <v>d</v>
      </c>
    </row>
    <row r="15" spans="1:19" x14ac:dyDescent="0.5">
      <c r="A15" s="46">
        <v>3</v>
      </c>
      <c r="B15" s="47" t="s">
        <v>3147</v>
      </c>
      <c r="D15" s="51">
        <v>1</v>
      </c>
      <c r="F15" s="51">
        <v>2</v>
      </c>
      <c r="H15" s="51">
        <v>1</v>
      </c>
      <c r="J15" s="52">
        <v>1</v>
      </c>
      <c r="K15" s="52">
        <v>2</v>
      </c>
      <c r="L15" s="52">
        <v>3</v>
      </c>
      <c r="N15" s="53" cm="1">
        <f t="array" ref="N15:P15">set_u(D15:D16,F15,H15)</f>
        <v>1</v>
      </c>
      <c r="O15" s="53">
        <v>2</v>
      </c>
      <c r="P15" s="53">
        <v>3</v>
      </c>
      <c r="R15" s="54" t="str" cm="1">
        <f t="array" ref="R15">IF(AND(J15:L15=N15:P15),"PASS","FAIL")</f>
        <v>PASS</v>
      </c>
    </row>
    <row r="16" spans="1:19" x14ac:dyDescent="0.5">
      <c r="A16" s="55"/>
      <c r="B16" s="55"/>
      <c r="D16" s="51">
        <v>3</v>
      </c>
    </row>
  </sheetData>
  <mergeCells count="3">
    <mergeCell ref="I1:R1"/>
    <mergeCell ref="B2:R2"/>
    <mergeCell ref="B1:F1"/>
  </mergeCell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5ABFC-A67F-4618-BF44-9B8EC161926B}">
  <sheetPr codeName="Sheet86"/>
  <dimension ref="A1:S29"/>
  <sheetViews>
    <sheetView topLeftCell="C9" workbookViewId="0">
      <selection activeCell="A7" sqref="A7:C9"/>
    </sheetView>
  </sheetViews>
  <sheetFormatPr defaultRowHeight="21" x14ac:dyDescent="0.5"/>
  <cols>
    <col min="1" max="1" width="4" customWidth="1"/>
    <col min="2" max="2" width="30" customWidth="1"/>
    <col min="4"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273" customHeight="1" x14ac:dyDescent="0.5">
      <c r="A1" s="45" t="s">
        <v>0</v>
      </c>
      <c r="B1" s="83" t="str" cm="1">
        <f t="array" aca="1" ref="B1" ca="1">_xlfn.LET(_xlpm.fn, CELL("filename",$A$1), _xlpm.nm, MID(_xlpm.fn, FIND("]", _xlpm.fn) + 1, 255), _xlfn.XLOOKUP(_xlpm.nm &amp; "(*", Lamb!$A$2:$A$1000, Lamb!$A$2:$A$1000, "", 2))</f>
        <v>shift_arr(arr, dir, [fill], [steps])</v>
      </c>
      <c r="C1" s="79"/>
      <c r="D1" s="79"/>
      <c r="E1" s="79"/>
      <c r="F1" s="80"/>
      <c r="H1" s="45" t="s">
        <v>2</v>
      </c>
      <c r="I1" s="78" t="str" cm="1">
        <f t="array" aca="1" ref="I1" ca="1">_xlfn.LET(_xlpm.fn, CELL("filename",$A$1), _xlpm.nm, MID(_xlpm.fn, FIND("]", _xlpm.fn) + 1, 255), _xlfn.XLOOKUP(_xlpm.nm &amp; "(*", Lamb!$A$2:$A$1000, Lamb!$D$2:$D$1000, "", 2))</f>
        <v>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v>
      </c>
      <c r="C2" s="82"/>
      <c r="D2" s="82"/>
      <c r="E2" s="82"/>
      <c r="F2" s="82"/>
      <c r="G2" s="82"/>
      <c r="H2" s="82"/>
      <c r="I2" s="82"/>
      <c r="J2" s="82"/>
      <c r="K2" s="82"/>
      <c r="L2" s="82"/>
      <c r="M2" s="82"/>
      <c r="N2" s="82"/>
      <c r="O2" s="82"/>
      <c r="P2" s="82"/>
      <c r="Q2" s="82"/>
      <c r="R2" s="82"/>
    </row>
    <row r="4" spans="1:19" x14ac:dyDescent="0.5">
      <c r="A4" s="45" t="s">
        <v>3148</v>
      </c>
      <c r="R4" s="45" t="str">
        <f>COUNTIF(R6:R60,"PASS")&amp;" / 7 PASS"</f>
        <v>7 / 7 PASS</v>
      </c>
    </row>
    <row r="5" spans="1:19" x14ac:dyDescent="0.5">
      <c r="A5" s="45" t="s">
        <v>7</v>
      </c>
      <c r="B5" s="45" t="s">
        <v>8</v>
      </c>
      <c r="D5" s="45" t="s">
        <v>9</v>
      </c>
      <c r="L5" s="48" t="s">
        <v>10</v>
      </c>
      <c r="O5" s="49" t="s">
        <v>11</v>
      </c>
      <c r="R5" s="50" t="s">
        <v>12</v>
      </c>
    </row>
    <row r="6" spans="1:19" x14ac:dyDescent="0.5">
      <c r="A6" s="46">
        <v>1</v>
      </c>
      <c r="B6" s="47" t="s">
        <v>3149</v>
      </c>
      <c r="D6" s="51">
        <v>1</v>
      </c>
      <c r="F6" s="51" t="s">
        <v>157</v>
      </c>
      <c r="L6" s="52">
        <v>3</v>
      </c>
      <c r="O6" s="53" cm="1">
        <f t="array" ref="O6:O8">shift_arr(D6:D8,F6)</f>
        <v>3</v>
      </c>
      <c r="R6" s="54" t="str" cm="1">
        <f t="array" ref="R6">IF(AND(L6:L8=O6:O8),"PASS","FAIL")</f>
        <v>PASS</v>
      </c>
    </row>
    <row r="7" spans="1:19" x14ac:dyDescent="0.5">
      <c r="A7" s="55"/>
      <c r="B7" s="55"/>
      <c r="D7" s="51">
        <v>2</v>
      </c>
      <c r="L7" s="52">
        <v>1</v>
      </c>
      <c r="O7" s="53">
        <v>1</v>
      </c>
    </row>
    <row r="8" spans="1:19" x14ac:dyDescent="0.5">
      <c r="A8" s="55"/>
      <c r="B8" s="55"/>
      <c r="D8" s="51">
        <v>3</v>
      </c>
      <c r="L8" s="52">
        <v>2</v>
      </c>
      <c r="O8" s="53">
        <v>2</v>
      </c>
    </row>
    <row r="10" spans="1:19" x14ac:dyDescent="0.5">
      <c r="A10" s="46">
        <v>2</v>
      </c>
      <c r="B10" s="47" t="s">
        <v>3150</v>
      </c>
      <c r="D10" s="51">
        <v>1</v>
      </c>
      <c r="F10" s="51" t="s">
        <v>159</v>
      </c>
      <c r="L10" s="52">
        <v>2</v>
      </c>
      <c r="O10" s="53" cm="1">
        <f t="array" ref="O10:O12">shift_arr(D10:D12,F10)</f>
        <v>2</v>
      </c>
      <c r="R10" s="54" t="str" cm="1">
        <f t="array" ref="R10">IF(AND(L10:L12=O10:O12),"PASS","FAIL")</f>
        <v>PASS</v>
      </c>
    </row>
    <row r="11" spans="1:19" x14ac:dyDescent="0.5">
      <c r="A11" s="55"/>
      <c r="B11" s="55"/>
      <c r="D11" s="51">
        <v>2</v>
      </c>
      <c r="L11" s="52">
        <v>3</v>
      </c>
      <c r="O11" s="53">
        <v>3</v>
      </c>
    </row>
    <row r="12" spans="1:19" x14ac:dyDescent="0.5">
      <c r="A12" s="55"/>
      <c r="B12" s="55"/>
      <c r="D12" s="51">
        <v>3</v>
      </c>
      <c r="L12" s="52">
        <v>1</v>
      </c>
      <c r="O12" s="53">
        <v>1</v>
      </c>
    </row>
    <row r="14" spans="1:19" x14ac:dyDescent="0.5">
      <c r="A14" s="46">
        <v>3</v>
      </c>
      <c r="B14" s="47" t="s">
        <v>3613</v>
      </c>
      <c r="D14" s="51">
        <v>1</v>
      </c>
      <c r="F14" s="51" t="s">
        <v>157</v>
      </c>
      <c r="H14" s="51">
        <v>0</v>
      </c>
      <c r="J14" s="51">
        <v>1</v>
      </c>
      <c r="L14" s="52">
        <v>0</v>
      </c>
      <c r="O14" s="53" cm="1">
        <f t="array" ref="O14:O16">shift_arr(D14:D16,F14,H14,J14)</f>
        <v>0</v>
      </c>
      <c r="R14" s="54" t="str" cm="1">
        <f t="array" ref="R14">IF(AND(L14:L16=O14:O16),"PASS","FAIL")</f>
        <v>PASS</v>
      </c>
    </row>
    <row r="15" spans="1:19" x14ac:dyDescent="0.5">
      <c r="A15" s="55"/>
      <c r="B15" s="55"/>
      <c r="D15" s="51">
        <v>2</v>
      </c>
      <c r="L15" s="52">
        <v>1</v>
      </c>
      <c r="O15" s="53">
        <v>1</v>
      </c>
    </row>
    <row r="16" spans="1:19" x14ac:dyDescent="0.5">
      <c r="A16" s="55"/>
      <c r="B16" s="55"/>
      <c r="D16" s="51">
        <v>3</v>
      </c>
      <c r="L16" s="52">
        <v>2</v>
      </c>
      <c r="O16" s="53">
        <v>2</v>
      </c>
    </row>
    <row r="18" spans="1:18" x14ac:dyDescent="0.5">
      <c r="A18" s="46">
        <v>4</v>
      </c>
      <c r="B18" s="47" t="s">
        <v>3151</v>
      </c>
      <c r="D18" s="51">
        <v>1</v>
      </c>
      <c r="E18" s="51">
        <v>2</v>
      </c>
      <c r="G18" s="51" t="s">
        <v>191</v>
      </c>
      <c r="L18" s="52">
        <v>2</v>
      </c>
      <c r="M18" s="52">
        <v>1</v>
      </c>
      <c r="O18" s="53" cm="1">
        <f t="array" ref="O18:P19">shift_arr(D18:E19,G18)</f>
        <v>2</v>
      </c>
      <c r="P18" s="53">
        <v>1</v>
      </c>
      <c r="R18" s="54" t="str" cm="1">
        <f t="array" ref="R18">IF(AND(L18:M19=O18:P19),"PASS","FAIL")</f>
        <v>PASS</v>
      </c>
    </row>
    <row r="19" spans="1:18" x14ac:dyDescent="0.5">
      <c r="A19" s="55"/>
      <c r="B19" s="55"/>
      <c r="D19" s="51">
        <v>3</v>
      </c>
      <c r="E19" s="51">
        <v>4</v>
      </c>
      <c r="L19" s="52">
        <v>4</v>
      </c>
      <c r="M19" s="52">
        <v>3</v>
      </c>
      <c r="O19" s="53">
        <v>4</v>
      </c>
      <c r="P19" s="53">
        <v>3</v>
      </c>
    </row>
    <row r="21" spans="1:18" x14ac:dyDescent="0.5">
      <c r="A21" s="46">
        <v>5</v>
      </c>
      <c r="B21" s="47" t="s">
        <v>3280</v>
      </c>
      <c r="D21" s="51">
        <v>1</v>
      </c>
      <c r="F21" s="51" t="s">
        <v>3275</v>
      </c>
      <c r="L21" s="52" t="str">
        <f>""</f>
        <v/>
      </c>
      <c r="O21" s="53" t="str" cm="1">
        <f t="array" ref="O21">shift_arr(D21,F21)</f>
        <v/>
      </c>
      <c r="R21" s="54" t="str">
        <f>IF(O21=L21,"PASS","FAIL")</f>
        <v>PASS</v>
      </c>
    </row>
    <row r="23" spans="1:18" x14ac:dyDescent="0.5">
      <c r="A23" s="46">
        <v>6</v>
      </c>
      <c r="B23" s="47" t="s">
        <v>3614</v>
      </c>
      <c r="D23" s="51">
        <v>1</v>
      </c>
      <c r="F23" s="51">
        <v>1000000</v>
      </c>
      <c r="L23" s="52">
        <v>3</v>
      </c>
      <c r="O23" s="53" cm="1">
        <f t="array" ref="O23:O25">shift_arr(D23:D25,F23)</f>
        <v>3</v>
      </c>
      <c r="R23" s="54" t="str" cm="1">
        <f t="array" ref="R23">IF(AND(L23:L25=O23:O25),"PASS","FAIL")</f>
        <v>PASS</v>
      </c>
    </row>
    <row r="24" spans="1:18" x14ac:dyDescent="0.5">
      <c r="D24" s="51">
        <v>2</v>
      </c>
      <c r="L24" s="52">
        <v>1</v>
      </c>
      <c r="O24">
        <v>1</v>
      </c>
    </row>
    <row r="25" spans="1:18" x14ac:dyDescent="0.5">
      <c r="D25" s="51">
        <v>3</v>
      </c>
      <c r="L25" s="52">
        <v>2</v>
      </c>
      <c r="O25">
        <v>2</v>
      </c>
    </row>
    <row r="27" spans="1:18" x14ac:dyDescent="0.5">
      <c r="A27" s="46">
        <v>7</v>
      </c>
      <c r="B27" s="47" t="s">
        <v>3615</v>
      </c>
      <c r="D27" s="51">
        <v>1</v>
      </c>
      <c r="F27" s="51" t="s">
        <v>157</v>
      </c>
      <c r="H27" s="51">
        <v>9</v>
      </c>
      <c r="J27" s="51">
        <v>2</v>
      </c>
      <c r="L27" s="52">
        <v>9</v>
      </c>
      <c r="O27" s="53" cm="1">
        <f t="array" ref="O27:O29">shift_arr(D27:D29,F27,H27,J27)</f>
        <v>9</v>
      </c>
      <c r="R27" s="54" t="str" cm="1">
        <f t="array" ref="R27">IF(AND(L27:L29=O27:O29),"PASS","FAIL")</f>
        <v>PASS</v>
      </c>
    </row>
    <row r="28" spans="1:18" x14ac:dyDescent="0.5">
      <c r="D28" s="51">
        <v>2</v>
      </c>
      <c r="L28" s="52">
        <v>9</v>
      </c>
      <c r="O28">
        <v>9</v>
      </c>
    </row>
    <row r="29" spans="1:18" x14ac:dyDescent="0.5">
      <c r="D29" s="51">
        <v>3</v>
      </c>
      <c r="L29" s="52">
        <v>1</v>
      </c>
      <c r="O29">
        <v>1</v>
      </c>
    </row>
  </sheetData>
  <mergeCells count="3">
    <mergeCell ref="I1:R1"/>
    <mergeCell ref="B2:R2"/>
    <mergeCell ref="B1:F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BF7C7-B242-43F6-8833-7A2AD88E2BD2}">
  <sheetPr codeName="Sheet87"/>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smallest(check, return)</v>
      </c>
      <c r="C1" s="79"/>
      <c r="D1" s="79"/>
      <c r="E1" s="79"/>
      <c r="F1" s="80"/>
      <c r="H1" s="45" t="s">
        <v>2</v>
      </c>
      <c r="I1" s="78" t="str" cm="1">
        <f t="array" aca="1" ref="I1" ca="1">_xlfn.LET(_xlpm.fn, CELL("filename",$A$1), _xlpm.nm, MID(_xlpm.fn, FIND("]", _xlpm.fn) + 1, 255), _xlfn.XLOOKUP(_xlpm.nm &amp; "(*", Lamb!$A$2:$A$1000, Lamb!$D$2:$D$1000, "", 2))</f>
        <v>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IFNA(XLOOKUP(MIN(check), check, return), ""))</v>
      </c>
      <c r="C2" s="82"/>
      <c r="D2" s="82"/>
      <c r="E2" s="82"/>
      <c r="F2" s="82"/>
      <c r="G2" s="82"/>
      <c r="H2" s="82"/>
      <c r="I2" s="82"/>
      <c r="J2" s="82"/>
      <c r="K2" s="82"/>
      <c r="L2" s="82"/>
      <c r="M2" s="82"/>
      <c r="N2" s="82"/>
      <c r="O2" s="82"/>
      <c r="P2" s="82"/>
      <c r="Q2" s="82"/>
      <c r="R2" s="82"/>
    </row>
    <row r="4" spans="1:19" x14ac:dyDescent="0.5">
      <c r="A4" s="45" t="s">
        <v>3152</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3153</v>
      </c>
      <c r="D6" s="51">
        <v>30</v>
      </c>
      <c r="F6" s="51" t="s">
        <v>2937</v>
      </c>
      <c r="H6" s="52" t="s">
        <v>2937</v>
      </c>
      <c r="J6" s="53" t="str" cm="1">
        <f t="array" ref="J6">smallest(D6:D8,F6:F8)</f>
        <v>a</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3154</v>
      </c>
      <c r="D10" s="51">
        <v>5</v>
      </c>
      <c r="F10" s="51" t="s">
        <v>2948</v>
      </c>
      <c r="H10" s="52" t="s">
        <v>2950</v>
      </c>
      <c r="J10" s="53" t="str" cm="1">
        <f t="array" ref="J10">smallest(D10:D13,F10:F13)</f>
        <v>r</v>
      </c>
      <c r="L10" s="54" t="str">
        <f>IF(J10=H10,"PASS","FAIL")</f>
        <v>PASS</v>
      </c>
    </row>
    <row r="11" spans="1:19" x14ac:dyDescent="0.5">
      <c r="A11" s="55"/>
      <c r="B11" s="55"/>
      <c r="D11" s="51">
        <v>9</v>
      </c>
      <c r="F11" s="51" t="s">
        <v>2949</v>
      </c>
    </row>
    <row r="12" spans="1:19" x14ac:dyDescent="0.5">
      <c r="A12" s="55"/>
      <c r="B12" s="55"/>
      <c r="D12" s="51">
        <v>2</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smallest(D15,F15)</f>
        <v/>
      </c>
      <c r="L15" s="54" t="str">
        <f>IF(J15=H15,"PASS","FAIL")</f>
        <v>PASS</v>
      </c>
    </row>
  </sheetData>
  <mergeCells count="3">
    <mergeCell ref="I1:R1"/>
    <mergeCell ref="B2:R2"/>
    <mergeCell ref="B1:F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42F4D-C1A6-40E1-89FA-05F7AC7D55E2}">
  <sheetPr codeName="Sheet89"/>
  <dimension ref="A1:S20"/>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94" customHeight="1" x14ac:dyDescent="0.5">
      <c r="A1" s="45" t="s">
        <v>0</v>
      </c>
      <c r="B1" s="83" t="str" cm="1">
        <f t="array" aca="1" ref="B1" ca="1">_xlfn.LET(_xlpm.fn, CELL("filename",$A$1), _xlpm.nm, MID(_xlpm.fn, FIND("]", _xlpm.fn) + 1, 255), _xlfn.XLOOKUP(_xlpm.nm &amp; "(*", Lamb!$A$2:$A$1000, Lamb!$A$2:$A$1000, "", 2))</f>
        <v>str_ad(ad_or_rng)</v>
      </c>
      <c r="C1" s="79"/>
      <c r="D1" s="79"/>
      <c r="E1" s="79"/>
      <c r="F1" s="80"/>
      <c r="H1" s="45" t="s">
        <v>2</v>
      </c>
      <c r="I1" s="78" t="str" cm="1">
        <f t="array" aca="1" ref="I1" ca="1">_xlfn.LET(_xlpm.fn, CELL("filename",$A$1), _xlpm.nm, MID(_xlpm.fn, FIND("]", _xlpm.fn) + 1, 255), _xlfn.XLOOKUP(_xlpm.nm &amp; "(*", Lamb!$A$2:$A$1000, Lamb!$D$2:$D$1000, "", 2))</f>
        <v>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v>
      </c>
      <c r="C2" s="82"/>
      <c r="D2" s="82"/>
      <c r="E2" s="82"/>
      <c r="F2" s="82"/>
      <c r="G2" s="82"/>
      <c r="H2" s="82"/>
      <c r="I2" s="82"/>
      <c r="J2" s="82"/>
      <c r="K2" s="82"/>
      <c r="L2" s="82"/>
      <c r="M2" s="82"/>
      <c r="N2" s="82"/>
      <c r="O2" s="82"/>
      <c r="P2" s="82"/>
      <c r="Q2" s="82"/>
      <c r="R2" s="82"/>
    </row>
    <row r="4" spans="1:19" x14ac:dyDescent="0.5">
      <c r="A4" s="45" t="s">
        <v>3531</v>
      </c>
      <c r="J4" s="45" t="str">
        <f>COUNTIF(J6:J40,"PASS")&amp;" / 7 PASS"</f>
        <v>7 / 7 PASS</v>
      </c>
    </row>
    <row r="5" spans="1:19" x14ac:dyDescent="0.5">
      <c r="A5" s="45" t="s">
        <v>7</v>
      </c>
      <c r="B5" s="45" t="s">
        <v>8</v>
      </c>
      <c r="D5" s="45" t="s">
        <v>9</v>
      </c>
      <c r="F5" s="48" t="s">
        <v>10</v>
      </c>
      <c r="H5" s="49" t="s">
        <v>11</v>
      </c>
      <c r="J5" s="50" t="s">
        <v>12</v>
      </c>
    </row>
    <row r="6" spans="1:19" x14ac:dyDescent="0.5">
      <c r="A6" s="46">
        <v>1</v>
      </c>
      <c r="B6" s="47" t="s">
        <v>3161</v>
      </c>
      <c r="D6" s="51">
        <v>3000004</v>
      </c>
      <c r="F6" s="52" t="s">
        <v>3057</v>
      </c>
      <c r="H6" s="53" t="str" cm="1">
        <f t="array" ref="H6">str_ad(D6)</f>
        <v>D3</v>
      </c>
      <c r="J6" s="54" t="str">
        <f>IF(H6=F6,"PASS","FAIL")</f>
        <v>PASS</v>
      </c>
    </row>
    <row r="7" spans="1:19" x14ac:dyDescent="0.5">
      <c r="F7" s="52"/>
      <c r="H7" s="53"/>
      <c r="J7" s="54"/>
    </row>
    <row r="8" spans="1:19" x14ac:dyDescent="0.5">
      <c r="A8" s="46">
        <v>2</v>
      </c>
      <c r="B8" s="47" t="s">
        <v>3162</v>
      </c>
      <c r="D8" s="51" t="s">
        <v>3057</v>
      </c>
      <c r="F8" s="52" t="s">
        <v>3057</v>
      </c>
      <c r="H8" s="53" t="str" cm="1">
        <f t="array" ref="H8">str_ad(D8)</f>
        <v>D3</v>
      </c>
      <c r="J8" s="54" t="str">
        <f>IF(H8=F8,"PASS","FAIL")</f>
        <v>PASS</v>
      </c>
    </row>
    <row r="9" spans="1:19" x14ac:dyDescent="0.5">
      <c r="F9" s="52"/>
      <c r="H9" s="53"/>
      <c r="J9" s="54"/>
    </row>
    <row r="10" spans="1:19" x14ac:dyDescent="0.5">
      <c r="A10" s="46">
        <v>3</v>
      </c>
      <c r="B10" s="47" t="s">
        <v>3163</v>
      </c>
      <c r="D10" s="51">
        <v>2000000</v>
      </c>
      <c r="F10" s="52">
        <v>2000000</v>
      </c>
      <c r="H10" s="53" cm="1">
        <f t="array" ref="H10">str_ad(D10)</f>
        <v>2000000</v>
      </c>
      <c r="J10" s="54" t="str">
        <f>IF(H10=F10,"PASS","FAIL")</f>
        <v>PASS</v>
      </c>
    </row>
    <row r="11" spans="1:19" x14ac:dyDescent="0.5">
      <c r="F11" s="52"/>
      <c r="H11" s="53"/>
      <c r="J11" s="54"/>
    </row>
    <row r="12" spans="1:19" x14ac:dyDescent="0.5">
      <c r="A12" s="46">
        <v>4</v>
      </c>
      <c r="B12" s="47" t="s">
        <v>3164</v>
      </c>
      <c r="D12" s="51">
        <v>1000001</v>
      </c>
      <c r="F12" s="52" t="s">
        <v>2925</v>
      </c>
      <c r="H12" s="53" t="str" cm="1">
        <f t="array" ref="H12:H13">str_ad(D12:D13)</f>
        <v>A1</v>
      </c>
      <c r="J12" s="54" t="str" cm="1">
        <f t="array" ref="J12">IF(AND(F12:F13=H12:H13),"PASS","FAIL")</f>
        <v>PASS</v>
      </c>
    </row>
    <row r="13" spans="1:19" x14ac:dyDescent="0.5">
      <c r="A13" s="55"/>
      <c r="B13" s="55"/>
      <c r="D13" s="51">
        <v>2000002</v>
      </c>
      <c r="F13" s="52" t="s">
        <v>3049</v>
      </c>
      <c r="H13" s="53" t="str">
        <v>B2</v>
      </c>
      <c r="J13" s="54"/>
    </row>
    <row r="14" spans="1:19" x14ac:dyDescent="0.5">
      <c r="J14" s="54"/>
    </row>
    <row r="15" spans="1:19" x14ac:dyDescent="0.5">
      <c r="A15">
        <v>5</v>
      </c>
      <c r="B15" s="55" t="s">
        <v>3532</v>
      </c>
      <c r="D15" s="51" t="s">
        <v>3518</v>
      </c>
      <c r="F15" s="52" t="s">
        <v>2925</v>
      </c>
      <c r="G15" s="52" t="s">
        <v>3021</v>
      </c>
      <c r="H15" s="53" t="str" cm="1">
        <f t="array" ref="H15:I16">str_ad(D15)</f>
        <v>A1</v>
      </c>
      <c r="I15" s="53" t="str">
        <v>B1</v>
      </c>
      <c r="J15" s="54" t="str" cm="1">
        <f t="array" ref="J15">IF(AND(F15:G16=H15:I16),"PASS","FAIL")</f>
        <v>PASS</v>
      </c>
    </row>
    <row r="16" spans="1:19" x14ac:dyDescent="0.5">
      <c r="F16" s="52" t="s">
        <v>3050</v>
      </c>
      <c r="G16" s="52" t="s">
        <v>3049</v>
      </c>
      <c r="H16" s="53" t="str">
        <v>A2</v>
      </c>
      <c r="I16" s="53" t="str">
        <v>B2</v>
      </c>
      <c r="J16" s="54"/>
    </row>
    <row r="17" spans="1:10" x14ac:dyDescent="0.5">
      <c r="J17" s="54"/>
    </row>
    <row r="18" spans="1:10" x14ac:dyDescent="0.5">
      <c r="A18">
        <v>6</v>
      </c>
      <c r="B18" t="s">
        <v>3533</v>
      </c>
      <c r="D18" t="s">
        <v>3534</v>
      </c>
      <c r="F18" s="52" t="s">
        <v>3049</v>
      </c>
      <c r="G18" s="52" t="s">
        <v>3051</v>
      </c>
      <c r="H18" s="53" t="str" cm="1">
        <f t="array" ref="H18:I18">str_ad(D18)</f>
        <v>B2</v>
      </c>
      <c r="I18" s="53" t="str">
        <v>C2</v>
      </c>
      <c r="J18" s="54" t="str" cm="1">
        <f t="array" ref="J18">IF(AND(F18:G18=H18:I18),"PASS","FAIL")</f>
        <v>PASS</v>
      </c>
    </row>
    <row r="19" spans="1:10" x14ac:dyDescent="0.5">
      <c r="J19" s="54"/>
    </row>
    <row r="20" spans="1:10" x14ac:dyDescent="0.5">
      <c r="A20">
        <v>7</v>
      </c>
      <c r="B20" t="s">
        <v>3529</v>
      </c>
      <c r="H20" s="53" t="str" cm="1">
        <f t="array" ref="H20">str_ad(D20)</f>
        <v/>
      </c>
      <c r="J20" s="54" t="str">
        <f>IF(AND(H20="",NOT(H20=0)),"PASS","FAIL")</f>
        <v>PASS</v>
      </c>
    </row>
  </sheetData>
  <mergeCells count="3">
    <mergeCell ref="I1:R1"/>
    <mergeCell ref="B2:R2"/>
    <mergeCell ref="B1:F1"/>
  </mergeCell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EFBC7-6C72-4EEB-87EC-85F288E165B0}">
  <sheetPr codeName="Sheet90"/>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str_rev(str)</v>
      </c>
      <c r="C1" s="79"/>
      <c r="D1" s="79"/>
      <c r="E1" s="79"/>
      <c r="F1" s="80"/>
      <c r="H1" s="45" t="s">
        <v>2</v>
      </c>
      <c r="I1" s="78" t="str" cm="1">
        <f t="array" aca="1" ref="I1" ca="1">_xlfn.LET(_xlpm.fn, CELL("filename",$A$1), _xlpm.nm, MID(_xlpm.fn, FIND("]", _xlpm.fn) + 1, 255), _xlfn.XLOOKUP(_xlpm.nm &amp; "(*", Lamb!$A$2:$A$1000, Lamb!$D$2:$D$1000, "", 2))</f>
        <v>Reverses the characters of a string.
Arguments:
  str - the text to reverse.
Returns:
  The string reversed. Works on arrays of strings.
Example:
  str_rev("abc")  -&gt;  "cba"</v>
      </c>
      <c r="J1" s="79"/>
      <c r="K1" s="79"/>
      <c r="L1" s="79"/>
      <c r="M1" s="79"/>
      <c r="N1" s="79"/>
      <c r="O1" s="79"/>
      <c r="P1" s="79"/>
      <c r="Q1" s="79"/>
      <c r="R1" s="80"/>
      <c r="S1" s="77" t="str">
        <f>HYPERLINK("#lambda_tests!A1","&lt;- test summary")</f>
        <v>&lt;- test summary</v>
      </c>
    </row>
    <row r="2" spans="1:19" ht="210" customHeight="1" x14ac:dyDescent="0.5">
      <c r="A2" s="45" t="s">
        <v>4</v>
      </c>
      <c r="B2" s="81" t="str" cm="1">
        <f t="array" aca="1" ref="B2" ca="1">_xlfn.LET(_xlpm.fn, CELL("filename",$A$1), _xlpm.nm, MID(_xlpm.fn, FIND("]", _xlpm.fn) + 1, 255), _xlfn.XLOOKUP(_xlpm.nm &amp; "(*", Lamb!$A$2:$A$1000, Lamb!$C$2:$C$1000, "", 2))</f>
        <v>=LAMBDA(str,
   IF(
      ROWS(str) * COLUMNS(str) = 1,
      TEXTJOIN("", , MID(str, SEQUENCE(LEN(str), , LEN(str), -1), 1)),
      BYROW(
         str,
         LAMBDA(x, TEXTJOIN("", , MID(x, SEQUENCE(LEN(x), , LEN(x), -1), 1)))
      )
   )
)</v>
      </c>
      <c r="C2" s="82"/>
      <c r="D2" s="82"/>
      <c r="E2" s="82"/>
      <c r="F2" s="82"/>
      <c r="G2" s="82"/>
      <c r="H2" s="82"/>
      <c r="I2" s="82"/>
      <c r="J2" s="82"/>
      <c r="K2" s="82"/>
      <c r="L2" s="82"/>
      <c r="M2" s="82"/>
      <c r="N2" s="82"/>
      <c r="O2" s="82"/>
      <c r="P2" s="82"/>
      <c r="Q2" s="82"/>
      <c r="R2" s="82"/>
    </row>
    <row r="4" spans="1:19" x14ac:dyDescent="0.5">
      <c r="A4" s="45" t="s">
        <v>3165</v>
      </c>
      <c r="J4" s="45" t="str">
        <f>COUNTIF(J6:J15,"PASS")&amp;" / 4 PASS"</f>
        <v>4 / 4 PASS</v>
      </c>
    </row>
    <row r="5" spans="1:19" x14ac:dyDescent="0.5">
      <c r="A5" s="45" t="s">
        <v>7</v>
      </c>
      <c r="B5" s="45" t="s">
        <v>8</v>
      </c>
      <c r="D5" s="45" t="s">
        <v>9</v>
      </c>
      <c r="F5" s="48" t="s">
        <v>10</v>
      </c>
      <c r="H5" s="49" t="s">
        <v>11</v>
      </c>
      <c r="J5" s="50" t="s">
        <v>12</v>
      </c>
    </row>
    <row r="6" spans="1:19" x14ac:dyDescent="0.5">
      <c r="A6" s="46">
        <v>1</v>
      </c>
      <c r="B6" s="47" t="s">
        <v>3072</v>
      </c>
      <c r="D6" s="51" t="s">
        <v>3072</v>
      </c>
      <c r="F6" s="52" t="s">
        <v>3166</v>
      </c>
      <c r="H6" s="53" t="str" cm="1">
        <f t="array" ref="H6">str_rev(D6)</f>
        <v>cba</v>
      </c>
      <c r="J6" s="54" t="str">
        <f>IF(H6=F6,"PASS","FAIL")</f>
        <v>PASS</v>
      </c>
    </row>
    <row r="8" spans="1:19" x14ac:dyDescent="0.5">
      <c r="A8" s="46">
        <v>2</v>
      </c>
      <c r="B8" s="47" t="s">
        <v>3167</v>
      </c>
      <c r="D8" s="51" t="s">
        <v>3167</v>
      </c>
      <c r="F8" s="52" t="s">
        <v>3168</v>
      </c>
      <c r="H8" s="53" t="str" cm="1">
        <f t="array" ref="H8">str_rev(D8)</f>
        <v>olleh</v>
      </c>
      <c r="J8" s="54" t="str">
        <f>IF(H8=F8,"PASS","FAIL")</f>
        <v>PASS</v>
      </c>
    </row>
    <row r="10" spans="1:19" x14ac:dyDescent="0.5">
      <c r="A10" s="46">
        <v>3</v>
      </c>
      <c r="B10" s="47" t="s">
        <v>3169</v>
      </c>
      <c r="D10" s="51" t="s">
        <v>3170</v>
      </c>
      <c r="F10" s="52" t="s">
        <v>3171</v>
      </c>
      <c r="H10" s="53" t="str" cm="1">
        <f t="array" ref="H10">str_rev(D10)</f>
        <v>b1A</v>
      </c>
      <c r="J10" s="54" t="str">
        <f>IF(H10=F10,"PASS","FAIL")</f>
        <v>PASS</v>
      </c>
    </row>
    <row r="12" spans="1:19" x14ac:dyDescent="0.5">
      <c r="A12" s="46">
        <v>4</v>
      </c>
      <c r="B12" s="47" t="s">
        <v>3094</v>
      </c>
      <c r="D12" s="51" t="s">
        <v>3072</v>
      </c>
      <c r="F12" s="52" t="s">
        <v>3166</v>
      </c>
      <c r="H12" s="53" t="str" cm="1">
        <f t="array" ref="H12:H13">str_rev(D12:D13)</f>
        <v>cba</v>
      </c>
      <c r="J12" s="54" t="str" cm="1">
        <f t="array" ref="J12">IF(AND(F12:F13=H12:H13),"PASS","FAIL")</f>
        <v>PASS</v>
      </c>
    </row>
    <row r="13" spans="1:19" x14ac:dyDescent="0.5">
      <c r="A13" s="55"/>
      <c r="B13" s="55"/>
      <c r="D13" s="51" t="s">
        <v>3172</v>
      </c>
      <c r="F13" s="52" t="s">
        <v>3173</v>
      </c>
      <c r="H13" s="53" t="str">
        <v>yx</v>
      </c>
    </row>
  </sheetData>
  <mergeCells count="3">
    <mergeCell ref="I1:R1"/>
    <mergeCell ref="B2:R2"/>
    <mergeCell ref="B1:F1"/>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8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s">
        <v>3155</v>
      </c>
      <c r="P4" s="45" t="str">
        <f>COUNTIF(P6:P16,"PASS")&amp;" / 3 PASS"</f>
        <v>3 / 3 PASS</v>
      </c>
    </row>
    <row r="5" spans="1:19" x14ac:dyDescent="0.5">
      <c r="A5" s="45" t="s">
        <v>7</v>
      </c>
      <c r="B5" s="45" t="s">
        <v>8</v>
      </c>
      <c r="D5" s="45" t="s">
        <v>9</v>
      </c>
      <c r="H5" s="48" t="s">
        <v>10</v>
      </c>
      <c r="L5" s="49" t="s">
        <v>11</v>
      </c>
      <c r="P5" s="50" t="s">
        <v>12</v>
      </c>
    </row>
    <row r="6" spans="1:19" x14ac:dyDescent="0.5">
      <c r="A6" s="46">
        <v>1</v>
      </c>
      <c r="B6" s="47" t="s">
        <v>3156</v>
      </c>
      <c r="D6" s="51" t="s">
        <v>3072</v>
      </c>
      <c r="H6" s="52" t="s">
        <v>2937</v>
      </c>
      <c r="L6" s="53" t="str" cm="1">
        <f t="array" ref="L6:L8">str_to_arr(D6)</f>
        <v>a</v>
      </c>
      <c r="P6" s="54" t="str" cm="1">
        <f t="array" ref="P6">IF(AND(H6:H8=L6:L8),"PASS","FAIL")</f>
        <v>PASS</v>
      </c>
    </row>
    <row r="7" spans="1:19" x14ac:dyDescent="0.5">
      <c r="A7" s="55"/>
      <c r="B7" s="55"/>
      <c r="H7" s="52" t="s">
        <v>2938</v>
      </c>
      <c r="L7" s="53" t="str">
        <v>b</v>
      </c>
    </row>
    <row r="8" spans="1:19" x14ac:dyDescent="0.5">
      <c r="A8" s="55"/>
      <c r="B8" s="55"/>
      <c r="H8" s="52" t="s">
        <v>2946</v>
      </c>
      <c r="L8" s="53" t="str">
        <v>c</v>
      </c>
    </row>
    <row r="10" spans="1:19" x14ac:dyDescent="0.5">
      <c r="A10" s="46">
        <v>2</v>
      </c>
      <c r="B10" s="47" t="s">
        <v>3157</v>
      </c>
      <c r="D10" s="51" t="s">
        <v>3158</v>
      </c>
      <c r="H10" s="52" t="s">
        <v>2957</v>
      </c>
      <c r="L10" s="53" t="str" cm="1">
        <f t="array" ref="L10:L12">str_to_arr(D10)</f>
        <v>x</v>
      </c>
      <c r="P10" s="54" t="str" cm="1">
        <f t="array" ref="P10">IF(AND(H10:H12=L10:L12),"PASS","FAIL")</f>
        <v>PASS</v>
      </c>
    </row>
    <row r="11" spans="1:19" x14ac:dyDescent="0.5">
      <c r="A11" s="55"/>
      <c r="B11" s="55"/>
      <c r="H11" s="52">
        <v>1</v>
      </c>
      <c r="L11" s="53">
        <v>1</v>
      </c>
    </row>
    <row r="12" spans="1:19" x14ac:dyDescent="0.5">
      <c r="A12" s="55"/>
      <c r="B12" s="55"/>
      <c r="H12" s="52" t="s">
        <v>3159</v>
      </c>
      <c r="L12" s="53" t="str">
        <v>y</v>
      </c>
    </row>
    <row r="14" spans="1:19" x14ac:dyDescent="0.5">
      <c r="A14" s="46">
        <v>3</v>
      </c>
      <c r="B14" s="47" t="s">
        <v>3160</v>
      </c>
      <c r="D14" s="51" t="s">
        <v>3072</v>
      </c>
      <c r="F14" s="51">
        <v>1</v>
      </c>
      <c r="H14" s="52" t="s">
        <v>2937</v>
      </c>
      <c r="I14" s="52" t="s">
        <v>2938</v>
      </c>
      <c r="J14" s="52" t="s">
        <v>2946</v>
      </c>
      <c r="L14" s="53" t="str" cm="1">
        <f t="array" ref="L14:N14">str_to_arr(D14,F14)</f>
        <v>a</v>
      </c>
      <c r="M14" s="53" t="str">
        <v>b</v>
      </c>
      <c r="N14" s="53" t="str">
        <v>c</v>
      </c>
      <c r="P14" s="54" t="str" cm="1">
        <f t="array" ref="P14">IF(AND(H14:J14=L14:N14),"PASS","FAIL")</f>
        <v>PASS</v>
      </c>
    </row>
  </sheetData>
  <mergeCells count="3">
    <mergeCell ref="I1:R1"/>
    <mergeCell ref="B2:R2"/>
    <mergeCell ref="B1:F1"/>
  </mergeCell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FC01C-B71A-4079-B066-EEEEF32D556E}">
  <sheetPr codeName="Sheet91"/>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textbetween(str_or_arr, prefix, suffix)</v>
      </c>
      <c r="C1" s="79"/>
      <c r="D1" s="79"/>
      <c r="E1" s="79"/>
      <c r="F1" s="80"/>
      <c r="H1" s="45" t="s">
        <v>2</v>
      </c>
      <c r="I1" s="78" t="str" cm="1">
        <f t="array" aca="1" ref="I1" ca="1">_xlfn.LET(_xlpm.fn, CELL("filename",$A$1), _xlpm.nm, MID(_xlpm.fn, FIND("]", _xlpm.fn) + 1, 255), _xlfn.XLOOKUP(_xlpm.nm &amp; "(*", Lamb!$A$2:$A$1000, Lamb!$D$2:$D$1000, "", 2))</f>
        <v>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v>
      </c>
      <c r="C2" s="82"/>
      <c r="D2" s="82"/>
      <c r="E2" s="82"/>
      <c r="F2" s="82"/>
      <c r="G2" s="82"/>
      <c r="H2" s="82"/>
      <c r="I2" s="82"/>
      <c r="J2" s="82"/>
      <c r="K2" s="82"/>
      <c r="L2" s="82"/>
      <c r="M2" s="82"/>
      <c r="N2" s="82"/>
      <c r="O2" s="82"/>
      <c r="P2" s="82"/>
      <c r="Q2" s="82"/>
      <c r="R2" s="82"/>
    </row>
    <row r="4" spans="1:19" x14ac:dyDescent="0.5">
      <c r="A4" s="45" t="s">
        <v>3174</v>
      </c>
      <c r="N4" s="45" t="str">
        <f>COUNTIF(N6:N17,"PASS")&amp;" / 5 PASS"</f>
        <v>5 / 5 PASS</v>
      </c>
    </row>
    <row r="5" spans="1:19" x14ac:dyDescent="0.5">
      <c r="A5" s="45" t="s">
        <v>7</v>
      </c>
      <c r="B5" s="45" t="s">
        <v>8</v>
      </c>
      <c r="D5" s="45" t="s">
        <v>9</v>
      </c>
      <c r="J5" s="48" t="s">
        <v>10</v>
      </c>
      <c r="L5" s="49" t="s">
        <v>11</v>
      </c>
      <c r="N5" s="50" t="s">
        <v>12</v>
      </c>
    </row>
    <row r="6" spans="1:19" x14ac:dyDescent="0.5">
      <c r="A6" s="46">
        <v>1</v>
      </c>
      <c r="B6" s="47" t="s">
        <v>3175</v>
      </c>
      <c r="D6" s="51" t="s">
        <v>3176</v>
      </c>
      <c r="F6" s="51" t="s">
        <v>3177</v>
      </c>
      <c r="H6" s="51" t="s">
        <v>3178</v>
      </c>
      <c r="J6" s="52" t="s">
        <v>2957</v>
      </c>
      <c r="L6" s="53" t="str" cm="1">
        <f t="array" ref="L6">textbetween(D6,F6,H6)</f>
        <v>x</v>
      </c>
      <c r="N6" s="54" t="str">
        <f>IF(L6=J6,"PASS","FAIL")</f>
        <v>PASS</v>
      </c>
    </row>
    <row r="8" spans="1:19" x14ac:dyDescent="0.5">
      <c r="A8" s="46">
        <v>2</v>
      </c>
      <c r="B8" s="47" t="s">
        <v>3179</v>
      </c>
      <c r="D8" s="51" t="s">
        <v>3180</v>
      </c>
      <c r="F8" s="51" t="s">
        <v>3181</v>
      </c>
      <c r="H8" s="51" t="s">
        <v>3182</v>
      </c>
      <c r="J8" s="52" t="s">
        <v>3063</v>
      </c>
      <c r="L8" s="53" t="str" cm="1">
        <f t="array" ref="L8">textbetween(D8,F8,H8)</f>
        <v>hi</v>
      </c>
      <c r="N8" s="54" t="str">
        <f>IF(L8=J8,"PASS","FAIL")</f>
        <v>PASS</v>
      </c>
    </row>
    <row r="10" spans="1:19" x14ac:dyDescent="0.5">
      <c r="A10" s="46">
        <v>3</v>
      </c>
      <c r="B10" s="47" t="s">
        <v>3183</v>
      </c>
      <c r="D10" s="51" t="s">
        <v>3184</v>
      </c>
      <c r="F10" s="51" t="s">
        <v>3185</v>
      </c>
      <c r="H10" s="51" t="s">
        <v>3186</v>
      </c>
      <c r="J10" s="52">
        <v>5</v>
      </c>
      <c r="L10" s="53" cm="1">
        <f t="array" ref="L10">textbetween(D10,F10,H10)</f>
        <v>5</v>
      </c>
      <c r="N10" s="54" t="str">
        <f>IF(L10=J10,"PASS","FAIL")</f>
        <v>PASS</v>
      </c>
    </row>
    <row r="12" spans="1:19" x14ac:dyDescent="0.5">
      <c r="A12" s="46">
        <v>4</v>
      </c>
      <c r="B12" s="47" t="s">
        <v>3187</v>
      </c>
      <c r="D12" s="51" t="s">
        <v>3072</v>
      </c>
      <c r="F12" s="51" t="s">
        <v>3177</v>
      </c>
      <c r="H12" s="51" t="s">
        <v>3178</v>
      </c>
      <c r="J12" s="52"/>
      <c r="L12" s="53" t="str" cm="1">
        <f t="array" ref="L12">textbetween(D12,F12,H12)</f>
        <v/>
      </c>
      <c r="N12" s="54" t="str">
        <f>IF(L12=J12,"PASS","FAIL")</f>
        <v>PASS</v>
      </c>
    </row>
    <row r="14" spans="1:19" x14ac:dyDescent="0.5">
      <c r="A14" s="46">
        <v>5</v>
      </c>
      <c r="B14" s="47" t="s">
        <v>3094</v>
      </c>
      <c r="D14" s="51" t="s">
        <v>3188</v>
      </c>
      <c r="F14" s="51" t="s">
        <v>3177</v>
      </c>
      <c r="H14" s="51" t="s">
        <v>3178</v>
      </c>
      <c r="J14" s="52" t="s">
        <v>2937</v>
      </c>
      <c r="L14" s="53" t="str" cm="1">
        <f t="array" ref="L14:L15">textbetween(D14:D15,F14,H14)</f>
        <v>a</v>
      </c>
      <c r="N14" s="54" t="str" cm="1">
        <f t="array" ref="N14">IF(AND(J14:J15=L14:L15),"PASS","FAIL")</f>
        <v>PASS</v>
      </c>
    </row>
    <row r="15" spans="1:19" x14ac:dyDescent="0.5">
      <c r="A15" s="55"/>
      <c r="B15" s="55"/>
      <c r="D15" s="51" t="s">
        <v>3189</v>
      </c>
      <c r="J15" s="52" t="s">
        <v>3190</v>
      </c>
      <c r="L15" s="53" t="str">
        <v>bc</v>
      </c>
    </row>
  </sheetData>
  <mergeCells count="3">
    <mergeCell ref="I1:R1"/>
    <mergeCell ref="B2:R2"/>
    <mergeCell ref="B1:F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49ED5-A141-457C-84EE-8D856A10B1C0}">
  <sheetPr codeName="Sheet92"/>
  <dimension ref="A1:S25"/>
  <sheetViews>
    <sheetView topLeftCell="A2" workbookViewId="0"/>
  </sheetViews>
  <sheetFormatPr defaultRowHeight="21" x14ac:dyDescent="0.5"/>
  <cols>
    <col min="1" max="1" width="4" customWidth="1"/>
    <col min="2" max="2" width="30" customWidth="1"/>
    <col min="4" max="8" width="11" customWidth="1"/>
    <col min="9" max="9" width="3" customWidth="1"/>
    <col min="10" max="11" width="11" customWidth="1"/>
    <col min="12" max="12" width="3" customWidth="1"/>
    <col min="13"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transform_array(arr, dir)</v>
      </c>
      <c r="C1" s="79"/>
      <c r="D1" s="79"/>
      <c r="E1" s="79"/>
      <c r="F1" s="80"/>
      <c r="H1" s="45" t="s">
        <v>2</v>
      </c>
      <c r="I1" s="78" t="str" cm="1">
        <f t="array" aca="1" ref="I1" ca="1">_xlfn.LET(_xlpm.fn, CELL("filename",$A$1), _xlpm.nm, MID(_xlpm.fn, FIND("]", _xlpm.fn) + 1, 255), _xlfn.XLOOKUP(_xlpm.nm &amp; "(*", Lamb!$A$2:$A$1000, Lamb!$D$2:$D$1000, "", 2))</f>
        <v>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v>
      </c>
      <c r="C2" s="82"/>
      <c r="D2" s="82"/>
      <c r="E2" s="82"/>
      <c r="F2" s="82"/>
      <c r="G2" s="82"/>
      <c r="H2" s="82"/>
      <c r="I2" s="82"/>
      <c r="J2" s="82"/>
      <c r="K2" s="82"/>
      <c r="L2" s="82"/>
      <c r="M2" s="82"/>
      <c r="N2" s="82"/>
      <c r="O2" s="82"/>
      <c r="P2" s="82"/>
      <c r="Q2" s="82"/>
      <c r="R2" s="82"/>
    </row>
    <row r="4" spans="1:19" x14ac:dyDescent="0.5">
      <c r="A4" s="45" t="s">
        <v>3191</v>
      </c>
      <c r="P4" s="45" t="str">
        <f>COUNTIF(P6:P25,"PASS")&amp;" / 7 PASS"</f>
        <v>7 / 7 PASS</v>
      </c>
    </row>
    <row r="5" spans="1:19" x14ac:dyDescent="0.5">
      <c r="A5" s="45" t="s">
        <v>7</v>
      </c>
      <c r="B5" s="45" t="s">
        <v>8</v>
      </c>
      <c r="D5" s="45" t="s">
        <v>9</v>
      </c>
      <c r="J5" s="48" t="s">
        <v>10</v>
      </c>
      <c r="M5" s="49" t="s">
        <v>11</v>
      </c>
      <c r="P5" s="50" t="s">
        <v>12</v>
      </c>
    </row>
    <row r="6" spans="1:19" x14ac:dyDescent="0.5">
      <c r="A6" s="46">
        <v>1</v>
      </c>
      <c r="B6" s="47" t="s">
        <v>3192</v>
      </c>
      <c r="D6" s="51">
        <v>1</v>
      </c>
      <c r="E6" s="51">
        <v>2</v>
      </c>
      <c r="G6" s="51" t="s">
        <v>538</v>
      </c>
      <c r="J6" s="52">
        <v>2</v>
      </c>
      <c r="K6" s="52">
        <v>1</v>
      </c>
      <c r="M6" s="53" cm="1">
        <f t="array" ref="M6:N7">transform_array(D6:E7,G6)</f>
        <v>2</v>
      </c>
      <c r="N6" s="53">
        <v>1</v>
      </c>
      <c r="P6" s="54" t="str" cm="1">
        <f t="array" ref="P6">IF(AND(J6:K7=M6:N7),"PASS","FAIL")</f>
        <v>PASS</v>
      </c>
    </row>
    <row r="7" spans="1:19" x14ac:dyDescent="0.5">
      <c r="A7" s="55"/>
      <c r="B7" s="55"/>
      <c r="D7" s="51">
        <v>3</v>
      </c>
      <c r="E7" s="51">
        <v>4</v>
      </c>
      <c r="J7" s="52">
        <v>4</v>
      </c>
      <c r="K7" s="52">
        <v>3</v>
      </c>
      <c r="M7" s="53">
        <v>4</v>
      </c>
      <c r="N7" s="53">
        <v>3</v>
      </c>
    </row>
    <row r="9" spans="1:19" x14ac:dyDescent="0.5">
      <c r="A9" s="46">
        <v>2</v>
      </c>
      <c r="B9" s="47" t="s">
        <v>3193</v>
      </c>
      <c r="D9" s="51">
        <v>1</v>
      </c>
      <c r="E9" s="51">
        <v>2</v>
      </c>
      <c r="G9" s="51" t="s">
        <v>555</v>
      </c>
      <c r="J9" s="52">
        <v>3</v>
      </c>
      <c r="K9" s="52">
        <v>4</v>
      </c>
      <c r="M9" s="53" cm="1">
        <f t="array" ref="M9:N10">transform_array(D9:E10,G9)</f>
        <v>3</v>
      </c>
      <c r="N9" s="53">
        <v>4</v>
      </c>
      <c r="P9" s="54" t="str" cm="1">
        <f t="array" ref="P9">IF(AND(J9:K10=M9:N10),"PASS","FAIL")</f>
        <v>PASS</v>
      </c>
    </row>
    <row r="10" spans="1:19" x14ac:dyDescent="0.5">
      <c r="A10" s="55"/>
      <c r="B10" s="55"/>
      <c r="D10" s="51">
        <v>3</v>
      </c>
      <c r="E10" s="51">
        <v>4</v>
      </c>
      <c r="J10" s="52">
        <v>1</v>
      </c>
      <c r="K10" s="52">
        <v>2</v>
      </c>
      <c r="M10" s="53">
        <v>1</v>
      </c>
      <c r="N10" s="53">
        <v>2</v>
      </c>
    </row>
    <row r="12" spans="1:19" x14ac:dyDescent="0.5">
      <c r="A12" s="46">
        <v>3</v>
      </c>
      <c r="B12" s="47" t="s">
        <v>3194</v>
      </c>
      <c r="D12" s="51">
        <v>1</v>
      </c>
      <c r="E12" s="51">
        <v>2</v>
      </c>
      <c r="G12" s="51" t="s">
        <v>564</v>
      </c>
      <c r="J12" s="52">
        <v>3</v>
      </c>
      <c r="K12" s="52">
        <v>1</v>
      </c>
      <c r="M12" s="53" cm="1">
        <f t="array" ref="M12:N13">transform_array(D12:E13,G12)</f>
        <v>3</v>
      </c>
      <c r="N12" s="53">
        <v>1</v>
      </c>
      <c r="P12" s="54" t="str" cm="1">
        <f t="array" ref="P12">IF(AND(J12:K13=M12:N13),"PASS","FAIL")</f>
        <v>PASS</v>
      </c>
    </row>
    <row r="13" spans="1:19" x14ac:dyDescent="0.5">
      <c r="A13" s="55"/>
      <c r="B13" s="55"/>
      <c r="D13" s="51">
        <v>3</v>
      </c>
      <c r="E13" s="51">
        <v>4</v>
      </c>
      <c r="J13" s="52">
        <v>4</v>
      </c>
      <c r="K13" s="52">
        <v>2</v>
      </c>
      <c r="M13" s="53">
        <v>4</v>
      </c>
      <c r="N13" s="53">
        <v>2</v>
      </c>
    </row>
    <row r="15" spans="1:19" x14ac:dyDescent="0.5">
      <c r="A15" s="46">
        <v>4</v>
      </c>
      <c r="B15" s="47" t="s">
        <v>3195</v>
      </c>
      <c r="D15" s="51">
        <v>1</v>
      </c>
      <c r="E15" s="51">
        <v>2</v>
      </c>
      <c r="G15" s="51" t="s">
        <v>573</v>
      </c>
      <c r="J15" s="52">
        <v>2</v>
      </c>
      <c r="K15" s="52">
        <v>4</v>
      </c>
      <c r="M15" s="53" cm="1">
        <f t="array" ref="M15:N16">transform_array(D15:E16,G15)</f>
        <v>2</v>
      </c>
      <c r="N15" s="53">
        <v>4</v>
      </c>
      <c r="P15" s="54" t="str" cm="1">
        <f t="array" ref="P15">IF(AND(J15:K16=M15:N16),"PASS","FAIL")</f>
        <v>PASS</v>
      </c>
    </row>
    <row r="16" spans="1:19" x14ac:dyDescent="0.5">
      <c r="A16" s="55"/>
      <c r="B16" s="55"/>
      <c r="D16" s="51">
        <v>3</v>
      </c>
      <c r="E16" s="51">
        <v>4</v>
      </c>
      <c r="J16" s="52">
        <v>1</v>
      </c>
      <c r="K16" s="52">
        <v>3</v>
      </c>
      <c r="M16" s="53">
        <v>1</v>
      </c>
      <c r="N16" s="53">
        <v>3</v>
      </c>
    </row>
    <row r="18" spans="1:16" x14ac:dyDescent="0.5">
      <c r="A18" s="46">
        <v>5</v>
      </c>
      <c r="B18" s="47" t="s">
        <v>3196</v>
      </c>
      <c r="D18" s="51">
        <v>1</v>
      </c>
      <c r="E18" s="51">
        <v>2</v>
      </c>
      <c r="G18" s="51" t="s">
        <v>3197</v>
      </c>
      <c r="J18" s="52">
        <v>4</v>
      </c>
      <c r="K18" s="52">
        <v>3</v>
      </c>
      <c r="M18" s="53" cm="1">
        <f t="array" ref="M18:N19">transform_array(D18:E19,G18)</f>
        <v>4</v>
      </c>
      <c r="N18" s="53">
        <v>3</v>
      </c>
      <c r="P18" s="54" t="str" cm="1">
        <f t="array" ref="P18">IF(AND(J18:K19=M18:N19),"PASS","FAIL")</f>
        <v>PASS</v>
      </c>
    </row>
    <row r="19" spans="1:16" x14ac:dyDescent="0.5">
      <c r="A19" s="55"/>
      <c r="B19" s="55"/>
      <c r="D19" s="51">
        <v>3</v>
      </c>
      <c r="E19" s="51">
        <v>4</v>
      </c>
      <c r="J19" s="52">
        <v>2</v>
      </c>
      <c r="K19" s="52">
        <v>1</v>
      </c>
      <c r="M19" s="53">
        <v>2</v>
      </c>
      <c r="N19" s="53">
        <v>1</v>
      </c>
    </row>
    <row r="21" spans="1:16" x14ac:dyDescent="0.5">
      <c r="A21" s="46">
        <v>6</v>
      </c>
      <c r="B21" s="47" t="s">
        <v>3198</v>
      </c>
      <c r="D21" s="51">
        <v>1</v>
      </c>
      <c r="E21" s="51">
        <v>2</v>
      </c>
      <c r="F21" s="51">
        <v>3</v>
      </c>
      <c r="H21" s="51" t="s">
        <v>564</v>
      </c>
      <c r="J21" s="52">
        <v>4</v>
      </c>
      <c r="K21" s="52">
        <v>1</v>
      </c>
      <c r="M21" s="53" cm="1">
        <f t="array" ref="M21:N23">transform_array(D21:F22,H21)</f>
        <v>4</v>
      </c>
      <c r="N21" s="53">
        <v>1</v>
      </c>
      <c r="P21" s="54" t="str" cm="1">
        <f t="array" ref="P21">IF(AND(J21:K23=M21:N23),"PASS","FAIL")</f>
        <v>PASS</v>
      </c>
    </row>
    <row r="22" spans="1:16" x14ac:dyDescent="0.5">
      <c r="A22" s="55"/>
      <c r="B22" s="55"/>
      <c r="D22" s="51">
        <v>4</v>
      </c>
      <c r="E22" s="51">
        <v>5</v>
      </c>
      <c r="F22" s="51">
        <v>6</v>
      </c>
      <c r="J22" s="52">
        <v>5</v>
      </c>
      <c r="K22" s="52">
        <v>2</v>
      </c>
      <c r="M22" s="53">
        <v>5</v>
      </c>
      <c r="N22" s="53">
        <v>2</v>
      </c>
    </row>
    <row r="23" spans="1:16" x14ac:dyDescent="0.5">
      <c r="A23" s="55"/>
      <c r="B23" s="55"/>
      <c r="J23" s="52">
        <v>6</v>
      </c>
      <c r="K23" s="52">
        <v>3</v>
      </c>
      <c r="M23" s="53">
        <v>6</v>
      </c>
      <c r="N23" s="53">
        <v>3</v>
      </c>
    </row>
    <row r="25" spans="1:16" x14ac:dyDescent="0.5">
      <c r="A25" s="46">
        <v>7</v>
      </c>
      <c r="B25" s="47" t="s">
        <v>3287</v>
      </c>
      <c r="J25" s="52" t="s">
        <v>3288</v>
      </c>
      <c r="M25" s="53" t="e" cm="1">
        <f t="array" ref="M25">transform_array({1,2;3,4},"Z")</f>
        <v>#VALUE!</v>
      </c>
      <c r="P25" s="54" t="str">
        <f>IF(ERROR.TYPE(M25)=3,"PASS","FAIL")</f>
        <v>PASS</v>
      </c>
    </row>
  </sheetData>
  <mergeCells count="3">
    <mergeCell ref="I1:R1"/>
    <mergeCell ref="B2:R2"/>
    <mergeCell ref="B1:F1"/>
  </mergeCells>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F4A65-8614-4EAA-9B0D-F7E95A7175B4}">
  <sheetPr codeName="Sheet93"/>
  <dimension ref="A1:V9"/>
  <sheetViews>
    <sheetView workbookViewId="0"/>
  </sheetViews>
  <sheetFormatPr defaultRowHeight="21" x14ac:dyDescent="0.5"/>
  <cols>
    <col min="1" max="1" width="4" customWidth="1"/>
    <col min="2" max="2" width="30" customWidth="1"/>
    <col min="4" max="12" width="11" customWidth="1"/>
    <col min="13" max="13" width="3" customWidth="1"/>
    <col min="14" max="16" width="11" customWidth="1"/>
    <col min="17" max="17" width="3" customWidth="1"/>
    <col min="18" max="20" width="11" customWidth="1"/>
    <col min="21" max="21" width="3" customWidth="1"/>
    <col min="22" max="22" width="9" customWidth="1"/>
  </cols>
  <sheetData>
    <row r="1" spans="1:22" ht="273" customHeight="1" x14ac:dyDescent="0.5">
      <c r="A1" s="45" t="s">
        <v>0</v>
      </c>
      <c r="B1" s="83" t="str" cm="1">
        <f t="array" aca="1" ref="B1" ca="1">_xlfn.LET(_xlpm.fn, CELL("filename",$A$1), _xlpm.nm, MID(_xlpm.fn, FIND("]", _xlpm.fn) + 1, 255), _xlfn.XLOOKUP(_xlpm.nm &amp; "(*", Lamb!$A$2:$A$1000, Lamb!$A$2:$A$1000, "", 2))</f>
        <v>update_arr( array, r, c, value)</v>
      </c>
      <c r="C1" s="79"/>
      <c r="D1" s="79"/>
      <c r="E1" s="79"/>
      <c r="F1" s="80"/>
      <c r="H1" s="45" t="s">
        <v>2</v>
      </c>
      <c r="I1" s="78" t="str" cm="1">
        <f t="array" aca="1" ref="I1" ca="1">_xlfn.LET(_xlpm.fn, CELL("filename",$A$1), _xlpm.nm, MID(_xlpm.fn, FIND("]", _xlpm.fn) + 1, 255), _xlfn.XLOOKUP(_xlpm.nm &amp; "(*", Lamb!$A$2:$A$1000, Lamb!$D$2:$D$1000, "", 2))</f>
        <v>Returns an array with a single cell replaced.
Arguments:
  array - the source array.
  r     - row index of the cell to change.
  c     - column index of the cell to change.
  value - the new value for that cell.
Returns:
  A copy of array with (r, c) set to value.
Example:
  update_arr(grid, 2, 3, "x")</v>
      </c>
      <c r="J1" s="79"/>
      <c r="K1" s="79"/>
      <c r="L1" s="79"/>
      <c r="M1" s="79"/>
      <c r="N1" s="79"/>
      <c r="O1" s="79"/>
      <c r="P1" s="79"/>
      <c r="Q1" s="79"/>
      <c r="R1" s="80"/>
      <c r="S1" s="77" t="str">
        <f>HYPERLINK("#lambda_tests!A1","&lt;- test summary")</f>
        <v>&lt;- test summary</v>
      </c>
    </row>
    <row r="2" spans="1:22" ht="168" customHeight="1" x14ac:dyDescent="0.5">
      <c r="A2" s="45" t="s">
        <v>4</v>
      </c>
      <c r="B2" s="81" t="str" cm="1">
        <f t="array" aca="1" ref="B2" ca="1">_xlfn.LET(_xlpm.fn, CELL("filename",$A$1), _xlpm.nm, MID(_xlpm.fn, FIND("]", _xlpm.fn) + 1, 255), _xlfn.XLOOKUP(_xlpm.nm &amp; "(*", Lamb!$A$2:$A$1000, Lamb!$C$2:$C$1000, "", 2))</f>
        <v>=LAMBDA(array, r, c, value, LET(
   arr, array,
   MAKEARRAY(
      ROWS(arr),
      COLUMNS(arr),
      LAMBDA(i, j, IF((i = r) * (j = c), value, INDEX(arr, i, j)))
   )
))</v>
      </c>
      <c r="C2" s="82"/>
      <c r="D2" s="82"/>
      <c r="E2" s="82"/>
      <c r="F2" s="82"/>
      <c r="G2" s="82"/>
      <c r="H2" s="82"/>
      <c r="I2" s="82"/>
      <c r="J2" s="82"/>
      <c r="K2" s="82"/>
      <c r="L2" s="82"/>
      <c r="M2" s="82"/>
      <c r="N2" s="82"/>
      <c r="O2" s="82"/>
      <c r="P2" s="82"/>
      <c r="Q2" s="82"/>
      <c r="R2" s="82"/>
    </row>
    <row r="4" spans="1:22" x14ac:dyDescent="0.5">
      <c r="A4" s="45" t="s">
        <v>3199</v>
      </c>
      <c r="V4" s="45" t="str">
        <f>COUNTIF(V6:V11,"PASS")&amp;" / 2 PASS"</f>
        <v>2 / 2 PASS</v>
      </c>
    </row>
    <row r="5" spans="1:22" x14ac:dyDescent="0.5">
      <c r="A5" s="45" t="s">
        <v>7</v>
      </c>
      <c r="B5" s="45" t="s">
        <v>8</v>
      </c>
      <c r="D5" s="45" t="s">
        <v>9</v>
      </c>
      <c r="N5" s="48" t="s">
        <v>10</v>
      </c>
      <c r="R5" s="49" t="s">
        <v>11</v>
      </c>
      <c r="V5" s="50" t="s">
        <v>12</v>
      </c>
    </row>
    <row r="6" spans="1:22" x14ac:dyDescent="0.5">
      <c r="A6" s="46">
        <v>1</v>
      </c>
      <c r="B6" s="47" t="s">
        <v>3200</v>
      </c>
      <c r="D6" s="51">
        <v>1</v>
      </c>
      <c r="E6" s="51">
        <v>2</v>
      </c>
      <c r="G6" s="51">
        <v>2</v>
      </c>
      <c r="I6" s="51">
        <v>1</v>
      </c>
      <c r="K6" s="51">
        <v>9</v>
      </c>
      <c r="N6" s="52">
        <v>1</v>
      </c>
      <c r="O6" s="52">
        <v>2</v>
      </c>
      <c r="R6" s="53" cm="1">
        <f t="array" ref="R6:S7">update_arr(D6:E7,G6,I6,K6)</f>
        <v>1</v>
      </c>
      <c r="S6" s="53">
        <v>2</v>
      </c>
      <c r="V6" s="54" t="str" cm="1">
        <f t="array" ref="V6">IF(AND(N6:O7=R6:S7),"PASS","FAIL")</f>
        <v>PASS</v>
      </c>
    </row>
    <row r="7" spans="1:22" x14ac:dyDescent="0.5">
      <c r="A7" s="55"/>
      <c r="B7" s="55"/>
      <c r="D7" s="51">
        <v>3</v>
      </c>
      <c r="E7" s="51">
        <v>4</v>
      </c>
      <c r="N7" s="52">
        <v>9</v>
      </c>
      <c r="O7" s="52">
        <v>4</v>
      </c>
      <c r="R7" s="53">
        <v>9</v>
      </c>
      <c r="S7" s="53">
        <v>4</v>
      </c>
    </row>
    <row r="9" spans="1:22" x14ac:dyDescent="0.5">
      <c r="A9" s="46">
        <v>2</v>
      </c>
      <c r="B9" s="47" t="s">
        <v>3201</v>
      </c>
      <c r="D9" s="51">
        <v>1</v>
      </c>
      <c r="E9" s="51">
        <v>2</v>
      </c>
      <c r="F9" s="51">
        <v>3</v>
      </c>
      <c r="H9" s="51">
        <v>1</v>
      </c>
      <c r="J9" s="51">
        <v>3</v>
      </c>
      <c r="L9" s="51">
        <v>0</v>
      </c>
      <c r="N9" s="52">
        <v>1</v>
      </c>
      <c r="O9" s="52">
        <v>2</v>
      </c>
      <c r="P9" s="52">
        <v>0</v>
      </c>
      <c r="R9" s="53" cm="1">
        <f t="array" ref="R9:T9">update_arr(D9:F9,H9,J9,L9)</f>
        <v>1</v>
      </c>
      <c r="S9" s="53">
        <v>2</v>
      </c>
      <c r="T9" s="53">
        <v>0</v>
      </c>
      <c r="V9" s="54" t="str" cm="1">
        <f t="array" ref="V9">IF(AND(N9:P9=R9:T9),"PASS","FAIL")</f>
        <v>PASS</v>
      </c>
    </row>
  </sheetData>
  <mergeCells count="3">
    <mergeCell ref="I1:R1"/>
    <mergeCell ref="B2:R2"/>
    <mergeCell ref="B1:F1"/>
  </mergeCells>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94"/>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s">
        <v>3202</v>
      </c>
      <c r="Y4" s="45" t="str">
        <f ca="1">COUNTIF(Y6:Y21,"PASS")&amp;" / 4 PASS"</f>
        <v>3 / 4 PASS</v>
      </c>
    </row>
    <row r="5" spans="1:25" x14ac:dyDescent="0.5">
      <c r="A5" s="45" t="s">
        <v>7</v>
      </c>
      <c r="B5" s="45" t="s">
        <v>8</v>
      </c>
      <c r="D5" s="45" t="s">
        <v>9</v>
      </c>
      <c r="G5" s="48" t="s">
        <v>10</v>
      </c>
      <c r="P5" s="49" t="s">
        <v>11</v>
      </c>
      <c r="Y5" s="50" t="s">
        <v>12</v>
      </c>
    </row>
    <row r="6" spans="1:25" x14ac:dyDescent="0.5">
      <c r="A6" s="46">
        <v>1</v>
      </c>
      <c r="B6" s="47" t="s">
        <v>3203</v>
      </c>
      <c r="D6" s="51">
        <v>1</v>
      </c>
      <c r="G6" s="52">
        <v>10</v>
      </c>
      <c r="P6" s="53" cm="1">
        <f t="array" ref="P6:P8">xbyrow(D6:D8, _xlfn.LAMBDA(_xlpm.x, _xlpm.x*10))</f>
        <v>10</v>
      </c>
      <c r="Y6" s="54" t="str" cm="1">
        <f t="array" ref="Y6">IF(AND(G6:G8=P6:P8),"PASS","FAIL")</f>
        <v>PASS</v>
      </c>
    </row>
    <row r="7" spans="1:25" x14ac:dyDescent="0.5">
      <c r="A7" s="55"/>
      <c r="B7" s="55"/>
      <c r="D7" s="51">
        <v>2</v>
      </c>
      <c r="G7" s="52">
        <v>20</v>
      </c>
      <c r="P7" s="53">
        <v>20</v>
      </c>
    </row>
    <row r="8" spans="1:25" x14ac:dyDescent="0.5">
      <c r="A8" s="55"/>
      <c r="B8" s="55"/>
      <c r="D8" s="51">
        <v>3</v>
      </c>
      <c r="G8" s="52">
        <v>30</v>
      </c>
      <c r="P8" s="53">
        <v>30</v>
      </c>
    </row>
    <row r="10" spans="1:25" x14ac:dyDescent="0.5">
      <c r="A10" s="46">
        <v>2</v>
      </c>
      <c r="B10" s="47" t="s">
        <v>3204</v>
      </c>
      <c r="D10" s="51">
        <v>1</v>
      </c>
      <c r="G10" s="52">
        <v>1</v>
      </c>
      <c r="H10" s="52">
        <v>2</v>
      </c>
      <c r="P10" s="53" cm="1">
        <f t="array" ref="P10:Q12">xbyrow(D10:D12, _xlfn.LAMBDA(_xlpm.x, _xlfn.SEQUENCE(1,2,_xlpm.x)))</f>
        <v>1</v>
      </c>
      <c r="Q10" s="53">
        <v>2</v>
      </c>
      <c r="Y10" s="54" t="str" cm="1">
        <f t="array" ref="Y10">IF(AND(G10:H12=P10:Q12),"PASS","FAIL")</f>
        <v>PASS</v>
      </c>
    </row>
    <row r="11" spans="1:25" x14ac:dyDescent="0.5">
      <c r="A11" s="55"/>
      <c r="B11" s="55"/>
      <c r="D11" s="51">
        <v>2</v>
      </c>
      <c r="G11" s="52">
        <v>2</v>
      </c>
      <c r="H11" s="52">
        <v>3</v>
      </c>
      <c r="P11" s="53">
        <v>2</v>
      </c>
      <c r="Q11" s="53">
        <v>3</v>
      </c>
    </row>
    <row r="12" spans="1:25" x14ac:dyDescent="0.5">
      <c r="A12" s="55"/>
      <c r="B12" s="55"/>
      <c r="D12" s="51">
        <v>3</v>
      </c>
      <c r="G12" s="52">
        <v>3</v>
      </c>
      <c r="H12" s="52">
        <v>4</v>
      </c>
      <c r="P12" s="53">
        <v>3</v>
      </c>
      <c r="Q12" s="53">
        <v>4</v>
      </c>
    </row>
    <row r="14" spans="1:25" x14ac:dyDescent="0.5">
      <c r="A14" s="46">
        <v>3</v>
      </c>
      <c r="B14" s="47" t="s">
        <v>3205</v>
      </c>
      <c r="D14" s="51">
        <v>4</v>
      </c>
      <c r="E14" s="51">
        <v>1</v>
      </c>
      <c r="G14" s="52">
        <v>1</v>
      </c>
      <c r="P14" s="53" t="e" cm="1">
        <f t="array" aca="1" ref="P14" ca="1">xbyrow(D14:E16, min)</f>
        <v>#NAME?</v>
      </c>
      <c r="Y14" s="54" t="e" cm="1">
        <f t="array" aca="1" ref="Y14" ca="1">IF(AND(G14:G16=P14:P16),"PASS","FAIL")</f>
        <v>#NAME?</v>
      </c>
    </row>
    <row r="15" spans="1:25" x14ac:dyDescent="0.5">
      <c r="A15" s="55"/>
      <c r="B15" s="55"/>
      <c r="D15" s="51">
        <v>9</v>
      </c>
      <c r="E15" s="51">
        <v>2</v>
      </c>
      <c r="G15" s="52">
        <v>2</v>
      </c>
      <c r="P15" s="53"/>
    </row>
    <row r="16" spans="1:25" x14ac:dyDescent="0.5">
      <c r="A16" s="55"/>
      <c r="B16" s="55"/>
      <c r="D16" s="51">
        <v>7</v>
      </c>
      <c r="E16" s="51">
        <v>5</v>
      </c>
      <c r="G16" s="52">
        <v>5</v>
      </c>
      <c r="P16" s="53"/>
    </row>
    <row r="18" spans="1:25" x14ac:dyDescent="0.5">
      <c r="A18" s="46">
        <v>4</v>
      </c>
      <c r="B18" s="47" t="s">
        <v>3206</v>
      </c>
      <c r="D18" s="51" t="s">
        <v>3049</v>
      </c>
      <c r="G18" s="52" t="s">
        <v>2925</v>
      </c>
      <c r="H18" s="52" t="s">
        <v>3021</v>
      </c>
      <c r="I18" s="52" t="s">
        <v>3053</v>
      </c>
      <c r="J18" s="52" t="s">
        <v>3050</v>
      </c>
      <c r="K18" s="52" t="s">
        <v>3051</v>
      </c>
      <c r="L18" s="52" t="s">
        <v>2928</v>
      </c>
      <c r="M18" s="52" t="s">
        <v>3017</v>
      </c>
      <c r="N18" s="52" t="s">
        <v>2990</v>
      </c>
      <c r="P18" s="53" t="str" cm="1">
        <f t="array" ref="P18:W19">xbyrow(D18:D19, neighbors_list)</f>
        <v>A1</v>
      </c>
      <c r="Q18" s="53" t="str">
        <v>B1</v>
      </c>
      <c r="R18" s="53" t="str">
        <v>C1</v>
      </c>
      <c r="S18" s="53" t="str">
        <v>A2</v>
      </c>
      <c r="T18" s="53" t="str">
        <v>C2</v>
      </c>
      <c r="U18" s="53" t="str">
        <v>A3</v>
      </c>
      <c r="V18" s="53" t="str">
        <v>B3</v>
      </c>
      <c r="W18" s="53" t="str">
        <v>C3</v>
      </c>
      <c r="Y18" s="54" t="str" cm="1">
        <f t="array" ref="Y18">IF(AND(G18:N19=P18:W19),"PASS","FAIL")</f>
        <v>PASS</v>
      </c>
    </row>
    <row r="19" spans="1:25" x14ac:dyDescent="0.5">
      <c r="A19" s="55"/>
      <c r="B19" s="55"/>
      <c r="D19" s="51" t="s">
        <v>3207</v>
      </c>
      <c r="G19" s="52" t="s">
        <v>3208</v>
      </c>
      <c r="H19" s="52" t="s">
        <v>3058</v>
      </c>
      <c r="I19" s="52" t="s">
        <v>2997</v>
      </c>
      <c r="J19" s="52" t="s">
        <v>3209</v>
      </c>
      <c r="K19" s="52" t="s">
        <v>3210</v>
      </c>
      <c r="L19" s="52" t="s">
        <v>3211</v>
      </c>
      <c r="M19" s="52" t="s">
        <v>3212</v>
      </c>
      <c r="N19" s="52" t="s">
        <v>3213</v>
      </c>
      <c r="P19" s="53" t="str">
        <v>A4</v>
      </c>
      <c r="Q19" s="53" t="str">
        <v>B4</v>
      </c>
      <c r="R19" s="53" t="str">
        <v>C4</v>
      </c>
      <c r="S19" s="53" t="str">
        <v>A5</v>
      </c>
      <c r="T19" s="53" t="str">
        <v>C5</v>
      </c>
      <c r="U19" s="53" t="str">
        <v>A6</v>
      </c>
      <c r="V19" s="53" t="str">
        <v>B6</v>
      </c>
      <c r="W19" s="53" t="str">
        <v>C6</v>
      </c>
    </row>
  </sheetData>
  <mergeCells count="3">
    <mergeCell ref="I1:R1"/>
    <mergeCell ref="B2:R2"/>
    <mergeCell ref="B1:F1"/>
  </mergeCells>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B73E9-E3F3-42F5-AD36-59CE90B61391}">
  <sheetPr codeName="Sheet95"/>
  <dimension ref="A1:S2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xcountif(arr, criteria)</v>
      </c>
      <c r="C1" s="79"/>
      <c r="D1" s="79"/>
      <c r="E1" s="79"/>
      <c r="F1" s="80"/>
      <c r="H1" s="45" t="s">
        <v>2</v>
      </c>
      <c r="I1" s="78" t="str" cm="1">
        <f t="array" aca="1" ref="I1" ca="1">_xlfn.LET(_xlpm.fn, CELL("filename",$A$1), _xlpm.nm, MID(_xlpm.fn, FIND("]", _xlpm.fn) + 1, 255), _xlfn.XLOOKUP(_xlpm.nm &amp; "(*", Lamb!$A$2:$A$1000, Lamb!$D$2:$D$1000, "", 2))</f>
        <v>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 criteria, LET(
   flat, TOCOL(arr, 0),
   count_fx, LAMBDA(x, IFERROR(ROWS(FILTER(flat, flat = x)), 0)),
   IF(
      ROWS(criteria) * COLUMNS(criteria) = 1,
      count_fx(criteria),
      MAP(criteria, count_fx)
   )
))</v>
      </c>
      <c r="C2" s="82"/>
      <c r="D2" s="82"/>
      <c r="E2" s="82"/>
      <c r="F2" s="82"/>
      <c r="G2" s="82"/>
      <c r="H2" s="82"/>
      <c r="I2" s="82"/>
      <c r="J2" s="82"/>
      <c r="K2" s="82"/>
      <c r="L2" s="82"/>
      <c r="M2" s="82"/>
      <c r="N2" s="82"/>
      <c r="O2" s="82"/>
      <c r="P2" s="82"/>
      <c r="Q2" s="82"/>
      <c r="R2" s="82"/>
    </row>
    <row r="4" spans="1:19" x14ac:dyDescent="0.5">
      <c r="A4" s="45" t="s">
        <v>3214</v>
      </c>
      <c r="L4" s="45" t="str">
        <f>COUNTIF(L6:L29,"PASS")&amp;" / 5 PASS"</f>
        <v>5 / 5 PASS</v>
      </c>
    </row>
    <row r="5" spans="1:19" x14ac:dyDescent="0.5">
      <c r="A5" s="45" t="s">
        <v>7</v>
      </c>
      <c r="B5" s="45" t="s">
        <v>8</v>
      </c>
      <c r="D5" s="45" t="s">
        <v>9</v>
      </c>
      <c r="H5" s="48" t="s">
        <v>10</v>
      </c>
      <c r="J5" s="49" t="s">
        <v>11</v>
      </c>
      <c r="L5" s="50" t="s">
        <v>12</v>
      </c>
    </row>
    <row r="6" spans="1:19" x14ac:dyDescent="0.5">
      <c r="A6" s="46">
        <v>1</v>
      </c>
      <c r="B6" s="47" t="s">
        <v>3215</v>
      </c>
      <c r="D6" s="51">
        <v>1</v>
      </c>
      <c r="F6" s="51">
        <v>2</v>
      </c>
      <c r="H6" s="52">
        <v>2</v>
      </c>
      <c r="J6" s="53" cm="1">
        <f t="array" ref="J6">xcountif(D6:D9,F6)</f>
        <v>2</v>
      </c>
      <c r="L6" s="54" t="str">
        <f>IF(J6=H6,"PASS","FAIL")</f>
        <v>PASS</v>
      </c>
    </row>
    <row r="7" spans="1:19" x14ac:dyDescent="0.5">
      <c r="A7" s="55"/>
      <c r="B7" s="55"/>
      <c r="D7" s="51">
        <v>2</v>
      </c>
    </row>
    <row r="8" spans="1:19" x14ac:dyDescent="0.5">
      <c r="A8" s="55"/>
      <c r="B8" s="55"/>
      <c r="D8" s="51">
        <v>2</v>
      </c>
    </row>
    <row r="9" spans="1:19" x14ac:dyDescent="0.5">
      <c r="A9" s="55"/>
      <c r="B9" s="55"/>
      <c r="D9" s="51">
        <v>3</v>
      </c>
    </row>
    <row r="11" spans="1:19" x14ac:dyDescent="0.5">
      <c r="A11" s="46">
        <v>2</v>
      </c>
      <c r="B11" s="47" t="s">
        <v>3216</v>
      </c>
      <c r="D11" s="51" t="s">
        <v>2937</v>
      </c>
      <c r="F11" s="51" t="s">
        <v>2937</v>
      </c>
      <c r="H11" s="52">
        <v>2</v>
      </c>
      <c r="J11" s="53" cm="1">
        <f t="array" ref="J11">xcountif(D11:D13,F11)</f>
        <v>2</v>
      </c>
      <c r="L11" s="54" t="str">
        <f>IF(J11=H11,"PASS","FAIL")</f>
        <v>PASS</v>
      </c>
    </row>
    <row r="12" spans="1:19" x14ac:dyDescent="0.5">
      <c r="A12" s="55"/>
      <c r="B12" s="55"/>
      <c r="D12" s="51" t="s">
        <v>2938</v>
      </c>
    </row>
    <row r="13" spans="1:19" x14ac:dyDescent="0.5">
      <c r="A13" s="55"/>
      <c r="B13" s="55"/>
      <c r="D13" s="51" t="s">
        <v>2937</v>
      </c>
    </row>
    <row r="15" spans="1:19" x14ac:dyDescent="0.5">
      <c r="A15" s="46">
        <v>3</v>
      </c>
      <c r="B15" s="47" t="s">
        <v>3217</v>
      </c>
      <c r="D15" s="51">
        <v>1</v>
      </c>
      <c r="F15" s="51">
        <v>2</v>
      </c>
      <c r="H15" s="52">
        <v>2</v>
      </c>
      <c r="J15" s="53" cm="1">
        <f t="array" ref="J15:J16">xcountif(D15:D18,F15:F16)</f>
        <v>2</v>
      </c>
      <c r="L15" s="54" t="str" cm="1">
        <f t="array" ref="L15">IF(AND(H15:H16=J15:J16),"PASS","FAIL")</f>
        <v>PASS</v>
      </c>
    </row>
    <row r="16" spans="1:19" x14ac:dyDescent="0.5">
      <c r="A16" s="55"/>
      <c r="B16" s="55"/>
      <c r="D16" s="51">
        <v>2</v>
      </c>
      <c r="F16" s="51">
        <v>3</v>
      </c>
      <c r="H16" s="52">
        <v>1</v>
      </c>
      <c r="J16" s="53">
        <v>1</v>
      </c>
    </row>
    <row r="17" spans="1:12" x14ac:dyDescent="0.5">
      <c r="A17" s="55"/>
      <c r="B17" s="55"/>
      <c r="D17" s="51">
        <v>2</v>
      </c>
    </row>
    <row r="18" spans="1:12" x14ac:dyDescent="0.5">
      <c r="A18" s="55"/>
      <c r="B18" s="55"/>
      <c r="D18" s="51">
        <v>3</v>
      </c>
    </row>
    <row r="20" spans="1:12" x14ac:dyDescent="0.5">
      <c r="A20" s="46">
        <v>4</v>
      </c>
      <c r="B20" s="47" t="s">
        <v>3218</v>
      </c>
      <c r="D20" s="51">
        <v>1</v>
      </c>
      <c r="F20" s="51">
        <v>0</v>
      </c>
      <c r="H20" s="52">
        <v>2</v>
      </c>
      <c r="J20" s="53" cm="1">
        <f t="array" ref="J20">xcountif(D20:D23,F20)</f>
        <v>2</v>
      </c>
      <c r="L20" s="54" t="str">
        <f>IF(J20=H20,"PASS","FAIL")</f>
        <v>PASS</v>
      </c>
    </row>
    <row r="21" spans="1:12" x14ac:dyDescent="0.5">
      <c r="A21" s="55"/>
      <c r="B21" s="55"/>
      <c r="D21" s="51">
        <v>2</v>
      </c>
    </row>
    <row r="22" spans="1:12" x14ac:dyDescent="0.5">
      <c r="A22" s="55"/>
      <c r="B22" s="55"/>
      <c r="D22" s="51"/>
    </row>
    <row r="23" spans="1:12" x14ac:dyDescent="0.5">
      <c r="A23" s="55"/>
      <c r="B23" s="55"/>
      <c r="D23" s="51">
        <v>0</v>
      </c>
    </row>
    <row r="25" spans="1:12" x14ac:dyDescent="0.5">
      <c r="A25" s="46">
        <v>5</v>
      </c>
      <c r="B25" s="47" t="s">
        <v>3219</v>
      </c>
      <c r="D25" s="51">
        <v>1</v>
      </c>
      <c r="F25" s="51">
        <v>2</v>
      </c>
      <c r="H25" s="52">
        <v>0</v>
      </c>
      <c r="J25" s="53" cm="1">
        <f t="array" ref="J25">xcountif(D25:D27,F25)</f>
        <v>0</v>
      </c>
      <c r="L25" s="54" t="str">
        <f>IF(J25=H25,"PASS","FAIL")</f>
        <v>PASS</v>
      </c>
    </row>
    <row r="26" spans="1:12" x14ac:dyDescent="0.5">
      <c r="A26" s="55"/>
      <c r="B26" s="55"/>
      <c r="D26" s="51">
        <v>2</v>
      </c>
    </row>
    <row r="27" spans="1:12" x14ac:dyDescent="0.5">
      <c r="A27" s="55"/>
      <c r="B27" s="55"/>
      <c r="D27" s="51" t="e">
        <f>NA()</f>
        <v>#N/A</v>
      </c>
    </row>
  </sheetData>
  <mergeCells count="3">
    <mergeCell ref="I1:R1"/>
    <mergeCell ref="B2:R2"/>
    <mergeCell ref="B1:F1"/>
  </mergeCells>
  <pageMargins left="0.75" right="0.75" top="1" bottom="1" header="0.5" footer="0.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DB50A-0207-4E15-91BF-68AE206DF166}">
  <sheetPr codeName="Sheet96"/>
  <dimension ref="A1:S16"/>
  <sheetViews>
    <sheetView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xdec2bin(number, [places])</v>
      </c>
      <c r="C1" s="79"/>
      <c r="D1" s="79"/>
      <c r="E1" s="79"/>
      <c r="F1" s="80"/>
      <c r="H1" s="45" t="s">
        <v>2</v>
      </c>
      <c r="I1" s="78" t="str" cm="1">
        <f t="array" aca="1" ref="I1" ca="1">_xlfn.LET(_xlpm.fn, CELL("filename",$A$1), _xlpm.nm, MID(_xlpm.fn, FIND("]", _xlpm.fn) + 1, 255), _xlfn.XLOOKUP(_xlpm.nm &amp; "(*", Lamb!$A$2:$A$1000, Lamb!$D$2:$D$1000, "", 2))</f>
        <v>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v>
      </c>
      <c r="J1" s="79"/>
      <c r="K1" s="79"/>
      <c r="L1" s="79"/>
      <c r="M1" s="79"/>
      <c r="N1" s="79"/>
      <c r="O1" s="79"/>
      <c r="P1" s="79"/>
      <c r="Q1" s="79"/>
      <c r="R1" s="80"/>
      <c r="S1" s="77" t="str">
        <f>HYPERLINK("#lambda_tests!A1","&lt;- test summary")</f>
        <v>&lt;- test summary</v>
      </c>
    </row>
    <row r="2" spans="1:19" ht="336" customHeight="1" x14ac:dyDescent="0.5">
      <c r="A2" s="45" t="s">
        <v>4</v>
      </c>
      <c r="B2" s="81" t="str" cm="1">
        <f t="array" aca="1" ref="B2" ca="1">_xlfn.LET(_xlpm.fn, CELL("filename",$A$1), _xlpm.nm, MID(_xlpm.fn, FIND("]", _xlpm.fn) + 1, 255), _xlfn.XLOOKUP(_xlpm.nm &amp; "(*", Lamb!$A$2:$A$1000, Lamb!$C$2:$C$1000, "", 2))</f>
        <v>=LAMBDA(number, [places], LET(
   n, ROUND(number, 0),
   p, IF(ISOMITTED(places), 0, places),
   IF(
      n &gt;= 0,
      BASE(n, 2, MAX(p, 1)),
      LET(
         bits, IF(p = 0, 64, p),
         IF(
            bits &gt; 53,
            "Error: Precision Limit",
            BASE(POWER(2, bits) + n, 2, bits)
         )
      )
   )
))</v>
      </c>
      <c r="C2" s="82"/>
      <c r="D2" s="82"/>
      <c r="E2" s="82"/>
      <c r="F2" s="82"/>
      <c r="G2" s="82"/>
      <c r="H2" s="82"/>
      <c r="I2" s="82"/>
      <c r="J2" s="82"/>
      <c r="K2" s="82"/>
      <c r="L2" s="82"/>
      <c r="M2" s="82"/>
      <c r="N2" s="82"/>
      <c r="O2" s="82"/>
      <c r="P2" s="82"/>
      <c r="Q2" s="82"/>
      <c r="R2" s="82"/>
    </row>
    <row r="4" spans="1:19" x14ac:dyDescent="0.5">
      <c r="A4" s="45" t="s">
        <v>3220</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3221</v>
      </c>
      <c r="D6" s="51">
        <v>5</v>
      </c>
      <c r="H6" s="52" t="s">
        <v>3222</v>
      </c>
      <c r="J6" s="53" t="str" cm="1">
        <f t="array" ref="J6">xdec2bin(D6)</f>
        <v>101</v>
      </c>
      <c r="L6" s="54" t="str">
        <f>IF(J6=H6,"PASS","FAIL")</f>
        <v>PASS</v>
      </c>
    </row>
    <row r="8" spans="1:19" x14ac:dyDescent="0.5">
      <c r="A8" s="46">
        <v>2</v>
      </c>
      <c r="B8" s="47" t="s">
        <v>3223</v>
      </c>
      <c r="D8" s="51">
        <v>5</v>
      </c>
      <c r="F8" s="51">
        <v>8</v>
      </c>
      <c r="H8" s="52" t="s">
        <v>3224</v>
      </c>
      <c r="J8" s="53" t="str" cm="1">
        <f t="array" ref="J8">xdec2bin(D8,F8)</f>
        <v>00000101</v>
      </c>
      <c r="L8" s="54" t="str">
        <f>IF(J8=H8,"PASS","FAIL")</f>
        <v>PASS</v>
      </c>
    </row>
    <row r="10" spans="1:19" x14ac:dyDescent="0.5">
      <c r="A10" s="46">
        <v>3</v>
      </c>
      <c r="B10" s="47" t="s">
        <v>3225</v>
      </c>
      <c r="D10" s="51">
        <v>0</v>
      </c>
      <c r="H10" s="52" t="s">
        <v>3226</v>
      </c>
      <c r="J10" s="53" t="str" cm="1">
        <f t="array" ref="J10">xdec2bin(D10)</f>
        <v>0</v>
      </c>
      <c r="L10" s="54" t="str">
        <f>IF(J10=H10,"PASS","FAIL")</f>
        <v>PASS</v>
      </c>
    </row>
    <row r="12" spans="1:19" x14ac:dyDescent="0.5">
      <c r="A12" s="46">
        <v>4</v>
      </c>
      <c r="B12" s="47" t="s">
        <v>3227</v>
      </c>
      <c r="D12" s="51">
        <v>0</v>
      </c>
      <c r="F12" s="51">
        <v>4</v>
      </c>
      <c r="H12" s="52" t="s">
        <v>3228</v>
      </c>
      <c r="J12" s="53" t="str" cm="1">
        <f t="array" ref="J12">xdec2bin(D12,F12)</f>
        <v>0000</v>
      </c>
      <c r="L12" s="54" t="str">
        <f>IF(J12=H12,"PASS","FAIL")</f>
        <v>PASS</v>
      </c>
    </row>
    <row r="14" spans="1:19" x14ac:dyDescent="0.5">
      <c r="A14" s="46">
        <v>5</v>
      </c>
      <c r="B14" s="47" t="s">
        <v>3229</v>
      </c>
      <c r="D14" s="51">
        <v>10</v>
      </c>
      <c r="H14" s="52" t="s">
        <v>3230</v>
      </c>
      <c r="J14" s="53" t="str" cm="1">
        <f t="array" ref="J14">xdec2bin(D14)</f>
        <v>1010</v>
      </c>
      <c r="L14" s="54" t="str">
        <f>IF(J14=H14,"PASS","FAIL")</f>
        <v>PASS</v>
      </c>
    </row>
    <row r="16" spans="1:19" x14ac:dyDescent="0.5">
      <c r="A16" s="46">
        <v>6</v>
      </c>
      <c r="B16" s="47" t="s">
        <v>3231</v>
      </c>
      <c r="D16" s="51">
        <v>-1</v>
      </c>
      <c r="F16" s="51">
        <v>4</v>
      </c>
      <c r="H16" s="52" t="s">
        <v>3232</v>
      </c>
      <c r="J16" s="53" t="str" cm="1">
        <f t="array" ref="J16">xdec2bin(D16,F16)</f>
        <v>1111</v>
      </c>
      <c r="L16" s="54" t="str">
        <f>IF(J16=H16,"PASS","FAIL")</f>
        <v>PASS</v>
      </c>
    </row>
  </sheetData>
  <mergeCells count="3">
    <mergeCell ref="I1:R1"/>
    <mergeCell ref="B2:R2"/>
    <mergeCell ref="B1:F1"/>
  </mergeCells>
  <pageMargins left="0.75" right="0.75" top="1" bottom="1" header="0.5" footer="0.5"/>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CDC9A-5063-4D58-8164-1DBA35FB8BD0}">
  <sheetPr codeName="Sheet97"/>
  <dimension ref="A1:V34"/>
  <sheetViews>
    <sheetView topLeftCell="A2" workbookViewId="0">
      <selection activeCell="V6" sqref="V6"/>
    </sheetView>
  </sheetViews>
  <sheetFormatPr defaultRowHeight="21" x14ac:dyDescent="0.5"/>
  <cols>
    <col min="1" max="1" width="4" customWidth="1"/>
    <col min="2" max="2" width="26" customWidth="1"/>
    <col min="4" max="6" width="11" customWidth="1"/>
    <col min="7" max="7" width="3" customWidth="1"/>
    <col min="8" max="12" width="11" customWidth="1"/>
    <col min="13" max="13" width="3" customWidth="1"/>
    <col min="14" max="16" width="11" customWidth="1"/>
    <col min="17" max="17" width="3" customWidth="1"/>
    <col min="18" max="20" width="11" customWidth="1"/>
    <col min="21" max="21" width="3" customWidth="1"/>
    <col min="22" max="22" width="9" customWidth="1"/>
  </cols>
  <sheetData>
    <row r="1" spans="1:22" ht="315" customHeight="1" x14ac:dyDescent="0.5">
      <c r="A1" s="45" t="s">
        <v>0</v>
      </c>
      <c r="B1" s="83" t="str" cm="1">
        <f t="array" aca="1" ref="B1" ca="1">_xlfn.LET(_xlpm.fn, CELL("filename",$A$1), _xlpm.nm, MID(_xlpm.fn, FIND("]", _xlpm.fn) + 1, 255), _xlfn.XLOOKUP(_xlpm.nm &amp; "(*", Lamb!$A$2:$A$1000, Lamb!$A$2:$A$1000, "", 2))</f>
        <v>xfilter(arr, f_1, [f_2], [f_3], [f_4], [f_5])</v>
      </c>
      <c r="C1" s="79"/>
      <c r="D1" s="79"/>
      <c r="E1" s="79"/>
      <c r="F1" s="80"/>
      <c r="H1" s="45" t="s">
        <v>2</v>
      </c>
      <c r="I1" s="78" t="str" cm="1">
        <f t="array" aca="1" ref="I1" ca="1">_xlfn.LET(_xlpm.fn, CELL("filename",$A$1), _xlpm.nm, MID(_xlpm.fn, FIND("]", _xlpm.fn) + 1, 255), _xlfn.XLOOKUP(_xlpm.nm &amp; "(*", Lamb!$A$2:$A$1000, Lamb!$D$2:$D$1000, "", 2))</f>
        <v>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v>
      </c>
      <c r="J1" s="79"/>
      <c r="K1" s="79"/>
      <c r="L1" s="79"/>
      <c r="M1" s="79"/>
      <c r="N1" s="79"/>
      <c r="O1" s="79"/>
      <c r="P1" s="79"/>
      <c r="Q1" s="79"/>
      <c r="R1" s="80"/>
      <c r="S1" s="77" t="str">
        <f>HYPERLINK("#lambda_tests!A1","&lt;- test summary")</f>
        <v>&lt;- test summary</v>
      </c>
    </row>
    <row r="2" spans="1:22" ht="315" customHeight="1" x14ac:dyDescent="0.5">
      <c r="A2" s="45" t="s">
        <v>4</v>
      </c>
      <c r="B2" s="81" t="str" cm="1">
        <f t="array" aca="1" ref="B2" ca="1">_xlfn.LET(_xlpm.fn, CELL("filename",$A$1), _xlpm.nm, MID(_xlpm.fn, FIND("]", _xlpm.fn) + 1, 255), _xlfn.XLOOKUP(_xlpm.nm &amp; "(*", Lamb!$A$2:$A$1000, Lamb!$C$2:$C$1000, "", 2))</f>
        <v>=LAMBDA(arr,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v>
      </c>
      <c r="C2" s="82"/>
      <c r="D2" s="82"/>
      <c r="E2" s="82"/>
      <c r="F2" s="82"/>
      <c r="G2" s="82"/>
      <c r="H2" s="82"/>
      <c r="I2" s="82"/>
      <c r="J2" s="82"/>
      <c r="K2" s="82"/>
      <c r="L2" s="82"/>
      <c r="M2" s="82"/>
      <c r="N2" s="82"/>
      <c r="O2" s="82"/>
      <c r="P2" s="82"/>
      <c r="Q2" s="82"/>
      <c r="R2" s="82"/>
    </row>
    <row r="4" spans="1:22" x14ac:dyDescent="0.5">
      <c r="A4" s="45" t="s">
        <v>6</v>
      </c>
      <c r="V4" s="45" t="str">
        <f>COUNTIF(V6:V36,"PASS")&amp;" / 6 PASS"</f>
        <v>6 / 6 PASS</v>
      </c>
    </row>
    <row r="5" spans="1:22" x14ac:dyDescent="0.5">
      <c r="A5" s="45" t="s">
        <v>7</v>
      </c>
      <c r="B5" s="45" t="s">
        <v>8</v>
      </c>
      <c r="D5" s="45" t="s">
        <v>9</v>
      </c>
      <c r="N5" s="48" t="s">
        <v>10</v>
      </c>
      <c r="R5" s="49" t="s">
        <v>11</v>
      </c>
      <c r="V5" s="50" t="s">
        <v>12</v>
      </c>
    </row>
    <row r="6" spans="1:22" x14ac:dyDescent="0.5">
      <c r="A6" s="46">
        <v>1</v>
      </c>
      <c r="B6" s="47" t="s">
        <v>13</v>
      </c>
      <c r="D6" s="51">
        <v>10</v>
      </c>
      <c r="E6" s="51">
        <v>20</v>
      </c>
      <c r="F6" s="51">
        <v>30</v>
      </c>
      <c r="H6" s="51">
        <v>1</v>
      </c>
      <c r="N6" s="52">
        <v>10</v>
      </c>
      <c r="O6" s="52">
        <v>20</v>
      </c>
      <c r="P6" s="52">
        <v>30</v>
      </c>
      <c r="R6" s="53" cm="1">
        <f t="array" ref="R6:T7">xfilter(D6:F9,H6:H9)</f>
        <v>10</v>
      </c>
      <c r="S6" s="53">
        <v>20</v>
      </c>
      <c r="T6" s="53">
        <v>30</v>
      </c>
      <c r="V6" s="54" t="str" cm="1">
        <f t="array" ref="V6">IF(AND(N6:P7=R6:T7),"PASS","FAIL")</f>
        <v>PASS</v>
      </c>
    </row>
    <row r="7" spans="1:22" x14ac:dyDescent="0.5">
      <c r="A7" s="55"/>
      <c r="B7" s="55"/>
      <c r="D7" s="51">
        <v>40</v>
      </c>
      <c r="E7" s="51">
        <v>50</v>
      </c>
      <c r="F7" s="51">
        <v>60</v>
      </c>
      <c r="H7" s="51">
        <v>0</v>
      </c>
      <c r="N7" s="52">
        <v>70</v>
      </c>
      <c r="O7" s="52">
        <v>80</v>
      </c>
      <c r="P7" s="52">
        <v>90</v>
      </c>
      <c r="R7" s="53">
        <v>70</v>
      </c>
      <c r="S7" s="53">
        <v>80</v>
      </c>
      <c r="T7" s="53">
        <v>90</v>
      </c>
    </row>
    <row r="8" spans="1:22" x14ac:dyDescent="0.5">
      <c r="A8" s="55"/>
      <c r="B8" s="55"/>
      <c r="D8" s="51">
        <v>70</v>
      </c>
      <c r="E8" s="51">
        <v>80</v>
      </c>
      <c r="F8" s="51">
        <v>90</v>
      </c>
      <c r="H8" s="51">
        <v>1</v>
      </c>
    </row>
    <row r="9" spans="1:22" x14ac:dyDescent="0.5">
      <c r="A9" s="55"/>
      <c r="B9" s="55"/>
      <c r="D9" s="51">
        <v>15</v>
      </c>
      <c r="E9" s="51">
        <v>25</v>
      </c>
      <c r="F9" s="51">
        <v>35</v>
      </c>
      <c r="H9" s="51">
        <v>0</v>
      </c>
    </row>
    <row r="11" spans="1:22" x14ac:dyDescent="0.5">
      <c r="A11" s="46">
        <v>2</v>
      </c>
      <c r="B11" s="47" t="s">
        <v>14</v>
      </c>
      <c r="D11" s="51">
        <v>10</v>
      </c>
      <c r="E11" s="51">
        <v>20</v>
      </c>
      <c r="F11" s="51">
        <v>30</v>
      </c>
      <c r="H11" s="51">
        <v>1</v>
      </c>
      <c r="J11" s="51">
        <v>1</v>
      </c>
      <c r="N11" s="52">
        <v>10</v>
      </c>
      <c r="O11" s="52">
        <v>20</v>
      </c>
      <c r="P11" s="52">
        <v>30</v>
      </c>
      <c r="R11" s="53" cm="1">
        <f t="array" ref="R11:T12">xfilter(D11:F14,H11:H14,J11:J14)</f>
        <v>10</v>
      </c>
      <c r="S11" s="53">
        <v>20</v>
      </c>
      <c r="T11" s="53">
        <v>30</v>
      </c>
      <c r="V11" s="54" t="str" cm="1">
        <f t="array" ref="V11">IF(AND(N11:P12=R11:T12),"PASS","FAIL")</f>
        <v>PASS</v>
      </c>
    </row>
    <row r="12" spans="1:22" x14ac:dyDescent="0.5">
      <c r="A12" s="55"/>
      <c r="B12" s="55"/>
      <c r="D12" s="51">
        <v>40</v>
      </c>
      <c r="E12" s="51">
        <v>50</v>
      </c>
      <c r="F12" s="51">
        <v>60</v>
      </c>
      <c r="H12" s="51">
        <v>1</v>
      </c>
      <c r="J12" s="51">
        <v>0</v>
      </c>
      <c r="N12" s="52">
        <v>70</v>
      </c>
      <c r="O12" s="52">
        <v>80</v>
      </c>
      <c r="P12" s="52">
        <v>90</v>
      </c>
      <c r="R12" s="53">
        <v>70</v>
      </c>
      <c r="S12" s="53">
        <v>80</v>
      </c>
      <c r="T12" s="53">
        <v>90</v>
      </c>
    </row>
    <row r="13" spans="1:22" x14ac:dyDescent="0.5">
      <c r="A13" s="55"/>
      <c r="B13" s="55"/>
      <c r="D13" s="51">
        <v>70</v>
      </c>
      <c r="E13" s="51">
        <v>80</v>
      </c>
      <c r="F13" s="51">
        <v>90</v>
      </c>
      <c r="H13" s="51">
        <v>1</v>
      </c>
      <c r="J13" s="51">
        <v>1</v>
      </c>
    </row>
    <row r="14" spans="1:22" x14ac:dyDescent="0.5">
      <c r="A14" s="55"/>
      <c r="B14" s="55"/>
      <c r="D14" s="51">
        <v>15</v>
      </c>
      <c r="E14" s="51">
        <v>25</v>
      </c>
      <c r="F14" s="51">
        <v>35</v>
      </c>
      <c r="H14" s="51">
        <v>0</v>
      </c>
      <c r="J14" s="51">
        <v>1</v>
      </c>
    </row>
    <row r="16" spans="1:22" x14ac:dyDescent="0.5">
      <c r="A16" s="46">
        <v>3</v>
      </c>
      <c r="B16" s="47" t="s">
        <v>15</v>
      </c>
      <c r="D16" s="51">
        <v>10</v>
      </c>
      <c r="E16" s="51">
        <v>20</v>
      </c>
      <c r="F16" s="51">
        <v>30</v>
      </c>
      <c r="H16" s="51">
        <v>1</v>
      </c>
      <c r="I16" s="51">
        <v>0</v>
      </c>
      <c r="J16" s="51">
        <v>1</v>
      </c>
      <c r="N16" s="52">
        <v>10</v>
      </c>
      <c r="O16" s="52">
        <v>30</v>
      </c>
      <c r="R16" s="53" cm="1">
        <f t="array" ref="R16:S19">xfilter(D16:F19,H16:J16)</f>
        <v>10</v>
      </c>
      <c r="S16" s="53">
        <v>30</v>
      </c>
      <c r="V16" s="54" t="str" cm="1">
        <f t="array" ref="V16">IF(AND(N16:O19=R16:S19),"PASS","FAIL")</f>
        <v>PASS</v>
      </c>
    </row>
    <row r="17" spans="1:22" x14ac:dyDescent="0.5">
      <c r="A17" s="55"/>
      <c r="B17" s="55"/>
      <c r="D17" s="51">
        <v>40</v>
      </c>
      <c r="E17" s="51">
        <v>50</v>
      </c>
      <c r="F17" s="51">
        <v>60</v>
      </c>
      <c r="N17" s="52">
        <v>40</v>
      </c>
      <c r="O17" s="52">
        <v>60</v>
      </c>
      <c r="R17" s="53">
        <v>40</v>
      </c>
      <c r="S17" s="53">
        <v>60</v>
      </c>
    </row>
    <row r="18" spans="1:22" x14ac:dyDescent="0.5">
      <c r="A18" s="55"/>
      <c r="B18" s="55"/>
      <c r="D18" s="51">
        <v>70</v>
      </c>
      <c r="E18" s="51">
        <v>80</v>
      </c>
      <c r="F18" s="51">
        <v>90</v>
      </c>
      <c r="N18" s="52">
        <v>70</v>
      </c>
      <c r="O18" s="52">
        <v>90</v>
      </c>
      <c r="R18" s="53">
        <v>70</v>
      </c>
      <c r="S18" s="53">
        <v>90</v>
      </c>
    </row>
    <row r="19" spans="1:22" x14ac:dyDescent="0.5">
      <c r="A19" s="55"/>
      <c r="B19" s="55"/>
      <c r="D19" s="51">
        <v>15</v>
      </c>
      <c r="E19" s="51">
        <v>25</v>
      </c>
      <c r="F19" s="51">
        <v>35</v>
      </c>
      <c r="N19" s="52">
        <v>15</v>
      </c>
      <c r="O19" s="52">
        <v>35</v>
      </c>
      <c r="R19" s="53">
        <v>15</v>
      </c>
      <c r="S19" s="53">
        <v>35</v>
      </c>
    </row>
    <row r="21" spans="1:22" x14ac:dyDescent="0.5">
      <c r="A21" s="46">
        <v>4</v>
      </c>
      <c r="B21" s="47" t="s">
        <v>16</v>
      </c>
      <c r="D21" s="51">
        <v>10</v>
      </c>
      <c r="E21" s="51">
        <v>20</v>
      </c>
      <c r="F21" s="51">
        <v>30</v>
      </c>
      <c r="H21" s="51">
        <v>1</v>
      </c>
      <c r="J21" s="51">
        <v>1</v>
      </c>
      <c r="K21" s="51">
        <v>0</v>
      </c>
      <c r="L21" s="51">
        <v>1</v>
      </c>
      <c r="N21" s="52">
        <v>10</v>
      </c>
      <c r="O21" s="52">
        <v>30</v>
      </c>
      <c r="R21" s="53" cm="1">
        <f t="array" ref="R21:S22">xfilter(D21:F24,H21:H24,J21:L21)</f>
        <v>10</v>
      </c>
      <c r="S21" s="53">
        <v>30</v>
      </c>
      <c r="V21" s="54" t="str" cm="1">
        <f t="array" ref="V21">IF(AND(N21:O22=R21:S22),"PASS","FAIL")</f>
        <v>PASS</v>
      </c>
    </row>
    <row r="22" spans="1:22" x14ac:dyDescent="0.5">
      <c r="A22" s="55"/>
      <c r="B22" s="55"/>
      <c r="D22" s="51">
        <v>40</v>
      </c>
      <c r="E22" s="51">
        <v>50</v>
      </c>
      <c r="F22" s="51">
        <v>60</v>
      </c>
      <c r="H22" s="51">
        <v>0</v>
      </c>
      <c r="N22" s="52">
        <v>70</v>
      </c>
      <c r="O22" s="52">
        <v>90</v>
      </c>
      <c r="R22" s="53">
        <v>70</v>
      </c>
      <c r="S22" s="53">
        <v>90</v>
      </c>
    </row>
    <row r="23" spans="1:22" x14ac:dyDescent="0.5">
      <c r="A23" s="55"/>
      <c r="B23" s="55"/>
      <c r="D23" s="51">
        <v>70</v>
      </c>
      <c r="E23" s="51">
        <v>80</v>
      </c>
      <c r="F23" s="51">
        <v>90</v>
      </c>
      <c r="H23" s="51">
        <v>1</v>
      </c>
    </row>
    <row r="24" spans="1:22" x14ac:dyDescent="0.5">
      <c r="A24" s="55"/>
      <c r="B24" s="55"/>
      <c r="D24" s="51">
        <v>15</v>
      </c>
      <c r="E24" s="51">
        <v>25</v>
      </c>
      <c r="F24" s="51">
        <v>35</v>
      </c>
      <c r="H24" s="51">
        <v>0</v>
      </c>
    </row>
    <row r="26" spans="1:22" x14ac:dyDescent="0.5">
      <c r="A26" s="46">
        <v>5</v>
      </c>
      <c r="B26" s="47" t="s">
        <v>17</v>
      </c>
      <c r="D26" s="51">
        <v>5</v>
      </c>
      <c r="F26" s="51">
        <v>0</v>
      </c>
      <c r="N26" s="52">
        <v>12</v>
      </c>
      <c r="R26" s="53" cm="1">
        <f t="array" ref="R26:R28">xfilter(D26:D29,F26:F29)</f>
        <v>12</v>
      </c>
      <c r="V26" s="54" t="str" cm="1">
        <f t="array" ref="V26">IF(AND(N26:N28=R26:R28),"PASS","FAIL")</f>
        <v>PASS</v>
      </c>
    </row>
    <row r="27" spans="1:22" x14ac:dyDescent="0.5">
      <c r="A27" s="55"/>
      <c r="B27" s="55"/>
      <c r="D27" s="51">
        <v>12</v>
      </c>
      <c r="F27" s="51">
        <v>1</v>
      </c>
      <c r="N27" s="52">
        <v>8</v>
      </c>
      <c r="R27" s="53">
        <v>8</v>
      </c>
    </row>
    <row r="28" spans="1:22" x14ac:dyDescent="0.5">
      <c r="A28" s="55"/>
      <c r="B28" s="55"/>
      <c r="D28" s="51">
        <v>8</v>
      </c>
      <c r="F28" s="51">
        <v>1</v>
      </c>
      <c r="N28" s="52">
        <v>20</v>
      </c>
      <c r="R28" s="53">
        <v>20</v>
      </c>
    </row>
    <row r="29" spans="1:22" x14ac:dyDescent="0.5">
      <c r="A29" s="55"/>
      <c r="B29" s="55"/>
      <c r="D29" s="51">
        <v>20</v>
      </c>
      <c r="F29" s="51">
        <v>1</v>
      </c>
    </row>
    <row r="31" spans="1:22" x14ac:dyDescent="0.5">
      <c r="A31" s="46">
        <v>6</v>
      </c>
      <c r="B31" s="47" t="s">
        <v>18</v>
      </c>
      <c r="D31" s="51">
        <v>10</v>
      </c>
      <c r="E31" s="51">
        <v>20</v>
      </c>
      <c r="F31" s="51">
        <v>30</v>
      </c>
      <c r="H31" s="51">
        <v>0</v>
      </c>
      <c r="N31" s="52"/>
      <c r="R31" s="53" t="str" cm="1">
        <f t="array" ref="R31">xfilter(D31:F34,H31:H34)</f>
        <v/>
      </c>
      <c r="V31" s="54" t="str">
        <f>IF(R31=N31,"PASS","FAIL")</f>
        <v>PASS</v>
      </c>
    </row>
    <row r="32" spans="1:22" x14ac:dyDescent="0.5">
      <c r="A32" s="55"/>
      <c r="B32" s="55"/>
      <c r="D32" s="51">
        <v>40</v>
      </c>
      <c r="E32" s="51">
        <v>50</v>
      </c>
      <c r="F32" s="51">
        <v>60</v>
      </c>
      <c r="H32" s="51">
        <v>0</v>
      </c>
    </row>
    <row r="33" spans="1:8" x14ac:dyDescent="0.5">
      <c r="A33" s="55"/>
      <c r="B33" s="55"/>
      <c r="D33" s="51">
        <v>70</v>
      </c>
      <c r="E33" s="51">
        <v>80</v>
      </c>
      <c r="F33" s="51">
        <v>90</v>
      </c>
      <c r="H33" s="51">
        <v>0</v>
      </c>
    </row>
    <row r="34" spans="1:8" x14ac:dyDescent="0.5">
      <c r="A34" s="55"/>
      <c r="B34" s="55"/>
      <c r="D34" s="51">
        <v>15</v>
      </c>
      <c r="E34" s="51">
        <v>25</v>
      </c>
      <c r="F34" s="51">
        <v>35</v>
      </c>
      <c r="H34" s="51">
        <v>0</v>
      </c>
    </row>
  </sheetData>
  <mergeCells count="3">
    <mergeCell ref="I1:R1"/>
    <mergeCell ref="B2:R2"/>
    <mergeCell ref="B1:F1"/>
  </mergeCells>
  <pageMargins left="0.75" right="0.75" top="1" bottom="1" header="0.5" footer="0.5"/>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AA42D-80F0-47E5-9807-90694E2577EA}">
  <sheetPr codeName="Sheet98"/>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xmod(a, b)</v>
      </c>
      <c r="C1" s="79"/>
      <c r="D1" s="79"/>
      <c r="E1" s="79"/>
      <c r="F1" s="80"/>
      <c r="H1" s="45" t="s">
        <v>2</v>
      </c>
      <c r="I1" s="78" t="str" cm="1">
        <f t="array" aca="1" ref="I1" ca="1">_xlfn.LET(_xlpm.fn, CELL("filename",$A$1), _xlpm.nm, MID(_xlpm.fn, FIND("]", _xlpm.fn) + 1, 255), _xlfn.XLOOKUP(_xlpm.nm &amp; "(*", Lamb!$A$2:$A$1000, Lamb!$D$2:$D$1000, "", 2))</f>
        <v>Modulo that returns the divisor instead of zero (1-based).
Arguments:
  a - the dividend.
  b - the divisor.
Returns:
  MOD(a, b), except returns b when MOD(a, b) would be 0. Useful for 1-based cycling.
Example:
  xmod(6, 3)  -&gt;  3</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 b, IF(MOD(a, b) = 0, b, MOD(a, b)))</v>
      </c>
      <c r="C2" s="82"/>
      <c r="D2" s="82"/>
      <c r="E2" s="82"/>
      <c r="F2" s="82"/>
      <c r="G2" s="82"/>
      <c r="H2" s="82"/>
      <c r="I2" s="82"/>
      <c r="J2" s="82"/>
      <c r="K2" s="82"/>
      <c r="L2" s="82"/>
      <c r="M2" s="82"/>
      <c r="N2" s="82"/>
      <c r="O2" s="82"/>
      <c r="P2" s="82"/>
      <c r="Q2" s="82"/>
      <c r="R2" s="82"/>
    </row>
    <row r="4" spans="1:19" x14ac:dyDescent="0.5">
      <c r="A4" s="45" t="s">
        <v>3233</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3234</v>
      </c>
      <c r="D6" s="51">
        <v>6</v>
      </c>
      <c r="F6" s="51">
        <v>3</v>
      </c>
      <c r="H6" s="52">
        <v>3</v>
      </c>
      <c r="J6" s="53" cm="1">
        <f t="array" ref="J6">xmod(D6,F6)</f>
        <v>3</v>
      </c>
      <c r="L6" s="54" t="str">
        <f>IF(J6=H6,"PASS","FAIL")</f>
        <v>PASS</v>
      </c>
    </row>
    <row r="8" spans="1:19" x14ac:dyDescent="0.5">
      <c r="A8" s="46">
        <v>2</v>
      </c>
      <c r="B8" s="47" t="s">
        <v>3235</v>
      </c>
      <c r="D8" s="51">
        <v>7</v>
      </c>
      <c r="F8" s="51">
        <v>3</v>
      </c>
      <c r="H8" s="52">
        <v>1</v>
      </c>
      <c r="J8" s="53" cm="1">
        <f t="array" ref="J8">xmod(D8,F8)</f>
        <v>1</v>
      </c>
      <c r="L8" s="54" t="str">
        <f>IF(J8=H8,"PASS","FAIL")</f>
        <v>PASS</v>
      </c>
    </row>
    <row r="10" spans="1:19" x14ac:dyDescent="0.5">
      <c r="A10" s="46">
        <v>3</v>
      </c>
      <c r="B10" s="47" t="s">
        <v>3236</v>
      </c>
      <c r="D10" s="51">
        <v>5</v>
      </c>
      <c r="F10" s="51">
        <v>5</v>
      </c>
      <c r="H10" s="52">
        <v>5</v>
      </c>
      <c r="J10" s="53" cm="1">
        <f t="array" ref="J10">xmod(D10,F10)</f>
        <v>5</v>
      </c>
      <c r="L10" s="54" t="str">
        <f>IF(J10=H10,"PASS","FAIL")</f>
        <v>PASS</v>
      </c>
    </row>
    <row r="12" spans="1:19" x14ac:dyDescent="0.5">
      <c r="A12" s="46">
        <v>4</v>
      </c>
      <c r="B12" s="47" t="s">
        <v>3237</v>
      </c>
      <c r="D12" s="51">
        <v>10</v>
      </c>
      <c r="F12" s="51">
        <v>4</v>
      </c>
      <c r="H12" s="52">
        <v>2</v>
      </c>
      <c r="J12" s="53" cm="1">
        <f t="array" ref="J12">xmod(D12,F12)</f>
        <v>2</v>
      </c>
      <c r="L12" s="54" t="str">
        <f>IF(J12=H12,"PASS","FAIL")</f>
        <v>PASS</v>
      </c>
    </row>
    <row r="14" spans="1:19" x14ac:dyDescent="0.5">
      <c r="A14" s="46">
        <v>5</v>
      </c>
      <c r="B14" s="47" t="s">
        <v>3238</v>
      </c>
      <c r="D14" s="51">
        <v>12</v>
      </c>
      <c r="F14" s="51">
        <v>6</v>
      </c>
      <c r="H14" s="52">
        <v>6</v>
      </c>
      <c r="J14" s="53" cm="1">
        <f t="array" ref="J14">xmod(D14,F14)</f>
        <v>6</v>
      </c>
      <c r="L14" s="54" t="str">
        <f>IF(J14=H14,"PASS","FAIL")</f>
        <v>PASS</v>
      </c>
    </row>
    <row r="16" spans="1:19" x14ac:dyDescent="0.5">
      <c r="A16" s="46">
        <v>6</v>
      </c>
      <c r="B16" s="47" t="s">
        <v>3239</v>
      </c>
      <c r="D16" s="51">
        <v>1</v>
      </c>
      <c r="F16" s="51">
        <v>4</v>
      </c>
      <c r="H16" s="52">
        <v>1</v>
      </c>
      <c r="J16" s="53" cm="1">
        <f t="array" ref="J16">xmod(D16,F16)</f>
        <v>1</v>
      </c>
      <c r="L16" s="54" t="str">
        <f>IF(J16=H16,"PASS","FAIL")</f>
        <v>PASS</v>
      </c>
    </row>
  </sheetData>
  <mergeCells count="3">
    <mergeCell ref="I1:R1"/>
    <mergeCell ref="B2:R2"/>
    <mergeCell ref="B1:F1"/>
  </mergeCells>
  <pageMargins left="0.75" right="0.75" top="1" bottom="1" header="0.5" footer="0.5"/>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E75E7-7A22-49F0-95A4-35F17CC4C80D}">
  <sheetPr codeName="Sheet99"/>
  <dimension ref="A1:S16"/>
  <sheetViews>
    <sheetView workbookViewId="0">
      <selection activeCell="H6" sqref="H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xn(value_or_array)</v>
      </c>
      <c r="C1" s="79"/>
      <c r="D1" s="79"/>
      <c r="E1" s="79"/>
      <c r="F1" s="80"/>
      <c r="H1" s="45" t="s">
        <v>2</v>
      </c>
      <c r="I1" s="78" t="str" cm="1">
        <f t="array" aca="1" ref="I1" ca="1">_xlfn.LET(_xlpm.fn, CELL("filename",$A$1), _xlpm.nm, MID(_xlpm.fn, FIND("]", _xlpm.fn) + 1, 255), _xlfn.XLOOKUP(_xlpm.nm &amp; "(*", Lamb!$A$2:$A$1000, Lamb!$D$2:$D$1000, "", 2))</f>
        <v>Coerces values to numbers where sensible.
Arguments:
  value_or_array - a value or array to convert.
Returns:
  Numeric strings become numbers; TRUE/FALSE become 1/0; blanks and "" become ""; non-numeric text is left unchanged. Works on arrays.
Example:
  xn("42")  -&gt;  42</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=LAMBDA(val_or_arr, LET(
   fn_convert, LAMBDA(x,
      IF(
         x = "",
         "",
         IF(ISNUMBER(x), x, IF(ISLOGICAL(x), N(x), IFERROR(VALUE(x), x)))
      )
   ),
   IF(
      ROWS(val_or_arr) * COLUMNS(val_or_arr) = 1,
      fn_convert(val_or_arr),
      MAP(val_or_arr, fn_convert)
   )
))</v>
      </c>
      <c r="C2" s="82"/>
      <c r="D2" s="82"/>
      <c r="E2" s="82"/>
      <c r="F2" s="82"/>
      <c r="G2" s="82"/>
      <c r="H2" s="82"/>
      <c r="I2" s="82"/>
      <c r="J2" s="82"/>
      <c r="K2" s="82"/>
      <c r="L2" s="82"/>
      <c r="M2" s="82"/>
      <c r="N2" s="82"/>
      <c r="O2" s="82"/>
      <c r="P2" s="82"/>
      <c r="Q2" s="82"/>
      <c r="R2" s="82"/>
    </row>
    <row r="4" spans="1:19" x14ac:dyDescent="0.5">
      <c r="A4" s="45" t="s">
        <v>3240</v>
      </c>
      <c r="J4" s="45" t="str">
        <f>COUNTIF(J6:J18,"PASS")&amp;" / 5 PASS"</f>
        <v>5 / 5 PASS</v>
      </c>
    </row>
    <row r="5" spans="1:19" x14ac:dyDescent="0.5">
      <c r="A5" s="45" t="s">
        <v>7</v>
      </c>
      <c r="B5" s="45" t="s">
        <v>8</v>
      </c>
      <c r="D5" s="45" t="s">
        <v>9</v>
      </c>
      <c r="F5" s="48" t="s">
        <v>10</v>
      </c>
      <c r="H5" s="49" t="s">
        <v>11</v>
      </c>
      <c r="J5" s="50" t="s">
        <v>12</v>
      </c>
    </row>
    <row r="6" spans="1:19" x14ac:dyDescent="0.5">
      <c r="A6" s="46">
        <v>1</v>
      </c>
      <c r="B6" s="47" t="s">
        <v>3241</v>
      </c>
      <c r="D6" s="51" t="s">
        <v>3242</v>
      </c>
      <c r="F6" s="52">
        <v>42</v>
      </c>
      <c r="H6" s="53" cm="1">
        <f t="array" ref="H6">xn(D6)</f>
        <v>42</v>
      </c>
      <c r="J6" s="54" t="str">
        <f>IF(H6=F6,"PASS","FAIL")</f>
        <v>PASS</v>
      </c>
    </row>
    <row r="8" spans="1:19" x14ac:dyDescent="0.5">
      <c r="A8" s="46">
        <v>2</v>
      </c>
      <c r="B8" s="47" t="s">
        <v>3243</v>
      </c>
      <c r="D8" s="51" t="b">
        <v>1</v>
      </c>
      <c r="F8" s="52">
        <v>1</v>
      </c>
      <c r="H8" s="53" cm="1">
        <f t="array" ref="H8">xn(D8)</f>
        <v>1</v>
      </c>
      <c r="J8" s="54" t="str">
        <f>IF(H8=F8,"PASS","FAIL")</f>
        <v>PASS</v>
      </c>
    </row>
    <row r="10" spans="1:19" x14ac:dyDescent="0.5">
      <c r="A10" s="46">
        <v>3</v>
      </c>
      <c r="B10" s="47" t="s">
        <v>3244</v>
      </c>
      <c r="D10" s="51" t="s">
        <v>3072</v>
      </c>
      <c r="F10" s="52" t="s">
        <v>3072</v>
      </c>
      <c r="H10" s="53" t="str" cm="1">
        <f t="array" ref="H10">xn(D10)</f>
        <v>abc</v>
      </c>
      <c r="J10" s="54" t="str">
        <f>IF(H10=F10,"PASS","FAIL")</f>
        <v>PASS</v>
      </c>
    </row>
    <row r="12" spans="1:19" x14ac:dyDescent="0.5">
      <c r="A12" s="46">
        <v>4</v>
      </c>
      <c r="B12" s="47" t="s">
        <v>3245</v>
      </c>
      <c r="D12" s="51"/>
      <c r="F12" s="52"/>
      <c r="H12" s="53" t="str" cm="1">
        <f t="array" ref="H12">xn(D12)</f>
        <v/>
      </c>
      <c r="J12" s="54" t="str">
        <f>IF(H12=F12,"PASS","FAIL")</f>
        <v>PASS</v>
      </c>
    </row>
    <row r="14" spans="1:19" x14ac:dyDescent="0.5">
      <c r="A14" s="46">
        <v>5</v>
      </c>
      <c r="B14" s="47" t="s">
        <v>3246</v>
      </c>
      <c r="D14" s="51" t="s">
        <v>577</v>
      </c>
      <c r="F14" s="52">
        <v>1</v>
      </c>
      <c r="H14" s="53" cm="1">
        <f t="array" ref="H14:H16">xn(D14:D16)</f>
        <v>1</v>
      </c>
      <c r="J14" s="54" t="str" cm="1">
        <f t="array" ref="J14">IF(AND(F14:F16=H14:H16),"PASS","FAIL")</f>
        <v>PASS</v>
      </c>
    </row>
    <row r="15" spans="1:19" x14ac:dyDescent="0.5">
      <c r="A15" s="55"/>
      <c r="B15" s="55"/>
      <c r="D15" s="51" t="s">
        <v>136</v>
      </c>
      <c r="F15" s="52">
        <v>2</v>
      </c>
      <c r="H15" s="53">
        <v>2</v>
      </c>
    </row>
    <row r="16" spans="1:19" x14ac:dyDescent="0.5">
      <c r="A16" s="55"/>
      <c r="B16" s="55"/>
      <c r="D16" s="51" t="s">
        <v>2957</v>
      </c>
      <c r="F16" s="52" t="s">
        <v>2957</v>
      </c>
      <c r="H16" s="53" t="str">
        <v>x</v>
      </c>
    </row>
  </sheetData>
  <mergeCells count="3">
    <mergeCell ref="I1:R1"/>
    <mergeCell ref="B2:R2"/>
    <mergeCell ref="B1:F1"/>
  </mergeCells>
  <pageMargins left="0.75" right="0.75" top="1" bottom="1" header="0.5" footer="0.5"/>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8331F-2202-469C-AA08-DA052F895533}">
  <sheetPr codeName="Sheet100"/>
  <dimension ref="A1:S25"/>
  <sheetViews>
    <sheetView workbookViewId="0"/>
  </sheetViews>
  <sheetFormatPr defaultRowHeight="21" x14ac:dyDescent="0.5"/>
  <cols>
    <col min="1" max="1" width="4" customWidth="1"/>
    <col min="2" max="2" width="30" customWidth="1"/>
    <col min="4" max="4" width="11" customWidth="1"/>
    <col min="5" max="5" width="3" customWidth="1"/>
    <col min="6"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xrank(value, array, [order])</v>
      </c>
      <c r="C1" s="79"/>
      <c r="D1" s="79"/>
      <c r="E1" s="79"/>
      <c r="F1" s="80"/>
      <c r="H1" s="45" t="s">
        <v>2</v>
      </c>
      <c r="I1" s="78" t="str" cm="1">
        <f t="array" aca="1" ref="I1" ca="1">_xlfn.LET(_xlpm.fn, CELL("filename",$A$1), _xlpm.nm, MID(_xlpm.fn, FIND("]", _xlpm.fn) + 1, 255), _xlfn.XLOOKUP(_xlpm.nm &amp; "(*", Lamb!$A$2:$A$1000, Lamb!$D$2:$D$1000, "", 2))</f>
        <v>Rank of a value within an array.
Arguments:
  value   - the value to rank.
  array   - the set of values to rank within.
  [order] - 0 = descending (default), 1 = ascending.
Returns:
  The 1-based rank of value among array, or "" if value is not found in array.
Example:
  xrank(50, scores)</v>
      </c>
      <c r="J1" s="79"/>
      <c r="K1" s="79"/>
      <c r="L1" s="79"/>
      <c r="M1" s="79"/>
      <c r="N1" s="79"/>
      <c r="O1" s="79"/>
      <c r="P1" s="79"/>
      <c r="Q1" s="79"/>
      <c r="R1" s="80"/>
      <c r="S1" s="77" t="str">
        <f>HYPERLINK("#lambda_tests!A1","&lt;- test summary")</f>
        <v>&lt;- test summary</v>
      </c>
    </row>
    <row r="2" spans="1:19" ht="105" customHeight="1" x14ac:dyDescent="0.5">
      <c r="A2" s="45" t="s">
        <v>4</v>
      </c>
      <c r="B2" s="81" t="str" cm="1">
        <f t="array" aca="1" ref="B2" ca="1">_xlfn.LET(_xlpm.fn, CELL("filename",$A$1), _xlpm.nm, MID(_xlpm.fn, FIND("]", _xlpm.fn) + 1, 255), _xlfn.XLOOKUP(_xlpm.nm &amp; "(*", Lamb!$A$2:$A$1000, Lamb!$C$2:$C$1000, "", 2))</f>
        <v>=LAMBDA(value, array, [order], LET(
   rank_style_order, IF(ISOMITTED(order), 0, order),
   sort_style_order, IF(rank_style_order = 0, -1, 1),
   IFNA(XMATCH(value, SORT(TOCOL(array), 1, sort_style_order)), "")
))</v>
      </c>
      <c r="C2" s="82"/>
      <c r="D2" s="82"/>
      <c r="E2" s="82"/>
      <c r="F2" s="82"/>
      <c r="G2" s="82"/>
      <c r="H2" s="82"/>
      <c r="I2" s="82"/>
      <c r="J2" s="82"/>
      <c r="K2" s="82"/>
      <c r="L2" s="82"/>
      <c r="M2" s="82"/>
      <c r="N2" s="82"/>
      <c r="O2" s="82"/>
      <c r="P2" s="82"/>
      <c r="Q2" s="82"/>
      <c r="R2" s="82"/>
    </row>
    <row r="4" spans="1:19" x14ac:dyDescent="0.5">
      <c r="A4" s="45" t="s">
        <v>3247</v>
      </c>
      <c r="N4" s="45" t="str">
        <f>COUNTIF(N6:N25,"PASS")&amp;" / 6 PASS"</f>
        <v>6 / 6 PASS</v>
      </c>
    </row>
    <row r="5" spans="1:19" x14ac:dyDescent="0.5">
      <c r="A5" s="45" t="s">
        <v>7</v>
      </c>
      <c r="B5" s="45" t="s">
        <v>8</v>
      </c>
      <c r="D5" s="45" t="s">
        <v>9</v>
      </c>
      <c r="J5" s="48" t="s">
        <v>10</v>
      </c>
      <c r="L5" s="49" t="s">
        <v>11</v>
      </c>
      <c r="N5" s="50" t="s">
        <v>12</v>
      </c>
    </row>
    <row r="6" spans="1:19" x14ac:dyDescent="0.5">
      <c r="A6" s="46">
        <v>1</v>
      </c>
      <c r="B6" s="47" t="s">
        <v>3248</v>
      </c>
      <c r="D6" s="51">
        <v>50</v>
      </c>
      <c r="F6" s="51">
        <v>10</v>
      </c>
      <c r="J6" s="52">
        <v>1</v>
      </c>
      <c r="L6" s="53" cm="1">
        <f t="array" ref="L6">xrank(D6,F6:F8)</f>
        <v>1</v>
      </c>
      <c r="N6" s="54" t="str">
        <f>IF(L6=J6,"PASS","FAIL")</f>
        <v>PASS</v>
      </c>
    </row>
    <row r="7" spans="1:19" x14ac:dyDescent="0.5">
      <c r="A7" s="55"/>
      <c r="B7" s="55"/>
      <c r="F7" s="51">
        <v>50</v>
      </c>
    </row>
    <row r="8" spans="1:19" x14ac:dyDescent="0.5">
      <c r="A8" s="55"/>
      <c r="B8" s="55"/>
      <c r="F8" s="51">
        <v>30</v>
      </c>
    </row>
    <row r="10" spans="1:19" x14ac:dyDescent="0.5">
      <c r="A10" s="46">
        <v>2</v>
      </c>
      <c r="B10" s="47" t="s">
        <v>3249</v>
      </c>
      <c r="D10" s="51">
        <v>30</v>
      </c>
      <c r="F10" s="51">
        <v>10</v>
      </c>
      <c r="J10" s="52">
        <v>2</v>
      </c>
      <c r="L10" s="53" cm="1">
        <f t="array" ref="L10">xrank(D10,F10:F12)</f>
        <v>2</v>
      </c>
      <c r="N10" s="54" t="str">
        <f>IF(L10=J10,"PASS","FAIL")</f>
        <v>PASS</v>
      </c>
    </row>
    <row r="11" spans="1:19" x14ac:dyDescent="0.5">
      <c r="A11" s="55"/>
      <c r="B11" s="55"/>
      <c r="F11" s="51">
        <v>50</v>
      </c>
    </row>
    <row r="12" spans="1:19" x14ac:dyDescent="0.5">
      <c r="A12" s="55"/>
      <c r="B12" s="55"/>
      <c r="F12" s="51">
        <v>30</v>
      </c>
    </row>
    <row r="14" spans="1:19" x14ac:dyDescent="0.5">
      <c r="A14" s="46">
        <v>3</v>
      </c>
      <c r="B14" s="47" t="s">
        <v>3250</v>
      </c>
      <c r="D14" s="51">
        <v>10</v>
      </c>
      <c r="F14" s="51">
        <v>10</v>
      </c>
      <c r="H14" s="51">
        <v>1</v>
      </c>
      <c r="J14" s="52">
        <v>1</v>
      </c>
      <c r="L14" s="53" cm="1">
        <f t="array" ref="L14">xrank(D14,F14:F16,H14)</f>
        <v>1</v>
      </c>
      <c r="N14" s="54" t="str">
        <f>IF(L14=J14,"PASS","FAIL")</f>
        <v>PASS</v>
      </c>
    </row>
    <row r="15" spans="1:19" x14ac:dyDescent="0.5">
      <c r="A15" s="55"/>
      <c r="B15" s="55"/>
      <c r="F15" s="51">
        <v>50</v>
      </c>
    </row>
    <row r="16" spans="1:19" x14ac:dyDescent="0.5">
      <c r="A16" s="55"/>
      <c r="B16" s="55"/>
      <c r="F16" s="51">
        <v>30</v>
      </c>
    </row>
    <row r="18" spans="1:14" x14ac:dyDescent="0.5">
      <c r="A18" s="46">
        <v>4</v>
      </c>
      <c r="B18" s="47" t="s">
        <v>3251</v>
      </c>
      <c r="D18" s="51">
        <v>50</v>
      </c>
      <c r="F18" s="51">
        <v>10</v>
      </c>
      <c r="G18" s="51">
        <v>50</v>
      </c>
      <c r="H18" s="51">
        <v>30</v>
      </c>
      <c r="J18" s="52">
        <v>1</v>
      </c>
      <c r="L18" s="53" cm="1">
        <f t="array" ref="L18">xrank(D18,F18:H18)</f>
        <v>1</v>
      </c>
      <c r="N18" s="54" t="str">
        <f>IF(L18=J18,"PASS","FAIL")</f>
        <v>PASS</v>
      </c>
    </row>
    <row r="20" spans="1:14" x14ac:dyDescent="0.5">
      <c r="A20" s="46">
        <v>5</v>
      </c>
      <c r="B20" s="47" t="s">
        <v>3252</v>
      </c>
      <c r="D20" s="51">
        <v>20</v>
      </c>
      <c r="F20" s="51">
        <v>10</v>
      </c>
      <c r="J20" s="52">
        <v>2</v>
      </c>
      <c r="L20" s="53" cm="1">
        <f t="array" ref="L20">xrank(D20,F20:F23)</f>
        <v>2</v>
      </c>
      <c r="N20" s="54" t="str">
        <f>IF(L20=J20,"PASS","FAIL")</f>
        <v>PASS</v>
      </c>
    </row>
    <row r="21" spans="1:14" x14ac:dyDescent="0.5">
      <c r="A21" s="55"/>
      <c r="B21" s="55"/>
      <c r="F21" s="51">
        <v>20</v>
      </c>
    </row>
    <row r="22" spans="1:14" x14ac:dyDescent="0.5">
      <c r="A22" s="55"/>
      <c r="B22" s="55"/>
      <c r="F22" s="51">
        <v>20</v>
      </c>
    </row>
    <row r="23" spans="1:14" x14ac:dyDescent="0.5">
      <c r="A23" s="55"/>
      <c r="B23" s="55"/>
      <c r="F23" s="51">
        <v>30</v>
      </c>
    </row>
    <row r="25" spans="1:14" x14ac:dyDescent="0.5">
      <c r="A25" s="46">
        <v>6</v>
      </c>
      <c r="B25" s="47" t="s">
        <v>3289</v>
      </c>
      <c r="D25" s="51">
        <v>999</v>
      </c>
      <c r="J25" s="52" t="str">
        <f>""</f>
        <v/>
      </c>
      <c r="L25" s="53" t="str" cm="1">
        <f t="array" ref="L25">xrank(D25,{10;20;30})</f>
        <v/>
      </c>
      <c r="N25" s="54" t="str">
        <f>IF(L25=J25,"PASS","FAIL")</f>
        <v>PASS</v>
      </c>
    </row>
  </sheetData>
  <mergeCells count="3">
    <mergeCell ref="I1:R1"/>
    <mergeCell ref="B2:R2"/>
    <mergeCell ref="B1:F1"/>
  </mergeCells>
  <pageMargins left="0.75" right="0.75" top="1" bottom="1" header="0.5" footer="0.5"/>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170B-8453-4514-9CCB-727D55941517}">
  <sheetPr codeName="Sheet101"/>
  <dimension ref="A1:S38"/>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9" ht="294" customHeight="1" x14ac:dyDescent="0.5">
      <c r="A1" s="45" t="s">
        <v>0</v>
      </c>
      <c r="B1" s="83" t="str" cm="1">
        <f t="array" aca="1" ref="B1" ca="1">_xlfn.LET(_xlpm.fn, CELL("filename",$A$1), _xlpm.nm, MID(_xlpm.fn, FIND("]", _xlpm.fn) + 1, 255), _xlfn.XLOOKUP(_xlpm.nm &amp; "(*", Lamb!$A$2:$A$1000, Lamb!$A$2:$A$1000, "", 2))</f>
        <v>xsequence(start, stop, [step], [repeat_element], [repeat_array])</v>
      </c>
      <c r="C1" s="79"/>
      <c r="D1" s="79"/>
      <c r="E1" s="79"/>
      <c r="F1" s="80"/>
      <c r="H1" s="45" t="s">
        <v>2</v>
      </c>
      <c r="I1" s="78"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v>
      </c>
      <c r="C2" s="82"/>
      <c r="D2" s="82"/>
      <c r="E2" s="82"/>
      <c r="F2" s="82"/>
      <c r="G2" s="82"/>
      <c r="H2" s="82"/>
      <c r="I2" s="82"/>
      <c r="J2" s="82"/>
      <c r="K2" s="82"/>
      <c r="L2" s="82"/>
      <c r="M2" s="82"/>
      <c r="N2" s="82"/>
      <c r="O2" s="82"/>
      <c r="P2" s="82"/>
      <c r="Q2" s="82"/>
      <c r="R2" s="82"/>
    </row>
    <row r="4" spans="1:19" x14ac:dyDescent="0.5">
      <c r="A4" s="45" t="s">
        <v>3253</v>
      </c>
      <c r="R4" s="45" t="str">
        <f>COUNTIF(R6:R50,"PASS")&amp;" / 7 PASS"</f>
        <v>7 / 7 PASS</v>
      </c>
    </row>
    <row r="5" spans="1:19" x14ac:dyDescent="0.5">
      <c r="A5" s="45" t="s">
        <v>7</v>
      </c>
      <c r="B5" s="45" t="s">
        <v>8</v>
      </c>
      <c r="D5" s="45" t="s">
        <v>9</v>
      </c>
      <c r="N5" s="48" t="s">
        <v>10</v>
      </c>
      <c r="P5" s="49" t="s">
        <v>11</v>
      </c>
      <c r="R5" s="50" t="s">
        <v>12</v>
      </c>
    </row>
    <row r="6" spans="1:19" x14ac:dyDescent="0.5">
      <c r="A6" s="46">
        <v>1</v>
      </c>
      <c r="B6" s="47" t="s">
        <v>3254</v>
      </c>
      <c r="D6" s="51">
        <v>1</v>
      </c>
      <c r="F6" s="51">
        <v>5</v>
      </c>
      <c r="N6" s="52">
        <v>1</v>
      </c>
      <c r="P6" s="53" cm="1">
        <f t="array" ref="P6:P10">xsequence(D6,F6)</f>
        <v>1</v>
      </c>
      <c r="R6" s="54" t="str" cm="1">
        <f t="array" ref="R6">IF(AND(N6:N10=P6:P10),"PASS","FAIL")</f>
        <v>PASS</v>
      </c>
    </row>
    <row r="7" spans="1:19" x14ac:dyDescent="0.5">
      <c r="A7" s="55"/>
      <c r="B7" s="55"/>
      <c r="N7" s="52">
        <v>2</v>
      </c>
      <c r="P7" s="53">
        <v>2</v>
      </c>
    </row>
    <row r="8" spans="1:19" x14ac:dyDescent="0.5">
      <c r="A8" s="55"/>
      <c r="B8" s="55"/>
      <c r="N8" s="52">
        <v>3</v>
      </c>
      <c r="P8" s="53">
        <v>3</v>
      </c>
    </row>
    <row r="9" spans="1:19" x14ac:dyDescent="0.5">
      <c r="A9" s="55"/>
      <c r="B9" s="55"/>
      <c r="N9" s="52">
        <v>4</v>
      </c>
      <c r="P9" s="53">
        <v>4</v>
      </c>
    </row>
    <row r="10" spans="1:19" x14ac:dyDescent="0.5">
      <c r="A10" s="55"/>
      <c r="B10" s="55"/>
      <c r="N10" s="52">
        <v>5</v>
      </c>
      <c r="P10" s="53">
        <v>5</v>
      </c>
    </row>
    <row r="12" spans="1:19" x14ac:dyDescent="0.5">
      <c r="A12" s="46">
        <v>2</v>
      </c>
      <c r="B12" s="47" t="s">
        <v>3255</v>
      </c>
      <c r="D12" s="51">
        <v>2</v>
      </c>
      <c r="F12" s="51">
        <v>6</v>
      </c>
      <c r="H12" s="51">
        <v>2</v>
      </c>
      <c r="N12" s="52">
        <v>2</v>
      </c>
      <c r="P12" s="53" cm="1">
        <f t="array" ref="P12:P14">xsequence(D12,F12,H12)</f>
        <v>2</v>
      </c>
      <c r="R12" s="54" t="str" cm="1">
        <f t="array" ref="R12">IF(AND(N12:N14=P12:P14),"PASS","FAIL")</f>
        <v>PASS</v>
      </c>
    </row>
    <row r="13" spans="1:19" x14ac:dyDescent="0.5">
      <c r="A13" s="55"/>
      <c r="B13" s="55"/>
      <c r="N13" s="52">
        <v>4</v>
      </c>
      <c r="P13" s="53">
        <v>4</v>
      </c>
    </row>
    <row r="14" spans="1:19" x14ac:dyDescent="0.5">
      <c r="A14" s="55"/>
      <c r="B14" s="55"/>
      <c r="N14" s="52">
        <v>6</v>
      </c>
      <c r="P14" s="53">
        <v>6</v>
      </c>
    </row>
    <row r="16" spans="1:19" x14ac:dyDescent="0.5">
      <c r="A16" s="46">
        <v>3</v>
      </c>
      <c r="B16" s="47" t="s">
        <v>3256</v>
      </c>
      <c r="D16" s="51">
        <v>1</v>
      </c>
      <c r="F16" s="51">
        <v>3</v>
      </c>
      <c r="H16" s="51"/>
      <c r="J16" s="51">
        <v>2</v>
      </c>
      <c r="N16" s="52">
        <v>1</v>
      </c>
      <c r="P16" s="53" cm="1">
        <f t="array" ref="P16:P21">xsequence(D16,F16,,J16)</f>
        <v>1</v>
      </c>
      <c r="R16" s="54" t="str" cm="1">
        <f t="array" ref="R16">IF(AND(N16:N21=P16:P21),"PASS","FAIL")</f>
        <v>PASS</v>
      </c>
    </row>
    <row r="17" spans="1:18" x14ac:dyDescent="0.5">
      <c r="A17" s="55"/>
      <c r="B17" s="55"/>
      <c r="N17" s="52">
        <v>1</v>
      </c>
      <c r="P17" s="53">
        <v>1</v>
      </c>
    </row>
    <row r="18" spans="1:18" x14ac:dyDescent="0.5">
      <c r="A18" s="55"/>
      <c r="B18" s="55"/>
      <c r="N18" s="52">
        <v>2</v>
      </c>
      <c r="P18" s="53">
        <v>2</v>
      </c>
    </row>
    <row r="19" spans="1:18" x14ac:dyDescent="0.5">
      <c r="A19" s="55"/>
      <c r="B19" s="55"/>
      <c r="N19" s="52">
        <v>2</v>
      </c>
      <c r="P19" s="53">
        <v>2</v>
      </c>
    </row>
    <row r="20" spans="1:18" x14ac:dyDescent="0.5">
      <c r="A20" s="55"/>
      <c r="B20" s="55"/>
      <c r="N20" s="52">
        <v>3</v>
      </c>
      <c r="P20" s="53">
        <v>3</v>
      </c>
    </row>
    <row r="21" spans="1:18" x14ac:dyDescent="0.5">
      <c r="A21" s="55"/>
      <c r="B21" s="55"/>
      <c r="N21" s="52">
        <v>3</v>
      </c>
      <c r="P21" s="53">
        <v>3</v>
      </c>
    </row>
    <row r="23" spans="1:18" x14ac:dyDescent="0.5">
      <c r="A23" s="46">
        <v>4</v>
      </c>
      <c r="B23" s="47" t="s">
        <v>3257</v>
      </c>
      <c r="D23" s="51">
        <v>1</v>
      </c>
      <c r="F23" s="51">
        <v>3</v>
      </c>
      <c r="H23" s="51"/>
      <c r="J23" s="51"/>
      <c r="L23" s="51">
        <v>2</v>
      </c>
      <c r="N23" s="52">
        <v>1</v>
      </c>
      <c r="P23" s="53" cm="1">
        <f t="array" ref="P23:P28">xsequence(D23,F23,,,L23)</f>
        <v>1</v>
      </c>
      <c r="R23" s="54" t="str" cm="1">
        <f t="array" ref="R23">IF(AND(N23:N28=P23:P28),"PASS","FAIL")</f>
        <v>PASS</v>
      </c>
    </row>
    <row r="24" spans="1:18" x14ac:dyDescent="0.5">
      <c r="A24" s="55"/>
      <c r="B24" s="55"/>
      <c r="N24" s="52">
        <v>2</v>
      </c>
      <c r="P24" s="53">
        <v>2</v>
      </c>
    </row>
    <row r="25" spans="1:18" x14ac:dyDescent="0.5">
      <c r="A25" s="55"/>
      <c r="B25" s="55"/>
      <c r="N25" s="52">
        <v>3</v>
      </c>
      <c r="P25" s="53">
        <v>3</v>
      </c>
    </row>
    <row r="26" spans="1:18" x14ac:dyDescent="0.5">
      <c r="A26" s="55"/>
      <c r="B26" s="55"/>
      <c r="N26" s="52">
        <v>1</v>
      </c>
      <c r="P26" s="53">
        <v>1</v>
      </c>
    </row>
    <row r="27" spans="1:18" x14ac:dyDescent="0.5">
      <c r="A27" s="55"/>
      <c r="B27" s="55"/>
      <c r="N27" s="52">
        <v>2</v>
      </c>
      <c r="P27" s="53">
        <v>2</v>
      </c>
    </row>
    <row r="28" spans="1:18" x14ac:dyDescent="0.5">
      <c r="A28" s="55"/>
      <c r="B28" s="55"/>
      <c r="N28" s="52">
        <v>3</v>
      </c>
      <c r="P28" s="53">
        <v>3</v>
      </c>
    </row>
    <row r="30" spans="1:18" x14ac:dyDescent="0.5">
      <c r="A30" s="46">
        <v>5</v>
      </c>
      <c r="B30" s="47" t="s">
        <v>3258</v>
      </c>
      <c r="D30" s="51">
        <v>5</v>
      </c>
      <c r="F30" s="51">
        <v>1</v>
      </c>
      <c r="N30" s="52">
        <v>5</v>
      </c>
      <c r="P30" s="53" cm="1">
        <f t="array" ref="P30:P34">xsequence(D30,F30)</f>
        <v>5</v>
      </c>
      <c r="R30" s="54" t="str" cm="1">
        <f t="array" ref="R30">IF(AND(N30:N34=P30:P34),"PASS","FAIL")</f>
        <v>PASS</v>
      </c>
    </row>
    <row r="31" spans="1:18" x14ac:dyDescent="0.5">
      <c r="A31" s="55"/>
      <c r="B31" s="55"/>
      <c r="N31" s="52">
        <v>4</v>
      </c>
      <c r="P31" s="53">
        <v>4</v>
      </c>
    </row>
    <row r="32" spans="1:18" x14ac:dyDescent="0.5">
      <c r="A32" s="55"/>
      <c r="B32" s="55"/>
      <c r="N32" s="52">
        <v>3</v>
      </c>
      <c r="P32" s="53">
        <v>3</v>
      </c>
    </row>
    <row r="33" spans="1:18" x14ac:dyDescent="0.5">
      <c r="A33" s="55"/>
      <c r="B33" s="55"/>
      <c r="N33" s="52">
        <v>2</v>
      </c>
      <c r="P33" s="53">
        <v>2</v>
      </c>
    </row>
    <row r="34" spans="1:18" x14ac:dyDescent="0.5">
      <c r="A34" s="55"/>
      <c r="B34" s="55"/>
      <c r="N34" s="52">
        <v>1</v>
      </c>
      <c r="P34" s="53">
        <v>1</v>
      </c>
    </row>
    <row r="36" spans="1:18" x14ac:dyDescent="0.5">
      <c r="A36" s="46">
        <v>6</v>
      </c>
      <c r="B36" s="47" t="s">
        <v>3290</v>
      </c>
      <c r="D36" s="51">
        <v>1</v>
      </c>
      <c r="F36" s="51">
        <v>5</v>
      </c>
      <c r="N36" s="52" t="s">
        <v>3288</v>
      </c>
      <c r="P36" s="53" t="e" cm="1">
        <f t="array" ref="P36">xsequence(D36,F36,-1)</f>
        <v>#VALUE!</v>
      </c>
      <c r="R36" s="54" t="str">
        <f>IF(ERROR.TYPE(P36)=3,"PASS","FAIL")</f>
        <v>PASS</v>
      </c>
    </row>
    <row r="38" spans="1:18" x14ac:dyDescent="0.5">
      <c r="A38" s="46">
        <v>7</v>
      </c>
      <c r="B38" s="47" t="s">
        <v>3647</v>
      </c>
      <c r="D38" s="51">
        <v>1</v>
      </c>
      <c r="F38" s="51">
        <v>10</v>
      </c>
      <c r="N38" s="52">
        <v>10</v>
      </c>
      <c r="P38" s="53">
        <f>ROWS(xsequence(D38,F38))</f>
        <v>10</v>
      </c>
      <c r="R38" s="54" t="str">
        <f>IF(P38=N38,"PASS","FAIL")</f>
        <v>PASS</v>
      </c>
    </row>
  </sheetData>
  <mergeCells count="3">
    <mergeCell ref="I1:R1"/>
    <mergeCell ref="B2:R2"/>
    <mergeCell ref="B1:F1"/>
  </mergeCells>
  <pageMargins left="0.75" right="0.75" top="1" bottom="1" header="0.5" footer="0.5"/>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7C04ED-A771-4383-95BD-CD9E247FC0E2}">
  <sheetPr codeName="Sheet103"/>
  <dimension ref="A1:S24"/>
  <sheetViews>
    <sheetView workbookViewId="0">
      <selection activeCell="D10" sqref="D10"/>
    </sheetView>
  </sheetViews>
  <sheetFormatPr defaultRowHeight="21" x14ac:dyDescent="0.5"/>
  <cols>
    <col min="1" max="1" width="4" customWidth="1"/>
    <col min="2" max="2" width="30" customWidth="1"/>
    <col min="4"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xtocol(rng, [show_addr], [clean], [dir], [snake])</v>
      </c>
      <c r="C1" s="79"/>
      <c r="D1" s="79"/>
      <c r="E1" s="79"/>
      <c r="F1" s="80"/>
      <c r="H1" s="45" t="s">
        <v>2</v>
      </c>
      <c r="I1" s="78" t="str" cm="1">
        <f t="array" aca="1" ref="I1" ca="1">_xlfn.LET(_xlpm.fn, CELL("filename",$A$1), _xlpm.nm, MID(_xlpm.fn, FIND("]", _xlpm.fn) + 1, 255), _xlfn.XLOOKUP(_xlpm.nm &amp; "(*", Lamb!$A$2:$A$1000, Lamb!$D$2:$D$1000, "", 2))</f>
        <v>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v>
      </c>
      <c r="C2" s="82"/>
      <c r="D2" s="82"/>
      <c r="E2" s="82"/>
      <c r="F2" s="82"/>
      <c r="G2" s="82"/>
      <c r="H2" s="82"/>
      <c r="I2" s="82"/>
      <c r="J2" s="82"/>
      <c r="K2" s="82"/>
      <c r="L2" s="82"/>
      <c r="M2" s="82"/>
      <c r="N2" s="82"/>
      <c r="O2" s="82"/>
      <c r="P2" s="82"/>
      <c r="Q2" s="82"/>
      <c r="R2" s="82"/>
    </row>
    <row r="4" spans="1:19" x14ac:dyDescent="0.5">
      <c r="A4" s="45" t="s">
        <v>3269</v>
      </c>
      <c r="L4" s="45" t="str">
        <f>COUNTIF(L6:L24,"PASS")&amp;" / 5 PASS"</f>
        <v>5 / 5 PASS</v>
      </c>
    </row>
    <row r="5" spans="1:19" x14ac:dyDescent="0.5">
      <c r="A5" s="45" t="s">
        <v>7</v>
      </c>
      <c r="B5" s="45" t="s">
        <v>8</v>
      </c>
      <c r="D5" s="45" t="s">
        <v>9</v>
      </c>
      <c r="H5" s="48" t="s">
        <v>10</v>
      </c>
      <c r="J5" s="49" t="s">
        <v>11</v>
      </c>
      <c r="L5" s="50" t="s">
        <v>12</v>
      </c>
    </row>
    <row r="6" spans="1:19" x14ac:dyDescent="0.5">
      <c r="A6" s="46">
        <v>1</v>
      </c>
      <c r="B6" s="47" t="s">
        <v>3270</v>
      </c>
      <c r="D6" s="51">
        <v>1</v>
      </c>
      <c r="E6" s="51">
        <v>2</v>
      </c>
      <c r="H6" s="52">
        <v>1</v>
      </c>
      <c r="J6" s="53" cm="1">
        <f t="array" ref="J6:J9">xtocol(D6:E7,0)</f>
        <v>1</v>
      </c>
      <c r="L6" s="54" t="str" cm="1">
        <f t="array" ref="L6">IF(AND(H6:H9=J6:J9),"PASS","FAIL")</f>
        <v>PASS</v>
      </c>
    </row>
    <row r="7" spans="1:19" x14ac:dyDescent="0.5">
      <c r="A7" s="55"/>
      <c r="B7" s="55"/>
      <c r="D7" s="51">
        <v>3</v>
      </c>
      <c r="E7" s="51">
        <v>4</v>
      </c>
      <c r="H7" s="52">
        <v>2</v>
      </c>
      <c r="J7" s="53">
        <v>2</v>
      </c>
    </row>
    <row r="8" spans="1:19" x14ac:dyDescent="0.5">
      <c r="A8" s="55"/>
      <c r="B8" s="55"/>
      <c r="H8" s="52">
        <v>3</v>
      </c>
      <c r="J8" s="53">
        <v>3</v>
      </c>
    </row>
    <row r="9" spans="1:19" x14ac:dyDescent="0.5">
      <c r="A9" s="55"/>
      <c r="B9" s="55"/>
      <c r="H9" s="52">
        <v>4</v>
      </c>
      <c r="J9" s="53">
        <v>4</v>
      </c>
    </row>
    <row r="11" spans="1:19" x14ac:dyDescent="0.5">
      <c r="A11" s="46">
        <v>2</v>
      </c>
      <c r="B11" s="47" t="s">
        <v>3271</v>
      </c>
      <c r="D11" s="51">
        <v>1</v>
      </c>
      <c r="E11" s="51">
        <v>2</v>
      </c>
      <c r="H11" s="52">
        <v>1</v>
      </c>
      <c r="J11" s="53" cm="1">
        <f t="array" ref="J11:J14">xtocol(D11:E12,0,,"↓→")</f>
        <v>1</v>
      </c>
      <c r="L11" s="54" t="str" cm="1">
        <f t="array" ref="L11">IF(AND(H11:H14=J11:J14),"PASS","FAIL")</f>
        <v>PASS</v>
      </c>
    </row>
    <row r="12" spans="1:19" x14ac:dyDescent="0.5">
      <c r="A12" s="55"/>
      <c r="B12" s="55"/>
      <c r="D12" s="51">
        <v>3</v>
      </c>
      <c r="E12" s="51">
        <v>4</v>
      </c>
      <c r="H12" s="52">
        <v>3</v>
      </c>
      <c r="J12" s="53">
        <v>3</v>
      </c>
    </row>
    <row r="13" spans="1:19" x14ac:dyDescent="0.5">
      <c r="A13" s="55"/>
      <c r="B13" s="55"/>
      <c r="H13" s="52">
        <v>2</v>
      </c>
      <c r="J13" s="53">
        <v>2</v>
      </c>
    </row>
    <row r="14" spans="1:19" x14ac:dyDescent="0.5">
      <c r="A14" s="55"/>
      <c r="B14" s="55"/>
      <c r="H14" s="52">
        <v>4</v>
      </c>
      <c r="J14" s="53">
        <v>4</v>
      </c>
    </row>
    <row r="16" spans="1:19" x14ac:dyDescent="0.5">
      <c r="A16" s="46">
        <v>3</v>
      </c>
      <c r="B16" s="47" t="s">
        <v>3272</v>
      </c>
      <c r="D16" s="51">
        <v>1</v>
      </c>
      <c r="E16" s="51"/>
      <c r="F16" s="51">
        <v>3</v>
      </c>
      <c r="H16" s="52">
        <v>1</v>
      </c>
      <c r="J16" s="53" cm="1">
        <f t="array" ref="J16:J17">xtocol(D16:F16,0)</f>
        <v>1</v>
      </c>
      <c r="L16" s="54" t="str" cm="1">
        <f t="array" ref="L16">IF(AND(H16:H17=J16:J17),"PASS","FAIL")</f>
        <v>PASS</v>
      </c>
    </row>
    <row r="17" spans="1:12" x14ac:dyDescent="0.5">
      <c r="A17" s="55"/>
      <c r="B17" s="55"/>
      <c r="H17" s="52">
        <v>3</v>
      </c>
      <c r="J17" s="53">
        <v>3</v>
      </c>
    </row>
    <row r="19" spans="1:12" x14ac:dyDescent="0.5">
      <c r="A19" s="46">
        <v>4</v>
      </c>
      <c r="B19" s="47" t="s">
        <v>3273</v>
      </c>
      <c r="D19" s="51">
        <v>1</v>
      </c>
      <c r="E19" s="51">
        <v>2</v>
      </c>
      <c r="H19" s="52">
        <v>1</v>
      </c>
      <c r="J19" s="53" cm="1">
        <f t="array" ref="J19:J22">xtocol(D19:E20,0,,"→↓",1)</f>
        <v>1</v>
      </c>
      <c r="L19" s="54" t="str" cm="1">
        <f t="array" ref="L19">IF(AND(H19:H22=J19:J22),"PASS","FAIL")</f>
        <v>PASS</v>
      </c>
    </row>
    <row r="20" spans="1:12" x14ac:dyDescent="0.5">
      <c r="A20" s="55"/>
      <c r="B20" s="55"/>
      <c r="D20" s="51">
        <v>3</v>
      </c>
      <c r="E20" s="51">
        <v>4</v>
      </c>
      <c r="H20" s="52">
        <v>2</v>
      </c>
      <c r="J20" s="53">
        <v>2</v>
      </c>
    </row>
    <row r="21" spans="1:12" x14ac:dyDescent="0.5">
      <c r="A21" s="55"/>
      <c r="B21" s="55"/>
      <c r="H21" s="52">
        <v>4</v>
      </c>
      <c r="J21" s="53">
        <v>4</v>
      </c>
    </row>
    <row r="22" spans="1:12" x14ac:dyDescent="0.5">
      <c r="A22" s="55"/>
      <c r="B22" s="55"/>
      <c r="H22" s="52">
        <v>3</v>
      </c>
      <c r="J22" s="53">
        <v>3</v>
      </c>
    </row>
    <row r="24" spans="1:12" x14ac:dyDescent="0.5">
      <c r="A24" s="46">
        <v>5</v>
      </c>
      <c r="B24" s="47" t="s">
        <v>3291</v>
      </c>
      <c r="H24" s="52" t="s">
        <v>3288</v>
      </c>
      <c r="J24" s="53" t="e" cm="1">
        <f t="array" ref="J24">xtocol(D6:E7,1,1,"Z")</f>
        <v>#VALUE!</v>
      </c>
      <c r="L24" s="54" t="str">
        <f>IF(ERROR.TYPE(J24)=3,"PASS","FAIL")</f>
        <v>PASS</v>
      </c>
    </row>
  </sheetData>
  <mergeCells count="3">
    <mergeCell ref="I1:R1"/>
    <mergeCell ref="B2:R2"/>
    <mergeCell ref="B1:F1"/>
  </mergeCells>
  <pageMargins left="0.75" right="0.75" top="1" bottom="1" header="0.5" footer="0.5"/>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368A1-B909-4363-ACE4-249D1821132C}">
  <sheetPr codeName="Sheet110"/>
  <dimension ref="A1:H4"/>
  <sheetViews>
    <sheetView workbookViewId="0">
      <selection sqref="A1:A2"/>
    </sheetView>
  </sheetViews>
  <sheetFormatPr defaultRowHeight="21" x14ac:dyDescent="0.5"/>
  <cols>
    <col min="5" max="5" width="20.9375" bestFit="1" customWidth="1"/>
    <col min="6" max="6" width="8.3125" style="56" bestFit="1" customWidth="1"/>
    <col min="7" max="7" width="7.6875" style="56" bestFit="1" customWidth="1"/>
    <col min="8" max="8" width="8.8125" bestFit="1" customWidth="1"/>
  </cols>
  <sheetData>
    <row r="1" spans="1:8" x14ac:dyDescent="0.5">
      <c r="A1" s="59" t="s">
        <v>3321</v>
      </c>
      <c r="C1" t="s">
        <v>3346</v>
      </c>
      <c r="E1" s="15" t="s">
        <v>3379</v>
      </c>
      <c r="H1" s="15" t="s">
        <v>3452</v>
      </c>
    </row>
    <row r="2" spans="1:8" x14ac:dyDescent="0.5">
      <c r="A2" s="60" t="s">
        <v>3325</v>
      </c>
      <c r="E2" s="15" t="s">
        <v>8</v>
      </c>
      <c r="F2" s="57" t="s">
        <v>10</v>
      </c>
      <c r="G2" s="57" t="s">
        <v>11</v>
      </c>
      <c r="H2" s="15" t="s">
        <v>3310</v>
      </c>
    </row>
    <row r="3" spans="1:8" x14ac:dyDescent="0.5">
      <c r="E3" t="s">
        <v>3380</v>
      </c>
      <c r="F3" s="56" t="s">
        <v>3321</v>
      </c>
      <c r="G3" s="56" t="s">
        <v>3321</v>
      </c>
      <c r="H3" s="58" t="s">
        <v>3314</v>
      </c>
    </row>
    <row r="4" spans="1:8" x14ac:dyDescent="0.5">
      <c r="E4" t="s">
        <v>3381</v>
      </c>
      <c r="F4" s="56" t="s">
        <v>3325</v>
      </c>
      <c r="G4" s="56" t="s">
        <v>3325</v>
      </c>
      <c r="H4" s="58" t="s">
        <v>3314</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2111E-9431-458A-A2E3-86F1D2EEF37F}">
  <sheetPr codeName="Sheet125"/>
  <dimension ref="C1:F6"/>
  <sheetViews>
    <sheetView workbookViewId="0"/>
  </sheetViews>
  <sheetFormatPr defaultRowHeight="21" x14ac:dyDescent="0.5"/>
  <cols>
    <col min="3" max="3" width="14.4375" bestFit="1" customWidth="1"/>
    <col min="4" max="4" width="8.3125" style="56" bestFit="1" customWidth="1"/>
    <col min="5" max="5" width="6.0625" style="56" bestFit="1" customWidth="1"/>
    <col min="6" max="6" width="8.8125" bestFit="1" customWidth="1"/>
  </cols>
  <sheetData>
    <row r="1" spans="3:6" x14ac:dyDescent="0.5">
      <c r="C1" s="15" t="s">
        <v>3416</v>
      </c>
      <c r="F1" s="15" t="s">
        <v>3454</v>
      </c>
    </row>
    <row r="2" spans="3:6" x14ac:dyDescent="0.5">
      <c r="C2" s="15" t="s">
        <v>8</v>
      </c>
      <c r="D2" s="57" t="s">
        <v>10</v>
      </c>
      <c r="E2" s="57" t="s">
        <v>11</v>
      </c>
      <c r="F2" s="15" t="s">
        <v>3310</v>
      </c>
    </row>
    <row r="3" spans="3:6" x14ac:dyDescent="0.5">
      <c r="C3" t="s">
        <v>3417</v>
      </c>
      <c r="D3" s="56" t="s">
        <v>137</v>
      </c>
      <c r="E3" s="56" t="s">
        <v>137</v>
      </c>
      <c r="F3" s="58" t="s">
        <v>3314</v>
      </c>
    </row>
    <row r="4" spans="3:6" x14ac:dyDescent="0.5">
      <c r="C4" t="s">
        <v>3418</v>
      </c>
      <c r="D4" s="56" t="s">
        <v>2633</v>
      </c>
      <c r="E4" s="56" t="s">
        <v>2633</v>
      </c>
      <c r="F4" s="58" t="s">
        <v>3314</v>
      </c>
    </row>
    <row r="5" spans="3:6" x14ac:dyDescent="0.5">
      <c r="C5" t="s">
        <v>3419</v>
      </c>
      <c r="D5" s="56" t="s">
        <v>3420</v>
      </c>
      <c r="E5" s="56" t="s">
        <v>3420</v>
      </c>
      <c r="F5" s="58" t="s">
        <v>3314</v>
      </c>
    </row>
    <row r="6" spans="3:6" x14ac:dyDescent="0.5">
      <c r="C6" t="s">
        <v>3421</v>
      </c>
      <c r="D6" s="56" t="s">
        <v>3422</v>
      </c>
      <c r="E6" s="56" t="s">
        <v>3422</v>
      </c>
      <c r="F6" s="58" t="s">
        <v>3314</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9A530-00B7-41FC-9ED1-D6913F8F3FE4}">
  <sheetPr codeName="Sheet104"/>
  <dimension ref="A1:H5"/>
  <sheetViews>
    <sheetView workbookViewId="0"/>
  </sheetViews>
  <sheetFormatPr defaultRowHeight="21" x14ac:dyDescent="0.5"/>
  <cols>
    <col min="5" max="5" width="13.4375" bestFit="1" customWidth="1"/>
    <col min="6" max="6" width="8.3125" style="56" bestFit="1" customWidth="1"/>
    <col min="7" max="7" width="7.6875" style="56" bestFit="1" customWidth="1"/>
    <col min="8" max="8" width="8.8125" bestFit="1" customWidth="1"/>
  </cols>
  <sheetData>
    <row r="1" spans="1:8" x14ac:dyDescent="0.5">
      <c r="A1" s="59"/>
      <c r="C1" t="s">
        <v>3338</v>
      </c>
      <c r="E1" s="15" t="s">
        <v>3319</v>
      </c>
      <c r="H1" s="15" t="s">
        <v>3451</v>
      </c>
    </row>
    <row r="2" spans="1:8" x14ac:dyDescent="0.5">
      <c r="A2" s="101"/>
      <c r="E2" s="15" t="s">
        <v>8</v>
      </c>
      <c r="F2" s="57" t="s">
        <v>10</v>
      </c>
      <c r="G2" s="57" t="s">
        <v>11</v>
      </c>
      <c r="H2" s="15" t="s">
        <v>3310</v>
      </c>
    </row>
    <row r="3" spans="1:8" x14ac:dyDescent="0.5">
      <c r="A3" s="60"/>
      <c r="E3" t="s">
        <v>3320</v>
      </c>
      <c r="F3" s="56" t="s">
        <v>3321</v>
      </c>
      <c r="G3" s="56" t="s">
        <v>3321</v>
      </c>
      <c r="H3" s="58" t="s">
        <v>3314</v>
      </c>
    </row>
    <row r="4" spans="1:8" x14ac:dyDescent="0.5">
      <c r="E4" t="s">
        <v>3322</v>
      </c>
      <c r="F4" s="56" t="s">
        <v>3323</v>
      </c>
      <c r="G4" s="56" t="s">
        <v>3323</v>
      </c>
      <c r="H4" s="58" t="s">
        <v>3314</v>
      </c>
    </row>
    <row r="5" spans="1:8" x14ac:dyDescent="0.5">
      <c r="E5" t="s">
        <v>3324</v>
      </c>
      <c r="F5" s="56" t="s">
        <v>3325</v>
      </c>
      <c r="G5" s="56" t="s">
        <v>3325</v>
      </c>
      <c r="H5" s="58" t="s">
        <v>3314</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076C1-9760-4D42-A501-9C93FDCFBBA3}">
  <sheetPr codeName="Sheet108"/>
  <dimension ref="A1:H8"/>
  <sheetViews>
    <sheetView workbookViewId="0"/>
  </sheetViews>
  <sheetFormatPr defaultRowHeight="21" x14ac:dyDescent="0.5"/>
  <cols>
    <col min="5" max="5" width="23.4375" bestFit="1" customWidth="1"/>
    <col min="6" max="6" width="8.3125" style="56" bestFit="1" customWidth="1"/>
    <col min="7" max="7" width="7.625" style="56" bestFit="1" customWidth="1"/>
    <col min="8" max="8" width="8.8125" bestFit="1" customWidth="1"/>
  </cols>
  <sheetData>
    <row r="1" spans="1:8" x14ac:dyDescent="0.5">
      <c r="A1" t="s">
        <v>3339</v>
      </c>
      <c r="B1">
        <v>100</v>
      </c>
      <c r="C1" t="s">
        <v>3340</v>
      </c>
      <c r="E1" s="15" t="s">
        <v>3360</v>
      </c>
      <c r="H1" s="15" t="s">
        <v>3453</v>
      </c>
    </row>
    <row r="2" spans="1:8" x14ac:dyDescent="0.5">
      <c r="A2" t="s">
        <v>3341</v>
      </c>
      <c r="B2">
        <v>1000</v>
      </c>
      <c r="C2" t="s">
        <v>3339</v>
      </c>
      <c r="E2" s="15" t="s">
        <v>8</v>
      </c>
      <c r="F2" s="57" t="s">
        <v>10</v>
      </c>
      <c r="G2" s="57" t="s">
        <v>11</v>
      </c>
      <c r="H2" s="15" t="s">
        <v>3310</v>
      </c>
    </row>
    <row r="3" spans="1:8" x14ac:dyDescent="0.5">
      <c r="E3" t="s">
        <v>3361</v>
      </c>
      <c r="F3" s="56" t="s">
        <v>3362</v>
      </c>
      <c r="G3" s="56" t="s">
        <v>3362</v>
      </c>
      <c r="H3" s="58" t="s">
        <v>3314</v>
      </c>
    </row>
    <row r="4" spans="1:8" x14ac:dyDescent="0.5">
      <c r="A4" t="s">
        <v>3342</v>
      </c>
      <c r="E4" t="s">
        <v>3363</v>
      </c>
      <c r="F4" s="56" t="s">
        <v>136</v>
      </c>
      <c r="G4" s="56" t="s">
        <v>136</v>
      </c>
      <c r="H4" s="58" t="s">
        <v>3314</v>
      </c>
    </row>
    <row r="5" spans="1:8" x14ac:dyDescent="0.5">
      <c r="E5" t="s">
        <v>3364</v>
      </c>
      <c r="F5" s="56" t="s">
        <v>156</v>
      </c>
      <c r="G5" s="56" t="s">
        <v>156</v>
      </c>
      <c r="H5" s="58" t="s">
        <v>3314</v>
      </c>
    </row>
    <row r="6" spans="1:8" x14ac:dyDescent="0.5">
      <c r="E6" t="s">
        <v>3365</v>
      </c>
      <c r="F6" s="56" t="s">
        <v>3366</v>
      </c>
      <c r="G6" s="56" t="s">
        <v>3366</v>
      </c>
      <c r="H6" s="58" t="s">
        <v>3314</v>
      </c>
    </row>
    <row r="7" spans="1:8" x14ac:dyDescent="0.5">
      <c r="E7" t="s">
        <v>3367</v>
      </c>
      <c r="F7" s="56" t="s">
        <v>3328</v>
      </c>
      <c r="G7" s="56" t="s">
        <v>3328</v>
      </c>
      <c r="H7" s="58" t="s">
        <v>3314</v>
      </c>
    </row>
    <row r="8" spans="1:8" x14ac:dyDescent="0.5">
      <c r="E8" t="s">
        <v>3368</v>
      </c>
      <c r="F8" s="56" t="s">
        <v>3288</v>
      </c>
      <c r="G8" s="56" t="s">
        <v>3288</v>
      </c>
      <c r="H8" s="58" t="s">
        <v>3314</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8C60F-0D4A-42F8-A0B9-03BBBE623837}">
  <sheetPr codeName="Sheet117"/>
  <dimension ref="A1:G3"/>
  <sheetViews>
    <sheetView workbookViewId="0"/>
  </sheetViews>
  <sheetFormatPr defaultRowHeight="21" x14ac:dyDescent="0.5"/>
  <cols>
    <col min="4" max="4" width="30.4375" bestFit="1" customWidth="1"/>
    <col min="5" max="5" width="8.3125" style="56" bestFit="1" customWidth="1"/>
    <col min="6" max="6" width="6.0625" style="56" bestFit="1" customWidth="1"/>
    <col min="7" max="7" width="8.8125" bestFit="1" customWidth="1"/>
  </cols>
  <sheetData>
    <row r="1" spans="1:7" x14ac:dyDescent="0.5">
      <c r="A1" t="s">
        <v>3353</v>
      </c>
      <c r="B1" t="e">
        <f>NA()</f>
        <v>#N/A</v>
      </c>
      <c r="D1" s="15" t="s">
        <v>3430</v>
      </c>
      <c r="G1" s="15" t="s">
        <v>3456</v>
      </c>
    </row>
    <row r="2" spans="1:7" x14ac:dyDescent="0.5">
      <c r="A2" t="e">
        <f>1/0</f>
        <v>#DIV/0!</v>
      </c>
      <c r="B2">
        <v>5</v>
      </c>
      <c r="D2" s="15" t="s">
        <v>8</v>
      </c>
      <c r="E2" s="57" t="s">
        <v>10</v>
      </c>
      <c r="F2" s="57" t="s">
        <v>11</v>
      </c>
      <c r="G2" s="15" t="s">
        <v>3310</v>
      </c>
    </row>
    <row r="3" spans="1:7" x14ac:dyDescent="0.5">
      <c r="D3" t="s">
        <v>3431</v>
      </c>
      <c r="E3" s="56" t="s">
        <v>3328</v>
      </c>
      <c r="F3" s="56" t="s">
        <v>3328</v>
      </c>
      <c r="G3" s="58" t="s">
        <v>3314</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553CC-449E-43B6-B96B-066075C5C456}">
  <sheetPr codeName="Sheet116"/>
  <dimension ref="C1:F4"/>
  <sheetViews>
    <sheetView workbookViewId="0"/>
  </sheetViews>
  <sheetFormatPr defaultRowHeight="21" x14ac:dyDescent="0.5"/>
  <cols>
    <col min="3" max="3" width="21.625" bestFit="1" customWidth="1"/>
    <col min="4" max="4" width="8.3125" style="56" bestFit="1" customWidth="1"/>
    <col min="5" max="5" width="6.0625" style="56" bestFit="1" customWidth="1"/>
    <col min="6" max="6" width="8.8125" bestFit="1" customWidth="1"/>
  </cols>
  <sheetData>
    <row r="1" spans="3:6" x14ac:dyDescent="0.5">
      <c r="C1" s="15" t="s">
        <v>3423</v>
      </c>
      <c r="F1" s="15" t="s">
        <v>3452</v>
      </c>
    </row>
    <row r="2" spans="3:6" x14ac:dyDescent="0.5">
      <c r="C2" s="15" t="s">
        <v>8</v>
      </c>
      <c r="D2" s="57" t="s">
        <v>10</v>
      </c>
      <c r="E2" s="57" t="s">
        <v>11</v>
      </c>
      <c r="F2" s="15" t="s">
        <v>3310</v>
      </c>
    </row>
    <row r="3" spans="3:6" x14ac:dyDescent="0.5">
      <c r="C3" t="s">
        <v>3424</v>
      </c>
      <c r="D3" s="56" t="s">
        <v>3328</v>
      </c>
      <c r="E3" s="56" t="s">
        <v>3328</v>
      </c>
      <c r="F3" s="58" t="s">
        <v>3314</v>
      </c>
    </row>
    <row r="4" spans="3:6" x14ac:dyDescent="0.5">
      <c r="C4" t="s">
        <v>3425</v>
      </c>
      <c r="D4" s="56" t="s">
        <v>3328</v>
      </c>
      <c r="E4" s="56" t="s">
        <v>3328</v>
      </c>
      <c r="F4" s="58" t="s">
        <v>3314</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E8E27-D561-458F-9AB9-D029634EDBBE}">
  <sheetPr codeName="Sheet111"/>
  <dimension ref="A1:I5"/>
  <sheetViews>
    <sheetView workbookViewId="0"/>
  </sheetViews>
  <sheetFormatPr defaultRowHeight="21" x14ac:dyDescent="0.5"/>
  <cols>
    <col min="6" max="6" width="33.5" bestFit="1" customWidth="1"/>
    <col min="7" max="7" width="8.3125" style="56" bestFit="1" customWidth="1"/>
    <col min="8" max="8" width="7.625" style="56" bestFit="1" customWidth="1"/>
    <col min="9" max="9" width="8.8125" bestFit="1" customWidth="1"/>
  </cols>
  <sheetData>
    <row r="1" spans="1:9" x14ac:dyDescent="0.5">
      <c r="A1" s="59" t="s">
        <v>2631</v>
      </c>
      <c r="B1" s="59" t="str">
        <f>""</f>
        <v/>
      </c>
      <c r="D1" t="s">
        <v>3347</v>
      </c>
      <c r="F1" s="15" t="s">
        <v>3382</v>
      </c>
      <c r="I1" s="15" t="s">
        <v>3451</v>
      </c>
    </row>
    <row r="2" spans="1:9" x14ac:dyDescent="0.5">
      <c r="A2" s="59" t="s">
        <v>2631</v>
      </c>
      <c r="F2" s="15" t="s">
        <v>8</v>
      </c>
      <c r="G2" s="57" t="s">
        <v>10</v>
      </c>
      <c r="H2" s="57" t="s">
        <v>11</v>
      </c>
      <c r="I2" s="15" t="s">
        <v>3310</v>
      </c>
    </row>
    <row r="3" spans="1:9" x14ac:dyDescent="0.5">
      <c r="A3" s="62"/>
      <c r="F3" t="s">
        <v>3383</v>
      </c>
      <c r="G3" s="56" t="s">
        <v>2631</v>
      </c>
      <c r="H3" s="56" t="s">
        <v>2631</v>
      </c>
      <c r="I3" s="58" t="s">
        <v>3314</v>
      </c>
    </row>
    <row r="4" spans="1:9" x14ac:dyDescent="0.5">
      <c r="F4" t="s">
        <v>3384</v>
      </c>
      <c r="G4" s="56" t="s">
        <v>3385</v>
      </c>
      <c r="H4" s="56" t="s">
        <v>3385</v>
      </c>
      <c r="I4" s="58" t="s">
        <v>3314</v>
      </c>
    </row>
    <row r="5" spans="1:9" x14ac:dyDescent="0.5">
      <c r="F5" t="s">
        <v>3386</v>
      </c>
      <c r="G5" s="56" t="s">
        <v>3328</v>
      </c>
      <c r="H5" s="56" t="s">
        <v>3328</v>
      </c>
      <c r="I5" s="58" t="s">
        <v>3314</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58E8A-F7A4-4CE7-A065-88121A0F1BEC}">
  <sheetPr codeName="Sheet112"/>
  <dimension ref="A1:K6"/>
  <sheetViews>
    <sheetView workbookViewId="0">
      <selection activeCell="D1" sqref="D1:D2"/>
    </sheetView>
  </sheetViews>
  <sheetFormatPr defaultRowHeight="21" x14ac:dyDescent="0.5"/>
  <cols>
    <col min="8" max="8" width="38.3125" bestFit="1" customWidth="1"/>
    <col min="9" max="9" width="8.3125" style="56" bestFit="1" customWidth="1"/>
    <col min="10" max="10" width="7.625" style="56" bestFit="1" customWidth="1"/>
    <col min="11" max="11" width="8.8125" bestFit="1" customWidth="1"/>
  </cols>
  <sheetData>
    <row r="1" spans="1:11" x14ac:dyDescent="0.5">
      <c r="A1" s="59" t="s">
        <v>2631</v>
      </c>
      <c r="B1" s="62"/>
      <c r="D1" s="64" t="s">
        <v>2632</v>
      </c>
      <c r="F1" t="s">
        <v>3348</v>
      </c>
      <c r="H1" s="15" t="s">
        <v>3387</v>
      </c>
      <c r="K1" s="15" t="s">
        <v>3454</v>
      </c>
    </row>
    <row r="2" spans="1:11" x14ac:dyDescent="0.5">
      <c r="A2" s="59" t="s">
        <v>2631</v>
      </c>
      <c r="B2" s="62"/>
      <c r="D2" s="63"/>
      <c r="H2" s="15" t="s">
        <v>8</v>
      </c>
      <c r="I2" s="57" t="s">
        <v>10</v>
      </c>
      <c r="J2" s="57" t="s">
        <v>11</v>
      </c>
      <c r="K2" s="15" t="s">
        <v>3310</v>
      </c>
    </row>
    <row r="3" spans="1:11" x14ac:dyDescent="0.5">
      <c r="A3" s="59" t="s">
        <v>2631</v>
      </c>
      <c r="B3" s="62"/>
      <c r="H3" t="s">
        <v>3388</v>
      </c>
      <c r="I3" s="56" t="s">
        <v>2631</v>
      </c>
      <c r="J3" s="56" t="s">
        <v>2631</v>
      </c>
      <c r="K3" s="58" t="s">
        <v>3314</v>
      </c>
    </row>
    <row r="4" spans="1:11" x14ac:dyDescent="0.5">
      <c r="H4" t="s">
        <v>3389</v>
      </c>
      <c r="I4" s="56" t="s">
        <v>2631</v>
      </c>
      <c r="J4" s="56" t="s">
        <v>2631</v>
      </c>
      <c r="K4" s="58" t="s">
        <v>3314</v>
      </c>
    </row>
    <row r="5" spans="1:11" x14ac:dyDescent="0.5">
      <c r="H5" t="s">
        <v>3390</v>
      </c>
      <c r="I5" s="56" t="s">
        <v>3385</v>
      </c>
      <c r="J5" s="56" t="s">
        <v>3385</v>
      </c>
      <c r="K5" s="58" t="s">
        <v>3314</v>
      </c>
    </row>
    <row r="6" spans="1:11" x14ac:dyDescent="0.5">
      <c r="H6" t="s">
        <v>3391</v>
      </c>
      <c r="I6" s="56" t="s">
        <v>3385</v>
      </c>
      <c r="J6" s="56" t="s">
        <v>3385</v>
      </c>
      <c r="K6" s="58" t="s">
        <v>3314</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4F687-6F30-41EE-A291-A448822B1803}">
  <sheetPr codeName="Sheet114"/>
  <dimension ref="A1:F10"/>
  <sheetViews>
    <sheetView workbookViewId="0"/>
  </sheetViews>
  <sheetFormatPr defaultRowHeight="21" x14ac:dyDescent="0.5"/>
  <cols>
    <col min="3" max="3" width="31.3125" bestFit="1" customWidth="1"/>
    <col min="4" max="4" width="8.3125" style="56" bestFit="1" customWidth="1"/>
    <col min="5" max="5" width="6.0625" style="56" bestFit="1" customWidth="1"/>
    <col min="6" max="6" width="8.8125" bestFit="1" customWidth="1"/>
  </cols>
  <sheetData>
    <row r="1" spans="1:6" x14ac:dyDescent="0.5">
      <c r="A1" t="s">
        <v>3351</v>
      </c>
      <c r="C1" s="15" t="s">
        <v>3401</v>
      </c>
      <c r="F1" s="15" t="s">
        <v>3455</v>
      </c>
    </row>
    <row r="2" spans="1:6" x14ac:dyDescent="0.5">
      <c r="C2" s="15" t="s">
        <v>8</v>
      </c>
      <c r="D2" s="57" t="s">
        <v>10</v>
      </c>
      <c r="E2" s="57" t="s">
        <v>11</v>
      </c>
      <c r="F2" s="15" t="s">
        <v>3310</v>
      </c>
    </row>
    <row r="3" spans="1:6" x14ac:dyDescent="0.5">
      <c r="C3" t="s">
        <v>3402</v>
      </c>
      <c r="D3" s="56" t="s">
        <v>3328</v>
      </c>
      <c r="E3" s="56" t="s">
        <v>3328</v>
      </c>
      <c r="F3" s="58" t="s">
        <v>3314</v>
      </c>
    </row>
    <row r="4" spans="1:6" x14ac:dyDescent="0.5">
      <c r="C4" t="s">
        <v>3403</v>
      </c>
      <c r="D4" s="56" t="s">
        <v>3328</v>
      </c>
      <c r="E4" s="56" t="s">
        <v>3328</v>
      </c>
      <c r="F4" s="58" t="s">
        <v>3314</v>
      </c>
    </row>
    <row r="5" spans="1:6" x14ac:dyDescent="0.5">
      <c r="C5" t="s">
        <v>3404</v>
      </c>
      <c r="D5" s="56" t="s">
        <v>2937</v>
      </c>
      <c r="E5" s="56" t="s">
        <v>2937</v>
      </c>
      <c r="F5" s="58" t="s">
        <v>3314</v>
      </c>
    </row>
    <row r="6" spans="1:6" x14ac:dyDescent="0.5">
      <c r="C6" t="s">
        <v>3398</v>
      </c>
      <c r="D6" s="56" t="s">
        <v>136</v>
      </c>
      <c r="E6" s="56" t="s">
        <v>136</v>
      </c>
      <c r="F6" s="58" t="s">
        <v>3314</v>
      </c>
    </row>
    <row r="7" spans="1:6" x14ac:dyDescent="0.5">
      <c r="C7" t="s">
        <v>3405</v>
      </c>
      <c r="D7" s="56" t="s">
        <v>3406</v>
      </c>
      <c r="E7" s="56" t="s">
        <v>3406</v>
      </c>
      <c r="F7" s="58" t="s">
        <v>3314</v>
      </c>
    </row>
    <row r="8" spans="1:6" x14ac:dyDescent="0.5">
      <c r="C8" t="s">
        <v>3407</v>
      </c>
      <c r="D8" s="56" t="s">
        <v>2938</v>
      </c>
      <c r="E8" s="56" t="s">
        <v>2938</v>
      </c>
      <c r="F8" s="58" t="s">
        <v>3314</v>
      </c>
    </row>
    <row r="9" spans="1:6" x14ac:dyDescent="0.5">
      <c r="C9" t="s">
        <v>3400</v>
      </c>
      <c r="D9" s="56" t="s">
        <v>577</v>
      </c>
      <c r="E9" s="56" t="s">
        <v>577</v>
      </c>
      <c r="F9" s="58" t="s">
        <v>3314</v>
      </c>
    </row>
    <row r="10" spans="1:6" x14ac:dyDescent="0.5">
      <c r="C10" t="s">
        <v>3408</v>
      </c>
      <c r="D10" s="56" t="s">
        <v>3409</v>
      </c>
      <c r="E10" s="56" t="s">
        <v>3409</v>
      </c>
      <c r="F10" s="58" t="s">
        <v>3314</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281A1-7156-4A74-B403-9AD5F1551731}">
  <sheetPr codeName="Sheet113"/>
  <dimension ref="A1:F10"/>
  <sheetViews>
    <sheetView workbookViewId="0">
      <selection sqref="A1:A3"/>
    </sheetView>
  </sheetViews>
  <sheetFormatPr defaultRowHeight="21" x14ac:dyDescent="0.5"/>
  <cols>
    <col min="3" max="3" width="27.375" bestFit="1" customWidth="1"/>
    <col min="4" max="5" width="12.1875" style="56" bestFit="1" customWidth="1"/>
    <col min="6" max="6" width="8.8125" bestFit="1" customWidth="1"/>
  </cols>
  <sheetData>
    <row r="1" spans="1:6" x14ac:dyDescent="0.5">
      <c r="A1" t="s">
        <v>2937</v>
      </c>
      <c r="C1" s="15" t="s">
        <v>3392</v>
      </c>
      <c r="F1" s="15" t="s">
        <v>3455</v>
      </c>
    </row>
    <row r="2" spans="1:6" x14ac:dyDescent="0.5">
      <c r="A2" t="s">
        <v>2937</v>
      </c>
      <c r="C2" s="15" t="s">
        <v>8</v>
      </c>
      <c r="D2" s="57" t="s">
        <v>10</v>
      </c>
      <c r="E2" s="57" t="s">
        <v>11</v>
      </c>
      <c r="F2" s="15" t="s">
        <v>3310</v>
      </c>
    </row>
    <row r="3" spans="1:6" x14ac:dyDescent="0.5">
      <c r="A3" t="s">
        <v>2938</v>
      </c>
      <c r="C3" t="s">
        <v>3393</v>
      </c>
      <c r="D3" s="56" t="s">
        <v>3328</v>
      </c>
      <c r="E3" s="56" t="s">
        <v>3328</v>
      </c>
      <c r="F3" s="58" t="s">
        <v>3314</v>
      </c>
    </row>
    <row r="4" spans="1:6" x14ac:dyDescent="0.5">
      <c r="C4" t="s">
        <v>3394</v>
      </c>
      <c r="D4" s="56" t="s">
        <v>3328</v>
      </c>
      <c r="E4" s="56" t="s">
        <v>3328</v>
      </c>
      <c r="F4" s="58" t="s">
        <v>3314</v>
      </c>
    </row>
    <row r="5" spans="1:6" x14ac:dyDescent="0.5">
      <c r="C5" t="s">
        <v>3395</v>
      </c>
      <c r="D5" s="56" t="s">
        <v>3349</v>
      </c>
      <c r="E5" s="56" t="s">
        <v>3349</v>
      </c>
      <c r="F5" s="58" t="s">
        <v>3314</v>
      </c>
    </row>
    <row r="6" spans="1:6" x14ac:dyDescent="0.5">
      <c r="C6" t="s">
        <v>3396</v>
      </c>
      <c r="D6" s="56" t="s">
        <v>3350</v>
      </c>
      <c r="E6" s="56" t="s">
        <v>3350</v>
      </c>
      <c r="F6" s="58" t="s">
        <v>3314</v>
      </c>
    </row>
    <row r="7" spans="1:6" x14ac:dyDescent="0.5">
      <c r="C7" t="s">
        <v>3397</v>
      </c>
      <c r="D7" s="56" t="s">
        <v>2937</v>
      </c>
      <c r="E7" s="56" t="s">
        <v>2937</v>
      </c>
      <c r="F7" s="58" t="s">
        <v>3314</v>
      </c>
    </row>
    <row r="8" spans="1:6" x14ac:dyDescent="0.5">
      <c r="C8" t="s">
        <v>3398</v>
      </c>
      <c r="D8" s="56" t="s">
        <v>136</v>
      </c>
      <c r="E8" s="56" t="s">
        <v>136</v>
      </c>
      <c r="F8" s="58" t="s">
        <v>3314</v>
      </c>
    </row>
    <row r="9" spans="1:6" x14ac:dyDescent="0.5">
      <c r="C9" t="s">
        <v>3399</v>
      </c>
      <c r="D9" s="56" t="s">
        <v>2938</v>
      </c>
      <c r="E9" s="56" t="s">
        <v>2938</v>
      </c>
      <c r="F9" s="58" t="s">
        <v>3314</v>
      </c>
    </row>
    <row r="10" spans="1:6" x14ac:dyDescent="0.5">
      <c r="C10" t="s">
        <v>3400</v>
      </c>
      <c r="D10" s="56" t="s">
        <v>577</v>
      </c>
      <c r="E10" s="56" t="s">
        <v>577</v>
      </c>
      <c r="F10" s="58" t="s">
        <v>3314</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DE0E5-7BBC-4EBF-B256-B610C17890DA}">
  <sheetPr codeName="Sheet105"/>
  <dimension ref="B1:H4"/>
  <sheetViews>
    <sheetView workbookViewId="0"/>
  </sheetViews>
  <sheetFormatPr defaultRowHeight="21" x14ac:dyDescent="0.5"/>
  <cols>
    <col min="5" max="5" width="22.0625" bestFit="1" customWidth="1"/>
    <col min="6" max="7" width="64.9375" style="56" bestFit="1" customWidth="1"/>
    <col min="8" max="8" width="8.8125" bestFit="1" customWidth="1"/>
  </cols>
  <sheetData>
    <row r="1" spans="2:8" x14ac:dyDescent="0.5">
      <c r="E1" s="15" t="s">
        <v>3331</v>
      </c>
      <c r="H1" s="15" t="s">
        <v>3452</v>
      </c>
    </row>
    <row r="2" spans="2:8" x14ac:dyDescent="0.5">
      <c r="B2">
        <v>1</v>
      </c>
      <c r="C2">
        <v>2</v>
      </c>
      <c r="E2" s="15" t="s">
        <v>8</v>
      </c>
      <c r="F2" s="57" t="s">
        <v>10</v>
      </c>
      <c r="G2" s="57" t="s">
        <v>11</v>
      </c>
      <c r="H2" s="15" t="s">
        <v>3310</v>
      </c>
    </row>
    <row r="3" spans="2:8" x14ac:dyDescent="0.5">
      <c r="B3">
        <v>3</v>
      </c>
      <c r="C3">
        <v>4</v>
      </c>
      <c r="E3" t="s">
        <v>3332</v>
      </c>
      <c r="F3" s="56" t="s">
        <v>3333</v>
      </c>
      <c r="G3" s="56" t="s">
        <v>3333</v>
      </c>
      <c r="H3" s="58" t="s">
        <v>3314</v>
      </c>
    </row>
    <row r="4" spans="2:8" x14ac:dyDescent="0.5">
      <c r="E4" t="s">
        <v>3334</v>
      </c>
      <c r="F4" s="56" t="s">
        <v>3328</v>
      </c>
      <c r="G4" s="56" t="s">
        <v>3328</v>
      </c>
      <c r="H4" s="58" t="s">
        <v>3314</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75002-30E6-4A7A-8A08-9FD617A86C4E}">
  <sheetPr codeName="Sheet106"/>
  <dimension ref="B2:C3"/>
  <sheetViews>
    <sheetView workbookViewId="0"/>
  </sheetViews>
  <sheetFormatPr defaultRowHeight="21" x14ac:dyDescent="0.5"/>
  <sheetData>
    <row r="2" spans="2:3" x14ac:dyDescent="0.5">
      <c r="B2">
        <v>5</v>
      </c>
      <c r="C2">
        <v>6</v>
      </c>
    </row>
    <row r="3" spans="2:3" x14ac:dyDescent="0.5">
      <c r="B3">
        <v>7</v>
      </c>
      <c r="C3">
        <v>8</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C59CB-D95B-4ED2-ABFD-7277DEEA4BA0}">
  <sheetPr codeName="Sheet131"/>
  <dimension ref="C1:F10"/>
  <sheetViews>
    <sheetView workbookViewId="0"/>
  </sheetViews>
  <sheetFormatPr defaultRowHeight="21" x14ac:dyDescent="0.5"/>
  <cols>
    <col min="3" max="3" width="23.6875" bestFit="1" customWidth="1"/>
    <col min="4" max="4" width="8.3125" style="56" bestFit="1" customWidth="1"/>
    <col min="5" max="5" width="6.0625" style="56" bestFit="1" customWidth="1"/>
    <col min="6" max="6" width="8.8125" bestFit="1" customWidth="1"/>
  </cols>
  <sheetData>
    <row r="1" spans="3:6" x14ac:dyDescent="0.5">
      <c r="C1" s="15" t="s">
        <v>3481</v>
      </c>
      <c r="F1" s="15" t="s">
        <v>3455</v>
      </c>
    </row>
    <row r="2" spans="3:6" x14ac:dyDescent="0.5">
      <c r="C2" s="15" t="s">
        <v>8</v>
      </c>
      <c r="D2" s="57" t="s">
        <v>10</v>
      </c>
      <c r="E2" s="57" t="s">
        <v>11</v>
      </c>
      <c r="F2" s="15" t="s">
        <v>3310</v>
      </c>
    </row>
    <row r="3" spans="3:6" x14ac:dyDescent="0.5">
      <c r="C3" t="s">
        <v>3482</v>
      </c>
      <c r="D3" s="56" t="s">
        <v>3328</v>
      </c>
      <c r="E3" s="56" t="s">
        <v>3328</v>
      </c>
      <c r="F3" s="58" t="s">
        <v>3314</v>
      </c>
    </row>
    <row r="4" spans="3:6" x14ac:dyDescent="0.5">
      <c r="C4" t="s">
        <v>3483</v>
      </c>
      <c r="D4" s="56" t="s">
        <v>3328</v>
      </c>
      <c r="E4" s="56" t="s">
        <v>3328</v>
      </c>
      <c r="F4" s="58" t="s">
        <v>3314</v>
      </c>
    </row>
    <row r="5" spans="3:6" x14ac:dyDescent="0.5">
      <c r="C5" t="s">
        <v>3484</v>
      </c>
      <c r="D5" s="56" t="s">
        <v>3328</v>
      </c>
      <c r="E5" s="56" t="s">
        <v>3328</v>
      </c>
      <c r="F5" s="58" t="s">
        <v>3314</v>
      </c>
    </row>
    <row r="6" spans="3:6" x14ac:dyDescent="0.5">
      <c r="C6" t="s">
        <v>3485</v>
      </c>
      <c r="D6" s="56" t="s">
        <v>3328</v>
      </c>
      <c r="E6" s="56" t="s">
        <v>3328</v>
      </c>
      <c r="F6" s="58" t="s">
        <v>3314</v>
      </c>
    </row>
    <row r="7" spans="3:6" x14ac:dyDescent="0.5">
      <c r="C7" t="s">
        <v>3486</v>
      </c>
      <c r="D7" s="56" t="s">
        <v>3328</v>
      </c>
      <c r="E7" s="56" t="s">
        <v>3328</v>
      </c>
      <c r="F7" s="58" t="s">
        <v>3314</v>
      </c>
    </row>
    <row r="8" spans="3:6" x14ac:dyDescent="0.5">
      <c r="C8" t="s">
        <v>3487</v>
      </c>
      <c r="D8" s="56" t="s">
        <v>3328</v>
      </c>
      <c r="E8" s="56" t="s">
        <v>3328</v>
      </c>
      <c r="F8" s="58" t="s">
        <v>3314</v>
      </c>
    </row>
    <row r="9" spans="3:6" x14ac:dyDescent="0.5">
      <c r="C9" t="s">
        <v>3488</v>
      </c>
      <c r="D9" s="56" t="s">
        <v>3328</v>
      </c>
      <c r="E9" s="56" t="s">
        <v>3328</v>
      </c>
      <c r="F9" s="58" t="s">
        <v>3314</v>
      </c>
    </row>
    <row r="10" spans="3:6" x14ac:dyDescent="0.5">
      <c r="C10" t="s">
        <v>3489</v>
      </c>
      <c r="D10" s="56" t="s">
        <v>3328</v>
      </c>
      <c r="E10" s="56" t="s">
        <v>3328</v>
      </c>
      <c r="F10" s="58" t="s">
        <v>3314</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40C3C-9802-4875-AFDD-37E0DA39EFC3}">
  <sheetPr codeName="Sheet118"/>
  <dimension ref="B1:I8"/>
  <sheetViews>
    <sheetView workbookViewId="0"/>
  </sheetViews>
  <sheetFormatPr defaultRowHeight="21" x14ac:dyDescent="0.5"/>
  <cols>
    <col min="6" max="6" width="22.0625" bestFit="1" customWidth="1"/>
    <col min="7" max="7" width="8.3125" style="56" bestFit="1" customWidth="1"/>
    <col min="8" max="8" width="6.0625" style="56" bestFit="1" customWidth="1"/>
    <col min="9" max="9" width="8.8125" bestFit="1" customWidth="1"/>
  </cols>
  <sheetData>
    <row r="1" spans="2:9" x14ac:dyDescent="0.5">
      <c r="F1" s="15" t="s">
        <v>3432</v>
      </c>
      <c r="I1" s="15" t="s">
        <v>3453</v>
      </c>
    </row>
    <row r="2" spans="2:9" x14ac:dyDescent="0.5">
      <c r="B2" t="s">
        <v>2957</v>
      </c>
      <c r="F2" s="15" t="s">
        <v>8</v>
      </c>
      <c r="G2" s="57" t="s">
        <v>10</v>
      </c>
      <c r="H2" s="57" t="s">
        <v>11</v>
      </c>
      <c r="I2" s="15" t="s">
        <v>3310</v>
      </c>
    </row>
    <row r="3" spans="2:9" x14ac:dyDescent="0.5">
      <c r="F3" t="s">
        <v>3433</v>
      </c>
      <c r="G3" s="56" t="s">
        <v>3328</v>
      </c>
      <c r="H3" s="56" t="s">
        <v>3328</v>
      </c>
      <c r="I3" s="58" t="s">
        <v>3314</v>
      </c>
    </row>
    <row r="4" spans="2:9" x14ac:dyDescent="0.5">
      <c r="F4" t="s">
        <v>3434</v>
      </c>
      <c r="G4" s="56" t="s">
        <v>3328</v>
      </c>
      <c r="H4" s="56" t="s">
        <v>3328</v>
      </c>
      <c r="I4" s="58" t="s">
        <v>3314</v>
      </c>
    </row>
    <row r="5" spans="2:9" x14ac:dyDescent="0.5">
      <c r="D5" t="s">
        <v>3159</v>
      </c>
      <c r="F5" t="s">
        <v>3474</v>
      </c>
      <c r="G5" s="56" t="s">
        <v>3328</v>
      </c>
      <c r="H5" s="56" t="s">
        <v>3328</v>
      </c>
      <c r="I5" s="58" t="s">
        <v>3314</v>
      </c>
    </row>
    <row r="6" spans="2:9" x14ac:dyDescent="0.5">
      <c r="F6" t="s">
        <v>3475</v>
      </c>
      <c r="G6" s="56" t="s">
        <v>3328</v>
      </c>
      <c r="H6" s="56" t="s">
        <v>3328</v>
      </c>
      <c r="I6" s="58" t="s">
        <v>3314</v>
      </c>
    </row>
    <row r="7" spans="2:9" x14ac:dyDescent="0.5">
      <c r="F7" t="s">
        <v>3476</v>
      </c>
      <c r="G7" s="56" t="s">
        <v>3328</v>
      </c>
      <c r="H7" s="56" t="s">
        <v>3328</v>
      </c>
      <c r="I7" s="58" t="s">
        <v>3314</v>
      </c>
    </row>
    <row r="8" spans="2:9" x14ac:dyDescent="0.5">
      <c r="F8" t="s">
        <v>3477</v>
      </c>
      <c r="G8" s="56" t="s">
        <v>3328</v>
      </c>
      <c r="H8" s="56" t="s">
        <v>3328</v>
      </c>
      <c r="I8" s="58" t="s">
        <v>3314</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E1B74-ECF0-44FC-9AFB-0CDE3C39B3AF}">
  <sheetPr codeName="Sheet129"/>
  <dimension ref="A1:J20"/>
  <sheetViews>
    <sheetView workbookViewId="0"/>
  </sheetViews>
  <sheetFormatPr defaultRowHeight="21" x14ac:dyDescent="0.5"/>
  <sheetData>
    <row r="1" spans="1:10" x14ac:dyDescent="0.5">
      <c r="A1" s="65"/>
      <c r="B1" s="65"/>
      <c r="C1" s="65"/>
      <c r="D1" s="65"/>
      <c r="E1" s="65"/>
      <c r="F1" s="65"/>
      <c r="G1" s="65"/>
      <c r="H1" s="65"/>
      <c r="I1" s="65"/>
      <c r="J1" s="65"/>
    </row>
    <row r="2" spans="1:10" x14ac:dyDescent="0.5">
      <c r="A2" s="65"/>
      <c r="B2" s="65"/>
      <c r="C2" s="65"/>
      <c r="D2" s="65"/>
      <c r="E2" s="65"/>
      <c r="F2" s="65"/>
      <c r="G2" s="65"/>
      <c r="H2" s="65"/>
      <c r="I2" s="65"/>
      <c r="J2" s="65"/>
    </row>
    <row r="3" spans="1:10" x14ac:dyDescent="0.5">
      <c r="A3" s="65"/>
      <c r="B3" s="65"/>
      <c r="C3" s="65"/>
      <c r="D3" s="65"/>
      <c r="E3" s="65"/>
      <c r="F3" s="65"/>
      <c r="G3" s="65"/>
      <c r="H3" s="65"/>
      <c r="I3" s="65"/>
      <c r="J3" s="65"/>
    </row>
    <row r="4" spans="1:10" x14ac:dyDescent="0.5">
      <c r="A4" s="65"/>
      <c r="B4" s="65"/>
      <c r="C4" s="65"/>
      <c r="D4" s="65"/>
      <c r="E4" s="65"/>
      <c r="F4" s="65"/>
      <c r="G4" s="65"/>
      <c r="H4" s="65"/>
      <c r="I4" s="65"/>
      <c r="J4" s="65"/>
    </row>
    <row r="5" spans="1:10" x14ac:dyDescent="0.5">
      <c r="A5" s="65"/>
      <c r="B5" s="65"/>
      <c r="C5" s="65"/>
      <c r="D5" s="65"/>
      <c r="E5" s="65"/>
      <c r="F5" s="65"/>
      <c r="G5" s="65"/>
      <c r="H5" s="65"/>
      <c r="I5" s="65"/>
      <c r="J5" s="65"/>
    </row>
    <row r="6" spans="1:10" x14ac:dyDescent="0.5">
      <c r="A6" s="65"/>
      <c r="B6" s="65"/>
      <c r="C6" s="65"/>
      <c r="D6" s="65"/>
      <c r="E6" s="65"/>
      <c r="F6" s="65"/>
      <c r="G6" s="65"/>
      <c r="H6" s="65"/>
      <c r="I6" s="65"/>
      <c r="J6" s="65"/>
    </row>
    <row r="7" spans="1:10" x14ac:dyDescent="0.5">
      <c r="A7" s="65"/>
      <c r="B7" s="65"/>
      <c r="C7" s="65"/>
      <c r="D7" s="65"/>
      <c r="E7" s="65"/>
      <c r="F7" s="65"/>
      <c r="G7" s="65"/>
      <c r="H7" s="65"/>
      <c r="I7" s="65"/>
      <c r="J7" s="65"/>
    </row>
    <row r="8" spans="1:10" x14ac:dyDescent="0.5">
      <c r="A8" s="65"/>
      <c r="B8" s="65"/>
      <c r="C8" s="65"/>
      <c r="D8" s="65"/>
      <c r="E8" s="65"/>
      <c r="F8" s="65"/>
      <c r="G8" s="65"/>
      <c r="H8" s="65"/>
      <c r="I8" s="65"/>
      <c r="J8" s="65"/>
    </row>
    <row r="9" spans="1:10" x14ac:dyDescent="0.5">
      <c r="A9" s="65"/>
      <c r="B9" s="65"/>
      <c r="C9" s="65"/>
      <c r="D9" s="65"/>
      <c r="E9" s="65"/>
      <c r="F9" s="65"/>
      <c r="G9" s="65"/>
      <c r="H9" s="65"/>
      <c r="I9" s="65"/>
      <c r="J9" s="65"/>
    </row>
    <row r="10" spans="1:10" x14ac:dyDescent="0.5">
      <c r="A10" s="65"/>
      <c r="B10" s="65"/>
      <c r="C10" s="65"/>
      <c r="D10" s="65"/>
      <c r="E10" s="65"/>
      <c r="F10" s="65"/>
      <c r="G10" s="65"/>
      <c r="H10" s="65"/>
      <c r="I10" s="65"/>
      <c r="J10" s="65"/>
    </row>
    <row r="11" spans="1:10" x14ac:dyDescent="0.5">
      <c r="A11" s="65"/>
      <c r="B11" s="65"/>
      <c r="C11" s="65"/>
      <c r="D11" s="65"/>
      <c r="E11" s="65"/>
      <c r="F11" s="65"/>
      <c r="G11" s="65"/>
      <c r="H11" s="65"/>
      <c r="I11" s="65"/>
      <c r="J11" s="65"/>
    </row>
    <row r="12" spans="1:10" x14ac:dyDescent="0.5">
      <c r="A12" s="65"/>
      <c r="B12" s="65"/>
      <c r="C12" s="65"/>
      <c r="D12" s="65"/>
      <c r="E12" s="65"/>
      <c r="F12" s="65"/>
      <c r="G12" s="65"/>
      <c r="H12" s="65"/>
      <c r="I12" s="65"/>
      <c r="J12" s="65"/>
    </row>
    <row r="13" spans="1:10" x14ac:dyDescent="0.5">
      <c r="A13" s="65"/>
      <c r="B13" s="65"/>
      <c r="C13" s="65"/>
      <c r="D13" s="65"/>
      <c r="E13" s="65"/>
      <c r="F13" s="65"/>
      <c r="G13" s="65"/>
      <c r="H13" s="65"/>
      <c r="I13" s="65"/>
      <c r="J13" s="65"/>
    </row>
    <row r="14" spans="1:10" x14ac:dyDescent="0.5">
      <c r="A14" s="65"/>
      <c r="B14" s="65"/>
      <c r="C14" s="65"/>
      <c r="D14" s="65"/>
      <c r="E14" s="65"/>
      <c r="F14" s="65"/>
      <c r="G14" s="65"/>
      <c r="H14" s="65"/>
      <c r="I14" s="65"/>
      <c r="J14" s="65"/>
    </row>
    <row r="15" spans="1:10" x14ac:dyDescent="0.5">
      <c r="A15" s="65"/>
      <c r="B15" s="65"/>
      <c r="C15" s="65"/>
      <c r="D15" s="65"/>
      <c r="E15" s="65"/>
      <c r="F15" s="65"/>
      <c r="G15" s="65"/>
      <c r="H15" s="65"/>
      <c r="I15" s="65"/>
      <c r="J15" s="65"/>
    </row>
    <row r="16" spans="1:10" x14ac:dyDescent="0.5">
      <c r="A16" s="65"/>
      <c r="B16" s="65"/>
      <c r="C16" s="65"/>
      <c r="D16" s="65"/>
      <c r="E16" s="65"/>
      <c r="F16" s="65"/>
      <c r="G16" s="65"/>
      <c r="H16" s="65"/>
      <c r="I16" s="65"/>
      <c r="J16" s="65"/>
    </row>
    <row r="17" spans="1:10" x14ac:dyDescent="0.5">
      <c r="A17" s="65"/>
      <c r="B17" s="65"/>
      <c r="C17" s="65"/>
      <c r="D17" s="65"/>
      <c r="E17" s="65"/>
      <c r="F17" s="65"/>
      <c r="G17" s="65"/>
      <c r="H17" s="65"/>
      <c r="I17" s="65"/>
      <c r="J17" s="65"/>
    </row>
    <row r="18" spans="1:10" x14ac:dyDescent="0.5">
      <c r="A18" s="65"/>
      <c r="B18" s="65"/>
      <c r="C18" s="65"/>
      <c r="D18" s="65"/>
      <c r="E18" s="65"/>
      <c r="F18" s="65"/>
      <c r="G18" s="65"/>
      <c r="H18" s="65"/>
      <c r="I18" s="65"/>
      <c r="J18" s="65"/>
    </row>
    <row r="19" spans="1:10" x14ac:dyDescent="0.5">
      <c r="A19" s="65"/>
      <c r="B19" s="65"/>
      <c r="C19" s="65"/>
      <c r="D19" s="65"/>
      <c r="E19" s="65"/>
      <c r="F19" s="65"/>
      <c r="G19" s="65"/>
      <c r="H19" s="65"/>
      <c r="I19" s="65"/>
      <c r="J19" s="65"/>
    </row>
    <row r="20" spans="1:10" x14ac:dyDescent="0.5">
      <c r="A20" s="65"/>
      <c r="B20" s="65"/>
      <c r="C20" s="65"/>
      <c r="D20" s="65"/>
      <c r="E20" s="65"/>
      <c r="F20" s="65"/>
      <c r="G20" s="65"/>
      <c r="H20" s="65"/>
      <c r="I20" s="65"/>
      <c r="J20" s="65"/>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A6945-BDBC-4FC9-9AD4-30920E206C61}">
  <sheetPr codeName="Sheet109"/>
  <dimension ref="A1:L9"/>
  <sheetViews>
    <sheetView workbookViewId="0">
      <selection activeCell="A7" sqref="A7:C9"/>
    </sheetView>
  </sheetViews>
  <sheetFormatPr defaultRowHeight="21" x14ac:dyDescent="0.5"/>
  <cols>
    <col min="9" max="9" width="15.5625" bestFit="1" customWidth="1"/>
    <col min="10" max="11" width="33.375" style="56" bestFit="1" customWidth="1"/>
    <col min="12" max="12" width="8.8125" bestFit="1" customWidth="1"/>
  </cols>
  <sheetData>
    <row r="1" spans="1:12" x14ac:dyDescent="0.5">
      <c r="A1" t="s">
        <v>3343</v>
      </c>
      <c r="E1" t="s">
        <v>3344</v>
      </c>
      <c r="I1" s="15" t="s">
        <v>3369</v>
      </c>
      <c r="L1" s="15" t="s">
        <v>3451</v>
      </c>
    </row>
    <row r="2" spans="1:12" x14ac:dyDescent="0.5">
      <c r="A2" s="61">
        <v>0</v>
      </c>
      <c r="B2" s="61">
        <v>1</v>
      </c>
      <c r="C2" s="61">
        <v>2</v>
      </c>
      <c r="E2" s="61">
        <v>0</v>
      </c>
      <c r="F2" s="61">
        <v>1</v>
      </c>
      <c r="G2" s="61">
        <v>2</v>
      </c>
      <c r="I2" s="15" t="s">
        <v>8</v>
      </c>
      <c r="J2" s="57" t="s">
        <v>10</v>
      </c>
      <c r="K2" s="57" t="s">
        <v>11</v>
      </c>
      <c r="L2" s="15" t="s">
        <v>3310</v>
      </c>
    </row>
    <row r="3" spans="1:12" x14ac:dyDescent="0.5">
      <c r="A3" s="61">
        <v>1</v>
      </c>
      <c r="B3" s="61">
        <v>2</v>
      </c>
      <c r="C3" s="61">
        <v>3</v>
      </c>
      <c r="E3" s="61">
        <v>1</v>
      </c>
      <c r="F3" s="61">
        <v>1</v>
      </c>
      <c r="G3" s="61">
        <v>2</v>
      </c>
      <c r="I3" t="s">
        <v>3370</v>
      </c>
      <c r="J3" s="56" t="s">
        <v>3371</v>
      </c>
      <c r="K3" s="56" t="s">
        <v>3371</v>
      </c>
      <c r="L3" s="58" t="s">
        <v>3314</v>
      </c>
    </row>
    <row r="4" spans="1:12" x14ac:dyDescent="0.5">
      <c r="A4" s="61">
        <v>2</v>
      </c>
      <c r="B4" s="61">
        <v>3</v>
      </c>
      <c r="C4" s="61">
        <v>4</v>
      </c>
      <c r="E4" s="61">
        <v>2</v>
      </c>
      <c r="F4" s="61">
        <v>2</v>
      </c>
      <c r="G4" s="61">
        <v>2</v>
      </c>
      <c r="I4" t="s">
        <v>3372</v>
      </c>
      <c r="J4" s="56" t="s">
        <v>3373</v>
      </c>
      <c r="K4" s="56" t="s">
        <v>3373</v>
      </c>
      <c r="L4" s="58" t="s">
        <v>3314</v>
      </c>
    </row>
    <row r="5" spans="1:12" x14ac:dyDescent="0.5">
      <c r="I5" t="s">
        <v>3374</v>
      </c>
      <c r="J5" s="56" t="s">
        <v>3375</v>
      </c>
      <c r="K5" s="56" t="s">
        <v>3375</v>
      </c>
      <c r="L5" s="58" t="s">
        <v>3314</v>
      </c>
    </row>
    <row r="6" spans="1:12" x14ac:dyDescent="0.5">
      <c r="A6" t="s">
        <v>3345</v>
      </c>
    </row>
    <row r="7" spans="1:12" x14ac:dyDescent="0.5">
      <c r="A7" s="61">
        <v>0</v>
      </c>
      <c r="B7" s="60"/>
      <c r="C7" s="61">
        <v>6</v>
      </c>
    </row>
    <row r="8" spans="1:12" x14ac:dyDescent="0.5">
      <c r="A8" s="61">
        <v>1</v>
      </c>
      <c r="B8" s="60"/>
      <c r="C8" s="61">
        <v>5</v>
      </c>
    </row>
    <row r="9" spans="1:12" x14ac:dyDescent="0.5">
      <c r="A9" s="61">
        <v>2</v>
      </c>
      <c r="B9" s="61">
        <v>3</v>
      </c>
      <c r="C9" s="61">
        <v>4</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65586-577B-48C2-A55F-B8B083C9559A}">
  <sheetPr codeName="Sheet120"/>
  <dimension ref="C1:J4"/>
  <sheetViews>
    <sheetView workbookViewId="0"/>
  </sheetViews>
  <sheetFormatPr defaultRowHeight="21" x14ac:dyDescent="0.5"/>
  <cols>
    <col min="7" max="7" width="50.125" bestFit="1" customWidth="1"/>
    <col min="8" max="8" width="8.3125" style="56" bestFit="1" customWidth="1"/>
    <col min="9" max="9" width="6.0625" style="56" bestFit="1" customWidth="1"/>
    <col min="10" max="10" width="8.8125" bestFit="1" customWidth="1"/>
  </cols>
  <sheetData>
    <row r="1" spans="3:10" x14ac:dyDescent="0.5">
      <c r="C1" s="56" t="s">
        <v>3354</v>
      </c>
      <c r="E1" t="s">
        <v>3356</v>
      </c>
      <c r="G1" s="15" t="s">
        <v>3437</v>
      </c>
      <c r="J1" s="15" t="s">
        <v>3452</v>
      </c>
    </row>
    <row r="2" spans="3:10" x14ac:dyDescent="0.5">
      <c r="C2" s="56" t="s">
        <v>3355</v>
      </c>
      <c r="G2" s="15" t="s">
        <v>8</v>
      </c>
      <c r="H2" s="57" t="s">
        <v>10</v>
      </c>
      <c r="I2" s="57" t="s">
        <v>11</v>
      </c>
      <c r="J2" s="15" t="s">
        <v>3310</v>
      </c>
    </row>
    <row r="3" spans="3:10" x14ac:dyDescent="0.5">
      <c r="G3" t="s">
        <v>3438</v>
      </c>
      <c r="H3" s="56" t="s">
        <v>161</v>
      </c>
      <c r="I3" s="56" t="s">
        <v>161</v>
      </c>
      <c r="J3" s="58" t="s">
        <v>3314</v>
      </c>
    </row>
    <row r="4" spans="3:10" x14ac:dyDescent="0.5">
      <c r="G4" t="s">
        <v>3439</v>
      </c>
      <c r="H4" s="56" t="s">
        <v>3226</v>
      </c>
      <c r="I4" s="56" t="s">
        <v>3226</v>
      </c>
      <c r="J4" s="58" t="s">
        <v>3314</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2CEA0-3DEC-490B-8157-14664DFC3D0E}">
  <sheetPr codeName="Sheet126"/>
  <dimension ref="C1:F4"/>
  <sheetViews>
    <sheetView workbookViewId="0">
      <selection activeCell="M37" sqref="M37"/>
    </sheetView>
  </sheetViews>
  <sheetFormatPr defaultRowHeight="21" x14ac:dyDescent="0.5"/>
  <cols>
    <col min="3" max="3" width="21.3125" bestFit="1" customWidth="1"/>
    <col min="4" max="5" width="9.375" style="56" bestFit="1" customWidth="1"/>
    <col min="6" max="6" width="8.8125" bestFit="1" customWidth="1"/>
  </cols>
  <sheetData>
    <row r="1" spans="3:6" x14ac:dyDescent="0.5">
      <c r="C1" s="15" t="s">
        <v>3426</v>
      </c>
      <c r="F1" s="15" t="s">
        <v>3452</v>
      </c>
    </row>
    <row r="2" spans="3:6" x14ac:dyDescent="0.5">
      <c r="C2" s="15" t="s">
        <v>8</v>
      </c>
      <c r="D2" s="57" t="s">
        <v>10</v>
      </c>
      <c r="E2" s="57" t="s">
        <v>11</v>
      </c>
      <c r="F2" s="15" t="s">
        <v>3310</v>
      </c>
    </row>
    <row r="3" spans="3:6" x14ac:dyDescent="0.5">
      <c r="C3" t="s">
        <v>3427</v>
      </c>
      <c r="D3" s="56" t="s">
        <v>3428</v>
      </c>
      <c r="E3" s="56" t="s">
        <v>3428</v>
      </c>
      <c r="F3" s="58" t="s">
        <v>3314</v>
      </c>
    </row>
    <row r="4" spans="3:6" x14ac:dyDescent="0.5">
      <c r="C4" t="s">
        <v>3429</v>
      </c>
      <c r="D4" s="56" t="s">
        <v>3318</v>
      </c>
      <c r="E4" s="56" t="s">
        <v>3318</v>
      </c>
      <c r="F4" s="58" t="s">
        <v>3314</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8242B-C321-42D3-B380-91A961CBCBE4}">
  <sheetPr codeName="Sheet124"/>
  <dimension ref="C1:F4"/>
  <sheetViews>
    <sheetView workbookViewId="0"/>
  </sheetViews>
  <sheetFormatPr defaultRowHeight="21" x14ac:dyDescent="0.5"/>
  <cols>
    <col min="3" max="3" width="13.75" bestFit="1" customWidth="1"/>
    <col min="4" max="4" width="8.3125" style="56" bestFit="1" customWidth="1"/>
    <col min="5" max="5" width="6.0625" style="56" bestFit="1" customWidth="1"/>
    <col min="6" max="6" width="8.8125" bestFit="1" customWidth="1"/>
  </cols>
  <sheetData>
    <row r="1" spans="3:6" x14ac:dyDescent="0.5">
      <c r="C1" s="15" t="s">
        <v>3376</v>
      </c>
      <c r="F1" s="15" t="s">
        <v>3452</v>
      </c>
    </row>
    <row r="2" spans="3:6" x14ac:dyDescent="0.5">
      <c r="C2" s="15" t="s">
        <v>8</v>
      </c>
      <c r="D2" s="57" t="s">
        <v>10</v>
      </c>
      <c r="E2" s="57" t="s">
        <v>11</v>
      </c>
      <c r="F2" s="15" t="s">
        <v>3310</v>
      </c>
    </row>
    <row r="3" spans="3:6" x14ac:dyDescent="0.5">
      <c r="C3" t="s">
        <v>3377</v>
      </c>
      <c r="D3" s="56" t="s">
        <v>3328</v>
      </c>
      <c r="E3" s="56" t="s">
        <v>3328</v>
      </c>
      <c r="F3" s="58" t="s">
        <v>3314</v>
      </c>
    </row>
    <row r="4" spans="3:6" x14ac:dyDescent="0.5">
      <c r="C4" t="s">
        <v>3378</v>
      </c>
      <c r="D4" s="56" t="s">
        <v>3328</v>
      </c>
      <c r="E4" s="56" t="s">
        <v>3328</v>
      </c>
      <c r="F4" s="58" t="s">
        <v>3314</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8265C-F047-4BC9-A569-D82FD50E65C0}">
  <sheetPr codeName="Sheet123"/>
  <dimension ref="C1:F5"/>
  <sheetViews>
    <sheetView workbookViewId="0"/>
  </sheetViews>
  <sheetFormatPr defaultRowHeight="21" x14ac:dyDescent="0.5"/>
  <cols>
    <col min="3" max="3" width="20.6875" bestFit="1" customWidth="1"/>
    <col min="4" max="4" width="8.3125" style="56" bestFit="1" customWidth="1"/>
    <col min="5" max="5" width="6.0625" style="56" bestFit="1" customWidth="1"/>
    <col min="6" max="6" width="8.8125" bestFit="1" customWidth="1"/>
  </cols>
  <sheetData>
    <row r="1" spans="3:6" x14ac:dyDescent="0.5">
      <c r="C1" s="15" t="s">
        <v>3326</v>
      </c>
      <c r="F1" s="15" t="s">
        <v>3451</v>
      </c>
    </row>
    <row r="2" spans="3:6" x14ac:dyDescent="0.5">
      <c r="C2" s="15" t="s">
        <v>8</v>
      </c>
      <c r="D2" s="57" t="s">
        <v>10</v>
      </c>
      <c r="E2" s="57" t="s">
        <v>11</v>
      </c>
      <c r="F2" s="15" t="s">
        <v>3310</v>
      </c>
    </row>
    <row r="3" spans="3:6" x14ac:dyDescent="0.5">
      <c r="C3" t="s">
        <v>3327</v>
      </c>
      <c r="D3" s="56" t="s">
        <v>3328</v>
      </c>
      <c r="E3" s="56" t="s">
        <v>3328</v>
      </c>
      <c r="F3" s="58" t="s">
        <v>3314</v>
      </c>
    </row>
    <row r="4" spans="3:6" x14ac:dyDescent="0.5">
      <c r="C4" t="s">
        <v>3329</v>
      </c>
      <c r="D4" s="56" t="s">
        <v>3328</v>
      </c>
      <c r="E4" s="56" t="s">
        <v>3328</v>
      </c>
      <c r="F4" s="58" t="s">
        <v>3314</v>
      </c>
    </row>
    <row r="5" spans="3:6" x14ac:dyDescent="0.5">
      <c r="C5" t="s">
        <v>3330</v>
      </c>
      <c r="D5" s="56" t="s">
        <v>3328</v>
      </c>
      <c r="E5" s="56" t="s">
        <v>3328</v>
      </c>
      <c r="F5" s="58" t="s">
        <v>3314</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58C5B-DFB3-4FCB-98C5-BAEB8292D375}">
  <sheetPr codeName="Sheet115"/>
  <dimension ref="A1:F8"/>
  <sheetViews>
    <sheetView workbookViewId="0"/>
  </sheetViews>
  <sheetFormatPr defaultRowHeight="21" x14ac:dyDescent="0.5"/>
  <cols>
    <col min="3" max="3" width="31" bestFit="1" customWidth="1"/>
    <col min="4" max="4" width="8.3125" style="56" bestFit="1" customWidth="1"/>
    <col min="5" max="5" width="7.5625" style="56" bestFit="1" customWidth="1"/>
    <col min="6" max="6" width="8.8125" bestFit="1" customWidth="1"/>
  </cols>
  <sheetData>
    <row r="1" spans="1:6" x14ac:dyDescent="0.5">
      <c r="A1" s="59" t="s">
        <v>3063</v>
      </c>
      <c r="C1" s="15" t="s">
        <v>3410</v>
      </c>
      <c r="F1" s="15" t="s">
        <v>3453</v>
      </c>
    </row>
    <row r="2" spans="1:6" x14ac:dyDescent="0.5">
      <c r="C2" s="15" t="s">
        <v>8</v>
      </c>
      <c r="D2" s="57" t="s">
        <v>10</v>
      </c>
      <c r="E2" s="57" t="s">
        <v>11</v>
      </c>
      <c r="F2" s="15" t="s">
        <v>3310</v>
      </c>
    </row>
    <row r="3" spans="1:6" x14ac:dyDescent="0.5">
      <c r="C3" t="s">
        <v>3411</v>
      </c>
      <c r="D3" s="56" t="s">
        <v>3328</v>
      </c>
      <c r="E3" s="56" t="s">
        <v>3328</v>
      </c>
      <c r="F3" s="58" t="s">
        <v>3314</v>
      </c>
    </row>
    <row r="4" spans="1:6" x14ac:dyDescent="0.5">
      <c r="C4" t="s">
        <v>3412</v>
      </c>
      <c r="D4" s="56" t="s">
        <v>3328</v>
      </c>
      <c r="E4" s="56" t="s">
        <v>3328</v>
      </c>
      <c r="F4" s="58" t="s">
        <v>3314</v>
      </c>
    </row>
    <row r="5" spans="1:6" x14ac:dyDescent="0.5">
      <c r="C5" t="s">
        <v>3395</v>
      </c>
      <c r="D5" s="56" t="s">
        <v>3352</v>
      </c>
      <c r="E5" s="56" t="s">
        <v>3352</v>
      </c>
      <c r="F5" s="58" t="s">
        <v>3314</v>
      </c>
    </row>
    <row r="6" spans="1:6" x14ac:dyDescent="0.5">
      <c r="C6" t="s">
        <v>3413</v>
      </c>
      <c r="D6" s="56" t="s">
        <v>2925</v>
      </c>
      <c r="E6" s="56" t="s">
        <v>2925</v>
      </c>
      <c r="F6" s="58" t="s">
        <v>3314</v>
      </c>
    </row>
    <row r="7" spans="1:6" x14ac:dyDescent="0.5">
      <c r="C7" t="s">
        <v>3414</v>
      </c>
      <c r="D7" s="56" t="s">
        <v>3063</v>
      </c>
      <c r="E7" s="56" t="s">
        <v>3063</v>
      </c>
      <c r="F7" s="58" t="s">
        <v>3314</v>
      </c>
    </row>
    <row r="8" spans="1:6" x14ac:dyDescent="0.5">
      <c r="C8" t="s">
        <v>3415</v>
      </c>
      <c r="D8" s="56" t="s">
        <v>3321</v>
      </c>
      <c r="E8" s="56" t="s">
        <v>3321</v>
      </c>
      <c r="F8" s="58" t="s">
        <v>3314</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A7106-A5D3-415A-A72D-8A0F222EDF20}">
  <sheetPr codeName="Sheet121"/>
  <dimension ref="A1:G10"/>
  <sheetViews>
    <sheetView workbookViewId="0">
      <selection sqref="A1:B2"/>
    </sheetView>
  </sheetViews>
  <sheetFormatPr defaultRowHeight="21" x14ac:dyDescent="0.5"/>
  <cols>
    <col min="4" max="4" width="36.6875" bestFit="1" customWidth="1"/>
    <col min="5" max="6" width="37.8125" style="56" bestFit="1" customWidth="1"/>
    <col min="7" max="7" width="8.8125" bestFit="1" customWidth="1"/>
  </cols>
  <sheetData>
    <row r="1" spans="1:7" x14ac:dyDescent="0.5">
      <c r="A1" t="s">
        <v>3357</v>
      </c>
      <c r="B1" t="s">
        <v>3358</v>
      </c>
      <c r="D1" s="15" t="s">
        <v>3440</v>
      </c>
      <c r="G1" s="15" t="s">
        <v>3455</v>
      </c>
    </row>
    <row r="2" spans="1:7" x14ac:dyDescent="0.5">
      <c r="A2">
        <v>101</v>
      </c>
      <c r="B2" t="s">
        <v>3359</v>
      </c>
      <c r="D2" s="15" t="s">
        <v>8</v>
      </c>
      <c r="E2" s="57" t="s">
        <v>10</v>
      </c>
      <c r="F2" s="57" t="s">
        <v>11</v>
      </c>
      <c r="G2" s="15" t="s">
        <v>3310</v>
      </c>
    </row>
    <row r="3" spans="1:7" x14ac:dyDescent="0.5">
      <c r="D3" t="s">
        <v>3441</v>
      </c>
      <c r="E3" s="56" t="s">
        <v>3328</v>
      </c>
      <c r="F3" s="56" t="s">
        <v>3328</v>
      </c>
      <c r="G3" s="58" t="s">
        <v>3314</v>
      </c>
    </row>
    <row r="4" spans="1:7" x14ac:dyDescent="0.5">
      <c r="D4" t="s">
        <v>3442</v>
      </c>
      <c r="E4" s="56" t="s">
        <v>3328</v>
      </c>
      <c r="F4" s="56" t="s">
        <v>3328</v>
      </c>
      <c r="G4" s="58" t="s">
        <v>3314</v>
      </c>
    </row>
    <row r="5" spans="1:7" x14ac:dyDescent="0.5">
      <c r="D5" t="s">
        <v>3443</v>
      </c>
      <c r="E5" s="56" t="s">
        <v>3357</v>
      </c>
      <c r="F5" s="56" t="s">
        <v>3357</v>
      </c>
      <c r="G5" s="58" t="s">
        <v>3314</v>
      </c>
    </row>
    <row r="6" spans="1:7" x14ac:dyDescent="0.5">
      <c r="D6" t="s">
        <v>3444</v>
      </c>
      <c r="E6" s="56" t="s">
        <v>3358</v>
      </c>
      <c r="F6" s="56" t="s">
        <v>3358</v>
      </c>
      <c r="G6" s="58" t="s">
        <v>3314</v>
      </c>
    </row>
    <row r="7" spans="1:7" x14ac:dyDescent="0.5">
      <c r="D7" t="s">
        <v>3445</v>
      </c>
      <c r="E7" s="56" t="s">
        <v>3222</v>
      </c>
      <c r="F7" s="56" t="s">
        <v>3222</v>
      </c>
      <c r="G7" s="58" t="s">
        <v>3314</v>
      </c>
    </row>
    <row r="8" spans="1:7" x14ac:dyDescent="0.5">
      <c r="D8" t="s">
        <v>3446</v>
      </c>
      <c r="E8" s="56" t="s">
        <v>3447</v>
      </c>
      <c r="F8" s="56" t="s">
        <v>3447</v>
      </c>
      <c r="G8" s="58" t="s">
        <v>3314</v>
      </c>
    </row>
    <row r="9" spans="1:7" x14ac:dyDescent="0.5">
      <c r="D9" t="s">
        <v>3448</v>
      </c>
      <c r="E9" s="56" t="s">
        <v>3222</v>
      </c>
      <c r="F9" s="56" t="s">
        <v>3222</v>
      </c>
      <c r="G9" s="58" t="s">
        <v>3314</v>
      </c>
    </row>
    <row r="10" spans="1:7" x14ac:dyDescent="0.5">
      <c r="D10" t="s">
        <v>3449</v>
      </c>
      <c r="E10" s="56" t="s">
        <v>3450</v>
      </c>
      <c r="F10" s="56" t="s">
        <v>3450</v>
      </c>
      <c r="G10" s="58" t="s">
        <v>3314</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B8559-086C-4B4F-9378-BB38B3AE8583}">
  <sheetPr codeName="Sheet122"/>
  <dimension ref="C1:F5"/>
  <sheetViews>
    <sheetView workbookViewId="0"/>
  </sheetViews>
  <sheetFormatPr defaultRowHeight="21" x14ac:dyDescent="0.5"/>
  <cols>
    <col min="3" max="3" width="14" bestFit="1" customWidth="1"/>
    <col min="4" max="5" width="9.4375" style="56" bestFit="1" customWidth="1"/>
    <col min="6" max="6" width="8.8125" bestFit="1" customWidth="1"/>
  </cols>
  <sheetData>
    <row r="1" spans="3:6" x14ac:dyDescent="0.5">
      <c r="C1" s="15" t="s">
        <v>3311</v>
      </c>
      <c r="F1" s="15" t="s">
        <v>3451</v>
      </c>
    </row>
    <row r="2" spans="3:6" x14ac:dyDescent="0.5">
      <c r="C2" s="15" t="s">
        <v>8</v>
      </c>
      <c r="D2" s="57" t="s">
        <v>10</v>
      </c>
      <c r="E2" s="57" t="s">
        <v>11</v>
      </c>
      <c r="F2" s="15" t="s">
        <v>3310</v>
      </c>
    </row>
    <row r="3" spans="3:6" x14ac:dyDescent="0.5">
      <c r="C3" t="s">
        <v>3312</v>
      </c>
      <c r="D3" s="56" t="s">
        <v>3313</v>
      </c>
      <c r="E3" s="56" t="s">
        <v>3313</v>
      </c>
      <c r="F3" s="58" t="s">
        <v>3314</v>
      </c>
    </row>
    <row r="4" spans="3:6" x14ac:dyDescent="0.5">
      <c r="C4" t="s">
        <v>3315</v>
      </c>
      <c r="D4" s="56" t="s">
        <v>3316</v>
      </c>
      <c r="E4" s="56" t="s">
        <v>3316</v>
      </c>
      <c r="F4" s="58" t="s">
        <v>3314</v>
      </c>
    </row>
    <row r="5" spans="3:6" x14ac:dyDescent="0.5">
      <c r="C5" t="s">
        <v>3317</v>
      </c>
      <c r="D5" s="56" t="s">
        <v>3318</v>
      </c>
      <c r="E5" s="56" t="s">
        <v>3318</v>
      </c>
      <c r="F5" s="58" t="s">
        <v>3314</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D647F-87C9-41AE-95F1-D990E40035C5}">
  <sheetPr codeName="Sheet119"/>
  <dimension ref="B1:G5"/>
  <sheetViews>
    <sheetView workbookViewId="0"/>
  </sheetViews>
  <sheetFormatPr defaultRowHeight="21" x14ac:dyDescent="0.5"/>
  <cols>
    <col min="4" max="4" width="30.875" bestFit="1" customWidth="1"/>
    <col min="5" max="5" width="8.3125" style="56" bestFit="1" customWidth="1"/>
    <col min="6" max="6" width="6.0625" style="56" bestFit="1" customWidth="1"/>
    <col min="7" max="7" width="8.8125" bestFit="1" customWidth="1"/>
  </cols>
  <sheetData>
    <row r="1" spans="2:7" x14ac:dyDescent="0.5">
      <c r="D1" s="15" t="s">
        <v>3435</v>
      </c>
      <c r="G1" s="15" t="s">
        <v>3456</v>
      </c>
    </row>
    <row r="2" spans="2:7" x14ac:dyDescent="0.5">
      <c r="D2" s="15" t="s">
        <v>8</v>
      </c>
      <c r="E2" s="57" t="s">
        <v>10</v>
      </c>
      <c r="F2" s="57" t="s">
        <v>11</v>
      </c>
      <c r="G2" s="15" t="s">
        <v>3310</v>
      </c>
    </row>
    <row r="3" spans="2:7" x14ac:dyDescent="0.5">
      <c r="D3" t="s">
        <v>3436</v>
      </c>
      <c r="E3" s="56" t="s">
        <v>3328</v>
      </c>
      <c r="F3" s="56" t="s">
        <v>3328</v>
      </c>
      <c r="G3" s="58" t="s">
        <v>3314</v>
      </c>
    </row>
    <row r="5" spans="2:7" x14ac:dyDescent="0.5">
      <c r="B5" s="65" t="s">
        <v>2957</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9F671-3757-42E1-953C-22BA4D006FE1}">
  <sheetPr codeName="Sheet136"/>
  <dimension ref="A1:S20"/>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xtextsplit(str,[delim],[as_row])</v>
      </c>
      <c r="C1" s="79"/>
      <c r="D1" s="79"/>
      <c r="E1" s="79"/>
      <c r="F1" s="80"/>
      <c r="H1" s="45" t="s">
        <v>2</v>
      </c>
      <c r="I1" s="78" t="str" cm="1">
        <f t="array" aca="1" ref="I1" ca="1">_xlfn.LET(_xlpm.fn, CELL("filename",$A$1), _xlpm.nm, MID(_xlpm.fn, FIND("]", _xlpm.fn) + 1, 255), _xlfn.XLOOKUP(_xlpm.nm &amp; "(*", Lamb!$A$2:$A$1000, Lamb!$D$2:$D$1000, "", 2))</f>
        <v>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v>
      </c>
      <c r="C2" s="82"/>
      <c r="D2" s="82"/>
      <c r="E2" s="82"/>
      <c r="F2" s="82"/>
      <c r="G2" s="82"/>
      <c r="H2" s="82"/>
      <c r="I2" s="82"/>
      <c r="J2" s="82"/>
      <c r="K2" s="82"/>
      <c r="L2" s="82"/>
      <c r="M2" s="82"/>
      <c r="N2" s="82"/>
      <c r="O2" s="82"/>
      <c r="P2" s="82"/>
      <c r="Q2" s="82"/>
      <c r="R2" s="82"/>
    </row>
    <row r="4" spans="1:19" x14ac:dyDescent="0.5">
      <c r="A4" s="45" t="inlineStr">
        <is>
          <t xml:space="preserve">xtextjoin(arr, [delim], [str_arr_set]) - TEXTJOIN + split back to array/set; no 252-arg limit; &gt;32k -&gt; array/set (or TOO LONG in string mode); blanks/errors/"" ignored</t>
        </is>
      </c>
      <c r="R4" s="45">
        <f>COUNTIF(R6:R40,"PASS")&amp;" / 7 PASS"</f>
      </c>
    </row>
    <row r="5" spans="1:19" x14ac:dyDescent="0.5">
      <c r="A5" s="45" t="s">
        <v>7</v>
      </c>
      <c r="B5" s="45" t="s">
        <v>8</v>
      </c>
      <c r="D5" s="45" t="s">
        <v>9</v>
      </c>
      <c r="J5" s="48" t="s">
        <v>10</v>
      </c>
      <c r="N5" s="49" t="s">
        <v>11</v>
      </c>
      <c r="R5" s="50" t="s">
        <v>12</v>
      </c>
    </row>
    <row r="6" spans="1:19" x14ac:dyDescent="0.5">
      <c r="A6" s="83">
        <v>1</v>
      </c>
      <c r="B6" s="78" t="inlineStr">
        <is>
          <t xml:space="preserve">string: list + blank + error + single</t>
        </is>
      </c>
      <c r="D6" s="51" t="inlineStr">
        <is>
          <t xml:space="preserve">a;b;c</t>
        </is>
      </c>
      <c r="J6" s="52" t="inlineStr">
        <is>
          <t xml:space="preserve">a;b;c;d</t>
        </is>
      </c>
      <c r="N6" s="53" cm="1">
        <f t="array" ref="N6">xtextjoin(D6:D9)</f>
        <v>0</v>
      </c>
      <c r="R6" s="54">
        <f>IF(N6=J6,"PASS","FAIL")</f>
      </c>
    </row>
    <row r="7" spans="1:19" x14ac:dyDescent="0.5">
      <c r="A7" s="55"/>
      <c r="B7" s="55"/>
      <c r="D7" s="51"/>
      <c r="J7" s="52"/>
      <c r="N7" s="53"/>
    </row>
    <row r="8" spans="1:19" x14ac:dyDescent="0.5">
      <c r="A8" s="55"/>
      <c r="B8" s="55"/>
      <c r="D8" s="51">
        <f>NA()</f>
      </c>
      <c r="J8" s="52"/>
      <c r="N8" s="53"/>
    </row>
    <row r="9">
      <c r="D9" s="51" t="inlineStr">
        <is>
          <t xml:space="preserve">d</t>
        </is>
      </c>
    </row>
    <row r="10" spans="1:19" x14ac:dyDescent="0.5">
      <c r="A10" s="46"/>
      <c r="B10" s="47"/>
      <c r="D10" s="51"/>
      <c r="J10" s="52"/>
      <c r="N10" s="53"/>
      <c r="R10" s="54"/>
    </row>
    <row r="11" spans="1:19" x14ac:dyDescent="0.5">
      <c r="A11" s="83">
        <v>2</v>
      </c>
      <c r="B11" s="78" t="inlineStr">
        <is>
          <t xml:space="preserve">array: split back to vertical array</t>
        </is>
      </c>
      <c r="D11" s="51" t="inlineStr">
        <is>
          <t xml:space="preserve">x;y</t>
        </is>
      </c>
      <c r="J11" s="52" t="inlineStr">
        <is>
          <t xml:space="preserve">x</t>
        </is>
      </c>
      <c r="N11" s="53" cm="1">
        <f t="array" ref="N11:N13">xtextjoin(D11:D13,";",2)</f>
        <v>0</v>
      </c>
      <c r="R11" s="54" cm="1">
        <f t="array" ref="R11">IF(AND(J11:J13=N11:N13),"PASS","FAIL")</f>
        <v>0</v>
      </c>
    </row>
    <row r="12" spans="1:19" x14ac:dyDescent="0.5">
      <c r="A12" s="55"/>
      <c r="B12" s="55"/>
      <c r="D12" s="51" t="inlineStr">
        <is>
          <t xml:space="preserve">z</t>
        </is>
      </c>
      <c r="J12" s="52" t="inlineStr">
        <is>
          <t xml:space="preserve">y</t>
        </is>
      </c>
      <c r="N12" s="53"/>
    </row>
    <row r="13">
      <c r="D13" s="51" t="inlineStr">
        <is>
          <t xml:space="preserve"/>
        </is>
      </c>
      <c r="J13" s="52" t="inlineStr">
        <is>
          <t xml:space="preserve">z</t>
        </is>
      </c>
    </row>
    <row r="14" spans="1:19" x14ac:dyDescent="0.5">
      <c r="A14" s="46"/>
      <c r="B14" s="47"/>
      <c r="D14" s="51"/>
      <c r="F14" s="51"/>
      <c r="J14" s="52"/>
      <c r="N14" s="53"/>
      <c r="R14" s="54"/>
    </row>
    <row r="15" spans="1:19" x14ac:dyDescent="0.5">
      <c r="A15" s="83">
        <v>3</v>
      </c>
      <c r="B15" s="78" t="inlineStr">
        <is>
          <t xml:space="preserve">set: unique + sorted</t>
        </is>
      </c>
      <c r="D15" s="51" t="inlineStr">
        <is>
          <t xml:space="preserve">b;a;c</t>
        </is>
      </c>
      <c r="J15" s="52" t="inlineStr">
        <is>
          <t xml:space="preserve">a</t>
        </is>
      </c>
      <c r="N15" s="53" cm="1">
        <f t="array" ref="N15:N17">xtextjoin(D15:D16,";",3)</f>
        <v>0</v>
      </c>
      <c r="R15" s="54" cm="1">
        <f t="array" ref="R15">IF(AND(J15:J17=N15:N17),"PASS","FAIL")</f>
        <v>0</v>
      </c>
    </row>
    <row r="16" spans="1:19" x14ac:dyDescent="0.5">
      <c r="A16" s="55"/>
      <c r="B16" s="55"/>
      <c r="D16" s="51" t="inlineStr">
        <is>
          <t xml:space="preserve">a;b</t>
        </is>
      </c>
      <c r="J16" s="52" t="inlineStr">
        <is>
          <t xml:space="preserve">b</t>
        </is>
      </c>
      <c r="N16" s="53"/>
    </row>
    <row r="17">
      <c r="J17" s="52" t="inlineStr">
        <is>
          <t xml:space="preserve">c</t>
        </is>
      </c>
    </row>
    <row r="18" spans="1:18" x14ac:dyDescent="0.5">
      <c r="A18" s="46"/>
      <c r="B18" s="47"/>
      <c r="D18" s="51"/>
      <c r="F18" s="51"/>
      <c r="H18" s="51"/>
      <c r="J18" s="52"/>
      <c r="K18" s="52"/>
      <c r="L18" s="52"/>
      <c r="N18" s="53"/>
      <c r="O18" s="53"/>
      <c r="P18" s="53"/>
      <c r="R18" s="54"/>
    </row>
    <row r="19">
      <c r="A19" s="83">
        <v>4</v>
      </c>
      <c r="B19" s="78" t="inlineStr">
        <is>
          <t xml:space="preserve">zeros kept; blanks/errors/"" ignored (no fake 0)</t>
        </is>
      </c>
      <c r="D19" s="51" t="inlineStr">
        <is>
          <t xml:space="preserve">5;0</t>
        </is>
      </c>
      <c r="J19" s="52" t="inlineStr">
        <is>
          <t xml:space="preserve">5</t>
        </is>
      </c>
      <c r="N19" s="53" cm="1">
        <f t="array" ref="N19:N21">xtextjoin(D19:D22,";",2)</f>
        <v>0</v>
      </c>
      <c r="R19" s="54" cm="1">
        <f t="array" ref="R19">IF(AND(J19:J21=N19:N21),"PASS","FAIL")</f>
        <v>0</v>
      </c>
    </row>
    <row r="20" spans="1:18" x14ac:dyDescent="0.5">
      <c r="A20" s="46"/>
      <c r="B20" s="47"/>
      <c r="D20" s="51"/>
      <c r="J20" s="52" t="inlineStr">
        <is>
          <t xml:space="preserve">0</t>
        </is>
      </c>
      <c r="N20" s="53"/>
      <c r="R20" s="54"/>
    </row>
    <row r="21">
      <c r="D21" s="51">
        <v>0</v>
      </c>
      <c r="J21" s="52" t="inlineStr">
        <is>
          <t xml:space="preserve">0</t>
        </is>
      </c>
    </row>
    <row r="22">
      <c r="D22" s="51" t="inlineStr">
        <is>
          <t xml:space="preserve"/>
        </is>
      </c>
    </row>
    <row r="24">
      <c r="A24" s="83">
        <v>5</v>
      </c>
      <c r="B24" s="78" t="inlineStr">
        <is>
          <t xml:space="preserve">custom delim ','; empty token dropped</t>
        </is>
      </c>
      <c r="D24" s="51" t="inlineStr">
        <is>
          <t xml:space="preserve">a,b,,c</t>
        </is>
      </c>
      <c r="F24" s="51" t="inlineStr">
        <is>
          <t xml:space="preserve">,</t>
        </is>
      </c>
      <c r="J24" s="52" t="inlineStr">
        <is>
          <t xml:space="preserve">a,b,c</t>
        </is>
      </c>
      <c r="N24" s="53" cm="1">
        <f t="array" ref="N24">xtextjoin(D24,F24)</f>
        <v>0</v>
      </c>
      <c r="R24" s="54">
        <f>IF(N24=J24,"PASS","FAIL")</f>
      </c>
    </row>
    <row r="26">
      <c r="A26" s="83">
        <v>6</v>
      </c>
      <c r="B26" s="78" t="inlineStr">
        <is>
          <t xml:space="preserve">over 32,767 chars -&gt; TOO LONG (string mode)</t>
        </is>
      </c>
      <c r="D26" s="51">
        <f>REPT("x",20000)</f>
      </c>
      <c r="J26" s="52" t="inlineStr">
        <is>
          <t xml:space="preserve">TOO LONG</t>
        </is>
      </c>
      <c r="N26" s="53" cm="1">
        <f t="array" ref="N26">xtextjoin(D26:D27)</f>
        <v>0</v>
      </c>
      <c r="R26" s="54">
        <f>IF(N26=J26,"PASS","FAIL")</f>
      </c>
    </row>
    <row r="27">
      <c r="D27" s="51">
        <f>REPT("y",20000)</f>
      </c>
    </row>
    <row r="29">
      <c r="A29" s="83">
        <v>7</v>
      </c>
      <c r="B29" s="78" t="inlineStr">
        <is>
          <t xml:space="preserve">all-blank input -&gt; empty string</t>
        </is>
      </c>
      <c r="D29" s="51"/>
      <c r="J29" s="52">
        <f>""</f>
      </c>
      <c r="N29" s="53" cm="1">
        <f t="array" ref="N29">xtextjoin(D29:D30)</f>
        <v>0</v>
      </c>
      <c r="R29" s="54">
        <f>IF(N29=J29,"PASS","FAIL")</f>
      </c>
    </row>
    <row r="30">
      <c r="D30" s="51"/>
    </row>
  </sheetData>
  <mergeCells count="3">
    <mergeCell ref="I1:R1"/>
    <mergeCell ref="B2:R2"/>
    <mergeCell ref="B1:F1"/>
  </mergeCells>
  <pageMargins left="0.75" right="0.75" top="1" bottom="1" header="0.5" footer="0.5"/>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37"/>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first_time(arr) - 1 the first time each value appears (row-major), 0 for a repeat; output matches arr's size and shape</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1D column: repeats become 0</t>
        </is>
      </c>
      <c r="D6" s="51" t="inlineStr">
        <is>
          <t xml:space="preserve">A</t>
        </is>
      </c>
      <c r="H6" s="52">
        <v>1</v>
      </c>
      <c r="L6" s="53" cm="1">
        <f t="array" ref="L6:L10">first_time(D6:D10)</f>
        <v>0</v>
      </c>
      <c r="P6" s="54" cm="1">
        <f t="array" ref="P6">IF(AND(H6:H10=L6:L10),"PASS","FAIL")</f>
        <v>0</v>
      </c>
    </row>
    <row r="7" spans="1:19" x14ac:dyDescent="0.5">
      <c r="A7" s="55"/>
      <c r="B7" s="55"/>
      <c r="D7" s="51" t="inlineStr">
        <is>
          <t xml:space="preserve">B</t>
        </is>
      </c>
      <c r="H7" s="52">
        <v>1</v>
      </c>
      <c r="L7" s="53"/>
    </row>
    <row r="8" spans="1:19" x14ac:dyDescent="0.5">
      <c r="A8" s="55"/>
      <c r="B8" s="55"/>
      <c r="D8" s="51" t="inlineStr">
        <is>
          <t xml:space="preserve">A</t>
        </is>
      </c>
      <c r="H8" s="52">
        <v>0</v>
      </c>
      <c r="L8" s="53"/>
    </row>
    <row r="9">
      <c r="D9" s="51" t="inlineStr">
        <is>
          <t xml:space="preserve">C</t>
        </is>
      </c>
      <c r="H9" s="52">
        <v>1</v>
      </c>
    </row>
    <row r="10" spans="1:19" x14ac:dyDescent="0.5">
      <c r="A10" s="46"/>
      <c r="B10" s="47"/>
      <c r="D10" s="51" t="inlineStr">
        <is>
          <t xml:space="preserve">B</t>
        </is>
      </c>
      <c r="H10" s="52">
        <v>0</v>
      </c>
      <c r="L10" s="53"/>
      <c r="P10" s="54"/>
    </row>
    <row r="11" spans="1:19" x14ac:dyDescent="0.5">
      <c r="A11" s="55"/>
      <c r="B11" s="55"/>
      <c r="H11" s="52"/>
      <c r="L11" s="53"/>
    </row>
    <row r="12" spans="1:19" x14ac:dyDescent="0.5">
      <c r="A12" s="55"/>
      <c r="B12" s="55"/>
      <c r="H12" s="52"/>
      <c r="L12" s="53"/>
    </row>
    <row r="13">
      <c r="A13" s="83">
        <v>2</v>
      </c>
      <c r="B13" s="78" t="inlineStr">
        <is>
          <t xml:space="preserve">2D read row-major</t>
        </is>
      </c>
      <c r="D13" s="51" t="inlineStr">
        <is>
          <t xml:space="preserve">A</t>
        </is>
      </c>
      <c r="E13" s="51" t="inlineStr">
        <is>
          <t xml:space="preserve">B</t>
        </is>
      </c>
      <c r="F13" s="51" t="inlineStr">
        <is>
          <t xml:space="preserve">A</t>
        </is>
      </c>
      <c r="H13" s="52">
        <v>1</v>
      </c>
      <c r="I13" s="52">
        <v>1</v>
      </c>
      <c r="J13" s="52">
        <v>0</v>
      </c>
      <c r="L13" s="53" cm="1">
        <f t="array" ref="L13:N14">first_time(D13:F14)</f>
        <v>0</v>
      </c>
      <c r="P13" s="54" cm="1">
        <f t="array" ref="P13">IF(AND(H13:J14=L13:N14),"PASS","FAIL")</f>
        <v>0</v>
      </c>
    </row>
    <row r="14" spans="1:19" x14ac:dyDescent="0.5">
      <c r="A14" s="46"/>
      <c r="B14" s="47"/>
      <c r="D14" s="51" t="inlineStr">
        <is>
          <t xml:space="preserve">C</t>
        </is>
      </c>
      <c r="E14" s="51" t="inlineStr">
        <is>
          <t xml:space="preserve">A</t>
        </is>
      </c>
      <c r="F14" s="51" t="inlineStr">
        <is>
          <t xml:space="preserve">B</t>
        </is>
      </c>
      <c r="H14" s="52">
        <v>1</v>
      </c>
      <c r="I14" s="52">
        <v>0</v>
      </c>
      <c r="J14" s="52">
        <v>0</v>
      </c>
      <c r="L14" s="53"/>
      <c r="M14" s="53"/>
      <c r="N14" s="53"/>
      <c r="P14" s="54"/>
    </row>
    <row r="17">
      <c r="A17" s="83">
        <v>3</v>
      </c>
      <c r="B17" s="78" t="inlineStr">
        <is>
          <t xml:space="preserve">numbers with repeats</t>
        </is>
      </c>
      <c r="D17" s="51">
        <v>5</v>
      </c>
      <c r="H17" s="52">
        <v>1</v>
      </c>
      <c r="L17" s="53" cm="1">
        <f t="array" ref="L17:L21">first_time(D17:D21)</f>
        <v>0</v>
      </c>
      <c r="P17" s="54" cm="1">
        <f t="array" ref="P17">IF(AND(H17:H21=L17:L21),"PASS","FAIL")</f>
        <v>0</v>
      </c>
    </row>
    <row r="18">
      <c r="D18" s="51">
        <v>5</v>
      </c>
      <c r="H18" s="52">
        <v>0</v>
      </c>
    </row>
    <row r="19">
      <c r="D19" s="51">
        <v>3</v>
      </c>
      <c r="H19" s="52">
        <v>1</v>
      </c>
    </row>
    <row r="20">
      <c r="D20" s="51">
        <v>5</v>
      </c>
      <c r="H20" s="52">
        <v>0</v>
      </c>
    </row>
    <row r="21">
      <c r="D21" s="51">
        <v>3</v>
      </c>
      <c r="H21" s="52">
        <v>0</v>
      </c>
    </row>
    <row r="24">
      <c r="A24" s="83">
        <v>4</v>
      </c>
      <c r="B24" s="78" t="inlineStr">
        <is>
          <t xml:space="preserve">all unique -&gt; all 1</t>
        </is>
      </c>
      <c r="D24" s="51">
        <v>7</v>
      </c>
      <c r="H24" s="52">
        <v>1</v>
      </c>
      <c r="L24" s="53" cm="1">
        <f t="array" ref="L24:L26">first_time(D24:D26)</f>
        <v>0</v>
      </c>
      <c r="P24" s="54" cm="1">
        <f t="array" ref="P24">IF(AND(H24:H26=L24:L26),"PASS","FAIL")</f>
        <v>0</v>
      </c>
    </row>
    <row r="25">
      <c r="D25" s="51">
        <v>8</v>
      </c>
      <c r="H25" s="52">
        <v>1</v>
      </c>
    </row>
    <row r="26">
      <c r="D26" s="51">
        <v>9</v>
      </c>
      <c r="H26" s="52">
        <v>1</v>
      </c>
    </row>
    <row r="29">
      <c r="A29" s="83">
        <v>5</v>
      </c>
      <c r="B29" s="78" t="inlineStr">
        <is>
          <t xml:space="preserve">ROWS() sees full size (regression)</t>
        </is>
      </c>
      <c r="D29" s="51" t="inlineStr">
        <is>
          <t xml:space="preserve">A</t>
        </is>
      </c>
      <c r="H29" s="52">
        <v>3</v>
      </c>
      <c r="L29" s="53" cm="1">
        <f t="array" ref="L29">ROWS(first_time(D29:D31))</f>
        <v>0</v>
      </c>
      <c r="P29" s="54">
        <f>IF(L29=H29,"PASS","FAIL")</f>
      </c>
    </row>
    <row r="30">
      <c r="D30" s="51" t="inlineStr">
        <is>
          <t xml:space="preserve">B</t>
        </is>
      </c>
    </row>
    <row r="31">
      <c r="D31" s="51" t="inlineStr">
        <is>
          <t xml:space="preserve">C</t>
        </is>
      </c>
    </row>
  </sheetData>
  <mergeCells count="3">
    <mergeCell ref="I1:R1"/>
    <mergeCell ref="B2:R2"/>
    <mergeCell ref="B1:F1"/>
  </mergeCells>
  <pageMargins left="0.75" right="0.75" top="1" bottom="1" header="0.5" footer="0.5"/>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3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streak(arr) - running count of consecutive equal values (row-major): 1 when it changes, else previous+1; output matches arr's shape</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A,B,C,C,D,D,D,E -&gt; 1,1,1,2,1,2,3,1</t>
        </is>
      </c>
      <c r="D6" s="51" t="inlineStr">
        <is>
          <t xml:space="preserve">A</t>
        </is>
      </c>
      <c r="H6" s="52">
        <v>1</v>
      </c>
      <c r="L6" s="53" cm="1">
        <f t="array" ref="L6:L13">streak(D6:D13)</f>
        <v>0</v>
      </c>
      <c r="P6" s="54" cm="1">
        <f t="array" ref="P6">IF(AND(H6:H13=L6:L13),"PASS","FAIL")</f>
        <v>0</v>
      </c>
    </row>
    <row r="7" spans="1:19" x14ac:dyDescent="0.5">
      <c r="A7" s="55"/>
      <c r="B7" s="55"/>
      <c r="D7" s="51" t="inlineStr">
        <is>
          <t xml:space="preserve">B</t>
        </is>
      </c>
      <c r="H7" s="52">
        <v>1</v>
      </c>
      <c r="L7" s="53"/>
    </row>
    <row r="8" spans="1:19" x14ac:dyDescent="0.5">
      <c r="A8" s="55"/>
      <c r="B8" s="55"/>
      <c r="D8" s="51" t="inlineStr">
        <is>
          <t xml:space="preserve">C</t>
        </is>
      </c>
      <c r="H8" s="52">
        <v>1</v>
      </c>
      <c r="L8" s="53"/>
    </row>
    <row r="9">
      <c r="D9" s="51" t="inlineStr">
        <is>
          <t xml:space="preserve">C</t>
        </is>
      </c>
      <c r="H9" s="52">
        <v>2</v>
      </c>
    </row>
    <row r="10" spans="1:19" x14ac:dyDescent="0.5">
      <c r="A10" s="46"/>
      <c r="B10" s="47"/>
      <c r="D10" s="51" t="inlineStr">
        <is>
          <t xml:space="preserve">D</t>
        </is>
      </c>
      <c r="H10" s="52">
        <v>1</v>
      </c>
      <c r="L10" s="53"/>
      <c r="P10" s="54"/>
    </row>
    <row r="11" spans="1:19" x14ac:dyDescent="0.5">
      <c r="A11" s="55"/>
      <c r="B11" s="55"/>
      <c r="D11" s="51" t="inlineStr">
        <is>
          <t xml:space="preserve">D</t>
        </is>
      </c>
      <c r="H11" s="52">
        <v>2</v>
      </c>
      <c r="L11" s="53"/>
    </row>
    <row r="12" spans="1:19" x14ac:dyDescent="0.5">
      <c r="A12" s="55"/>
      <c r="B12" s="55"/>
      <c r="D12" s="51" t="inlineStr">
        <is>
          <t xml:space="preserve">D</t>
        </is>
      </c>
      <c r="H12" s="52">
        <v>3</v>
      </c>
      <c r="L12" s="53"/>
    </row>
    <row r="13">
      <c r="D13" s="51" t="inlineStr">
        <is>
          <t xml:space="preserve">E</t>
        </is>
      </c>
      <c r="H13" s="52">
        <v>1</v>
      </c>
    </row>
    <row r="14" spans="1:19" x14ac:dyDescent="0.5">
      <c r="A14" s="46"/>
      <c r="B14" s="47"/>
      <c r="D14" s="51"/>
      <c r="F14" s="51"/>
      <c r="H14" s="52"/>
      <c r="I14" s="52"/>
      <c r="J14" s="52"/>
      <c r="L14" s="53"/>
      <c r="M14" s="53"/>
      <c r="N14" s="53"/>
      <c r="P14" s="54"/>
    </row>
    <row r="16">
      <c r="A16" s="83">
        <v>2</v>
      </c>
      <c r="B16" s="78" t="inlineStr">
        <is>
          <t xml:space="preserve">2D read row-major</t>
        </is>
      </c>
      <c r="D16" s="51" t="inlineStr">
        <is>
          <t xml:space="preserve">A</t>
        </is>
      </c>
      <c r="E16" s="51" t="inlineStr">
        <is>
          <t xml:space="preserve">A</t>
        </is>
      </c>
      <c r="H16" s="52">
        <v>1</v>
      </c>
      <c r="I16" s="52">
        <v>2</v>
      </c>
      <c r="L16" s="53" cm="1">
        <f t="array" ref="L16:M17">streak(D16:E17)</f>
        <v>0</v>
      </c>
      <c r="P16" s="54" cm="1">
        <f t="array" ref="P16">IF(AND(H16:I17=L16:M17),"PASS","FAIL")</f>
        <v>0</v>
      </c>
    </row>
    <row r="17">
      <c r="D17" s="51" t="inlineStr">
        <is>
          <t xml:space="preserve">B</t>
        </is>
      </c>
      <c r="E17" s="51" t="inlineStr">
        <is>
          <t xml:space="preserve">A</t>
        </is>
      </c>
      <c r="H17" s="52">
        <v>1</v>
      </c>
      <c r="I17" s="52">
        <v>1</v>
      </c>
    </row>
    <row r="20">
      <c r="A20" s="83">
        <v>3</v>
      </c>
      <c r="B20" s="78" t="inlineStr">
        <is>
          <t xml:space="preserve">all same -&gt; 1,2,3</t>
        </is>
      </c>
      <c r="D20" s="51" t="inlineStr">
        <is>
          <t xml:space="preserve">A</t>
        </is>
      </c>
      <c r="H20" s="52">
        <v>1</v>
      </c>
      <c r="L20" s="53" cm="1">
        <f t="array" ref="L20:L22">streak(D20:D22)</f>
        <v>0</v>
      </c>
      <c r="P20" s="54" cm="1">
        <f t="array" ref="P20">IF(AND(H20:H22=L20:L22),"PASS","FAIL")</f>
        <v>0</v>
      </c>
    </row>
    <row r="21">
      <c r="D21" s="51" t="inlineStr">
        <is>
          <t xml:space="preserve">A</t>
        </is>
      </c>
      <c r="H21" s="52">
        <v>2</v>
      </c>
    </row>
    <row r="22">
      <c r="D22" s="51" t="inlineStr">
        <is>
          <t xml:space="preserve">A</t>
        </is>
      </c>
      <c r="H22" s="52">
        <v>3</v>
      </c>
    </row>
    <row r="25">
      <c r="A25" s="83">
        <v>4</v>
      </c>
      <c r="B25" s="78" t="inlineStr">
        <is>
          <t xml:space="preserve">all different -&gt; all 1</t>
        </is>
      </c>
      <c r="D25" s="51" t="inlineStr">
        <is>
          <t xml:space="preserve">A</t>
        </is>
      </c>
      <c r="H25" s="52">
        <v>1</v>
      </c>
      <c r="L25" s="53" cm="1">
        <f t="array" ref="L25:L27">streak(D25:D27)</f>
        <v>0</v>
      </c>
      <c r="P25" s="54" cm="1">
        <f t="array" ref="P25">IF(AND(H25:H27=L25:L27),"PASS","FAIL")</f>
        <v>0</v>
      </c>
    </row>
    <row r="26">
      <c r="D26" s="51" t="inlineStr">
        <is>
          <t xml:space="preserve">B</t>
        </is>
      </c>
      <c r="H26" s="52">
        <v>1</v>
      </c>
    </row>
    <row r="27">
      <c r="D27" s="51" t="inlineStr">
        <is>
          <t xml:space="preserve">C</t>
        </is>
      </c>
      <c r="H27" s="52">
        <v>1</v>
      </c>
    </row>
    <row r="30">
      <c r="A30" s="83">
        <v>5</v>
      </c>
      <c r="B30" s="78" t="inlineStr">
        <is>
          <t xml:space="preserve">COLUMNS() sees full size (regression)</t>
        </is>
      </c>
      <c r="D30" s="51" t="inlineStr">
        <is>
          <t xml:space="preserve">A</t>
        </is>
      </c>
      <c r="E30" s="51" t="inlineStr">
        <is>
          <t xml:space="preserve">B</t>
        </is>
      </c>
      <c r="F30" s="51" t="inlineStr">
        <is>
          <t xml:space="preserve">C</t>
        </is>
      </c>
      <c r="H30" s="52">
        <v>3</v>
      </c>
      <c r="L30" s="53" cm="1">
        <f t="array" ref="L30">COLUMNS(streak(D30:F30))</f>
        <v>0</v>
      </c>
      <c r="P30" s="54">
        <f>IF(L30=H30,"PASS","FAIL")</f>
      </c>
    </row>
  </sheetData>
  <mergeCells count="3">
    <mergeCell ref="I1:R1"/>
    <mergeCell ref="B2:R2"/>
    <mergeCell ref="B1:F1"/>
  </mergeCells>
  <pageMargins left="0.75" right="0.75" top="1" bottom="1" header="0.5" footer="0.5"/>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139"/>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inlineStr">
        <is>
          <t xml:space="preserve">xbycol(arr, function) - BYCOL allowing an array per column (the flip of xbyrow); each column's result is flattened to a column (TOCOL) and stacked side by side (HSTACK)</t>
        </is>
      </c>
      <c r="Y4" s="45">
        <f>COUNTIF(Y6:Y40,"PASS")&amp;" / 4 PASS"</f>
      </c>
    </row>
    <row r="5" spans="1:25" x14ac:dyDescent="0.5">
      <c r="A5" s="45" t="s">
        <v>7</v>
      </c>
      <c r="B5" s="45" t="s">
        <v>8</v>
      </c>
      <c r="D5" s="45" t="s">
        <v>9</v>
      </c>
      <c r="G5" s="48" t="s">
        <v>10</v>
      </c>
      <c r="P5" s="49" t="s">
        <v>11</v>
      </c>
      <c r="Y5" s="50" t="s">
        <v>12</v>
      </c>
    </row>
    <row r="6" spans="1:25" x14ac:dyDescent="0.5">
      <c r="A6" s="83">
        <v>1</v>
      </c>
      <c r="B6" s="78" t="inlineStr">
        <is>
          <t xml:space="preserve">{1,2,3}, LAMBDA x*10 (per column)</t>
        </is>
      </c>
      <c r="D6" s="51">
        <v>1</v>
      </c>
      <c r="E6" s="51">
        <v>2</v>
      </c>
      <c r="F6" s="51">
        <v>3</v>
      </c>
      <c r="G6" s="52">
        <v>10</v>
      </c>
      <c r="H6" s="52">
        <v>20</v>
      </c>
      <c r="I6" s="52">
        <v>30</v>
      </c>
      <c r="P6" s="53" cm="1">
        <f t="array" ref="P6:R6">xbycol(D6:F6,_xlfn.LAMBDA(_xlpm.x,_xlpm.x*10))</f>
        <v>0</v>
      </c>
      <c r="Y6" s="54" cm="1">
        <f t="array" ref="Y6">IF(AND(G6:I6=P6:R6),"PASS","FAIL")</f>
        <v>0</v>
      </c>
    </row>
    <row r="7" spans="1:25" x14ac:dyDescent="0.5">
      <c r="A7" s="55"/>
      <c r="B7" s="55"/>
      <c r="D7" s="51"/>
      <c r="G7" s="52"/>
      <c r="P7" s="53"/>
    </row>
    <row r="8" spans="1:25" x14ac:dyDescent="0.5">
      <c r="A8" s="55"/>
      <c r="B8" s="55"/>
      <c r="D8" s="51"/>
      <c r="G8" s="52"/>
      <c r="P8" s="53"/>
    </row>
    <row r="9">
      <c r="A9" s="83">
        <v>2</v>
      </c>
      <c r="B9" s="78" t="inlineStr">
        <is>
          <t xml:space="preserve">{1,2,3}, SEQUENCE(2,1,x) per column</t>
        </is>
      </c>
      <c r="D9" s="51">
        <v>1</v>
      </c>
      <c r="E9" s="51">
        <v>2</v>
      </c>
      <c r="F9" s="51">
        <v>3</v>
      </c>
      <c r="G9" s="52">
        <v>1</v>
      </c>
      <c r="H9" s="52">
        <v>2</v>
      </c>
      <c r="I9" s="52">
        <v>3</v>
      </c>
      <c r="P9" s="53" cm="1">
        <f t="array" ref="P9:R10">xbycol(D9:F9,_xlfn.LAMBDA(_xlpm.x,_xlfn.SEQUENCE(2,1,_xlpm.x)))</f>
        <v>0</v>
      </c>
      <c r="Y9" s="54" cm="1">
        <f t="array" ref="Y9">IF(AND(G9:I10=P9:R10),"PASS","FAIL")</f>
        <v>0</v>
      </c>
    </row>
    <row r="10" spans="1:25" x14ac:dyDescent="0.5">
      <c r="A10" s="46"/>
      <c r="B10" s="47"/>
      <c r="D10" s="51"/>
      <c r="G10" s="52">
        <v>2</v>
      </c>
      <c r="H10" s="52">
        <v>3</v>
      </c>
      <c r="I10" s="52">
        <v>4</v>
      </c>
      <c r="P10" s="53"/>
      <c r="Q10" s="53"/>
      <c r="Y10" s="54"/>
    </row>
    <row r="11" spans="1:25" x14ac:dyDescent="0.5">
      <c r="A11" s="55"/>
      <c r="B11" s="55"/>
      <c r="D11" s="51"/>
      <c r="G11" s="52"/>
      <c r="H11" s="52"/>
      <c r="P11" s="53"/>
      <c r="Q11" s="53"/>
    </row>
    <row r="12" spans="1:25" x14ac:dyDescent="0.5">
      <c r="A12" s="55"/>
      <c r="B12" s="55"/>
      <c r="D12" s="51"/>
      <c r="G12" s="52"/>
      <c r="H12" s="52"/>
      <c r="P12" s="53"/>
      <c r="Q12" s="53"/>
    </row>
    <row r="13">
      <c r="A13" s="83">
        <v>3</v>
      </c>
      <c r="B13" s="78" t="inlineStr">
        <is>
          <t xml:space="preserve">{4,9,7;1,2,5}, MIN per column</t>
        </is>
      </c>
      <c r="D13" s="51">
        <v>4</v>
      </c>
      <c r="E13" s="51">
        <v>9</v>
      </c>
      <c r="F13" s="51">
        <v>7</v>
      </c>
      <c r="G13" s="52">
        <v>1</v>
      </c>
      <c r="H13" s="52">
        <v>2</v>
      </c>
      <c r="I13" s="52">
        <v>5</v>
      </c>
      <c r="P13" s="53" cm="1">
        <f t="array" ref="P13:R13">xbycol(D13:F14,_xlfn.LAMBDA(_xlpm.col,MIN(_xlpm.col)))</f>
        <v>0</v>
      </c>
      <c r="Y13" s="54" cm="1">
        <f t="array" ref="Y13">IF(AND(G13:I13=P13:R13),"PASS","FAIL")</f>
        <v>0</v>
      </c>
    </row>
    <row r="14" spans="1:25" x14ac:dyDescent="0.5">
      <c r="A14" s="46"/>
      <c r="B14" s="47"/>
      <c r="D14" s="51">
        <v>1</v>
      </c>
      <c r="E14" s="51">
        <v>2</v>
      </c>
      <c r="F14" s="51">
        <v>5</v>
      </c>
      <c r="G14" s="52"/>
      <c r="P14" s="53"/>
      <c r="Y14" s="54"/>
    </row>
    <row r="15" spans="1:25" x14ac:dyDescent="0.5">
      <c r="A15" s="55"/>
      <c r="B15" s="55"/>
      <c r="D15" s="51"/>
      <c r="E15" s="51"/>
      <c r="G15" s="52"/>
      <c r="P15" s="53"/>
    </row>
    <row r="16" spans="1:25" x14ac:dyDescent="0.5">
      <c r="A16" s="55"/>
      <c r="B16" s="55"/>
      <c r="D16" s="51"/>
      <c r="E16" s="51"/>
      <c r="G16" s="52"/>
      <c r="P16" s="53"/>
    </row>
    <row r="17">
      <c r="A17" s="83">
        <v>4</v>
      </c>
      <c r="B17" s="78" t="inlineStr">
        <is>
          <t xml:space="preserve">{10,20;30,40}, VSTACK(col,col*2) per column</t>
        </is>
      </c>
      <c r="D17" s="51">
        <v>10</v>
      </c>
      <c r="E17" s="51">
        <v>20</v>
      </c>
      <c r="G17" s="52">
        <v>10</v>
      </c>
      <c r="H17" s="52">
        <v>20</v>
      </c>
      <c r="P17" s="53" cm="1">
        <f t="array" ref="P17:Q20">xbycol(D17:E18,_xlfn.LAMBDA(_xlpm.col,_xlfn.VSTACK(_xlpm.col,_xlpm.col*2)))</f>
        <v>0</v>
      </c>
      <c r="Y17" s="54" cm="1">
        <f t="array" ref="Y17">IF(AND(G17:H20=P17:Q20),"PASS","FAIL")</f>
        <v>0</v>
      </c>
    </row>
    <row r="18" spans="1:25" x14ac:dyDescent="0.5">
      <c r="A18" s="46"/>
      <c r="B18" s="47"/>
      <c r="D18" s="51">
        <v>30</v>
      </c>
      <c r="E18" s="51">
        <v>40</v>
      </c>
      <c r="G18" s="52">
        <v>30</v>
      </c>
      <c r="H18" s="52">
        <v>40</v>
      </c>
      <c r="I18" s="52"/>
      <c r="J18" s="52"/>
      <c r="K18" s="52"/>
      <c r="L18" s="52"/>
      <c r="M18" s="52"/>
      <c r="N18" s="52"/>
      <c r="P18" s="53"/>
      <c r="Q18" s="53"/>
      <c r="R18" s="53"/>
      <c r="S18" s="53"/>
      <c r="T18" s="53"/>
      <c r="U18" s="53"/>
      <c r="V18" s="53"/>
      <c r="W18" s="53"/>
      <c r="Y18" s="54"/>
    </row>
    <row r="19" spans="1:25" x14ac:dyDescent="0.5">
      <c r="A19" s="55"/>
      <c r="B19" s="55"/>
      <c r="D19" s="51"/>
      <c r="G19" s="52">
        <v>20</v>
      </c>
      <c r="H19" s="52">
        <v>40</v>
      </c>
      <c r="I19" s="52"/>
      <c r="J19" s="52"/>
      <c r="K19" s="52"/>
      <c r="L19" s="52"/>
      <c r="M19" s="52"/>
      <c r="N19" s="52"/>
      <c r="P19" s="53"/>
      <c r="Q19" s="53"/>
      <c r="R19" s="53"/>
      <c r="S19" s="53"/>
      <c r="T19" s="53"/>
      <c r="U19" s="53"/>
      <c r="V19" s="53"/>
      <c r="W19" s="53"/>
    </row>
    <row r="20">
      <c r="G20" s="52">
        <v>60</v>
      </c>
      <c r="H20" s="52">
        <v>80</v>
      </c>
    </row>
  </sheetData>
  <mergeCells count="3">
    <mergeCell ref="I1:R1"/>
    <mergeCell ref="B2:R2"/>
    <mergeCell ref="B1:F1"/>
  </mergeCells>
  <pageMargins left="0.75" right="0.75" top="1" bottom="1" header="0.5" footer="0.5"/>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0"/>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ad_row_n(ad_or_rng) - row number(s) of an address/range; single address -&gt; its row, range -&gt; a vertical array of rows, array -&gt; element-wise (ranges and non-addresses pass through unchanged)</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numeric address 66000045 -&gt; 66</t>
        </is>
      </c>
      <c r="D6" s="51">
        <v>66000045</v>
      </c>
      <c r="H6" s="52">
        <v>66</v>
      </c>
      <c r="L6" s="53" cm="1">
        <f t="array" ref="L6">ad_row_n(D6)</f>
        <v>0</v>
      </c>
      <c r="P6" s="54">
        <f>IF(L6=H6,"PASS","FAIL")</f>
      </c>
    </row>
    <row r="7" spans="1:19" x14ac:dyDescent="0.5">
      <c r="A7" s="55"/>
      <c r="B7" s="55"/>
      <c r="H7" s="52"/>
      <c r="L7" s="53"/>
    </row>
    <row r="8" spans="1:19" x14ac:dyDescent="0.5">
      <c r="A8" s="55"/>
      <c r="B8" s="55"/>
      <c r="H8" s="52"/>
      <c r="L8" s="53"/>
    </row>
    <row r="9">
      <c r="A9" s="83">
        <v>2</v>
      </c>
      <c r="B9" s="78" t="inlineStr">
        <is>
          <t xml:space="preserve">A1 string 'AA99' -&gt; 99</t>
        </is>
      </c>
      <c r="D9" s="51" t="inlineStr">
        <is>
          <t xml:space="preserve">AA99</t>
        </is>
      </c>
      <c r="H9" s="52">
        <v>99</v>
      </c>
      <c r="L9" s="53" cm="1">
        <f t="array" ref="L9">ad_row_n(D9)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range 'B8:D11' -&gt; vertical rows 8..11</t>
        </is>
      </c>
      <c r="D12" s="51" t="inlineStr">
        <is>
          <t xml:space="preserve">B8:D11</t>
        </is>
      </c>
      <c r="H12" s="52">
        <v>8</v>
      </c>
      <c r="L12" s="53" cm="1">
        <f t="array" ref="L12:L15">ad_row_n(D12)</f>
        <v>0</v>
      </c>
      <c r="P12" s="54" cm="1">
        <f t="array" ref="P12">IF(AND(H12:H15=L12:L15),"PASS","FAIL")</f>
        <v>0</v>
      </c>
    </row>
    <row r="13">
      <c r="H13" s="52">
        <v>9</v>
      </c>
    </row>
    <row r="14" spans="1:19" x14ac:dyDescent="0.5">
      <c r="A14" s="46"/>
      <c r="B14" s="47"/>
      <c r="D14" s="51"/>
      <c r="F14" s="51"/>
      <c r="H14" s="52">
        <v>10</v>
      </c>
      <c r="I14" s="52"/>
      <c r="J14" s="52"/>
      <c r="L14" s="53"/>
      <c r="M14" s="53"/>
      <c r="N14" s="53"/>
      <c r="P14" s="54"/>
    </row>
    <row r="15">
      <c r="H15" s="52">
        <v>11</v>
      </c>
    </row>
    <row r="18">
      <c r="A18" s="83">
        <v>4</v>
      </c>
      <c r="B18" s="78" t="inlineStr">
        <is>
          <t xml:space="preserve">array of addresses; range/text pass through</t>
        </is>
      </c>
      <c r="D18" s="51" t="inlineStr">
        <is>
          <t xml:space="preserve">A5</t>
        </is>
      </c>
      <c r="H18" s="52">
        <v>5</v>
      </c>
      <c r="L18" s="53" cm="1">
        <f t="array" ref="L18:L20">ad_row_n(D18:D20)</f>
        <v>0</v>
      </c>
      <c r="P18" s="54" cm="1">
        <f t="array" ref="P18">IF(AND(H18:H20=L18:L20),"PASS","FAIL")</f>
        <v>0</v>
      </c>
    </row>
    <row r="19">
      <c r="D19" s="51" t="inlineStr">
        <is>
          <t xml:space="preserve">C10</t>
        </is>
      </c>
      <c r="H19" s="52">
        <v>10</v>
      </c>
    </row>
    <row r="20">
      <c r="D20" s="51" t="inlineStr">
        <is>
          <t xml:space="preserve">B8:D9</t>
        </is>
      </c>
      <c r="H20" s="52" t="inlineStr">
        <is>
          <t xml:space="preserve">B8:D9</t>
        </is>
      </c>
    </row>
    <row r="23">
      <c r="A23" s="83">
        <v>5</v>
      </c>
      <c r="B23" s="78" t="inlineStr">
        <is>
          <t xml:space="preserve">non-address 'hello' -&gt; unchanged</t>
        </is>
      </c>
      <c r="D23" s="51" t="inlineStr">
        <is>
          <t xml:space="preserve">hello</t>
        </is>
      </c>
      <c r="H23" s="52" t="inlineStr">
        <is>
          <t xml:space="preserve">hello</t>
        </is>
      </c>
      <c r="L23" s="53" cm="1">
        <f t="array" ref="L23">ad_row_n(D23)</f>
        <v>0</v>
      </c>
      <c r="P23" s="54">
        <f>IF(L23=H23,"PASS","FAIL")</f>
      </c>
    </row>
  </sheetData>
  <mergeCells count="3">
    <mergeCell ref="I1:R1"/>
    <mergeCell ref="B2:R2"/>
    <mergeCell ref="B1:F1"/>
  </mergeCells>
  <pageMargins left="0.75" right="0.75" top="1" bottom="1" header="0.5" footer="0.5"/>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1"/>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ad_col_n(ad_or_rng) - column number(s) of an address/range; single address -&gt; its column, range -&gt; a horizontal array of columns, array -&gt; element-wise (ranges and non-addresses pass through unchanged)</t>
        </is>
      </c>
      <c r="P4" s="45">
        <f>COUNTIF(P6:P40,"PASS")&amp;" / 7 PASS"</f>
      </c>
    </row>
    <row r="5" spans="1:19" x14ac:dyDescent="0.5">
      <c r="A5" s="45" t="s">
        <v>7</v>
      </c>
      <c r="B5" s="45" t="s">
        <v>8</v>
      </c>
      <c r="D5" s="45" t="s">
        <v>9</v>
      </c>
      <c r="H5" s="48" t="s">
        <v>10</v>
      </c>
      <c r="L5" s="49" t="s">
        <v>11</v>
      </c>
      <c r="P5" s="50" t="s">
        <v>12</v>
      </c>
    </row>
    <row r="6" spans="1:19" x14ac:dyDescent="0.5">
      <c r="A6" s="83">
        <v>1</v>
      </c>
      <c r="B6" s="78" t="inlineStr">
        <is>
          <t xml:space="preserve">numeric address 66000045 -&gt; 45</t>
        </is>
      </c>
      <c r="D6" s="51">
        <v>66000045</v>
      </c>
      <c r="H6" s="52">
        <v>45</v>
      </c>
      <c r="L6" s="53" cm="1">
        <f t="array" ref="L6">ad_col_n(D6)</f>
        <v>0</v>
      </c>
      <c r="P6" s="54">
        <f>IF(L6=H6,"PASS","FAIL")</f>
      </c>
    </row>
    <row r="7" spans="1:19" x14ac:dyDescent="0.5">
      <c r="A7" s="55"/>
      <c r="B7" s="55"/>
      <c r="H7" s="52"/>
      <c r="L7" s="53"/>
    </row>
    <row r="8" spans="1:19" x14ac:dyDescent="0.5">
      <c r="A8" s="55"/>
      <c r="B8" s="55"/>
      <c r="H8" s="52"/>
      <c r="L8" s="53"/>
    </row>
    <row r="9">
      <c r="A9" s="83">
        <v>2</v>
      </c>
      <c r="B9" s="78" t="inlineStr">
        <is>
          <t xml:space="preserve">A1 string 'AA99' -&gt; 27</t>
        </is>
      </c>
      <c r="D9" s="51" t="inlineStr">
        <is>
          <t xml:space="preserve">AA99</t>
        </is>
      </c>
      <c r="H9" s="52">
        <v>27</v>
      </c>
      <c r="L9" s="53" cm="1">
        <f t="array" ref="L9">ad_col_n(D9)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range 'B8:D11' -&gt; horizontal cols 2..4</t>
        </is>
      </c>
      <c r="D12" s="51" t="inlineStr">
        <is>
          <t xml:space="preserve">B8:D11</t>
        </is>
      </c>
      <c r="H12" s="52">
        <v>2</v>
      </c>
      <c r="I12" s="52"/>
      <c r="J12" s="52"/>
      <c r="L12" s="53" cm="1">
        <f t="array" ref="L12:L14">ad_col_n(D12)</f>
        <v>0</v>
      </c>
      <c r="M12"/>
      <c r="N12"/>
      <c r="P12" s="54" cm="1">
        <f t="array" ref="P12">IF(AND(H12:H14=L12:L14),"PASS","FAIL")</f>
        <v>0</v>
      </c>
    </row>
    <row r="13">
      <c r="H13" s="52">
        <v>3</v>
      </c>
    </row>
    <row r="14" spans="1:19" x14ac:dyDescent="0.5">
      <c r="A14" s="46"/>
      <c r="B14" s="47"/>
      <c r="D14" s="51"/>
      <c r="F14" s="51"/>
      <c r="H14" s="52">
        <v>4</v>
      </c>
      <c r="I14" s="52"/>
      <c r="J14" s="52"/>
      <c r="L14" s="53"/>
      <c r="M14" s="53"/>
      <c r="N14" s="53"/>
      <c r="P14" s="54"/>
    </row>
    <row r="15">
      <c r="A15" s="83">
        <v>4</v>
      </c>
      <c r="B15" s="78" t="inlineStr">
        <is>
          <t xml:space="preserve">array of addresses; range/text pass through</t>
        </is>
      </c>
      <c r="D15" s="51" t="inlineStr">
        <is>
          <t xml:space="preserve">A5</t>
        </is>
      </c>
      <c r="H15" s="52">
        <v>1</v>
      </c>
      <c r="L15" s="53" cm="1">
        <f t="array" ref="L15:L17">ad_col_n(D15:D17)</f>
        <v>0</v>
      </c>
      <c r="P15" s="54" cm="1">
        <f t="array" ref="P15">IF(AND(H15:H17=L15:L17),"PASS","FAIL")</f>
        <v>0</v>
      </c>
    </row>
    <row r="16">
      <c r="D16" s="51" t="inlineStr">
        <is>
          <t xml:space="preserve">C10</t>
        </is>
      </c>
      <c r="H16" s="52">
        <v>3</v>
      </c>
    </row>
    <row r="17">
      <c r="D17" s="51" t="inlineStr">
        <is>
          <t xml:space="preserve">B8:D9</t>
        </is>
      </c>
      <c r="H17" s="52" t="inlineStr">
        <is>
          <t xml:space="preserve">B8:D9</t>
        </is>
      </c>
    </row>
    <row r="20">
      <c r="A20" s="83">
        <v>5</v>
      </c>
      <c r="B20" s="78" t="inlineStr">
        <is>
          <t xml:space="preserve">non-address 'hello' -&gt; unchanged</t>
        </is>
      </c>
      <c r="D20" s="51" t="inlineStr">
        <is>
          <t xml:space="preserve">hello</t>
        </is>
      </c>
      <c r="H20" s="52" t="inlineStr">
        <is>
          <t xml:space="preserve">hello</t>
        </is>
      </c>
      <c r="L20" s="53" cm="1">
        <f t="array" ref="L20">ad_col_n(D20)</f>
        <v>0</v>
      </c>
      <c r="P20" s="54">
        <f>IF(L20=H20,"PASS","FAIL")</f>
      </c>
    </row>
    <row r="23">
      <c r="A23" s="83">
        <v>6</v>
      </c>
      <c r="B23" s="78" t="inlineStr">
        <is>
          <t xml:space="preserve">column letter 'BDS' -&gt; 1475</t>
        </is>
      </c>
      <c r="D23" s="51" t="inlineStr">
        <is>
          <t xml:space="preserve">BDS</t>
        </is>
      </c>
      <c r="H23" s="52">
        <v>1475</v>
      </c>
      <c r="L23" s="53" cm="1">
        <f t="array" ref="L23">ad_col_n(D23)</f>
        <v>0</v>
      </c>
      <c r="P23" s="54">
        <f>IF(L23=H23,"PASS","FAIL")</f>
      </c>
    </row>
    <row r="26">
      <c r="A26" s="83">
        <v>7</v>
      </c>
      <c r="B26" s="78" t="inlineStr">
        <is>
          <t xml:space="preserve">array: column letters -&gt; nums, range unchanged</t>
        </is>
      </c>
      <c r="D26" s="51" t="inlineStr">
        <is>
          <t xml:space="preserve">BDS</t>
        </is>
      </c>
      <c r="H26" s="52">
        <v>1475</v>
      </c>
      <c r="L26" s="53" cm="1">
        <f t="array" ref="L26:L28">ad_col_n(D26:D28)</f>
        <v>0</v>
      </c>
      <c r="P26" s="54" cm="1">
        <f t="array" ref="P26">IF(AND(H26:H28=L26:L28),"PASS","FAIL")</f>
        <v>0</v>
      </c>
    </row>
    <row r="27">
      <c r="D27" s="51" t="inlineStr">
        <is>
          <t xml:space="preserve">XFD</t>
        </is>
      </c>
      <c r="H27" s="52">
        <v>16384</v>
      </c>
    </row>
    <row r="28">
      <c r="D28" s="51" t="inlineStr">
        <is>
          <t xml:space="preserve">B8:D9</t>
        </is>
      </c>
      <c r="H28" s="52" t="inlineStr">
        <is>
          <t xml:space="preserve">B8:D9</t>
        </is>
      </c>
    </row>
  </sheetData>
  <mergeCells count="3">
    <mergeCell ref="I1:R1"/>
    <mergeCell ref="B2:R2"/>
    <mergeCell ref="B1:F1"/>
  </mergeCells>
  <pageMargins left="0.75" right="0.75" top="1" bottom="1" header="0.5" footer="0.5"/>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2"/>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ad_col_let(col_n_or_ad) - column number 1..16384 OR an address -&gt; column letters (1475 -&gt; 'BDS', 66000045 -&gt; 'AS', 'AA99' -&gt; 'AA'); anything else unchanged; element-wise over an array</t>
        </is>
      </c>
      <c r="P4" s="45">
        <f>COUNTIF(P6:P40,"PASS")&amp;" / 8 PASS"</f>
      </c>
    </row>
    <row r="5" spans="1:19" x14ac:dyDescent="0.5">
      <c r="A5" s="45" t="s">
        <v>7</v>
      </c>
      <c r="B5" s="45" t="s">
        <v>8</v>
      </c>
      <c r="D5" s="45" t="s">
        <v>9</v>
      </c>
      <c r="H5" s="48" t="s">
        <v>10</v>
      </c>
      <c r="L5" s="49" t="s">
        <v>11</v>
      </c>
      <c r="P5" s="50" t="s">
        <v>12</v>
      </c>
    </row>
    <row r="6" spans="1:19" x14ac:dyDescent="0.5">
      <c r="A6" s="83">
        <v>1</v>
      </c>
      <c r="B6" s="78" t="inlineStr">
        <is>
          <t xml:space="preserve">1475 -&gt; 'BDS'</t>
        </is>
      </c>
      <c r="D6" s="51">
        <v>1475</v>
      </c>
      <c r="H6" s="52" t="inlineStr">
        <is>
          <t xml:space="preserve">BDS</t>
        </is>
      </c>
      <c r="L6" s="53" cm="1">
        <f t="array" ref="L6">ad_col_let(D6)</f>
        <v>0</v>
      </c>
      <c r="P6" s="54">
        <f>IF(L6=H6,"PASS","FAIL")</f>
      </c>
    </row>
    <row r="7" spans="1:19" x14ac:dyDescent="0.5">
      <c r="A7" s="55"/>
      <c r="B7" s="55"/>
      <c r="H7" s="52"/>
      <c r="L7" s="53"/>
    </row>
    <row r="8" spans="1:19" x14ac:dyDescent="0.5">
      <c r="A8" s="55"/>
      <c r="B8" s="55"/>
      <c r="H8" s="52"/>
      <c r="L8" s="53"/>
    </row>
    <row r="9">
      <c r="A9" s="83">
        <v>2</v>
      </c>
      <c r="B9" s="78" t="inlineStr">
        <is>
          <t xml:space="preserve">1 -&gt; 'A'</t>
        </is>
      </c>
      <c r="D9" s="51">
        <v>1</v>
      </c>
      <c r="H9" s="52" t="inlineStr">
        <is>
          <t xml:space="preserve">A</t>
        </is>
      </c>
      <c r="L9" s="53" cm="1">
        <f t="array" ref="L9">ad_col_let(D9)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16384 -&gt; 'XFD'</t>
        </is>
      </c>
      <c r="D12" s="51">
        <v>16384</v>
      </c>
      <c r="H12" s="52" t="inlineStr">
        <is>
          <t xml:space="preserve">XFD</t>
        </is>
      </c>
      <c r="L12" s="53" cm="1">
        <f t="array" ref="L12">ad_col_let(D12)</f>
        <v>0</v>
      </c>
      <c r="P12" s="54">
        <f>IF(L12=H12,"PASS","FAIL")</f>
      </c>
    </row>
    <row r="14" spans="1:19" x14ac:dyDescent="0.5">
      <c r="A14" s="46"/>
      <c r="B14" s="47"/>
      <c r="D14" s="51"/>
      <c r="F14" s="51"/>
      <c r="H14" s="52"/>
      <c r="I14" s="52"/>
      <c r="J14" s="52"/>
      <c r="L14" s="53"/>
      <c r="M14" s="53"/>
      <c r="N14" s="53"/>
      <c r="P14" s="54"/>
    </row>
    <row r="15">
      <c r="A15" s="83">
        <v>4</v>
      </c>
      <c r="B15" s="78" t="inlineStr">
        <is>
          <t xml:space="preserve">16385 (out of range) -&gt; unchanged</t>
        </is>
      </c>
      <c r="D15" s="51">
        <v>16385</v>
      </c>
      <c r="H15" s="52">
        <v>16385</v>
      </c>
      <c r="L15" s="53" cm="1">
        <f t="array" ref="L15">ad_col_let(D15)</f>
        <v>0</v>
      </c>
      <c r="P15" s="54">
        <f>IF(L15=H15,"PASS","FAIL")</f>
      </c>
    </row>
    <row r="18">
      <c r="A18" s="83">
        <v>5</v>
      </c>
      <c r="B18" s="78" t="inlineStr">
        <is>
          <t xml:space="preserve">array; text &amp; out-of-range pass through</t>
        </is>
      </c>
      <c r="D18" s="51">
        <v>1475</v>
      </c>
      <c r="H18" s="52" t="inlineStr">
        <is>
          <t xml:space="preserve">BDS</t>
        </is>
      </c>
      <c r="L18" s="53" cm="1">
        <f t="array" ref="L18:L21">ad_col_let(D18:D21)</f>
        <v>0</v>
      </c>
      <c r="P18" s="54" cm="1">
        <f t="array" ref="P18">IF(AND(H18:H21=L18:L21),"PASS","FAIL")</f>
        <v>0</v>
      </c>
    </row>
    <row r="19">
      <c r="D19" s="51">
        <v>1</v>
      </c>
      <c r="H19" s="52" t="inlineStr">
        <is>
          <t xml:space="preserve">A</t>
        </is>
      </c>
    </row>
    <row r="20">
      <c r="D20" s="51">
        <v>16385</v>
      </c>
      <c r="H20" s="52">
        <v>16385</v>
      </c>
    </row>
    <row r="21">
      <c r="D21" s="51" t="inlineStr">
        <is>
          <t xml:space="preserve">x</t>
        </is>
      </c>
      <c r="H21" s="52" t="inlineStr">
        <is>
          <t xml:space="preserve">x</t>
        </is>
      </c>
    </row>
    <row r="24">
      <c r="A24" s="83">
        <v>6</v>
      </c>
      <c r="B24" s="78" t="inlineStr">
        <is>
          <t xml:space="preserve">numeric address 66000045 -&gt; 'AS' (col 45)</t>
        </is>
      </c>
      <c r="D24" s="51">
        <v>66000045</v>
      </c>
      <c r="H24" s="52" t="inlineStr">
        <is>
          <t xml:space="preserve">AS</t>
        </is>
      </c>
      <c r="L24" s="53" cm="1">
        <f t="array" ref="L24">ad_col_let(D24)</f>
        <v>0</v>
      </c>
      <c r="P24" s="54">
        <f>IF(L24=H24,"PASS","FAIL")</f>
      </c>
    </row>
    <row r="27">
      <c r="A27" s="83">
        <v>7</v>
      </c>
      <c r="B27" s="78" t="inlineStr">
        <is>
          <t xml:space="preserve">A1 address 'AA99' -&gt; 'AA' (col 27)</t>
        </is>
      </c>
      <c r="D27" s="51" t="inlineStr">
        <is>
          <t xml:space="preserve">AA99</t>
        </is>
      </c>
      <c r="H27" s="52" t="inlineStr">
        <is>
          <t xml:space="preserve">AA</t>
        </is>
      </c>
      <c r="L27" s="53" cm="1">
        <f t="array" ref="L27">ad_col_let(D27)</f>
        <v>0</v>
      </c>
      <c r="P27" s="54">
        <f>IF(L27=H27,"PASS","FAIL")</f>
      </c>
    </row>
    <row r="30">
      <c r="A30" s="83">
        <v>8</v>
      </c>
      <c r="B30" s="78" t="inlineStr">
        <is>
          <t xml:space="preserve">array of addresses; range passes through</t>
        </is>
      </c>
      <c r="D30" s="51">
        <v>66000045</v>
      </c>
      <c r="H30" s="52" t="inlineStr">
        <is>
          <t xml:space="preserve">AS</t>
        </is>
      </c>
      <c r="L30" s="53" cm="1">
        <f t="array" ref="L30:L32">ad_col_let(D30:D32)</f>
        <v>0</v>
      </c>
      <c r="P30" s="54" cm="1">
        <f t="array" ref="P30">IF(AND(H30:H32=L30:L32),"PASS","FAIL")</f>
        <v>0</v>
      </c>
    </row>
    <row r="31">
      <c r="D31" s="51" t="inlineStr">
        <is>
          <t xml:space="preserve">AA99</t>
        </is>
      </c>
      <c r="H31" s="52" t="inlineStr">
        <is>
          <t xml:space="preserve">AA</t>
        </is>
      </c>
    </row>
    <row r="32">
      <c r="D32" s="51" t="inlineStr">
        <is>
          <t xml:space="preserve">B8:D9</t>
        </is>
      </c>
      <c r="H32" s="52" t="inlineStr">
        <is>
          <t xml:space="preserve">B8:D9</t>
        </is>
      </c>
    </row>
  </sheetData>
  <mergeCells count="3">
    <mergeCell ref="I1:R1"/>
    <mergeCell ref="B2:R2"/>
    <mergeCell ref="B1:F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86</vt:i4>
      </vt:variant>
    </vt:vector>
  </HeadingPairs>
  <TitlesOfParts>
    <vt:vector size="86" baseType="lpstr">
      <vt:lpstr>Prep</vt:lpstr>
      <vt:lpstr>Lamb</vt:lpstr>
      <vt:lpstr>lambda_tests</vt:lpstr>
      <vt:lpstr>vba_tests</vt:lpstr>
      <vt:lpstr>ad_to_cont</vt:lpstr>
      <vt:lpstr>ad_to_rc</vt:lpstr>
      <vt:lpstr>arrow</vt:lpstr>
      <vt:lpstr>arrow_move</vt:lpstr>
      <vt:lpstr>arrow_trip</vt:lpstr>
      <vt:lpstr>biggest</vt:lpstr>
      <vt:lpstr>clamp</vt:lpstr>
      <vt:lpstr>cont_to_ad</vt:lpstr>
      <vt:lpstr>count_substring</vt:lpstr>
      <vt:lpstr>ctotal</vt:lpstr>
      <vt:lpstr>cycles</vt:lpstr>
      <vt:lpstr>die_pips</vt:lpstr>
      <vt:lpstr>dist</vt:lpstr>
      <vt:lpstr>exists</vt:lpstr>
      <vt:lpstr>expand_rng</vt:lpstr>
      <vt:lpstr>freq_table</vt:lpstr>
      <vt:lpstr>ftd_maze_cost</vt:lpstr>
      <vt:lpstr>is_unique</vt:lpstr>
      <vt:lpstr>knight_moves</vt:lpstr>
      <vt:lpstr>label_lookup</vt:lpstr>
      <vt:lpstr>load_array</vt:lpstr>
      <vt:lpstr>make_change</vt:lpstr>
      <vt:lpstr>neighbors_count</vt:lpstr>
      <vt:lpstr>neighbors_list</vt:lpstr>
      <vt:lpstr>num_ad</vt:lpstr>
      <vt:lpstr>offset_letter</vt:lpstr>
      <vt:lpstr>only_letters</vt:lpstr>
      <vt:lpstr>only_numbers</vt:lpstr>
      <vt:lpstr>rc_to_ad</vt:lpstr>
      <vt:lpstr>rev</vt:lpstr>
      <vt:lpstr>rotate_arrow</vt:lpstr>
      <vt:lpstr>route_cost</vt:lpstr>
      <vt:lpstr>save_array</vt:lpstr>
      <vt:lpstr>scan2</vt:lpstr>
      <vt:lpstr>scan3</vt:lpstr>
      <vt:lpstr>selections</vt:lpstr>
      <vt:lpstr>set</vt:lpstr>
      <vt:lpstr>set_d</vt:lpstr>
      <vt:lpstr>set_i</vt:lpstr>
      <vt:lpstr>set_u</vt:lpstr>
      <vt:lpstr>shift_arr</vt:lpstr>
      <vt:lpstr>smallest</vt:lpstr>
      <vt:lpstr>str_ad</vt:lpstr>
      <vt:lpstr>str_rev</vt:lpstr>
      <vt:lpstr>str_to_arr</vt:lpstr>
      <vt:lpstr>textbetween</vt:lpstr>
      <vt:lpstr>transform_array</vt:lpstr>
      <vt:lpstr>update_arr</vt:lpstr>
      <vt:lpstr>xbyrow</vt:lpstr>
      <vt:lpstr>xcountif</vt:lpstr>
      <vt:lpstr>xdec2bin</vt:lpstr>
      <vt:lpstr>xfilter</vt:lpstr>
      <vt:lpstr>xmod</vt:lpstr>
      <vt:lpstr>xn</vt:lpstr>
      <vt:lpstr>xrank</vt:lpstr>
      <vt:lpstr>xsequence</vt:lpstr>
      <vt:lpstr>xtextsplit</vt:lpstr>
      <vt:lpstr>xtocol</vt:lpstr>
      <vt:lpstr>zz_bgc</vt:lpstr>
      <vt:lpstr>zz_ColNumToLetter</vt:lpstr>
      <vt:lpstr>zz_color</vt:lpstr>
      <vt:lpstr>zz_conv</vt:lpstr>
      <vt:lpstr>zz_errcells</vt:lpstr>
      <vt:lpstr>zz_exists</vt:lpstr>
      <vt:lpstr>zz_fillcolor</vt:lpstr>
      <vt:lpstr>zz_flood</vt:lpstr>
      <vt:lpstr>zz_freqcharsrc</vt:lpstr>
      <vt:lpstr>zz_freqsrc</vt:lpstr>
      <vt:lpstr>zz_fx1</vt:lpstr>
      <vt:lpstr>zz_fx2</vt:lpstr>
      <vt:lpstr>zz_is_lambda_test_sheet</vt:lpstr>
      <vt:lpstr>zz_lastused</vt:lpstr>
      <vt:lpstr>zz_lastused_empty</vt:lpstr>
      <vt:lpstr>zz_maze</vt:lpstr>
      <vt:lpstr>zz_retcol</vt:lpstr>
      <vt:lpstr>zz_SanitizeRow</vt:lpstr>
      <vt:lpstr>zz_select_sheets</vt:lpstr>
      <vt:lpstr>zz_sheet_names</vt:lpstr>
      <vt:lpstr>zz_tallsrc</vt:lpstr>
      <vt:lpstr>zz_tmsrc</vt:lpstr>
      <vt:lpstr>zz_UNICODE_SPLIT</vt:lpstr>
      <vt:lpstr>zz_yellow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Ashton</dc:creator>
  <cp:lastModifiedBy>Eric Ashton</cp:lastModifiedBy>
  <dcterms:created xsi:type="dcterms:W3CDTF">2025-07-05T14:40:08Z</dcterms:created>
  <dcterms:modified xsi:type="dcterms:W3CDTF">2026-08-08T18:34:02Z</dcterms:modified>
</cp:coreProperties>
</file>