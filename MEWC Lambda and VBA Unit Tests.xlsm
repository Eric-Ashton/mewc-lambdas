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prng" sheetId="108" r:id="rId103"/>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<sst xmlns="http://schemas.openxmlformats.org/spreadsheetml/2006/main" count="5826" uniqueCount="3671">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</sst>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 Id="rId103" Type="http://schemas.openxmlformats.org/officeDocument/2006/relationships/worksheet" Target="worksheets/sheet9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HYPERLINK("#'prng'!A1","prng")</f>
      </c>
      <c r="B37" s="48">
        <f>COUNTIF(prng!$A:$BZ,"PASS")</f>
      </c>
      <c r="C37" s="50">
        <f>COUNTIF(prng!$A:$BZ,"FAIL")</f>
      </c>
      <c r="D37" s="45">
        <f>B37+C37</f>
      </c>
      <c r="E37" s="45">
        <f>IF(C37&gt;0,"FAIL ("&amp;C37&amp;")",IF(D37=0,"-","all pass"))</f>
      </c>
    </row>
    <row r="38" spans="1:5" x14ac:dyDescent="0.5">
      <c r="A38" s="77">
        <f>HYPERLINK("#'rc_to_ad'!A1","rc_to_ad")</f>
      </c>
      <c r="B38" s="48">
        <f>COUNTIF(rc_to_ad!$A:$BZ,"PASS")</f>
      </c>
      <c r="C38" s="50">
        <f>COUNTIF(rc_to_ad!$A:$BZ,"FAIL")</f>
      </c>
      <c r="D38" s="45">
        <f>B38+C38</f>
      </c>
      <c r="E38" s="45">
        <f>IF(C38&gt;0,"FAIL ("&amp;C38&amp;")",IF(D38=0,"-","all pass"))</f>
      </c>
    </row>
    <row r="39" spans="1:5" x14ac:dyDescent="0.5">
      <c r="A39" s="77">
        <f>HYPERLINK("#'rev'!A1","rev")</f>
      </c>
      <c r="B39" s="48">
        <f>COUNTIF(rev!$A:$BZ,"PASS")</f>
      </c>
      <c r="C39" s="50">
        <f>COUNTIF(rev!$A:$BZ,"FAIL")</f>
      </c>
      <c r="D39" s="45">
        <f>B39+C39</f>
      </c>
      <c r="E39" s="45">
        <f>IF(C39&gt;0,"FAIL ("&amp;C39&amp;")",IF(D39=0,"-","all pass"))</f>
      </c>
    </row>
    <row r="40" spans="1:5" x14ac:dyDescent="0.5">
      <c r="A40" s="77">
        <f>HYPERLINK("#'rotate_arrow'!A1","rotate_arrow")</f>
      </c>
      <c r="B40" s="48">
        <f>COUNTIF(rotate_arrow!$A:$BZ,"PASS")</f>
      </c>
      <c r="C40" s="50">
        <f>COUNTIF(rotate_arrow!$A:$BZ,"FAIL")</f>
      </c>
      <c r="D40" s="45">
        <f>B40+C40</f>
      </c>
      <c r="E40" s="45">
        <f>IF(C40&gt;0,"FAIL ("&amp;C40&amp;")",IF(D40=0,"-","all pass"))</f>
      </c>
    </row>
    <row r="41" spans="1:5" x14ac:dyDescent="0.5">
      <c r="A41" s="77">
        <f>HYPERLINK("#'route_cost'!A1","route_cost")</f>
      </c>
      <c r="B41" s="48">
        <f>COUNTIF(route_cost!$A:$BZ,"PASS")</f>
      </c>
      <c r="C41" s="50">
        <f>COUNTIF(route_cost!$A:$BZ,"FAIL")</f>
      </c>
      <c r="D41" s="45">
        <f>B41+C41</f>
      </c>
      <c r="E41" s="45">
        <f>IF(C41&gt;0,"FAIL ("&amp;C41&amp;")",IF(D41=0,"-","all pass"))</f>
      </c>
    </row>
    <row r="42" spans="1:5" x14ac:dyDescent="0.5">
      <c r="A42" s="77">
        <f>HYPERLINK("#'save_array'!A1","save_array")</f>
      </c>
      <c r="B42" s="48">
        <f>COUNTIF(save_array!$A:$BZ,"PASS")</f>
      </c>
      <c r="C42" s="50">
        <f>COUNTIF(save_array!$A:$BZ,"FAIL")</f>
      </c>
      <c r="D42" s="45">
        <f>B42+C42</f>
      </c>
      <c r="E42" s="45">
        <f>IF(C42&gt;0,"FAIL ("&amp;C42&amp;")",IF(D42=0,"-","all pass"))</f>
      </c>
    </row>
    <row r="43" spans="1:5" x14ac:dyDescent="0.5">
      <c r="A43" s="77">
        <f>HYPERLINK("#'scan2'!A1","scan2")</f>
      </c>
      <c r="B43" s="48">
        <f>COUNTIF(scan2!$A:$BZ,"PASS")</f>
      </c>
      <c r="C43" s="50">
        <f>COUNTIF(scan2!$A:$BZ,"FAIL")</f>
      </c>
      <c r="D43" s="45">
        <f>B43+C43</f>
      </c>
      <c r="E43" s="45">
        <f>IF(C43&gt;0,"FAIL ("&amp;C43&amp;")",IF(D43=0,"-","all pass"))</f>
      </c>
    </row>
    <row r="44" spans="1:5" x14ac:dyDescent="0.5">
      <c r="A44" s="77">
        <f>HYPERLINK("#'scan3'!A1","scan3")</f>
      </c>
      <c r="B44" s="48">
        <f>COUNTIF(scan3!$A:$BZ,"PASS")</f>
      </c>
      <c r="C44" s="50">
        <f>COUNTIF(scan3!$A:$BZ,"FAIL")</f>
      </c>
      <c r="D44" s="45">
        <f>B44+C44</f>
      </c>
      <c r="E44" s="45">
        <f>IF(C44&gt;0,"FAIL ("&amp;C44&amp;")",IF(D44=0,"-","all pass"))</f>
      </c>
    </row>
    <row r="45" spans="1:5" x14ac:dyDescent="0.5">
      <c r="A45" s="77">
        <f>HYPERLINK("#'selections'!A1","selections")</f>
      </c>
      <c r="B45" s="48">
        <f>COUNTIF(selections!$A:$BZ,"PASS")</f>
      </c>
      <c r="C45" s="50">
        <f>COUNTIF(selections!$A:$BZ,"FAIL")</f>
      </c>
      <c r="D45" s="45">
        <f>B45+C45</f>
      </c>
      <c r="E45" s="45">
        <f>IF(C45&gt;0,"FAIL ("&amp;C45&amp;")",IF(D45=0,"-","all pass"))</f>
      </c>
    </row>
    <row r="46" spans="1:5" x14ac:dyDescent="0.5">
      <c r="A46" s="77">
        <f>HYPERLINK("#'set'!A1","set")</f>
      </c>
      <c r="B46" s="48">
        <f>COUNTIF(set!$A:$BZ,"PASS")</f>
      </c>
      <c r="C46" s="50">
        <f>COUNTIF(set!$A:$BZ,"FAIL")</f>
      </c>
      <c r="D46" s="45">
        <f>B46+C46</f>
      </c>
      <c r="E46" s="45">
        <f>IF(C46&gt;0,"FAIL ("&amp;C46&amp;")",IF(D46=0,"-","all pass"))</f>
      </c>
    </row>
    <row r="47" spans="1:5" x14ac:dyDescent="0.5">
      <c r="A47" s="77">
        <f>HYPERLINK("#'set_d'!A1","set_d")</f>
      </c>
      <c r="B47" s="48">
        <f>COUNTIF(set_d!$A:$BZ,"PASS")</f>
      </c>
      <c r="C47" s="50">
        <f>COUNTIF(set_d!$A:$BZ,"FAIL")</f>
      </c>
      <c r="D47" s="45">
        <f>B47+C47</f>
      </c>
      <c r="E47" s="45">
        <f>IF(C47&gt;0,"FAIL ("&amp;C47&amp;")",IF(D47=0,"-","all pass"))</f>
      </c>
    </row>
    <row r="48" spans="1:5" x14ac:dyDescent="0.5">
      <c r="A48" s="77">
        <f>HYPERLINK("#'set_i'!A1","set_i")</f>
      </c>
      <c r="B48" s="48">
        <f>COUNTIF(set_i!$A:$BZ,"PASS")</f>
      </c>
      <c r="C48" s="50">
        <f>COUNTIF(set_i!$A:$BZ,"FAIL")</f>
      </c>
      <c r="D48" s="45">
        <f>B48+C48</f>
      </c>
      <c r="E48" s="45">
        <f>IF(C48&gt;0,"FAIL ("&amp;C48&amp;")",IF(D48=0,"-","all pass"))</f>
      </c>
    </row>
    <row r="49" spans="1:5" x14ac:dyDescent="0.5">
      <c r="A49" s="77">
        <f>HYPERLINK("#'set_u'!A1","set_u")</f>
      </c>
      <c r="B49" s="48">
        <f>COUNTIF(set_u!$A:$BZ,"PASS")</f>
      </c>
      <c r="C49" s="50">
        <f>COUNTIF(set_u!$A:$BZ,"FAIL")</f>
      </c>
      <c r="D49" s="45">
        <f>B49+C49</f>
      </c>
      <c r="E49" s="45">
        <f>IF(C49&gt;0,"FAIL ("&amp;C49&amp;")",IF(D49=0,"-","all pass"))</f>
      </c>
    </row>
    <row r="50" spans="1:5" x14ac:dyDescent="0.5">
      <c r="A50" s="77">
        <f>HYPERLINK("#'shift_arr'!A1","shift_arr")</f>
      </c>
      <c r="B50" s="48">
        <f>COUNTIF(shift_arr!$A:$BZ,"PASS")</f>
      </c>
      <c r="C50" s="50">
        <f>COUNTIF(shift_arr!$A:$BZ,"FAIL")</f>
      </c>
      <c r="D50" s="45">
        <f>B50+C50</f>
      </c>
      <c r="E50" s="45">
        <f>IF(C50&gt;0,"FAIL ("&amp;C50&amp;")",IF(D50=0,"-","all pass"))</f>
      </c>
    </row>
    <row r="51" spans="1:5" x14ac:dyDescent="0.5">
      <c r="A51" s="77">
        <f>HYPERLINK("#'smallest'!A1","smallest")</f>
      </c>
      <c r="B51" s="48">
        <f>COUNTIF(smallest!$A:$BZ,"PASS")</f>
      </c>
      <c r="C51" s="50">
        <f>COUNTIF(smallest!$A:$BZ,"FAIL")</f>
      </c>
      <c r="D51" s="45">
        <f>B51+C51</f>
      </c>
      <c r="E51" s="45">
        <f>IF(C51&gt;0,"FAIL ("&amp;C51&amp;")",IF(D51=0,"-","all pass"))</f>
      </c>
    </row>
    <row r="52" spans="1:5" x14ac:dyDescent="0.5">
      <c r="A52" s="77">
        <f>HYPERLINK("#'str_ad'!A1","str_ad")</f>
      </c>
      <c r="B52" s="48">
        <f>COUNTIF(str_ad!$A:$BZ,"PASS")</f>
      </c>
      <c r="C52" s="50">
        <f>COUNTIF(str_ad!$A:$BZ,"FAIL")</f>
      </c>
      <c r="D52" s="45">
        <f>B52+C52</f>
      </c>
      <c r="E52" s="45">
        <f>IF(C52&gt;0,"FAIL ("&amp;C52&amp;")",IF(D52=0,"-","all pass"))</f>
      </c>
    </row>
    <row r="53" spans="1:5" x14ac:dyDescent="0.5">
      <c r="A53" s="77">
        <f>HYPERLINK("#'str_rev'!A1","str_rev")</f>
      </c>
      <c r="B53" s="48">
        <f>COUNTIF(str_rev!$A:$BZ,"PASS")</f>
      </c>
      <c r="C53" s="50">
        <f>COUNTIF(str_rev!$A:$BZ,"FAIL")</f>
      </c>
      <c r="D53" s="45">
        <f>B53+C53</f>
      </c>
      <c r="E53" s="45">
        <f>IF(C53&gt;0,"FAIL ("&amp;C53&amp;")",IF(D53=0,"-","all pass"))</f>
      </c>
    </row>
    <row r="54" spans="1:5" x14ac:dyDescent="0.5">
      <c r="A54" s="77">
        <f>HYPERLINK("#'str_to_arr'!A1","str_to_arr")</f>
      </c>
      <c r="B54" s="48">
        <f>COUNTIF(str_to_arr!$A:$BZ,"PASS")</f>
      </c>
      <c r="C54" s="50">
        <f>COUNTIF(str_to_arr!$A:$BZ,"FAIL")</f>
      </c>
      <c r="D54" s="45">
        <f>B54+C54</f>
      </c>
      <c r="E54" s="45">
        <f>IF(C54&gt;0,"FAIL ("&amp;C54&amp;")",IF(D54=0,"-","all pass"))</f>
      </c>
    </row>
    <row r="55" spans="1:5" x14ac:dyDescent="0.5">
      <c r="A55" s="77">
        <f>HYPERLINK("#'streak'!A1","streak")</f>
      </c>
      <c r="B55" s="48">
        <f>COUNTIF(streak!$A:$BZ,"PASS")</f>
      </c>
      <c r="C55" s="50">
        <f>COUNTIF(streak!$A:$BZ,"FAIL")</f>
      </c>
      <c r="D55" s="45">
        <f>B55+C55</f>
      </c>
      <c r="E55" s="45">
        <f>IF(C55&gt;0,"FAIL ("&amp;C55&amp;")",IF(D55=0,"-","all pass"))</f>
      </c>
    </row>
    <row r="56" spans="1:5" x14ac:dyDescent="0.5">
      <c r="A56" s="77">
        <f>HYPERLINK("#'textbetween'!A1","textbetween")</f>
      </c>
      <c r="B56" s="48">
        <f>COUNTIF(textbetween!$A:$BZ,"PASS")</f>
      </c>
      <c r="C56" s="50">
        <f>COUNTIF(textbetween!$A:$BZ,"FAIL")</f>
      </c>
      <c r="D56" s="45">
        <f>B56+C56</f>
      </c>
      <c r="E56" s="45">
        <f>IF(C56&gt;0,"FAIL ("&amp;C56&amp;")",IF(D56=0,"-","all pass"))</f>
      </c>
    </row>
    <row r="57" spans="1:5" x14ac:dyDescent="0.5">
      <c r="A57" s="77">
        <f>HYPERLINK("#'transform_array'!A1","transform_array")</f>
      </c>
      <c r="B57" s="48">
        <f>COUNTIF(transform_array!$A:$BZ,"PASS")</f>
      </c>
      <c r="C57" s="50">
        <f>COUNTIF(transform_array!$A:$BZ,"FAIL")</f>
      </c>
      <c r="D57" s="45">
        <f>B57+C57</f>
      </c>
      <c r="E57" s="45">
        <f>IF(C57&gt;0,"FAIL ("&amp;C57&amp;")",IF(D57=0,"-","all pass"))</f>
      </c>
    </row>
    <row r="58" spans="1:5" x14ac:dyDescent="0.5">
      <c r="A58" s="77">
        <f>HYPERLINK("#'update_arr'!A1","update_arr")</f>
      </c>
      <c r="B58" s="48">
        <f>COUNTIF(update_arr!$A:$BZ,"PASS")</f>
      </c>
      <c r="C58" s="50">
        <f>COUNTIF(update_arr!$A:$BZ,"FAIL")</f>
      </c>
      <c r="D58" s="45">
        <f>B58+C58</f>
      </c>
      <c r="E58" s="45">
        <f>IF(C58&gt;0,"FAIL ("&amp;C58&amp;")",IF(D58=0,"-","all pass"))</f>
      </c>
    </row>
    <row r="59" spans="1:5" x14ac:dyDescent="0.5">
      <c r="A59" s="77">
        <f>HYPERLINK("#'xbycol'!A1","xbycol")</f>
      </c>
      <c r="B59" s="48">
        <f>COUNTIF(xbycol!$A:$BZ,"PASS")</f>
      </c>
      <c r="C59" s="50">
        <f>COUNTIF(xbycol!$A:$BZ,"FAIL")</f>
      </c>
      <c r="D59" s="45">
        <f>B59+C59</f>
      </c>
      <c r="E59" s="45">
        <f>IF(C59&gt;0,"FAIL ("&amp;C59&amp;")",IF(D59=0,"-","all pass"))</f>
      </c>
    </row>
    <row r="60" spans="1:5" x14ac:dyDescent="0.5">
      <c r="A60" s="77">
        <f>HYPERLINK("#'xbyrow'!A1","xbyrow")</f>
      </c>
      <c r="B60" s="48">
        <f>COUNTIF(xbyrow!$A:$BZ,"PASS")</f>
      </c>
      <c r="C60" s="50">
        <f>COUNTIF(xbyrow!$A:$BZ,"FAIL")</f>
      </c>
      <c r="D60" s="45">
        <f>B60+C60</f>
      </c>
      <c r="E60" s="45">
        <f>IF(C60&gt;0,"FAIL ("&amp;C60&amp;")",IF(D60=0,"-","all pass"))</f>
      </c>
    </row>
    <row r="61" spans="1:5" x14ac:dyDescent="0.5">
      <c r="A61" s="77">
        <f>HYPERLINK("#'xcountif'!A1","xcountif")</f>
      </c>
      <c r="B61" s="48">
        <f>COUNTIF(xcountif!$A:$BZ,"PASS")</f>
      </c>
      <c r="C61" s="50">
        <f>COUNTIF(xcountif!$A:$BZ,"FAIL")</f>
      </c>
      <c r="D61" s="45">
        <f>B61+C61</f>
      </c>
      <c r="E61" s="45">
        <f>IF(C61&gt;0,"FAIL ("&amp;C61&amp;")",IF(D61=0,"-","all pass"))</f>
      </c>
    </row>
    <row r="62" spans="1:5" x14ac:dyDescent="0.5">
      <c r="A62" s="77">
        <f>HYPERLINK("#'xdec2bin'!A1","xdec2bin")</f>
      </c>
      <c r="B62" s="48">
        <f>COUNTIF(xdec2bin!$A:$BZ,"PASS")</f>
      </c>
      <c r="C62" s="50">
        <f>COUNTIF(xdec2bin!$A:$BZ,"FAIL")</f>
      </c>
      <c r="D62" s="45">
        <f>B62+C62</f>
      </c>
      <c r="E62" s="45">
        <f>IF(C62&gt;0,"FAIL ("&amp;C62&amp;")",IF(D62=0,"-","all pass"))</f>
      </c>
    </row>
    <row r="63" spans="1:5" x14ac:dyDescent="0.5">
      <c r="A63" s="77">
        <f>HYPERLINK("#'xfilter'!A1","xfilter")</f>
      </c>
      <c r="B63" s="48">
        <f>COUNTIF(xfilter!$A:$BZ,"PASS")</f>
      </c>
      <c r="C63" s="50">
        <f>COUNTIF(xfilter!$A:$BZ,"FAIL")</f>
      </c>
      <c r="D63" s="45">
        <f>B63+C63</f>
      </c>
      <c r="E63" s="45">
        <f>IF(C63&gt;0,"FAIL ("&amp;C63&amp;")",IF(D63=0,"-","all pass"))</f>
      </c>
    </row>
    <row r="64" spans="1:5" x14ac:dyDescent="0.5">
      <c r="A64" s="77">
        <f>HYPERLINK("#'xmod'!A1","xmod")</f>
      </c>
      <c r="B64" s="48">
        <f>COUNTIF(xmod!$A:$BZ,"PASS")</f>
      </c>
      <c r="C64" s="50">
        <f>COUNTIF(xmod!$A:$BZ,"FAIL")</f>
      </c>
      <c r="D64" s="45">
        <f>B64+C64</f>
      </c>
      <c r="E64" s="45">
        <f>IF(C64&gt;0,"FAIL ("&amp;C64&amp;")",IF(D64=0,"-","all pass"))</f>
      </c>
    </row>
    <row r="65" spans="2:5" x14ac:dyDescent="0.5">
      <c r="A65" s="77">
        <f>HYPERLINK("#'xn'!A1","xn")</f>
      </c>
      <c r="B65" s="48">
        <f>COUNTIF(xn!$A:$BZ,"PASS")</f>
      </c>
      <c r="C65" s="50">
        <f>COUNTIF(xn!$A:$BZ,"FAIL")</f>
      </c>
      <c r="D65" s="45">
        <f>B65+C65</f>
      </c>
      <c r="E65" s="45">
        <f>IF(C65&gt;0,"FAIL ("&amp;C65&amp;")",IF(D65=0,"-","all pass"))</f>
      </c>
    </row>
    <row r="66" spans="2:5" x14ac:dyDescent="0.5">
      <c r="A66" s="77">
        <f>HYPERLINK("#'xrank'!A1","xrank")</f>
      </c>
      <c r="B66" s="48">
        <f>COUNTIF(xrank!$A:$BZ,"PASS")</f>
      </c>
      <c r="C66" s="50">
        <f>COUNTIF(xrank!$A:$BZ,"FAIL")</f>
      </c>
      <c r="D66" s="45">
        <f>B66+C66</f>
      </c>
      <c r="E66" s="45">
        <f>IF(C66&gt;0,"FAIL ("&amp;C66&amp;")",IF(D66=0,"-","all pass"))</f>
      </c>
    </row>
    <row r="67">
      <c r="A67" s="77">
        <f>HYPERLINK("#'xsequence'!A1","xsequence")</f>
      </c>
      <c r="B67" s="48">
        <f>COUNTIF(xsequence!$A:$BZ,"PASS")</f>
      </c>
      <c r="C67" s="50">
        <f>COUNTIF(xsequence!$A:$BZ,"FAIL")</f>
      </c>
      <c r="D67" s="45">
        <f>B67+C67</f>
      </c>
      <c r="E67" s="45">
        <f>IF(C67&gt;0,"FAIL ("&amp;C67&amp;")",IF(D67=0,"-","all pass"))</f>
      </c>
    </row>
    <row r="68">
      <c r="A68" s="77">
        <f>HYPERLINK("#'xtextjoin'!A1","xtextjoin")</f>
      </c>
      <c r="B68" s="48">
        <f>COUNTIF(xtextjoin!$A:$BZ,"PASS")</f>
      </c>
      <c r="C68" s="50">
        <f>COUNTIF(xtextjoin!$A:$BZ,"FAIL")</f>
      </c>
      <c r="D68" s="45">
        <f>B68+C68</f>
      </c>
      <c r="E68" s="45">
        <f>IF(C68&gt;0,"FAIL ("&amp;C68&amp;")",IF(D68=0,"-","all pass"))</f>
      </c>
    </row>
    <row r="69">
      <c r="A69" s="77">
        <f>HYPERLINK("#'xtocol'!A1","xtocol")</f>
      </c>
      <c r="B69" s="48">
        <f>COUNTIF(xtocol!$A:$BZ,"PASS")</f>
      </c>
      <c r="C69" s="50">
        <f>COUNTIF(xtocol!$A:$BZ,"FAIL")</f>
      </c>
      <c r="D69" s="45">
        <f>B69+C69</f>
      </c>
      <c r="E69" s="45">
        <f>IF(C69&gt;0,"FAIL ("&amp;C69&amp;")",IF(D69=0,"-","all pass"))</f>
      </c>
    </row>
    <row r="70">
      <c r="A70" s="101" t="inlineStr">
        <is>
          <t xml:space="preserve">TOTAL</t>
        </is>
      </c>
      <c r="B70" s="48">
        <f>SUM(B5:B69)</f>
      </c>
      <c r="C70" s="50">
        <f>SUM(C5:C69)</f>
      </c>
      <c r="D70" s="45">
        <f>SUM(D5:D69)</f>
      </c>
      <c r="E70" s="45">
        <f>IF(C70&gt;0,C70&amp;" FAILING","ALL PASS")</f>
      </c>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13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17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row r="26">
      <c r="A26">
        <v>11</v>
      </c>
      <c r="B26" s="47" t="inlineStr">
        <is>
          <t xml:space="preserve">B2 up 5, board "A1:D4" as text in a cell (default oob)</t>
        </is>
      </c>
      <c r="D26" s="51" t="inlineStr">
        <is>
          <t xml:space="preserve">B2</t>
        </is>
      </c>
      <c r="F26" s="51" t="inlineStr">
        <is>
          <t xml:space="preserve">U</t>
        </is>
      </c>
      <c r="H26" s="51">
        <v>5</v>
      </c>
      <c r="J26" t="inlineStr">
        <is>
          <t xml:space="preserve">A1:D4</t>
        </is>
      </c>
      <c r="L26" s="52" t="inlineStr">
        <is>
          <t xml:space="preserve">oob;-3;2</t>
        </is>
      </c>
      <c r="N26" s="53" cm="1">
        <f t="array" ref="N26">arrow_move(D26,F26,H26,J26)</f>
        <v>0</v>
      </c>
      <c r="P26" s="54">
        <f>IF(N26=L26,"PASS","FAIL")</f>
      </c>
    </row>
    <row r="28">
      <c r="A28">
        <v>12</v>
      </c>
      <c r="B28" s="47" t="inlineStr">
        <is>
          <t xml:space="preserve">B2 right 5, literal "A1:D4", push 1 -&gt; D2</t>
        </is>
      </c>
      <c r="D28" s="51" t="inlineStr">
        <is>
          <t xml:space="preserve">B2</t>
        </is>
      </c>
      <c r="F28" s="51" t="inlineStr">
        <is>
          <t xml:space="preserve">R</t>
        </is>
      </c>
      <c r="H28" s="51">
        <v>5</v>
      </c>
      <c r="J28">
        <v>1</v>
      </c>
      <c r="L28" s="52">
        <v>2000004</v>
      </c>
      <c r="N28" s="53" cm="1">
        <f t="array" ref="N28">arrow_move(D28,F28,H28,"A1:D4",J28)</f>
        <v>0</v>
      </c>
      <c r="P28" s="54">
        <f>IF(N28=L28,"PASS","FAIL")</f>
      </c>
    </row>
    <row r="30">
      <c r="A30">
        <v>13</v>
      </c>
      <c r="B30" s="47" t="inlineStr">
        <is>
          <t xml:space="preserve">board "$D$4:$A$1" in a cell (reversed, $), push 1</t>
        </is>
      </c>
      <c r="D30" s="51" t="inlineStr">
        <is>
          <t xml:space="preserve">B2</t>
        </is>
      </c>
      <c r="F30" s="51" t="inlineStr">
        <is>
          <t xml:space="preserve">R</t>
        </is>
      </c>
      <c r="H30" s="51">
        <v>5</v>
      </c>
      <c r="J30" t="inlineStr">
        <is>
          <t xml:space="preserve">$D$4:$A$1</t>
        </is>
      </c>
      <c r="L30" s="52">
        <v>2000004</v>
      </c>
      <c r="N30" s="53" cm="1">
        <f t="array" ref="N30">arrow_move(D30,F30,H30,J30,1)</f>
        <v>0</v>
      </c>
      <c r="P30" s="54">
        <f>IF(N30=L30,"PASS","FAIL")</f>
      </c>
    </row>
    <row r="32">
      <c r="A32">
        <v>14</v>
      </c>
      <c r="B32" s="47" t="inlineStr">
        <is>
          <t xml:space="preserve">numeric range string "1000001:4000004", push 1</t>
        </is>
      </c>
      <c r="D32" s="51" t="inlineStr">
        <is>
          <t xml:space="preserve">B2</t>
        </is>
      </c>
      <c r="F32" s="51" t="inlineStr">
        <is>
          <t xml:space="preserve">R</t>
        </is>
      </c>
      <c r="H32" s="51">
        <v>5</v>
      </c>
      <c r="J32" t="inlineStr">
        <is>
          <t xml:space="preserve">1000001:4000004</t>
        </is>
      </c>
      <c r="L32" s="52">
        <v>2000004</v>
      </c>
      <c r="N32" s="53" cm="1">
        <f t="array" ref="N32">arrow_move(D32,F32,H32,J32,1)</f>
        <v>0</v>
      </c>
      <c r="P32" s="54">
        <f>IF(N32=L32,"PASS","FAIL")</f>
      </c>
    </row>
    <row r="34">
      <c r="A34">
        <v>15</v>
      </c>
      <c r="B34" s="47" t="inlineStr">
        <is>
          <t xml:space="preserve">range vs its string give the same result</t>
        </is>
      </c>
      <c r="D34" s="51" t="inlineStr">
        <is>
          <t xml:space="preserve">B2</t>
        </is>
      </c>
      <c r="F34" s="51" t="inlineStr">
        <is>
          <t xml:space="preserve">R</t>
        </is>
      </c>
      <c r="H34" s="51">
        <v>5</v>
      </c>
      <c r="L34" s="52" t="b">
        <v>1</v>
      </c>
      <c r="N34" s="53" cm="1">
        <f t="array" ref="N34">arrow_move(D34,F34,H34,$A$1:$D$4,1)=arrow_move(D34,F34,H34,"A1:D4",1)</f>
        <v>0</v>
      </c>
      <c r="P34" s="54">
        <f>IF(N34=L34,"PASS","FAIL")</f>
      </c>
    </row>
    <row r="36">
      <c r="A36">
        <v>16</v>
      </c>
      <c r="B36" s="47" t="inlineStr">
        <is>
          <t xml:space="preserve">literal text that is not a range ("hi") -&gt; #VALUE!</t>
        </is>
      </c>
      <c r="D36" s="51" t="inlineStr">
        <is>
          <t xml:space="preserve">B2</t>
        </is>
      </c>
      <c r="F36" s="51" t="inlineStr">
        <is>
          <t xml:space="preserve">R</t>
        </is>
      </c>
      <c r="H36" s="51">
        <v>5</v>
      </c>
      <c r="J36" t="inlineStr">
        <is>
          <t xml:space="preserve">"hi" (literal)</t>
        </is>
      </c>
      <c r="L36" s="52" t="inlineStr">
        <is>
          <t xml:space="preserve">#VALUE!</t>
        </is>
      </c>
      <c r="N36" s="53" cm="1">
        <f t="array" ref="N36">arrow_move(D36,F36,H36,"hi")</f>
        <v>0</v>
      </c>
      <c r="P36" s="54">
        <f>IF(ERROR.TYPE(N36)=3,"PASS","FAIL")</f>
      </c>
    </row>
    <row r="38">
      <c r="A38">
        <v>17</v>
      </c>
      <c r="B38" s="47" t="inlineStr">
        <is>
          <t xml:space="preserve">1-cell REFERENCE holding non-address text = that cell is the board (S1 right 1, push 1 stays)</t>
        </is>
      </c>
      <c r="D38" s="51" t="inlineStr">
        <is>
          <t xml:space="preserve">S1</t>
        </is>
      </c>
      <c r="F38" s="51" t="inlineStr">
        <is>
          <t xml:space="preserve">R</t>
        </is>
      </c>
      <c r="H38" s="51">
        <v>1</v>
      </c>
      <c r="L38" s="52">
        <v>1000019</v>
      </c>
      <c r="N38" s="53" cm="1">
        <f t="array" ref="N38">arrow_move(D38,F38,H38,$S$1,1)</f>
        <v>0</v>
      </c>
      <c r="P38" s="54">
        <f>IF(N38=L38,"PASS","FAIL")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expand_rng(ad_or_rng,[r_down],[c_right],[r_up],[c_left]) - grow (positive) or shrink (negative) an address/range; range string in the input's format, a single address when 1x1. Clamps at row 1 / col 1. Array input, non-integer, or 0 rows/cols -&gt; #VALUE!.</t>
        </is>
      </c>
      <c r="J4">
        <f>COUNTIF(J6:J40,"PASS")&amp;" / 15 PASS"</f>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single numeric, no grow -&gt; 3000004 (1x1 -&gt; single address, numeric form)</t>
        </is>
      </c>
      <c r="D14" s="51" t="s">
        <v>3520</v>
      </c>
      <c r="F14" s="52">
        <v>3000004</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shrink "B3" down 1 -&gt; 0 rows -&gt; #VALUE!</t>
        </is>
      </c>
      <c r="D18" s="51" t="inlineStr">
        <is>
          <t xml:space="preserve">shrink "B3" down 1</t>
        </is>
      </c>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shrink "B2:D6" bottom 2 -&gt; "B2:D4"</t>
        </is>
      </c>
      <c r="D20" s="51" t="inlineStr">
        <is>
          <t xml:space="preserve">shrink "B2:D6" -2 down</t>
        </is>
      </c>
      <c r="F20" s="51" t="inlineStr">
        <is>
          <t xml:space="preserve">B2:D4</t>
        </is>
      </c>
      <c r="H20" s="52" cm="1">
        <f t="array" ref="H20">expand_rng("B2:D6",-2)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shrink "B2:D6" top 1 + right 1 -&gt; "B3:C6"</t>
        </is>
      </c>
      <c r="D22" s="51" t="inlineStr">
        <is>
          <t xml:space="preserve">shrink 0,-1,-1,0</t>
        </is>
      </c>
      <c r="F22" s="51" t="inlineStr">
        <is>
          <t xml:space="preserve">B3:C6</t>
        </is>
      </c>
      <c r="H22" s="52" cm="1">
        <f t="array" ref="H22">expand_rng("B2:D6",0,-1,-1,0)</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shrink "B2:B3" bottom 1 -&gt; single address "B2" (no colon)</t>
        </is>
      </c>
      <c r="D24" s="51" t="inlineStr">
        <is>
          <t xml:space="preserve">shrink "B2:B3" -1 down</t>
        </is>
      </c>
      <c r="F24" s="51" t="inlineStr">
        <is>
          <t xml:space="preserve">B2</t>
        </is>
      </c>
      <c r="H24" s="52" cm="1">
        <f t="array" ref="H24">expand_rng("B2:B3",-1)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numeric "3000004:4000004" shrink bottom 1 -&gt; 3000004 (number)</t>
        </is>
      </c>
      <c r="D26" s="51" t="inlineStr">
        <is>
          <t xml:space="preserve">numeric shrink -1 down</t>
        </is>
      </c>
      <c r="F26" s="51">
        <v>3000004</v>
      </c>
      <c r="H26" s="52" cm="1">
        <f t="array" ref="H26">expand_rng("3000004:4000004",-1)</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shrink "B2:D6" bottom 5 -&gt; 0 rows -&gt; #VALUE!</t>
        </is>
      </c>
      <c r="D28" s="51" t="inlineStr">
        <is>
          <t xml:space="preserve">shrink -5 down</t>
        </is>
      </c>
      <c r="F28" s="51">
        <v>3</v>
      </c>
      <c r="H28" s="52" cm="1">
        <f t="array" ref="H28">ERROR.TYPE(expand_rng("B2:D6",-5))</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shrink "B2:D6" left 3 -&gt; 0 cols -&gt; #VALUE!</t>
        </is>
      </c>
      <c r="D30" s="51" t="inlineStr">
        <is>
          <t xml:space="preserve">shrink 0,0,0,-3</t>
        </is>
      </c>
      <c r="F30" s="51">
        <v>3</v>
      </c>
      <c r="H30" s="52" cm="1">
        <f t="array" ref="H30">ERROR.TYPE(expand_rng("B2:D6",0,0,0,-3))</f>
        <v>0</v>
      </c>
      <c r="I30" s="52"/>
      <c r="J30" s="52">
        <f>IF(H30=F30,"PASS","FAIL")</f>
      </c>
      <c r="L30" s="53"/>
      <c r="M30" s="53"/>
      <c r="N30" s="53"/>
      <c r="P30" s="54"/>
    </row>
    <row r="32">
      <c r="A32">
        <v>14</v>
      </c>
      <c r="B32" s="47" t="inlineStr">
        <is>
          <t xml:space="preserve">mixed grow/shrink "B2:D6" 1,-1,-1,1 -&gt; "A3:C7"</t>
        </is>
      </c>
      <c r="D32" s="51" t="inlineStr">
        <is>
          <t xml:space="preserve">mixed 1,-1,-1,1</t>
        </is>
      </c>
      <c r="F32" s="51" t="inlineStr">
        <is>
          <t xml:space="preserve">A3:C7</t>
        </is>
      </c>
      <c r="H32" s="52" cm="1">
        <f t="array" ref="H32">expand_rng("B2:D6",1,-1,-1,1)</f>
        <v>0</v>
      </c>
      <c r="J32" s="52">
        <f>IF(H32=F32,"PASS","FAIL")</f>
      </c>
    </row>
    <row r="34">
      <c r="A34">
        <v>15</v>
      </c>
      <c r="B34" s="47" t="inlineStr">
        <is>
          <t xml:space="preserve">non-integer arg 0.5 -&gt; #VALUE!</t>
        </is>
      </c>
      <c r="D34" s="51" t="inlineStr">
        <is>
          <t xml:space="preserve">grow "B3" 0.5</t>
        </is>
      </c>
      <c r="F34" s="51">
        <v>3</v>
      </c>
      <c r="H34" s="52" cm="1">
        <f t="array" ref="H34">ERROR.TYPE(expand_rng("B3",0.5))</f>
        <v>0</v>
      </c>
      <c r="J34" s="52">
        <f>IF(H34=F34,"PASS","FAIL")</f>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f>COUNTIF(L6:L70,"PASS")&amp;" / 13 PASS"</f>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row r="43">
      <c r="A43">
        <v>6</v>
      </c>
      <c r="B43" s="55" t="inlineStr">
        <is>
          <t xml:space="preserve">boundary as a RANGE reference $A$1:$B$2 (centre A1, size 1)</t>
        </is>
      </c>
      <c r="D43" t="inlineStr">
        <is>
          <t xml:space="preserve">A1</t>
        </is>
      </c>
      <c r="F43" t="inlineStr">
        <is>
          <t xml:space="preserve">(range)</t>
        </is>
      </c>
      <c r="H43" s="52" t="inlineStr">
        <is>
          <t xml:space="preserve">B1</t>
        </is>
      </c>
      <c r="J43" s="53" cm="1">
        <f t="array" ref="J43:J45">neighbors_list(D43,1,$A$1:$B$2)</f>
        <v>0</v>
      </c>
      <c r="L43" cm="1">
        <f t="array" ref="L43">IF(AND(H43:H45=J43:J45),"PASS","FAIL")</f>
        <v>0</v>
      </c>
    </row>
    <row r="44">
      <c r="H44" t="inlineStr">
        <is>
          <t xml:space="preserve">A2</t>
        </is>
      </c>
    </row>
    <row r="45">
      <c r="H45" t="inlineStr">
        <is>
          <t xml:space="preserve">B2</t>
        </is>
      </c>
    </row>
    <row r="47">
      <c r="A47">
        <v>7</v>
      </c>
      <c r="B47" t="inlineStr">
        <is>
          <t xml:space="preserve">same boundary as a literal STRING "A1:B2"</t>
        </is>
      </c>
      <c r="D47" t="inlineStr">
        <is>
          <t xml:space="preserve">A1</t>
        </is>
      </c>
      <c r="F47" t="inlineStr">
        <is>
          <t xml:space="preserve">"A1:B2" (literal)</t>
        </is>
      </c>
      <c r="H47" t="inlineStr">
        <is>
          <t xml:space="preserve">B1</t>
        </is>
      </c>
      <c r="J47" cm="1">
        <f t="array" ref="J47:J49">neighbors_list(D47,1,"A1:B2")</f>
        <v>0</v>
      </c>
      <c r="L47" cm="1">
        <f t="array" ref="L47">IF(AND(H47:H49=J47:J49),"PASS","FAIL")</f>
        <v>0</v>
      </c>
    </row>
    <row r="48">
      <c r="H48" t="inlineStr">
        <is>
          <t xml:space="preserve">A2</t>
        </is>
      </c>
    </row>
    <row r="49">
      <c r="H49" t="inlineStr">
        <is>
          <t xml:space="preserve">B2</t>
        </is>
      </c>
    </row>
    <row r="51">
      <c r="A51">
        <v>8</v>
      </c>
      <c r="B51" t="inlineStr">
        <is>
          <t xml:space="preserve">range string in a CELL, with $ and reversed</t>
        </is>
      </c>
      <c r="D51" t="inlineStr">
        <is>
          <t xml:space="preserve">A1</t>
        </is>
      </c>
      <c r="F51" t="inlineStr">
        <is>
          <t xml:space="preserve">$B$2:$A$1</t>
        </is>
      </c>
      <c r="H51" t="inlineStr">
        <is>
          <t xml:space="preserve">B1</t>
        </is>
      </c>
      <c r="J51" cm="1">
        <f t="array" ref="J51:J53">neighbors_list(D51,1,F51)</f>
        <v>0</v>
      </c>
      <c r="L51" cm="1">
        <f t="array" ref="L51">IF(AND(H51:H53=J51:J53),"PASS","FAIL")</f>
        <v>0</v>
      </c>
    </row>
    <row r="52">
      <c r="H52" t="inlineStr">
        <is>
          <t xml:space="preserve">A2</t>
        </is>
      </c>
    </row>
    <row r="53">
      <c r="H53" t="inlineStr">
        <is>
          <t xml:space="preserve">B2</t>
        </is>
      </c>
    </row>
    <row r="55">
      <c r="A55">
        <v>9</v>
      </c>
      <c r="B55" t="inlineStr">
        <is>
          <t xml:space="preserve">numeric range string in a cell</t>
        </is>
      </c>
      <c r="D55" t="inlineStr">
        <is>
          <t xml:space="preserve">A1</t>
        </is>
      </c>
      <c r="F55" t="inlineStr">
        <is>
          <t xml:space="preserve">1000001:2000002</t>
        </is>
      </c>
      <c r="H55" t="inlineStr">
        <is>
          <t xml:space="preserve">B1</t>
        </is>
      </c>
      <c r="J55" cm="1">
        <f t="array" ref="J55:J57">neighbors_list(D55,1,F55)</f>
        <v>0</v>
      </c>
      <c r="L55" cm="1">
        <f t="array" ref="L55">IF(AND(H55:H57=J55:J57),"PASS","FAIL")</f>
        <v>0</v>
      </c>
    </row>
    <row r="56">
      <c r="H56" t="inlineStr">
        <is>
          <t xml:space="preserve">A2</t>
        </is>
      </c>
    </row>
    <row r="57">
      <c r="H57" t="inlineStr">
        <is>
          <t xml:space="preserve">B2</t>
        </is>
      </c>
    </row>
    <row r="59">
      <c r="A59">
        <v>10</v>
      </c>
      <c r="B59" t="inlineStr">
        <is>
          <t xml:space="preserve">range vs its string give identical lists (B2 in A1:C3)</t>
        </is>
      </c>
      <c r="D59" t="inlineStr">
        <is>
          <t xml:space="preserve">B2</t>
        </is>
      </c>
      <c r="F59" t="inlineStr">
        <is>
          <t xml:space="preserve">A1:C3</t>
        </is>
      </c>
      <c r="H59" t="b">
        <v>1</v>
      </c>
      <c r="J59" cm="1">
        <f t="array" ref="J59">AND(neighbors_list(D59,1,$A$1:$C$3)=neighbors_list(D59,1,F59))</f>
        <v>0</v>
      </c>
      <c r="L59">
        <f>IF(J59=H59,"PASS","FAIL")</f>
      </c>
    </row>
    <row r="61">
      <c r="A61">
        <v>11</v>
      </c>
      <c r="B61" t="inlineStr">
        <is>
          <t xml:space="preserve">literal text that is not a range ("hi") -&gt; #N/A</t>
        </is>
      </c>
      <c r="D61" t="inlineStr">
        <is>
          <t xml:space="preserve">A1</t>
        </is>
      </c>
      <c r="F61" t="inlineStr">
        <is>
          <t xml:space="preserve">"hi" (literal)</t>
        </is>
      </c>
      <c r="H61" t="inlineStr">
        <is>
          <t xml:space="preserve">#N/A</t>
        </is>
      </c>
      <c r="J61" cm="1">
        <f t="array" ref="J61">neighbors_list(D61,1,"hi")</f>
        <v>0</v>
      </c>
      <c r="L61">
        <f>IF(ISNA(J61),"PASS","FAIL")</f>
      </c>
    </row>
    <row r="63">
      <c r="A63">
        <v>12</v>
      </c>
      <c r="B63" t="inlineStr">
        <is>
          <t xml:space="preserve">1-cell REFERENCE holding non-address text = that cell is the boundary (centre R1, boundary $S$1)</t>
        </is>
      </c>
      <c r="D63" t="inlineStr">
        <is>
          <t xml:space="preserve">R1</t>
        </is>
      </c>
      <c r="F63" t="inlineStr">
        <is>
          <t xml:space="preserve">(range $S$1)</t>
        </is>
      </c>
      <c r="H63" t="inlineStr">
        <is>
          <t xml:space="preserve">S1</t>
        </is>
      </c>
      <c r="J63" cm="1">
        <f t="array" ref="J63">neighbors_list(D63,1,$S$1)</f>
        <v>0</v>
      </c>
      <c r="L63">
        <f>IF(J63=H63,"PASS","FAIL")</f>
      </c>
    </row>
    <row r="65">
      <c r="A65">
        <v>13</v>
      </c>
      <c r="B65" t="inlineStr">
        <is>
          <t xml:space="preserve">boundary that excludes every neighbour (A1 in D4:E5) -&gt; #N/A (was #CALC!)</t>
        </is>
      </c>
      <c r="D65" t="inlineStr">
        <is>
          <t xml:space="preserve">A1</t>
        </is>
      </c>
      <c r="F65" t="inlineStr">
        <is>
          <t xml:space="preserve">D4:E5</t>
        </is>
      </c>
      <c r="H65" t="inlineStr">
        <is>
          <t xml:space="preserve">#N/A</t>
        </is>
      </c>
      <c r="J65" cm="1">
        <f t="array" ref="J65">neighbors_list(D65,1,F65)</f>
        <v>0</v>
      </c>
      <c r="L65">
        <f>IF(ISNA(J65),"PASS","FAIL")</f>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9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row r="41">
      <c r="A41">
        <v>8</v>
      </c>
      <c r="B41" t="inlineStr">
        <is>
          <t xml:space="preserve">1-row array: 1x1 FALSE mask drops it (was returned unfiltered)</t>
        </is>
      </c>
      <c r="D41">
        <v>5</v>
      </c>
      <c r="H41" s="51">
        <v>0</v>
      </c>
      <c r="R41" cm="1">
        <f t="array" ref="R41">xfilter(D41,H41)</f>
        <v>0</v>
      </c>
      <c r="V41">
        <f>IF(R41="","PASS","FAIL")</f>
      </c>
    </row>
    <row r="43">
      <c r="A43">
        <v>9</v>
      </c>
      <c r="B43" t="inlineStr">
        <is>
          <t xml:space="preserve">1-row array: 1x1 TRUE mask keeps it</t>
        </is>
      </c>
      <c r="D43">
        <v>5</v>
      </c>
      <c r="H43" s="51">
        <v>1</v>
      </c>
      <c r="N43">
        <v>5</v>
      </c>
      <c r="R43" cm="1">
        <f t="array" ref="R43">xfilter(D43,H43)</f>
        <v>0</v>
      </c>
      <c r="V43">
        <f>IF(R43=N43,"PASS","FAIL")</f>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43"/>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inlineStr">
        <is>
          <t xml:space="preserve">prng(seed, [lo], [hi], [n]) - deterministic, non-volatile pseudorandom integers lo..hi (vectorised splitmix/lowbias32 hash)</t>
        </is>
      </c>
      <c r="R4" s="45" cm="1">
        <f t="array" ref="R4">COUNTIF(R6:R60,"PASS")&amp;" / 12 PASS"</f>
        <v>0</v>
      </c>
    </row>
    <row r="5" spans="1:19" x14ac:dyDescent="0.5">
      <c r="A5" s="45" t="inlineStr">
        <is>
          <t xml:space="preserve">#</t>
        </is>
      </c>
      <c r="B5" s="45" t="inlineStr">
        <is>
          <t xml:space="preserve">Case</t>
        </is>
      </c>
      <c r="D5" s="45" t="inlineStr">
        <is>
          <t xml:space="preserve">Inputs (seed, lo, hi, n)</t>
        </is>
      </c>
      <c r="N5" s="48" t="inlineStr">
        <is>
          <t xml:space="preserve">Expected</t>
        </is>
      </c>
      <c r="P5" s="49" t="inlineStr">
        <is>
          <t xml:space="preserve">Actual</t>
        </is>
      </c>
      <c r="R5" s="50" t="inlineStr">
        <is>
          <t xml:space="preserve">Match</t>
        </is>
      </c>
    </row>
    <row r="6" spans="1:19" x14ac:dyDescent="0.5">
      <c r="A6" s="46">
        <v>1</v>
      </c>
      <c r="B6" s="47" t="inlineStr">
        <is>
          <t xml:space="preserve">seed 7: ten dice (bit-exact reference values)</t>
        </is>
      </c>
      <c r="D6" s="51">
        <v>7</v>
      </c>
      <c r="F6" s="51">
        <v>1</v>
      </c>
      <c r="H6">
        <v>6</v>
      </c>
      <c r="J6">
        <v>10</v>
      </c>
      <c r="N6" s="52">
        <v>2</v>
      </c>
      <c r="P6" s="53" cm="1">
        <f t="array" ref="P6:P15">prng(D6,F6,H6,J6)</f>
        <v>0</v>
      </c>
      <c r="R6" s="54" cm="1">
        <f t="array" ref="R6">IF(AND(N6:N15=P6:P15),"PASS","FAIL")</f>
        <v>0</v>
      </c>
    </row>
    <row r="7" spans="1:19" x14ac:dyDescent="0.5">
      <c r="A7" s="55"/>
      <c r="B7" s="55"/>
      <c r="N7" s="52">
        <v>2</v>
      </c>
      <c r="P7" s="53"/>
    </row>
    <row r="8" spans="1:19" x14ac:dyDescent="0.5">
      <c r="A8" s="55"/>
      <c r="B8" s="55"/>
      <c r="N8" s="52">
        <v>5</v>
      </c>
      <c r="P8" s="53"/>
    </row>
    <row r="9" spans="1:19" x14ac:dyDescent="0.5">
      <c r="A9" s="55"/>
      <c r="B9" s="55"/>
      <c r="N9" s="52">
        <v>4</v>
      </c>
      <c r="P9" s="53"/>
    </row>
    <row r="10" spans="1:19" x14ac:dyDescent="0.5">
      <c r="A10" s="55"/>
      <c r="B10" s="55"/>
      <c r="N10" s="52">
        <v>1</v>
      </c>
      <c r="P10" s="53"/>
    </row>
    <row r="11">
      <c r="N11">
        <v>3</v>
      </c>
    </row>
    <row r="12" spans="1:19" x14ac:dyDescent="0.5">
      <c r="A12" s="46"/>
      <c r="B12" s="47"/>
      <c r="D12" s="51"/>
      <c r="F12" s="51"/>
      <c r="H12" s="51"/>
      <c r="N12" s="52">
        <v>2</v>
      </c>
      <c r="P12" s="53"/>
      <c r="R12" s="54"/>
    </row>
    <row r="13" spans="1:19" x14ac:dyDescent="0.5">
      <c r="A13" s="55"/>
      <c r="B13" s="55"/>
      <c r="N13" s="52">
        <v>1</v>
      </c>
      <c r="P13" s="53"/>
    </row>
    <row r="14" spans="1:19" x14ac:dyDescent="0.5">
      <c r="A14" s="55"/>
      <c r="B14" s="55"/>
      <c r="N14" s="52">
        <v>2</v>
      </c>
      <c r="P14" s="53"/>
    </row>
    <row r="15">
      <c r="N15">
        <v>1</v>
      </c>
    </row>
    <row r="16" spans="1:19" x14ac:dyDescent="0.5">
      <c r="A16" s="46"/>
      <c r="B16" s="47"/>
      <c r="D16" s="51"/>
      <c r="F16" s="51"/>
      <c r="H16" s="51"/>
      <c r="J16" s="51"/>
      <c r="N16" s="52"/>
      <c r="P16" s="53"/>
      <c r="R16" s="54"/>
    </row>
    <row r="17" spans="1:18" x14ac:dyDescent="0.5">
      <c r="A17" s="55">
        <v>2</v>
      </c>
      <c r="B17" s="55" t="inlineStr">
        <is>
          <t xml:space="preserve">defaults: prng(seed) -&gt; one value in 0..100</t>
        </is>
      </c>
      <c r="D17" s="51">
        <v>7</v>
      </c>
      <c r="N17" s="52">
        <v>75</v>
      </c>
      <c r="P17" s="53" cm="1">
        <f t="array" ref="P17">prng(D17)</f>
        <v>0</v>
      </c>
      <c r="R17" s="54">
        <f>IF(P17=N17,"PASS","FAIL")</f>
      </c>
    </row>
    <row r="18" spans="1:18" x14ac:dyDescent="0.5">
      <c r="A18" s="55"/>
      <c r="B18" s="55"/>
      <c r="N18" s="52"/>
      <c r="P18" s="53"/>
    </row>
    <row r="19" spans="1:18" x14ac:dyDescent="0.5">
      <c r="A19" s="55">
        <v>3</v>
      </c>
      <c r="B19" s="55" t="inlineStr">
        <is>
          <t xml:space="preserve">negative seed</t>
        </is>
      </c>
      <c r="D19">
        <v>-3</v>
      </c>
      <c r="F19">
        <v>0</v>
      </c>
      <c r="H19">
        <v>100</v>
      </c>
      <c r="J19">
        <v>5</v>
      </c>
      <c r="N19" s="52">
        <v>73</v>
      </c>
      <c r="P19" s="53" cm="1">
        <f t="array" ref="P19:P23">prng(D19,F19,H19,J19)</f>
        <v>0</v>
      </c>
      <c r="R19" cm="1">
        <f t="array" ref="R19">IF(AND(N19:N23=P19:P23),"PASS","FAIL")</f>
        <v>0</v>
      </c>
    </row>
    <row r="20" spans="1:18" x14ac:dyDescent="0.5">
      <c r="A20" s="55"/>
      <c r="B20" s="55"/>
      <c r="N20" s="52">
        <v>61</v>
      </c>
      <c r="P20" s="53"/>
    </row>
    <row r="21" spans="1:18" x14ac:dyDescent="0.5">
      <c r="A21" s="55"/>
      <c r="B21" s="55"/>
      <c r="N21" s="52">
        <v>65</v>
      </c>
      <c r="P21" s="53"/>
    </row>
    <row r="22">
      <c r="N22">
        <v>91</v>
      </c>
    </row>
    <row r="23" spans="1:18" x14ac:dyDescent="0.5">
      <c r="A23" s="46"/>
      <c r="B23" s="47"/>
      <c r="D23" s="51"/>
      <c r="F23" s="51"/>
      <c r="H23" s="51"/>
      <c r="J23" s="51"/>
      <c r="L23" s="51"/>
      <c r="N23" s="52">
        <v>63</v>
      </c>
      <c r="P23" s="53"/>
      <c r="R23" s="54"/>
    </row>
    <row r="24" spans="1:18" x14ac:dyDescent="0.5">
      <c r="A24" s="55"/>
      <c r="B24" s="55"/>
      <c r="N24" s="52"/>
      <c r="P24" s="53"/>
    </row>
    <row r="25" spans="1:18" x14ac:dyDescent="0.5">
      <c r="A25" s="55">
        <v>4</v>
      </c>
      <c r="B25" s="55" t="inlineStr">
        <is>
          <t xml:space="preserve">lo &gt; hi are swapped; 11-digit seed</t>
        </is>
      </c>
      <c r="D25">
        <v>12345678901</v>
      </c>
      <c r="F25">
        <v>10</v>
      </c>
      <c r="H25">
        <v>1</v>
      </c>
      <c r="J25">
        <v>4</v>
      </c>
      <c r="N25" s="52">
        <v>4</v>
      </c>
      <c r="P25" s="53" cm="1">
        <f t="array" ref="P25:P28">prng(D25,F25,H25,J25)</f>
        <v>0</v>
      </c>
      <c r="R25" cm="1">
        <f t="array" ref="R25">IF(AND(N25:N28=P25:P28),"PASS","FAIL")</f>
        <v>0</v>
      </c>
    </row>
    <row r="26" spans="1:18" x14ac:dyDescent="0.5">
      <c r="A26" s="55"/>
      <c r="B26" s="55"/>
      <c r="N26" s="52">
        <v>3</v>
      </c>
      <c r="P26" s="53"/>
    </row>
    <row r="27" spans="1:18" x14ac:dyDescent="0.5">
      <c r="A27" s="55"/>
      <c r="B27" s="55"/>
      <c r="N27" s="52">
        <v>6</v>
      </c>
      <c r="P27" s="53"/>
    </row>
    <row r="28" spans="1:18" x14ac:dyDescent="0.5">
      <c r="A28" s="55"/>
      <c r="B28" s="55"/>
      <c r="N28" s="52">
        <v>4</v>
      </c>
      <c r="P28" s="53"/>
    </row>
    <row r="30" spans="1:18" x14ac:dyDescent="0.5">
      <c r="A30" s="46">
        <v>5</v>
      </c>
      <c r="B30" s="47" t="inlineStr">
        <is>
          <t xml:space="preserve">non-integer arguments are truncated (INT)</t>
        </is>
      </c>
      <c r="D30" s="51">
        <v>7.9</v>
      </c>
      <c r="F30" s="51">
        <v>1.2</v>
      </c>
      <c r="H30">
        <v>6.7</v>
      </c>
      <c r="J30">
        <v>2.5</v>
      </c>
      <c r="N30" s="52">
        <v>2</v>
      </c>
      <c r="P30" s="53" cm="1">
        <f t="array" ref="P30:P31">prng(D30,F30,H30,J30)</f>
        <v>0</v>
      </c>
      <c r="R30" s="54" cm="1">
        <f t="array" ref="R30">IF(AND(N30:N31=P30:P31),"PASS","FAIL")</f>
        <v>0</v>
      </c>
    </row>
    <row r="31" spans="1:18" x14ac:dyDescent="0.5">
      <c r="A31" s="55"/>
      <c r="B31" s="55"/>
      <c r="N31" s="52">
        <v>2</v>
      </c>
      <c r="P31" s="53"/>
    </row>
    <row r="32" spans="1:18" x14ac:dyDescent="0.5">
      <c r="A32" s="55"/>
      <c r="B32" s="55"/>
      <c r="N32" s="52"/>
      <c r="P32" s="53"/>
    </row>
    <row r="33" spans="1:18" x14ac:dyDescent="0.5">
      <c r="A33" s="55">
        <v>6</v>
      </c>
      <c r="B33" s="55" t="inlineStr">
        <is>
          <t xml:space="preserve">n rows x 1 col; every value an integer within lo..hi</t>
        </is>
      </c>
      <c r="D33">
        <v>3</v>
      </c>
      <c r="F33">
        <v>10</v>
      </c>
      <c r="H33">
        <v>20</v>
      </c>
      <c r="J33">
        <v>1000</v>
      </c>
      <c r="N33" s="52" t="b">
        <v>1</v>
      </c>
      <c r="P33" s="53" cm="1">
        <f t="array" ref="P33">AND(ROWS(prng(D33,F33,H33,J33))=J33,COLUMNS(prng(D33,F33,H33,J33))=1,MIN(prng(D33,F33,H33,J33))=F33,MAX(prng(D33,F33,H33,J33))=H33,SUM(--(INT(prng(D33,F33,H33,J33))&lt;&gt;prng(D33,F33,H33,J33)))=0)</f>
        <v>0</v>
      </c>
      <c r="R33">
        <f>IF(P33=N33,"PASS","FAIL")</f>
      </c>
    </row>
    <row r="34" spans="1:18" x14ac:dyDescent="0.5">
      <c r="A34" s="55"/>
      <c r="B34" s="55"/>
      <c r="N34" s="52"/>
      <c r="P34" s="53"/>
    </row>
    <row r="35">
      <c r="A35">
        <v>7</v>
      </c>
      <c r="B35" s="55" t="inlineStr">
        <is>
          <t xml:space="preserve">uniform: 60,000 dice, count per face (~10,000 each; exact = regression anchor)</t>
        </is>
      </c>
      <c r="D35">
        <v>42</v>
      </c>
      <c r="F35">
        <v>1</v>
      </c>
      <c r="H35">
        <v>6</v>
      </c>
      <c r="J35">
        <v>60000</v>
      </c>
      <c r="L35">
        <v>1</v>
      </c>
      <c r="N35" s="52">
        <v>10118</v>
      </c>
      <c r="P35" s="53" cm="1">
        <f t="array" ref="P35">SUM(--(prng($D$35,$F$35,$H$35,$J$35)=L35))</f>
        <v>0</v>
      </c>
      <c r="R35" cm="1">
        <f t="array" ref="R35">IF(AND(N35:N40=P35:P40),"PASS","FAIL")</f>
        <v>0</v>
      </c>
    </row>
    <row r="36" spans="1:18" x14ac:dyDescent="0.5">
      <c r="A36" s="46"/>
      <c r="B36" s="47"/>
      <c r="D36" s="51"/>
      <c r="F36" s="51"/>
      <c r="L36">
        <v>2</v>
      </c>
      <c r="N36" s="52">
        <v>10120</v>
      </c>
      <c r="P36" s="53" cm="1">
        <f t="array" ref="P36">SUM(--(prng($D$35,$F$35,$H$35,$J$35)=L36))</f>
        <v>0</v>
      </c>
      <c r="R36" s="54"/>
    </row>
    <row r="37">
      <c r="L37">
        <v>3</v>
      </c>
      <c r="N37" s="52">
        <v>9854</v>
      </c>
      <c r="P37" s="53" cm="1">
        <f t="array" ref="P37">SUM(--(prng($D$35,$F$35,$H$35,$J$35)=L37))</f>
        <v>0</v>
      </c>
    </row>
    <row r="38" spans="1:18" x14ac:dyDescent="0.5">
      <c r="A38" s="46"/>
      <c r="B38" s="47"/>
      <c r="D38" s="51"/>
      <c r="F38" s="51"/>
      <c r="L38">
        <v>4</v>
      </c>
      <c r="N38" s="52">
        <v>9994</v>
      </c>
      <c r="P38" s="53" cm="1">
        <f t="array" ref="P38">SUM(--(prng($D$35,$F$35,$H$35,$J$35)=L38))</f>
        <v>0</v>
      </c>
      <c r="R38" s="54"/>
    </row>
    <row r="39">
      <c r="L39">
        <v>5</v>
      </c>
      <c r="N39" s="52">
        <v>10010</v>
      </c>
      <c r="P39" s="53" cm="1">
        <f t="array" ref="P39">SUM(--(prng($D$35,$F$35,$H$35,$J$35)=L39))</f>
        <v>0</v>
      </c>
    </row>
    <row r="40">
      <c r="L40">
        <v>6</v>
      </c>
      <c r="N40" s="52">
        <v>9904</v>
      </c>
      <c r="P40" s="53" cm="1">
        <f t="array" ref="P40">SUM(--(prng($D$35,$F$35,$H$35,$J$35)=L40))</f>
        <v>0</v>
      </c>
    </row>
    <row r="42">
      <c r="A42">
        <v>8</v>
      </c>
      <c r="B42" t="inlineStr">
        <is>
          <t xml:space="preserve">mean of 100,000 dice rounds to 3.5</t>
        </is>
      </c>
      <c r="D42">
        <v>1</v>
      </c>
      <c r="F42">
        <v>1</v>
      </c>
      <c r="H42">
        <v>6</v>
      </c>
      <c r="J42">
        <v>100000</v>
      </c>
      <c r="N42" s="52">
        <v>3.5</v>
      </c>
      <c r="P42" s="53" cm="1">
        <f t="array" ref="P42">ROUND(AVERAGE(prng(D42,F42,H42,J42)),1)</f>
        <v>0</v>
      </c>
      <c r="R42">
        <f>IF(P42=N42,"PASS","FAIL")</f>
      </c>
    </row>
    <row r="44">
      <c r="A44">
        <v>9</v>
      </c>
      <c r="B44" t="inlineStr">
        <is>
          <t xml:space="preserve">seeds 1 vs 2: 100 draws in 1..100 agree in ~1 position (unrelated lists)</t>
        </is>
      </c>
      <c r="D44">
        <v>1</v>
      </c>
      <c r="F44">
        <v>1</v>
      </c>
      <c r="H44">
        <v>100</v>
      </c>
      <c r="J44">
        <v>100</v>
      </c>
      <c r="N44" s="52">
        <v>1</v>
      </c>
      <c r="P44" s="53" cm="1">
        <f t="array" ref="P44">SUM(--(prng(D44,F44,H44,J44)=prng(D44+1,F44,H44,J44)))</f>
        <v>0</v>
      </c>
      <c r="R44">
        <f>IF(P44=N44,"PASS","FAIL")</f>
      </c>
    </row>
    <row r="46">
      <c r="A46">
        <v>10</v>
      </c>
      <c r="B46" t="inlineStr">
        <is>
          <t xml:space="preserve">n=1 result is a true scalar (SEQUENCE sees 3, not 1x1)</t>
        </is>
      </c>
      <c r="D46">
        <v>7</v>
      </c>
      <c r="F46">
        <v>3</v>
      </c>
      <c r="H46">
        <v>3</v>
      </c>
      <c r="N46" s="52">
        <v>3</v>
      </c>
      <c r="P46" s="53" cm="1">
        <f t="array" ref="P46">ROWS(_xlfn.SEQUENCE(prng(D46,F46,H46)))</f>
        <v>0</v>
      </c>
      <c r="R46">
        <f>IF(P46=N46,"PASS","FAIL")</f>
      </c>
    </row>
    <row r="48">
      <c r="A48">
        <v>11</v>
      </c>
      <c r="B48" t="inlineStr">
        <is>
          <t xml:space="preserve">n = 0 -&gt; #CALC!</t>
        </is>
      </c>
      <c r="D48">
        <v>1</v>
      </c>
      <c r="F48">
        <v>1</v>
      </c>
      <c r="H48">
        <v>6</v>
      </c>
      <c r="J48">
        <v>0</v>
      </c>
      <c r="N48" s="52" t="inlineStr">
        <is>
          <t xml:space="preserve">#CALC!</t>
        </is>
      </c>
      <c r="P48" s="53" cm="1">
        <f t="array" ref="P48">prng(D48,F48,H48,J48)</f>
        <v>0</v>
      </c>
      <c r="R48">
        <f>IF(ERROR.TYPE(P48)=14,"PASS","FAIL")</f>
      </c>
    </row>
    <row r="50">
      <c r="A50">
        <v>12</v>
      </c>
      <c r="B50" t="inlineStr">
        <is>
          <t xml:space="preserve">same arguments twice -&gt; identical list (deterministic, non-volatile)</t>
        </is>
      </c>
      <c r="D50">
        <v>5</v>
      </c>
      <c r="F50">
        <v>1</v>
      </c>
      <c r="H50">
        <v>100</v>
      </c>
      <c r="J50">
        <v>50</v>
      </c>
      <c r="N50" s="52" t="b">
        <v>1</v>
      </c>
      <c r="P50" s="53" cm="1">
        <f t="array" ref="P50">AND(prng(D50,F50,H50,J50)=prng(D50,F50,H50,J50))</f>
        <v>0</v>
      </c>
      <c r="R50">
        <f>IF(P50=N50,"PASS","FAIL")</f>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