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<sst xmlns="http://schemas.openxmlformats.org/spreadsheetml/2006/main" count="5826" uniqueCount="3671">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</sst>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HYPERLINK("#'prng'!A1","prng")</f>
      </c>
      <c r="B37" s="48">
        <f>COUNTIF(prng!$A:$BZ,"PASS")</f>
      </c>
      <c r="C37" s="50">
        <f>COUNTIF(prng!$A:$BZ,"FAIL")</f>
      </c>
      <c r="D37" s="45">
        <f>B37+C37</f>
      </c>
      <c r="E37" s="45">
        <f>IF(C37&gt;0,"FAIL ("&amp;C37&amp;")",IF(D37=0,"-","all pass"))</f>
      </c>
    </row>
    <row r="38" spans="1:5" x14ac:dyDescent="0.5">
      <c r="A38" s="77">
        <f>HYPERLINK("#'rc_to_ad'!A1","rc_to_ad")</f>
      </c>
      <c r="B38" s="48">
        <f>COUNTIF(rc_to_ad!$A:$BZ,"PASS")</f>
      </c>
      <c r="C38" s="50">
        <f>COUNTIF(rc_to_ad!$A:$BZ,"FAIL")</f>
      </c>
      <c r="D38" s="45">
        <f>B38+C38</f>
      </c>
      <c r="E38" s="45">
        <f>IF(C38&gt;0,"FAIL ("&amp;C38&amp;")",IF(D38=0,"-","all pass"))</f>
      </c>
    </row>
    <row r="39" spans="1:5" x14ac:dyDescent="0.5">
      <c r="A39" s="77">
        <f>HYPERLINK("#'rev'!A1","rev")</f>
      </c>
      <c r="B39" s="48">
        <f>COUNTIF(rev!$A:$BZ,"PASS")</f>
      </c>
      <c r="C39" s="50">
        <f>COUNTIF(rev!$A:$BZ,"FAIL")</f>
      </c>
      <c r="D39" s="45">
        <f>B39+C39</f>
      </c>
      <c r="E39" s="45">
        <f>IF(C39&gt;0,"FAIL ("&amp;C39&amp;")",IF(D39=0,"-","all pass"))</f>
      </c>
    </row>
    <row r="40" spans="1:5" x14ac:dyDescent="0.5">
      <c r="A40" s="77">
        <f>HYPERLINK("#'rotate_arrow'!A1","rotate_arrow")</f>
      </c>
      <c r="B40" s="48">
        <f>COUNTIF(rotate_arrow!$A:$BZ,"PASS")</f>
      </c>
      <c r="C40" s="50">
        <f>COUNTIF(rotate_arrow!$A:$BZ,"FAIL")</f>
      </c>
      <c r="D40" s="45">
        <f>B40+C40</f>
      </c>
      <c r="E40" s="45">
        <f>IF(C40&gt;0,"FAIL ("&amp;C40&amp;")",IF(D40=0,"-","all pass"))</f>
      </c>
    </row>
    <row r="41" spans="1:5" x14ac:dyDescent="0.5">
      <c r="A41" s="77">
        <f>HYPERLINK("#'route_cost'!A1","route_cost")</f>
      </c>
      <c r="B41" s="48">
        <f>COUNTIF(route_cost!$A:$BZ,"PASS")</f>
      </c>
      <c r="C41" s="50">
        <f>COUNTIF(route_cost!$A:$BZ,"FAIL")</f>
      </c>
      <c r="D41" s="45">
        <f>B41+C41</f>
      </c>
      <c r="E41" s="45">
        <f>IF(C41&gt;0,"FAIL ("&amp;C41&amp;")",IF(D41=0,"-","all pass"))</f>
      </c>
    </row>
    <row r="42" spans="1:5" x14ac:dyDescent="0.5">
      <c r="A42" s="77">
        <f>HYPERLINK("#'save_array'!A1","save_array")</f>
      </c>
      <c r="B42" s="48">
        <f>COUNTIF(save_array!$A:$BZ,"PASS")</f>
      </c>
      <c r="C42" s="50">
        <f>COUNTIF(save_array!$A:$BZ,"FAIL")</f>
      </c>
      <c r="D42" s="45">
        <f>B42+C42</f>
      </c>
      <c r="E42" s="45">
        <f>IF(C42&gt;0,"FAIL ("&amp;C42&amp;")",IF(D42=0,"-","all pass"))</f>
      </c>
    </row>
    <row r="43" spans="1:5" x14ac:dyDescent="0.5">
      <c r="A43" s="77">
        <f>HYPERLINK("#'scan2'!A1","scan2")</f>
      </c>
      <c r="B43" s="48">
        <f>COUNTIF(scan2!$A:$BZ,"PASS")</f>
      </c>
      <c r="C43" s="50">
        <f>COUNTIF(scan2!$A:$BZ,"FAIL")</f>
      </c>
      <c r="D43" s="45">
        <f>B43+C43</f>
      </c>
      <c r="E43" s="45">
        <f>IF(C43&gt;0,"FAIL ("&amp;C43&amp;")",IF(D43=0,"-","all pass"))</f>
      </c>
    </row>
    <row r="44" spans="1:5" x14ac:dyDescent="0.5">
      <c r="A44" s="77">
        <f>HYPERLINK("#'scan3'!A1","scan3")</f>
      </c>
      <c r="B44" s="48">
        <f>COUNTIF(scan3!$A:$BZ,"PASS")</f>
      </c>
      <c r="C44" s="50">
        <f>COUNTIF(scan3!$A:$BZ,"FAIL")</f>
      </c>
      <c r="D44" s="45">
        <f>B44+C44</f>
      </c>
      <c r="E44" s="45">
        <f>IF(C44&gt;0,"FAIL ("&amp;C44&amp;")",IF(D44=0,"-","all pass"))</f>
      </c>
    </row>
    <row r="45" spans="1:5" x14ac:dyDescent="0.5">
      <c r="A45" s="77">
        <f>HYPERLINK("#'selections'!A1","selections")</f>
      </c>
      <c r="B45" s="48">
        <f>COUNTIF(selections!$A:$BZ,"PASS")</f>
      </c>
      <c r="C45" s="50">
        <f>COUNTIF(selections!$A:$BZ,"FAIL")</f>
      </c>
      <c r="D45" s="45">
        <f>B45+C45</f>
      </c>
      <c r="E45" s="45">
        <f>IF(C45&gt;0,"FAIL ("&amp;C45&amp;")",IF(D45=0,"-","all pass"))</f>
      </c>
    </row>
    <row r="46" spans="1:5" x14ac:dyDescent="0.5">
      <c r="A46" s="77">
        <f>HYPERLINK("#'set'!A1","set")</f>
      </c>
      <c r="B46" s="48">
        <f>COUNTIF(set!$A:$BZ,"PASS")</f>
      </c>
      <c r="C46" s="50">
        <f>COUNTIF(set!$A:$BZ,"FAIL")</f>
      </c>
      <c r="D46" s="45">
        <f>B46+C46</f>
      </c>
      <c r="E46" s="45">
        <f>IF(C46&gt;0,"FAIL ("&amp;C46&amp;")",IF(D46=0,"-","all pass"))</f>
      </c>
    </row>
    <row r="47" spans="1:5" x14ac:dyDescent="0.5">
      <c r="A47" s="77">
        <f>HYPERLINK("#'set_d'!A1","set_d")</f>
      </c>
      <c r="B47" s="48">
        <f>COUNTIF(set_d!$A:$BZ,"PASS")</f>
      </c>
      <c r="C47" s="50">
        <f>COUNTIF(set_d!$A:$BZ,"FAIL")</f>
      </c>
      <c r="D47" s="45">
        <f>B47+C47</f>
      </c>
      <c r="E47" s="45">
        <f>IF(C47&gt;0,"FAIL ("&amp;C47&amp;")",IF(D47=0,"-","all pass"))</f>
      </c>
    </row>
    <row r="48" spans="1:5" x14ac:dyDescent="0.5">
      <c r="A48" s="77">
        <f>HYPERLINK("#'set_i'!A1","set_i")</f>
      </c>
      <c r="B48" s="48">
        <f>COUNTIF(set_i!$A:$BZ,"PASS")</f>
      </c>
      <c r="C48" s="50">
        <f>COUNTIF(set_i!$A:$BZ,"FAIL")</f>
      </c>
      <c r="D48" s="45">
        <f>B48+C48</f>
      </c>
      <c r="E48" s="45">
        <f>IF(C48&gt;0,"FAIL ("&amp;C48&amp;")",IF(D48=0,"-","all pass"))</f>
      </c>
    </row>
    <row r="49" spans="1:5" x14ac:dyDescent="0.5">
      <c r="A49" s="77">
        <f>HYPERLINK("#'set_u'!A1","set_u")</f>
      </c>
      <c r="B49" s="48">
        <f>COUNTIF(set_u!$A:$BZ,"PASS")</f>
      </c>
      <c r="C49" s="50">
        <f>COUNTIF(set_u!$A:$BZ,"FAIL")</f>
      </c>
      <c r="D49" s="45">
        <f>B49+C49</f>
      </c>
      <c r="E49" s="45">
        <f>IF(C49&gt;0,"FAIL ("&amp;C49&amp;")",IF(D49=0,"-","all pass"))</f>
      </c>
    </row>
    <row r="50" spans="1:5" x14ac:dyDescent="0.5">
      <c r="A50" s="77">
        <f>HYPERLINK("#'shift_arr'!A1","shift_arr")</f>
      </c>
      <c r="B50" s="48">
        <f>COUNTIF(shift_arr!$A:$BZ,"PASS")</f>
      </c>
      <c r="C50" s="50">
        <f>COUNTIF(shift_arr!$A:$BZ,"FAIL")</f>
      </c>
      <c r="D50" s="45">
        <f>B50+C50</f>
      </c>
      <c r="E50" s="45">
        <f>IF(C50&gt;0,"FAIL ("&amp;C50&amp;")",IF(D50=0,"-","all pass"))</f>
      </c>
    </row>
    <row r="51" spans="1:5" x14ac:dyDescent="0.5">
      <c r="A51" s="77">
        <f>HYPERLINK("#'smallest'!A1","smallest")</f>
      </c>
      <c r="B51" s="48">
        <f>COUNTIF(smallest!$A:$BZ,"PASS")</f>
      </c>
      <c r="C51" s="50">
        <f>COUNTIF(smallest!$A:$BZ,"FAIL")</f>
      </c>
      <c r="D51" s="45">
        <f>B51+C51</f>
      </c>
      <c r="E51" s="45">
        <f>IF(C51&gt;0,"FAIL ("&amp;C51&amp;")",IF(D51=0,"-","all pass"))</f>
      </c>
    </row>
    <row r="52" spans="1:5" x14ac:dyDescent="0.5">
      <c r="A52" s="77">
        <f>HYPERLINK("#'str_ad'!A1","str_ad")</f>
      </c>
      <c r="B52" s="48">
        <f>COUNTIF(str_ad!$A:$BZ,"PASS")</f>
      </c>
      <c r="C52" s="50">
        <f>COUNTIF(str_ad!$A:$BZ,"FAIL")</f>
      </c>
      <c r="D52" s="45">
        <f>B52+C52</f>
      </c>
      <c r="E52" s="45">
        <f>IF(C52&gt;0,"FAIL ("&amp;C52&amp;")",IF(D52=0,"-","all pass"))</f>
      </c>
    </row>
    <row r="53" spans="1:5" x14ac:dyDescent="0.5">
      <c r="A53" s="77">
        <f>HYPERLINK("#'str_rev'!A1","str_rev")</f>
      </c>
      <c r="B53" s="48">
        <f>COUNTIF(str_rev!$A:$BZ,"PASS")</f>
      </c>
      <c r="C53" s="50">
        <f>COUNTIF(str_rev!$A:$BZ,"FAIL")</f>
      </c>
      <c r="D53" s="45">
        <f>B53+C53</f>
      </c>
      <c r="E53" s="45">
        <f>IF(C53&gt;0,"FAIL ("&amp;C53&amp;")",IF(D53=0,"-","all pass"))</f>
      </c>
    </row>
    <row r="54" spans="1:5" x14ac:dyDescent="0.5">
      <c r="A54" s="77">
        <f>HYPERLINK("#'str_to_arr'!A1","str_to_arr")</f>
      </c>
      <c r="B54" s="48">
        <f>COUNTIF(str_to_arr!$A:$BZ,"PASS")</f>
      </c>
      <c r="C54" s="50">
        <f>COUNTIF(str_to_arr!$A:$BZ,"FAIL")</f>
      </c>
      <c r="D54" s="45">
        <f>B54+C54</f>
      </c>
      <c r="E54" s="45">
        <f>IF(C54&gt;0,"FAIL ("&amp;C54&amp;")",IF(D54=0,"-","all pass"))</f>
      </c>
    </row>
    <row r="55" spans="1:5" x14ac:dyDescent="0.5">
      <c r="A55" s="77">
        <f>HYPERLINK("#'streak'!A1","streak")</f>
      </c>
      <c r="B55" s="48">
        <f>COUNTIF(streak!$A:$BZ,"PASS")</f>
      </c>
      <c r="C55" s="50">
        <f>COUNTIF(streak!$A:$BZ,"FAIL")</f>
      </c>
      <c r="D55" s="45">
        <f>B55+C55</f>
      </c>
      <c r="E55" s="45">
        <f>IF(C55&gt;0,"FAIL ("&amp;C55&amp;")",IF(D55=0,"-","all pass"))</f>
      </c>
    </row>
    <row r="56" spans="1:5" x14ac:dyDescent="0.5">
      <c r="A56" s="77">
        <f>HYPERLINK("#'textbetween'!A1","textbetween")</f>
      </c>
      <c r="B56" s="48">
        <f>COUNTIF(textbetween!$A:$BZ,"PASS")</f>
      </c>
      <c r="C56" s="50">
        <f>COUNTIF(textbetween!$A:$BZ,"FAIL")</f>
      </c>
      <c r="D56" s="45">
        <f>B56+C56</f>
      </c>
      <c r="E56" s="45">
        <f>IF(C56&gt;0,"FAIL ("&amp;C56&amp;")",IF(D56=0,"-","all pass"))</f>
      </c>
    </row>
    <row r="57" spans="1:5" x14ac:dyDescent="0.5">
      <c r="A57" s="77">
        <f>HYPERLINK("#'transform_array'!A1","transform_array")</f>
      </c>
      <c r="B57" s="48">
        <f>COUNTIF(transform_array!$A:$BZ,"PASS")</f>
      </c>
      <c r="C57" s="50">
        <f>COUNTIF(transform_array!$A:$BZ,"FAIL")</f>
      </c>
      <c r="D57" s="45">
        <f>B57+C57</f>
      </c>
      <c r="E57" s="45">
        <f>IF(C57&gt;0,"FAIL ("&amp;C57&amp;")",IF(D57=0,"-","all pass"))</f>
      </c>
    </row>
    <row r="58" spans="1:5" x14ac:dyDescent="0.5">
      <c r="A58" s="77">
        <f>HYPERLINK("#'update_arr'!A1","update_arr")</f>
      </c>
      <c r="B58" s="48">
        <f>COUNTIF(update_arr!$A:$BZ,"PASS")</f>
      </c>
      <c r="C58" s="50">
        <f>COUNTIF(update_arr!$A:$BZ,"FAIL")</f>
      </c>
      <c r="D58" s="45">
        <f>B58+C58</f>
      </c>
      <c r="E58" s="45">
        <f>IF(C58&gt;0,"FAIL ("&amp;C58&amp;")",IF(D58=0,"-","all pass"))</f>
      </c>
    </row>
    <row r="59" spans="1:5" x14ac:dyDescent="0.5">
      <c r="A59" s="77">
        <f>HYPERLINK("#'xbycol'!A1","xbycol")</f>
      </c>
      <c r="B59" s="48">
        <f>COUNTIF(xbycol!$A:$BZ,"PASS")</f>
      </c>
      <c r="C59" s="50">
        <f>COUNTIF(xbycol!$A:$BZ,"FAIL")</f>
      </c>
      <c r="D59" s="45">
        <f>B59+C59</f>
      </c>
      <c r="E59" s="45">
        <f>IF(C59&gt;0,"FAIL ("&amp;C59&amp;")",IF(D59=0,"-","all pass"))</f>
      </c>
    </row>
    <row r="60" spans="1:5" x14ac:dyDescent="0.5">
      <c r="A60" s="77">
        <f>HYPERLINK("#'xbyrow'!A1","xbyrow")</f>
      </c>
      <c r="B60" s="48">
        <f>COUNTIF(xbyrow!$A:$BZ,"PASS")</f>
      </c>
      <c r="C60" s="50">
        <f>COUNTIF(xbyrow!$A:$BZ,"FAIL")</f>
      </c>
      <c r="D60" s="45">
        <f>B60+C60</f>
      </c>
      <c r="E60" s="45">
        <f>IF(C60&gt;0,"FAIL ("&amp;C60&amp;")",IF(D60=0,"-","all pass"))</f>
      </c>
    </row>
    <row r="61" spans="1:5" x14ac:dyDescent="0.5">
      <c r="A61" s="77">
        <f>HYPERLINK("#'xcountif'!A1","xcountif")</f>
      </c>
      <c r="B61" s="48">
        <f>COUNTIF(xcountif!$A:$BZ,"PASS")</f>
      </c>
      <c r="C61" s="50">
        <f>COUNTIF(xcountif!$A:$BZ,"FAIL")</f>
      </c>
      <c r="D61" s="45">
        <f>B61+C61</f>
      </c>
      <c r="E61" s="45">
        <f>IF(C61&gt;0,"FAIL ("&amp;C61&amp;")",IF(D61=0,"-","all pass"))</f>
      </c>
    </row>
    <row r="62" spans="1:5" x14ac:dyDescent="0.5">
      <c r="A62" s="77">
        <f>HYPERLINK("#'xdec2bin'!A1","xdec2bin")</f>
      </c>
      <c r="B62" s="48">
        <f>COUNTIF(xdec2bin!$A:$BZ,"PASS")</f>
      </c>
      <c r="C62" s="50">
        <f>COUNTIF(xdec2bin!$A:$BZ,"FAIL")</f>
      </c>
      <c r="D62" s="45">
        <f>B62+C62</f>
      </c>
      <c r="E62" s="45">
        <f>IF(C62&gt;0,"FAIL ("&amp;C62&amp;")",IF(D62=0,"-","all pass"))</f>
      </c>
    </row>
    <row r="63" spans="1:5" x14ac:dyDescent="0.5">
      <c r="A63" s="77">
        <f>HYPERLINK("#'xfilter'!A1","xfilter")</f>
      </c>
      <c r="B63" s="48">
        <f>COUNTIF(xfilter!$A:$BZ,"PASS")</f>
      </c>
      <c r="C63" s="50">
        <f>COUNTIF(xfilter!$A:$BZ,"FAIL")</f>
      </c>
      <c r="D63" s="45">
        <f>B63+C63</f>
      </c>
      <c r="E63" s="45">
        <f>IF(C63&gt;0,"FAIL ("&amp;C63&amp;")",IF(D63=0,"-","all pass"))</f>
      </c>
    </row>
    <row r="64" spans="1:5" x14ac:dyDescent="0.5">
      <c r="A64" s="77">
        <f>HYPERLINK("#'xmod'!A1","xmod")</f>
      </c>
      <c r="B64" s="48">
        <f>COUNTIF(xmod!$A:$BZ,"PASS")</f>
      </c>
      <c r="C64" s="50">
        <f>COUNTIF(xmod!$A:$BZ,"FAIL")</f>
      </c>
      <c r="D64" s="45">
        <f>B64+C64</f>
      </c>
      <c r="E64" s="45">
        <f>IF(C64&gt;0,"FAIL ("&amp;C64&amp;")",IF(D64=0,"-","all pass"))</f>
      </c>
    </row>
    <row r="65" spans="2:5" x14ac:dyDescent="0.5">
      <c r="A65" s="77">
        <f>HYPERLINK("#'xn'!A1","xn")</f>
      </c>
      <c r="B65" s="48">
        <f>COUNTIF(xn!$A:$BZ,"PASS")</f>
      </c>
      <c r="C65" s="50">
        <f>COUNTIF(xn!$A:$BZ,"FAIL")</f>
      </c>
      <c r="D65" s="45">
        <f>B65+C65</f>
      </c>
      <c r="E65" s="45">
        <f>IF(C65&gt;0,"FAIL ("&amp;C65&amp;")",IF(D65=0,"-","all pass"))</f>
      </c>
    </row>
    <row r="66" spans="2:5" x14ac:dyDescent="0.5">
      <c r="A66" s="77">
        <f>HYPERLINK("#'xrank'!A1","xrank")</f>
      </c>
      <c r="B66" s="48">
        <f>COUNTIF(xrank!$A:$BZ,"PASS")</f>
      </c>
      <c r="C66" s="50">
        <f>COUNTIF(xrank!$A:$BZ,"FAIL")</f>
      </c>
      <c r="D66" s="45">
        <f>B66+C66</f>
      </c>
      <c r="E66" s="45">
        <f>IF(C66&gt;0,"FAIL ("&amp;C66&amp;")",IF(D66=0,"-","all pass"))</f>
      </c>
    </row>
    <row r="67">
      <c r="A67" s="77">
        <f>HYPERLINK("#'xsequence'!A1","xsequence")</f>
      </c>
      <c r="B67" s="48">
        <f>COUNTIF(xsequence!$A:$BZ,"PASS")</f>
      </c>
      <c r="C67" s="50">
        <f>COUNTIF(xsequence!$A:$BZ,"FAIL")</f>
      </c>
      <c r="D67" s="45">
        <f>B67+C67</f>
      </c>
      <c r="E67" s="45">
        <f>IF(C67&gt;0,"FAIL ("&amp;C67&amp;")",IF(D67=0,"-","all pass"))</f>
      </c>
    </row>
    <row r="68">
      <c r="A68" s="77">
        <f>HYPERLINK("#'xtextjoin'!A1","xtextjoin")</f>
      </c>
      <c r="B68" s="48">
        <f>COUNTIF(xtextjoin!$A:$BZ,"PASS")</f>
      </c>
      <c r="C68" s="50">
        <f>COUNTIF(xtextjoin!$A:$BZ,"FAIL")</f>
      </c>
      <c r="D68" s="45">
        <f>B68+C68</f>
      </c>
      <c r="E68" s="45">
        <f>IF(C68&gt;0,"FAIL ("&amp;C68&amp;")",IF(D68=0,"-","all pass"))</f>
      </c>
    </row>
    <row r="69">
      <c r="A69" s="77">
        <f>HYPERLINK("#'xtocol'!A1","xtocol")</f>
      </c>
      <c r="B69" s="48">
        <f>COUNTIF(xtocol!$A:$BZ,"PASS")</f>
      </c>
      <c r="C69" s="50">
        <f>COUNTIF(xtocol!$A:$BZ,"FAIL")</f>
      </c>
      <c r="D69" s="45">
        <f>B69+C69</f>
      </c>
      <c r="E69" s="45">
        <f>IF(C69&gt;0,"FAIL ("&amp;C69&amp;")",IF(D69=0,"-","all pass"))</f>
      </c>
    </row>
    <row r="70">
      <c r="A70" s="101" t="inlineStr">
        <is>
          <t xml:space="preserve">TOTAL</t>
        </is>
      </c>
      <c r="B70" s="48">
        <f>SUM(B5:B69)</f>
      </c>
      <c r="C70" s="50">
        <f>SUM(C5:C69)</f>
      </c>
      <c r="D70" s="45">
        <f>SUM(D5:D69)</f>
      </c>
      <c r="E70" s="45">
        <f>IF(C70&gt;0,C70&amp;" FAILING","ALL PASS")</f>
      </c>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cm="1">
        <f t="array" ref="R4">COUNTIF(R6:R60,"PASS")&amp;" / 12 PASS"</f>
        <v>0</v>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