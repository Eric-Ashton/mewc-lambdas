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docProps/core.xml" ContentType="application/vnd.openxmlformats-package.core-properties+xml"/>
  <Override PartName="/docProps/app.xml" ContentType="application/vnd.openxmlformats-officedocument.extended-properties+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C:\MEWC Dev Cowork\mewc-lambdas\"/>
    </mc:Choice>
  </mc:AlternateContent>
  <xr:revisionPtr revIDLastSave="0" documentId="13_ncr:1_{86D11EE6-E8AB-4362-9DDE-D70BBF2115AA}" xr6:coauthVersionLast="47" xr6:coauthVersionMax="47" xr10:uidLastSave="{00000000-0000-0000-0000-000000000000}"/>
  <bookViews>
    <workbookView xWindow="1320" yWindow="210" windowWidth="33010" windowHeight="21390" firstSheet="49" activeTab="60" xr2:uid="{00000000-000D-0000-FFFF-FFFF00000000}"/>
  </bookViews>
  <sheets>
    <sheet name="Prep" sheetId="1" r:id="rId1"/>
    <sheet name="Lamb" sheetId="2" r:id="rId2"/>
    <sheet name="lambda_tests" sheetId="3" r:id="rId3"/>
    <sheet name="vba_tests" sheetId="58" r:id="rId4"/>
    <sheet name="ad_col_let" sheetId="107" r:id="rId102"/>
    <sheet name="ad_col_n" sheetId="106" r:id="rId101"/>
    <sheet name="ad_row_n" sheetId="105" r:id="rId100"/>
    <sheet name="ad_to_cont" sheetId="4" r:id="rId5"/>
    <sheet name="ad_to_rc" sheetId="89" r:id="rId6"/>
    <sheet name="arrow" sheetId="5" r:id="rId7"/>
    <sheet name="arrow_move" sheetId="6" r:id="rId8"/>
    <sheet name="arrow_trip" sheetId="7" r:id="rId9"/>
    <sheet name="biggest" sheetId="8" r:id="rId10"/>
    <sheet name="clamp" sheetId="9" r:id="rId11"/>
    <sheet name="cont_to_ad" sheetId="96" r:id="rId12"/>
    <sheet name="count_substring" sheetId="10" r:id="rId13"/>
    <sheet name="ctotal" sheetId="11" r:id="rId14"/>
    <sheet name="cycles" sheetId="12" r:id="rId15"/>
    <sheet name="die_pips" sheetId="13" r:id="rId16"/>
    <sheet name="dist" sheetId="14" r:id="rId17"/>
    <sheet name="exists" sheetId="15" r:id="rId18"/>
    <sheet name="expand_rng" sheetId="27" r:id="rId19"/>
    <sheet name="first_time" sheetId="102" r:id="rId97"/>
    <sheet name="freq_table" sheetId="16" r:id="rId20"/>
    <sheet name="ftd_maze_cost" sheetId="100" r:id="rId21"/>
    <sheet name="is_unique" sheetId="17" r:id="rId22"/>
    <sheet name="knight_moves" sheetId="18" r:id="rId23"/>
    <sheet name="label_lookup" sheetId="19" r:id="rId24"/>
    <sheet name="load_array" sheetId="20" r:id="rId25"/>
    <sheet name="make_change" sheetId="97" r:id="rId26"/>
    <sheet name="neighbors_count" sheetId="21" r:id="rId27"/>
    <sheet name="neighbors_list" sheetId="22" r:id="rId28"/>
    <sheet name="num_ad" sheetId="23" r:id="rId29"/>
    <sheet name="offset_letter" sheetId="24" r:id="rId30"/>
    <sheet name="only_letters" sheetId="25" r:id="rId31"/>
    <sheet name="only_numbers" sheetId="26" r:id="rId32"/>
    <sheet name="rc_to_ad" sheetId="90" r:id="rId33"/>
    <sheet name="rev" sheetId="28" r:id="rId34"/>
    <sheet name="rotate_arrow" sheetId="29" r:id="rId35"/>
    <sheet name="route_cost" sheetId="30" r:id="rId36"/>
    <sheet name="save_array" sheetId="31" r:id="rId37"/>
    <sheet name="scan2" sheetId="98" r:id="rId38"/>
    <sheet name="scan3" sheetId="99" r:id="rId39"/>
    <sheet name="selections" sheetId="32" r:id="rId40"/>
    <sheet name="set" sheetId="33" r:id="rId41"/>
    <sheet name="set_d" sheetId="34" r:id="rId42"/>
    <sheet name="set_i" sheetId="35" r:id="rId43"/>
    <sheet name="set_u" sheetId="36" r:id="rId44"/>
    <sheet name="shift_arr" sheetId="37" r:id="rId45"/>
    <sheet name="smallest" sheetId="38" r:id="rId46"/>
    <sheet name="str_ad" sheetId="40" r:id="rId47"/>
    <sheet name="str_rev" sheetId="41" r:id="rId48"/>
    <sheet name="str_to_arr" sheetId="39" r:id="rId49"/>
    <sheet name="streak" sheetId="103" r:id="rId98"/>
    <sheet name="textbetween" sheetId="42" r:id="rId50"/>
    <sheet name="transform_array" sheetId="43" r:id="rId51"/>
    <sheet name="update_arr" sheetId="44" r:id="rId52"/>
    <sheet name="xbycol" sheetId="104" r:id="rId99"/>
    <sheet name="xbyrow" sheetId="45" r:id="rId53"/>
    <sheet name="xcountif" sheetId="46" r:id="rId54"/>
    <sheet name="xdec2bin" sheetId="47" r:id="rId55"/>
    <sheet name="xfilter" sheetId="48" r:id="rId56"/>
    <sheet name="xmod" sheetId="49" r:id="rId57"/>
    <sheet name="xn" sheetId="50" r:id="rId58"/>
    <sheet name="xrank" sheetId="51" r:id="rId59"/>
    <sheet name="xsequence" sheetId="52" r:id="rId60"/>
    <sheet name="xtextjoin" sheetId="101" r:id="rId96"/>
    <sheet name="xtocol" sheetId="54" r:id="rId62"/>
    <sheet name="zz_bgc" sheetId="64" r:id="rId63"/>
    <sheet name="zz_ColNumToLetter" sheetId="83" r:id="rId64"/>
    <sheet name="zz_color" sheetId="59" r:id="rId65"/>
    <sheet name="zz_conv" sheetId="62" r:id="rId66"/>
    <sheet name="zz_errcells" sheetId="74" r:id="rId67"/>
    <sheet name="zz_exists" sheetId="73" r:id="rId68"/>
    <sheet name="zz_fillcolor" sheetId="65" r:id="rId69"/>
    <sheet name="zz_flood" sheetId="66" r:id="rId70"/>
    <sheet name="zz_freqcharsrc" sheetId="69" r:id="rId71"/>
    <sheet name="zz_freqsrc" sheetId="67" r:id="rId72"/>
    <sheet name="zz_fx1" sheetId="60" r:id="rId73"/>
    <sheet name="zz_fx2" sheetId="61" r:id="rId74"/>
    <sheet name="zz_is_lambda_test_sheet" sheetId="95" r:id="rId75"/>
    <sheet name="zz_lastused" sheetId="75" r:id="rId76"/>
    <sheet name="zz_lastused_empty" sheetId="88" r:id="rId77"/>
    <sheet name="zz_maze" sheetId="63" r:id="rId78"/>
    <sheet name="zz_retcol" sheetId="77" r:id="rId79"/>
    <sheet name="zz_SanitizeRow" sheetId="84" r:id="rId80"/>
    <sheet name="zz_select_sheets" sheetId="82" r:id="rId81"/>
    <sheet name="zz_sheet_names" sheetId="81" r:id="rId82"/>
    <sheet name="zz_tallsrc" sheetId="71" r:id="rId83"/>
    <sheet name="zz_tmsrc" sheetId="78" r:id="rId84"/>
    <sheet name="zz_UNICODE_SPLIT" sheetId="80" r:id="rId85"/>
    <sheet name="zz_yellow" sheetId="76" r:id="rId86"/>
  </sheets>
  <functionGroups builtInGroupCount="19"/>
  <definedNames>
    <definedName name="_xleta.COUNTIF" hidden="1" xlm="1">#NAME?</definedName>
    <definedName name="_xleta.DEC2HEX" hidden="1" xlm="1">#NAME?</definedName>
    <definedName name="_xleta.INDEX" hidden="1" xlm="1">#NAME?</definedName>
    <definedName name="_xleta.LCM" hidden="1" xlm="1">#NAME?</definedName>
    <definedName name="_xleta.LEFT" hidden="1" xlm="1">#NAME?</definedName>
    <definedName name="_xleta.MIN" hidden="1" xlm="1">#NAME?</definedName>
    <definedName name="_xleta.NA" hidden="1" xlm="1">#NAME?</definedName>
    <definedName name="_xleta.ROW" hidden="1" xlm="1">#NAME?</definedName>
    <definedName name="_xleta.T" hidden="1" xlm="1">#NAME?</definedName>
    <definedName name="_xleta.UNICHAR" hidden="1" xlm="1">#NAME?</definedName>
    <definedName name="_xleta.UNICODE" hidden="1" xlm="1">#NAME?</definedName>
    <definedName name="_xleta.VALUE" hidden="1" xlm="1">#NAME?</definedName>
    <definedName name="_xlop.as_num" hidden="1" xlm="1">#NAME?</definedName>
    <definedName name="_xlop.as_row" hidden="1" xlm="1">#NAME?</definedName>
    <definedName name="_xlop.Board" hidden="1" xlm="1">#NAME?</definedName>
    <definedName name="_xlop.board_rng" hidden="1" xlm="1">#NAME?</definedName>
    <definedName name="_xlop.bottom" hidden="1" xlm="1">#NAME?</definedName>
    <definedName name="_xlop.bounce" hidden="1" xlm="1">#NAME?</definedName>
    <definedName name="_xlop.boundaries" hidden="1" xlm="1">#NAME?</definedName>
    <definedName name="_xlop.boundary_rng" hidden="1" xlm="1">#NAME?</definedName>
    <definedName name="_xlop.bounds" hidden="1" xlm="1">#NAME?</definedName>
    <definedName name="_xlop.bounds_ref" hidden="1" xlm="1">#NAME?</definedName>
    <definedName name="_xlop.bounds_str" hidden="1" xlm="1">#NAME?</definedName>
    <definedName name="_xlop.c_left" hidden="1" xlm="1">#NAME?</definedName>
    <definedName name="_xlop.c_right" hidden="1" xlm="1">#NAME?</definedName>
    <definedName name="_xlop.case_sensitive" hidden="1" xlm="1">#NAME?</definedName>
    <definedName name="_xlop.clean" hidden="1" xlm="1">#NAME?</definedName>
    <definedName name="_xlop.clean_input" hidden="1" xlm="1">#NAME?</definedName>
    <definedName name="_xlop.clockwise" hidden="1" xlm="1">#NAME?</definedName>
    <definedName name="_xlop.col_delimiter" hidden="1" xlm="1">#NAME?</definedName>
    <definedName name="_xlop.cols_n" hidden="1" xlm="1">#NAME?</definedName>
    <definedName name="_xlop.countdown_n" hidden="1" xlm="1">#NAME?</definedName>
    <definedName name="_xlop.cum" hidden="1" xlm="1">#NAME?</definedName>
    <definedName name="_xlop.d" hidden="1" xlm="1">#NAME?</definedName>
    <definedName name="_xlop.dAllowed" hidden="1" xlm="1">#NAME?</definedName>
    <definedName name="_xlop.delim" hidden="1" xlm="1">#NAME?</definedName>
    <definedName name="_xlop.diag" hidden="1" xlm="1">#NAME?</definedName>
    <definedName name="_xlop.diag_allowed" hidden="1" xlm="1">#NAME?</definedName>
    <definedName name="_xlop.diagonal_allowed" hidden="1" xlm="1">#NAME?</definedName>
    <definedName name="_xlop.diagonalsDefTRUE" hidden="1" xlm="1">#NAME?</definedName>
    <definedName name="_xlop.dir" hidden="1" xlm="1">#NAME?</definedName>
    <definedName name="_xlop.dirs" hidden="1" xlm="1">#NAME?</definedName>
    <definedName name="_xlop.f_2" hidden="1" xlm="1">#NAME?</definedName>
    <definedName name="_xlop.f_3" hidden="1" xlm="1">#NAME?</definedName>
    <definedName name="_xlop.f_4" hidden="1" xlm="1">#NAME?</definedName>
    <definedName name="_xlop.f_5" hidden="1" xlm="1">#NAME?</definedName>
    <definedName name="_xlop.fill" hidden="1" xlm="1">#NAME?</definedName>
    <definedName name="_xlop.first_dir" hidden="1" xlm="1">#NAME?</definedName>
    <definedName name="_xlop.i" hidden="1" xlm="1">#NAME?</definedName>
    <definedName name="_xlop.max_steps" hidden="1" xlm="1">#NAME?</definedName>
    <definedName name="_xlop.min_freq" hidden="1" xlm="1">#NAME?</definedName>
    <definedName name="_xlop.order" hidden="1" xlm="1">#NAME?</definedName>
    <definedName name="_xlop.order_matters" hidden="1" xlm="1">#NAME?</definedName>
    <definedName name="_xlop.P0C1" hidden="1" xlm="1">#NAME?</definedName>
    <definedName name="_xlop.places" hidden="1" xlm="1">#NAME?</definedName>
    <definedName name="_xlop.print_components" hidden="1" xlm="1">#NAME?</definedName>
    <definedName name="_xlop.push_mode" hidden="1" xlm="1">#NAME?</definedName>
    <definedName name="_xlop.PushMode" hidden="1" xlm="1">#NAME?</definedName>
    <definedName name="_xlop.r_down" hidden="1" xlm="1">#NAME?</definedName>
    <definedName name="_xlop.r_up" hidden="1" xlm="1">#NAME?</definedName>
    <definedName name="_xlop.rep" hidden="1" xlm="1">#NAME?</definedName>
    <definedName name="_xlop.repeat_array" hidden="1" xlm="1">#NAME?</definedName>
    <definedName name="_xlop.repeat_element" hidden="1" xlm="1">#NAME?</definedName>
    <definedName name="_xlop.repeats_allowed" hidden="1" xlm="1">#NAME?</definedName>
    <definedName name="_xlop.reverse" hidden="1" xlm="1">#NAME?</definedName>
    <definedName name="_xlop.row_delimiter" hidden="1" xlm="1">#NAME?</definedName>
    <definedName name="_xlop.row_major" hidden="1" xlm="1">#NAME?</definedName>
    <definedName name="_xlop.rows_n" hidden="1" xlm="1">#NAME?</definedName>
    <definedName name="_xlop.self_count" hidden="1" xlm="1">#NAME?</definedName>
    <definedName name="_xlop.show_addr" hidden="1" xlm="1">#NAME?</definedName>
    <definedName name="_xlop.show_addresses" hidden="1" xlm="1">#NAME?</definedName>
    <definedName name="_xlop.size" hidden="1" xlm="1">#NAME?</definedName>
    <definedName name="_xlop.snake" hidden="1" xlm="1">#NAME?</definedName>
    <definedName name="_xlop.step" hidden="1" xlm="1">#NAME?</definedName>
    <definedName name="_xlop.Steps" hidden="1" xlm="1">#NAME?</definedName>
    <definedName name="_xlop.stopper" hidden="1" xlm="1">#NAME?</definedName>
    <definedName name="_xlop.str" hidden="1" xlm="1">#NAME?</definedName>
    <definedName name="_xlop.str_arr_set" hidden="1" xlm="1">#NAME?</definedName>
    <definedName name="_xlop.top" hidden="1" xlm="1">#NAME?</definedName>
    <definedName name="_xlop.type" hidden="1" xlm="1">#NAME?</definedName>
    <definedName name="_xlpm._a" hidden="1" xlm="1">#NAME?</definedName>
    <definedName name="_xlpm._as_row" hidden="1" xlm="1">#NAME?</definedName>
    <definedName name="_xlpm._c" hidden="1" xlm="1">#NAME?</definedName>
    <definedName name="_xlpm._cd" hidden="1" xlm="1">#NAME?</definedName>
    <definedName name="_xlpm._char" hidden="1" xlm="1">#NAME?</definedName>
    <definedName name="_xlpm._clean" hidden="1" xlm="1">#NAME?</definedName>
    <definedName name="_xlpm._combined" hidden="1" xlm="1">#NAME?</definedName>
    <definedName name="_xlpm._cs" hidden="1" xlm="1">#NAME?</definedName>
    <definedName name="_xlpm._d" hidden="1" xlm="1">#NAME?</definedName>
    <definedName name="_xlpm._db" hidden="1" xlm="1">#NAME?</definedName>
    <definedName name="_xlpm._delimiter" hidden="1" xlm="1">#NAME?</definedName>
    <definedName name="_xlpm._dg" hidden="1" xlm="1">#NAME?</definedName>
    <definedName name="_xlpm._f" hidden="1" xlm="1">#NAME?</definedName>
    <definedName name="_xlpm._f1" hidden="1" xlm="1">#NAME?</definedName>
    <definedName name="_xlpm._f2" hidden="1" xlm="1">#NAME?</definedName>
    <definedName name="_xlpm._flat" hidden="1" xlm="1">#NAME?</definedName>
    <definedName name="_xlpm._fs" hidden="1" xlm="1">#NAME?</definedName>
    <definedName name="_xlpm._i" hidden="1" xlm="1">#NAME?</definedName>
    <definedName name="_xlpm._im" hidden="1" xlm="1">#NAME?</definedName>
    <definedName name="_xlpm._in_dir" hidden="1" xlm="1">#NAME?</definedName>
    <definedName name="_xlpm._joined" hidden="1" xlm="1">#NAME?</definedName>
    <definedName name="_xlpm._last" hidden="1" xlm="1">#NAME?</definedName>
    <definedName name="_xlpm._len" hidden="1" xlm="1">#NAME?</definedName>
    <definedName name="_xlpm._mc" hidden="1" xlm="1">#NAME?</definedName>
    <definedName name="_xlpm._mr" hidden="1" xlm="1">#NAME?</definedName>
    <definedName name="_xlpm._n" hidden="1" xlm="1">#NAME?</definedName>
    <definedName name="_xlpm._nc" hidden="1" xlm="1">#NAME?</definedName>
    <definedName name="_xlpm._nf" hidden="1" xlm="1">#NAME?</definedName>
    <definedName name="_xlpm._nr" hidden="1" xlm="1">#NAME?</definedName>
    <definedName name="_xlpm._p" hidden="1" xlm="1">#NAME?</definedName>
    <definedName name="_xlpm._ps" hidden="1" xlm="1">#NAME?</definedName>
    <definedName name="_xlpm._rc" hidden="1" xlm="1">#NAME?</definedName>
    <definedName name="_xlpm._rd" hidden="1" xlm="1">#NAME?</definedName>
    <definedName name="_xlpm._res" hidden="1" xlm="1">#NAME?</definedName>
    <definedName name="_xlpm._rr" hidden="1" xlm="1">#NAME?</definedName>
    <definedName name="_xlpm._rs" hidden="1" xlm="1">#NAME?</definedName>
    <definedName name="_xlpm._rx" hidden="1" xlm="1">#NAME?</definedName>
    <definedName name="_xlpm._s" hidden="1" xlm="1">#NAME?</definedName>
    <definedName name="_xlpm._seq" hidden="1" xlm="1">#NAME?</definedName>
    <definedName name="_xlpm._show" hidden="1" xlm="1">#NAME?</definedName>
    <definedName name="_xlpm._sn" hidden="1" xlm="1">#NAME?</definedName>
    <definedName name="_xlpm._snake" hidden="1" xlm="1">#NAME?</definedName>
    <definedName name="_xlpm._split" hidden="1" xlm="1">#NAME?</definedName>
    <definedName name="_xlpm._sq" hidden="1" xlm="1">#NAME?</definedName>
    <definedName name="_xlpm._tc" hidden="1" xlm="1">#NAME?</definedName>
    <definedName name="_xlpm._tr" hidden="1" xlm="1">#NAME?</definedName>
    <definedName name="_xlpm._um" hidden="1" xlm="1">#NAME?</definedName>
    <definedName name="_xlpm._v" hidden="1" xlm="1">#NAME?</definedName>
    <definedName name="_xlpm.a" hidden="1" xlm="1">#NAME?</definedName>
    <definedName name="_xlpm.a_cols" hidden="1" xlm="1">#NAME?</definedName>
    <definedName name="_xlpm.a_flat" hidden="1" xlm="1">#NAME?</definedName>
    <definedName name="_xlpm.a_rows" hidden="1" xlm="1">#NAME?</definedName>
    <definedName name="_xlpm.a1_str" hidden="1" xlm="1">#NAME?</definedName>
    <definedName name="_xlpm.a1_text" hidden="1" xlm="1">#NAME?</definedName>
    <definedName name="_xlpm.abs_col" hidden="1" xlm="1">#NAME?</definedName>
    <definedName name="_xlpm.abs_col_delta" hidden="1" xlm="1">#NAME?</definedName>
    <definedName name="_xlpm.abs_row" hidden="1" xlm="1">#NAME?</definedName>
    <definedName name="_xlpm.abs_row_delta" hidden="1" xlm="1">#NAME?</definedName>
    <definedName name="_xlpm.acc" hidden="1" xlm="1">#NAME?</definedName>
    <definedName name="_xlpm.acc_" hidden="1" xlm="1">#NAME?</definedName>
    <definedName name="_xlpm.ad" hidden="1" xlm="1">#NAME?</definedName>
    <definedName name="_xlpm.ad_or_rng" hidden="1" xlm="1">#NAME?</definedName>
    <definedName name="_xlpm.addr" hidden="1" xlm="1">#NAME?</definedName>
    <definedName name="_xlpm.addr_a" hidden="1" xlm="1">#NAME?</definedName>
    <definedName name="_xlpm.addr_b" hidden="1" xlm="1">#NAME?</definedName>
    <definedName name="_xlpm.addr_bot" hidden="1" xlm="1">#NAME?</definedName>
    <definedName name="_xlpm.addr_col" hidden="1" xlm="1">#NAME?</definedName>
    <definedName name="_xlpm.addr_grid" hidden="1" xlm="1">#NAME?</definedName>
    <definedName name="_xlpm.addr_item" hidden="1" xlm="1">#NAME?</definedName>
    <definedName name="_xlpm.addr_left" hidden="1" xlm="1">#NAME?</definedName>
    <definedName name="_xlpm.addr_list" hidden="1" xlm="1">#NAME?</definedName>
    <definedName name="_xlpm.addr_mat" hidden="1" xlm="1">#NAME?</definedName>
    <definedName name="_xlpm.addr_or_value" hidden="1" xlm="1">#NAME?</definedName>
    <definedName name="_xlpm.addr_right" hidden="1" xlm="1">#NAME?</definedName>
    <definedName name="_xlpm.addr_str" hidden="1" xlm="1">#NAME?</definedName>
    <definedName name="_xlpm.addr_string" hidden="1" xlm="1">#NAME?</definedName>
    <definedName name="_xlpm.addr_to_rc" hidden="1" xlm="1">#NAME?</definedName>
    <definedName name="_xlpm.addr_top" hidden="1" xlm="1">#NAME?</definedName>
    <definedName name="_xlpm.addr_txt0" hidden="1" xlm="1">#NAME?</definedName>
    <definedName name="_xlpm.addr_txt1" hidden="1" xlm="1">#NAME?</definedName>
    <definedName name="_xlpm.address" hidden="1" xlm="1">#NAME?</definedName>
    <definedName name="_xlpm.addresses" hidden="1" xlm="1">#NAME?</definedName>
    <definedName name="_xlpm.addrs" hidden="1" xlm="1">#NAME?</definedName>
    <definedName name="_xlpm.adx" hidden="1" xlm="1">#NAME?</definedName>
    <definedName name="_xlpm.ady" hidden="1" xlm="1">#NAME?</definedName>
    <definedName name="_xlpm.after_num" hidden="1" xlm="1">#NAME?</definedName>
    <definedName name="_xlpm.al" hidden="1" xlm="1">#NAME?</definedName>
    <definedName name="_xlpm.alen" hidden="1" xlm="1">#NAME?</definedName>
    <definedName name="_xlpm.all" hidden="1" xlm="1">#NAME?</definedName>
    <definedName name="_xlpm.all_addresses" hidden="1" xlm="1">#NAME?</definedName>
    <definedName name="_xlpm.all_dirs" hidden="1" xlm="1">#NAME?</definedName>
    <definedName name="_xlpm.all_matches" hidden="1" xlm="1">#NAME?</definedName>
    <definedName name="_xlpm.all_numbers" hidden="1" xlm="1">#NAME?</definedName>
    <definedName name="_xlpm.all_states" hidden="1" xlm="1">#NAME?</definedName>
    <definedName name="_xlpm.all_values" hidden="1" xlm="1">#NAME?</definedName>
    <definedName name="_xlpm.allow" hidden="1" xlm="1">#NAME?</definedName>
    <definedName name="_xlpm.allow_diag" hidden="1" xlm="1">#NAME?</definedName>
    <definedName name="_xlpm.allow_mask" hidden="1" xlm="1">#NAME?</definedName>
    <definedName name="_xlpm.alphabet" hidden="1" xlm="1">#NAME?</definedName>
    <definedName name="_xlpm.amt" hidden="1" xlm="1">#NAME?</definedName>
    <definedName name="_xlpm.an" hidden="1" xlm="1">#NAME?</definedName>
    <definedName name="_xlpm.ans" hidden="1" xlm="1">#NAME?</definedName>
    <definedName name="_xlpm.apply_one" hidden="1" xlm="1">#NAME?</definedName>
    <definedName name="_xlpm.args_ok" hidden="1" xlm="1">#NAME?</definedName>
    <definedName name="_xlpm.arr" hidden="1" xlm="1">#NAME?</definedName>
    <definedName name="_xlpm.arr_" hidden="1" xlm="1">#NAME?</definedName>
    <definedName name="_xlpm.arr_col_rev" hidden="1" xlm="1">#NAME?</definedName>
    <definedName name="_xlpm.arr_norm" hidden="1" xlm="1">#NAME?</definedName>
    <definedName name="_xlpm.arr_row_rev" hidden="1" xlm="1">#NAME?</definedName>
    <definedName name="_xlpm.arr_with_a1" hidden="1" xlm="1">#NAME?</definedName>
    <definedName name="_xlpm.arr0" hidden="1" xlm="1">#NAME?</definedName>
    <definedName name="_xlpm.array" hidden="1" xlm="1">#NAME?</definedName>
    <definedName name="_xlpm.arrow" hidden="1" xlm="1">#NAME?</definedName>
    <definedName name="_xlpm.arrow_col" hidden="1" xlm="1">#NAME?</definedName>
    <definedName name="_xlpm.arrow_diag" hidden="1" xlm="1">#NAME?</definedName>
    <definedName name="_xlpm.arrow_horz" hidden="1" xlm="1">#NAME?</definedName>
    <definedName name="_xlpm.arrow_list" hidden="1" xlm="1">#NAME?</definedName>
    <definedName name="_xlpm.arrow_pos" hidden="1" xlm="1">#NAME?</definedName>
    <definedName name="_xlpm.arrow_rem" hidden="1" xlm="1">#NAME?</definedName>
    <definedName name="_xlpm.arrow_row" hidden="1" xlm="1">#NAME?</definedName>
    <definedName name="_xlpm.arrow_vert" hidden="1" xlm="1">#NAME?</definedName>
    <definedName name="_xlpm.ArrowCol" hidden="1" xlm="1">#NAME?</definedName>
    <definedName name="_xlpm.ArrowRow" hidden="1" xlm="1">#NAME?</definedName>
    <definedName name="_xlpm.arrows" hidden="1" xlm="1">#NAME?</definedName>
    <definedName name="_xlpm.as_col_mask" hidden="1" xlm="1">#NAME?</definedName>
    <definedName name="_xlpm.as_num" hidden="1" xlm="1">#NAME?</definedName>
    <definedName name="_xlpm.as_row" hidden="1" xlm="1">#NAME?</definedName>
    <definedName name="_xlpm.as_row_mask" hidden="1" xlm="1">#NAME?</definedName>
    <definedName name="_xlpm.as_row_val" hidden="1" xlm="1">#NAME?</definedName>
    <definedName name="_xlpm.as_str" hidden="1" xlm="1">#NAME?</definedName>
    <definedName name="_xlpm.av" hidden="1" xlm="1">#NAME?</definedName>
    <definedName name="_xlpm.b" hidden="1" xlm="1">#NAME?</definedName>
    <definedName name="_xlpm.b_flat" hidden="1" xlm="1">#NAME?</definedName>
    <definedName name="_xlpm.base" hidden="1" xlm="1">#NAME?</definedName>
    <definedName name="_xlpm.base_cost" hidden="1" xlm="1">#NAME?</definedName>
    <definedName name="_xlpm.base_costs" hidden="1" xlm="1">#NAME?</definedName>
    <definedName name="_xlpm.base_data" hidden="1" xlm="1">#NAME?</definedName>
    <definedName name="_xlpm.base_est" hidden="1" xlm="1">#NAME?</definedName>
    <definedName name="_xlpm.base_split" hidden="1" xlm="1">#NAME?</definedName>
    <definedName name="_xlpm.BColMax" hidden="1" xlm="1">#NAME?</definedName>
    <definedName name="_xlpm.BColMin" hidden="1" xlm="1">#NAME?</definedName>
    <definedName name="_xlpm.before" hidden="1" xlm="1">#NAME?</definedName>
    <definedName name="_xlpm.best" hidden="1" xlm="1">#NAME?</definedName>
    <definedName name="_xlpm.bestrem" hidden="1" xlm="1">#NAME?</definedName>
    <definedName name="_xlpm.between_text" hidden="1" xlm="1">#NAME?</definedName>
    <definedName name="_xlpm.BFS_STEP" hidden="1" xlm="1">#NAME?</definedName>
    <definedName name="_xlpm.bits" hidden="1" xlm="1">#NAME?</definedName>
    <definedName name="_xlpm.block" hidden="1" xlm="1">#NAME?</definedName>
    <definedName name="_xlpm.bnd" hidden="1" xlm="1">#NAME?</definedName>
    <definedName name="_xlpm.Board" hidden="1" xlm="1">#NAME?</definedName>
    <definedName name="_xlpm.board_rng" hidden="1" xlm="1">#NAME?</definedName>
    <definedName name="_xlpm.board_txt" hidden="1" xlm="1">#NAME?</definedName>
    <definedName name="_xlpm.bot" hidden="1" xlm="1">#NAME?</definedName>
    <definedName name="_xlpm.bottom" hidden="1" xlm="1">#NAME?</definedName>
    <definedName name="_xlpm.bottom_rel_row" hidden="1" xlm="1">#NAME?</definedName>
    <definedName name="_xlpm.bottom_row" hidden="1" xlm="1">#NAME?</definedName>
    <definedName name="_xlpm.bounce" hidden="1" xlm="1">#NAME?</definedName>
    <definedName name="_xlpm.bounce_mode" hidden="1" xlm="1">#NAME?</definedName>
    <definedName name="_xlpm.boundaries" hidden="1" xlm="1">#NAME?</definedName>
    <definedName name="_xlpm.boundary_rng" hidden="1" xlm="1">#NAME?</definedName>
    <definedName name="_xlpm.bounds" hidden="1" xlm="1">#NAME?</definedName>
    <definedName name="_xlpm.bounds_is_ref" hidden="1" xlm="1">#NAME?</definedName>
    <definedName name="_xlpm.bounds_ref" hidden="1" xlm="1">#NAME?</definedName>
    <definedName name="_xlpm.bounds_str" hidden="1" xlm="1">#NAME?</definedName>
    <definedName name="_xlpm.bounds_txt" hidden="1" xlm="1">#NAME?</definedName>
    <definedName name="_xlpm.box" hidden="1" xlm="1">#NAME?</definedName>
    <definedName name="_xlpm.box0" hidden="1" xlm="1">#NAME?</definedName>
    <definedName name="_xlpm.br" hidden="1" xlm="1">#NAME?</definedName>
    <definedName name="_xlpm.br_" hidden="1" xlm="1">#NAME?</definedName>
    <definedName name="_xlpm.br_rc" hidden="1" xlm="1">#NAME?</definedName>
    <definedName name="_xlpm.br_txt" hidden="1" xlm="1">#NAME?</definedName>
    <definedName name="_xlpm.BRowMax" hidden="1" xlm="1">#NAME?</definedName>
    <definedName name="_xlpm.BRowMin" hidden="1" xlm="1">#NAME?</definedName>
    <definedName name="_xlpm.bt" hidden="1" xlm="1">#NAME?</definedName>
    <definedName name="_xlpm.built_" hidden="1" xlm="1">#NAME?</definedName>
    <definedName name="_xlpm.c" hidden="1" xlm="1">#NAME?</definedName>
    <definedName name="_xlpm.c_" hidden="1" xlm="1">#NAME?</definedName>
    <definedName name="_xlpm.c_f" hidden="1" xlm="1">#NAME?</definedName>
    <definedName name="_xlpm.c_idx" hidden="1" xlm="1">#NAME?</definedName>
    <definedName name="_xlpm.c_left" hidden="1" xlm="1">#NAME?</definedName>
    <definedName name="_xlpm.c_off" hidden="1" xlm="1">#NAME?</definedName>
    <definedName name="_xlpm.c_right" hidden="1" xlm="1">#NAME?</definedName>
    <definedName name="_xlpm.c0" hidden="1" xlm="1">#NAME?</definedName>
    <definedName name="_xlpm.can_split" hidden="1" xlm="1">#NAME?</definedName>
    <definedName name="_xlpm.cand" hidden="1" xlm="1">#NAME?</definedName>
    <definedName name="_xlpm.candidate_costs" hidden="1" xlm="1">#NAME?</definedName>
    <definedName name="_xlpm.cap" hidden="1" xlm="1">#NAME?</definedName>
    <definedName name="_xlpm.case_sensitive" hidden="1" xlm="1">#NAME?</definedName>
    <definedName name="_xlpm.cc" hidden="1" xlm="1">#NAME?</definedName>
    <definedName name="_xlpm.cCount" hidden="1" xlm="1">#NAME?</definedName>
    <definedName name="_xlpm.cd" hidden="1" xlm="1">#NAME?</definedName>
    <definedName name="_xlpm.cd_" hidden="1" xlm="1">#NAME?</definedName>
    <definedName name="_xlpm.cdirs" hidden="1" xlm="1">#NAME?</definedName>
    <definedName name="_xlpm.cell" hidden="1" xlm="1">#NAME?</definedName>
    <definedName name="_xlpm.cell_at" hidden="1" xlm="1">#NAME?</definedName>
    <definedName name="_xlpm.cell_keys" hidden="1" xlm="1">#NAME?</definedName>
    <definedName name="_xlpm.cen" hidden="1" xlm="1">#NAME?</definedName>
    <definedName name="_xlpm.cen_col" hidden="1" xlm="1">#NAME?</definedName>
    <definedName name="_xlpm.cen_num" hidden="1" xlm="1">#NAME?</definedName>
    <definedName name="_xlpm.cen_row" hidden="1" xlm="1">#NAME?</definedName>
    <definedName name="_xlpm.center" hidden="1" xlm="1">#NAME?</definedName>
    <definedName name="_xlpm.center_ad" hidden="1" xlm="1">#NAME?</definedName>
    <definedName name="_xlpm.center_col" hidden="1" xlm="1">#NAME?</definedName>
    <definedName name="_xlpm.center_rc" hidden="1" xlm="1">#NAME?</definedName>
    <definedName name="_xlpm.center_ref" hidden="1" xlm="1">#NAME?</definedName>
    <definedName name="_xlpm.center_ref_str" hidden="1" xlm="1">#NAME?</definedName>
    <definedName name="_xlpm.center_row" hidden="1" xlm="1">#NAME?</definedName>
    <definedName name="_xlpm.ch" hidden="1" xlm="1">#NAME?</definedName>
    <definedName name="_xlpm.char" hidden="1" xlm="1">#NAME?</definedName>
    <definedName name="_xlpm.char_at" hidden="1" xlm="1">#NAME?</definedName>
    <definedName name="_xlpm.char_count" hidden="1" xlm="1">#NAME?</definedName>
    <definedName name="_xlpm.char_one" hidden="1" xlm="1">#NAME?</definedName>
    <definedName name="_xlpm.char_values" hidden="1" xlm="1">#NAME?</definedName>
    <definedName name="_xlpm.chars" hidden="1" xlm="1">#NAME?</definedName>
    <definedName name="_xlpm.chars_" hidden="1" xlm="1">#NAME?</definedName>
    <definedName name="_xlpm.check" hidden="1" xlm="1">#NAME?</definedName>
    <definedName name="_xlpm.chosen" hidden="1" xlm="1">#NAME?</definedName>
    <definedName name="_xlpm.chs" hidden="1" xlm="1">#NAME?</definedName>
    <definedName name="_xlpm.ci" hidden="1" xlm="1">#NAME?</definedName>
    <definedName name="_xlpm.ci_" hidden="1" xlm="1">#NAME?</definedName>
    <definedName name="_xlpm.cj" hidden="1" xlm="1">#NAME?</definedName>
    <definedName name="_xlpm.cl" hidden="1" xlm="1">#NAME?</definedName>
    <definedName name="_xlpm.clamp_one" hidden="1" xlm="1">#NAME?</definedName>
    <definedName name="_xlpm.clean" hidden="1" xlm="1">#NAME?</definedName>
    <definedName name="_xlpm.clean_edges" hidden="1" xlm="1">#NAME?</definedName>
    <definedName name="_xlpm.clean_flag" hidden="1" xlm="1">#NAME?</definedName>
    <definedName name="_xlpm.clean_input" hidden="1" xlm="1">#NAME?</definedName>
    <definedName name="_xlpm.cleaned" hidden="1" xlm="1">#NAME?</definedName>
    <definedName name="_xlpm.cleaned_text" hidden="1" xlm="1">#NAME?</definedName>
    <definedName name="_xlpm.cLet" hidden="1" xlm="1">#NAME?</definedName>
    <definedName name="_xlpm.cln" hidden="1" xlm="1">#NAME?</definedName>
    <definedName name="_xlpm.clockwise" hidden="1" xlm="1">#NAME?</definedName>
    <definedName name="_xlpm.cMap" hidden="1" xlm="1">#NAME?</definedName>
    <definedName name="_xlpm.cmax" hidden="1" xlm="1">#NAME?</definedName>
    <definedName name="_xlpm.cmin" hidden="1" xlm="1">#NAME?</definedName>
    <definedName name="_xlpm.cnr_" hidden="1" xlm="1">#NAME?</definedName>
    <definedName name="_xlpm.cnt" hidden="1" xlm="1">#NAME?</definedName>
    <definedName name="_xlpm.cNum" hidden="1" xlm="1">#NAME?</definedName>
    <definedName name="_xlpm.co" hidden="1" xlm="1">#NAME?</definedName>
    <definedName name="_xlpm.code" hidden="1" xlm="1">#NAME?</definedName>
    <definedName name="_xlpm.codes" hidden="1" xlm="1">#NAME?</definedName>
    <definedName name="_xlpm.coin" hidden="1" xlm="1">#NAME?</definedName>
    <definedName name="_xlpm.coins" hidden="1" xlm="1">#NAME?</definedName>
    <definedName name="_xlpm.col" hidden="1" xlm="1">#NAME?</definedName>
    <definedName name="_xlpm.col_" hidden="1" xlm="1">#NAME?</definedName>
    <definedName name="_xlpm.col_1" hidden="1" xlm="1">#NAME?</definedName>
    <definedName name="_xlpm.col_2" hidden="1" xlm="1">#NAME?</definedName>
    <definedName name="_xlpm.col_abs" hidden="1" xlm="1">#NAME?</definedName>
    <definedName name="_xlpm.col_count" hidden="1" xlm="1">#NAME?</definedName>
    <definedName name="_xlpm.col_d" hidden="1" xlm="1">#NAME?</definedName>
    <definedName name="_xlpm.col_delimiter" hidden="1" xlm="1">#NAME?</definedName>
    <definedName name="_xlpm.col_delta" hidden="1" xlm="1">#NAME?</definedName>
    <definedName name="_xlpm.col_diff" hidden="1" xlm="1">#NAME?</definedName>
    <definedName name="_xlpm.col_end" hidden="1" xlm="1">#NAME?</definedName>
    <definedName name="_xlpm.col_flat" hidden="1" xlm="1">#NAME?</definedName>
    <definedName name="_xlpm.col_from_letters" hidden="1" xlm="1">#NAME?</definedName>
    <definedName name="_xlpm.col_idx" hidden="1" xlm="1">#NAME?</definedName>
    <definedName name="_xlpm.col_index" hidden="1" xlm="1">#NAME?</definedName>
    <definedName name="_xlpm.col_ix" hidden="1" xlm="1">#NAME?</definedName>
    <definedName name="_xlpm.col_len" hidden="1" xlm="1">#NAME?</definedName>
    <definedName name="_xlpm.col_letters" hidden="1" xlm="1">#NAME?</definedName>
    <definedName name="_xlpm.col_limit" hidden="1" xlm="1">#NAME?</definedName>
    <definedName name="_xlpm.col_list" hidden="1" xlm="1">#NAME?</definedName>
    <definedName name="_xlpm.col_mask" hidden="1" xlm="1">#NAME?</definedName>
    <definedName name="_xlpm.col_max" hidden="1" xlm="1">#NAME?</definedName>
    <definedName name="_xlpm.col_min" hidden="1" xlm="1">#NAME?</definedName>
    <definedName name="_xlpm.col_n" hidden="1" xlm="1">#NAME?</definedName>
    <definedName name="_xlpm.col_num" hidden="1" xlm="1">#NAME?</definedName>
    <definedName name="_xlpm.col_number" hidden="1" xlm="1">#NAME?</definedName>
    <definedName name="_xlpm.col_off" hidden="1" xlm="1">#NAME?</definedName>
    <definedName name="_xlpm.col_part" hidden="1" xlm="1">#NAME?</definedName>
    <definedName name="_xlpm.col_remain" hidden="1" xlm="1">#NAME?</definedName>
    <definedName name="_xlpm.col_rev_flat" hidden="1" xlm="1">#NAME?</definedName>
    <definedName name="_xlpm.col_seq" hidden="1" xlm="1">#NAME?</definedName>
    <definedName name="_xlpm.col_snake" hidden="1" xlm="1">#NAME?</definedName>
    <definedName name="_xlpm.col_start" hidden="1" xlm="1">#NAME?</definedName>
    <definedName name="_xlpm.col_steps" hidden="1" xlm="1">#NAME?</definedName>
    <definedName name="_xlpm.col_str" hidden="1" xlm="1">#NAME?</definedName>
    <definedName name="_xlpm.col_strings" hidden="1" xlm="1">#NAME?</definedName>
    <definedName name="_xlpm.col_txt" hidden="1" xlm="1">#NAME?</definedName>
    <definedName name="_xlpm.cols" hidden="1" xlm="1">#NAME?</definedName>
    <definedName name="_xlpm.cols_cnt" hidden="1" xlm="1">#NAME?</definedName>
    <definedName name="_xlpm.cols_n" hidden="1" xlm="1">#NAME?</definedName>
    <definedName name="_xlpm.column_label" hidden="1" xlm="1">#NAME?</definedName>
    <definedName name="_xlpm.column_letters" hidden="1" xlm="1">#NAME?</definedName>
    <definedName name="_xlpm.column_number" hidden="1" xlm="1">#NAME?</definedName>
    <definedName name="_xlpm.comb" hidden="1" xlm="1">#NAME?</definedName>
    <definedName name="_xlpm.comb_mask" hidden="1" xlm="1">#NAME?</definedName>
    <definedName name="_xlpm.comma_pos" hidden="1" xlm="1">#NAME?</definedName>
    <definedName name="_xlpm.cont" hidden="1" xlm="1">#NAME?</definedName>
    <definedName name="_xlpm.convert_one" hidden="1" xlm="1">#NAME?</definedName>
    <definedName name="_xlpm.coords1" hidden="1" xlm="1">#NAME?</definedName>
    <definedName name="_xlpm.coords2" hidden="1" xlm="1">#NAME?</definedName>
    <definedName name="_xlpm.core_result" hidden="1" xlm="1">#NAME?</definedName>
    <definedName name="_xlpm.corner_br" hidden="1" xlm="1">#NAME?</definedName>
    <definedName name="_xlpm.corner_tl" hidden="1" xlm="1">#NAME?</definedName>
    <definedName name="_xlpm.cost" hidden="1" xlm="1">#NAME?</definedName>
    <definedName name="_xlpm.cost_map" hidden="1" xlm="1">#NAME?</definedName>
    <definedName name="_xlpm.costs" hidden="1" xlm="1">#NAME?</definedName>
    <definedName name="_xlpm.count_" hidden="1" xlm="1">#NAME?</definedName>
    <definedName name="_xlpm.count_fx" hidden="1" xlm="1">#NAME?</definedName>
    <definedName name="_xlpm.count_matches" hidden="1" xlm="1">#NAME?</definedName>
    <definedName name="_xlpm.count_one" hidden="1" xlm="1">#NAME?</definedName>
    <definedName name="_xlpm.count_orig" hidden="1" xlm="1">#NAME?</definedName>
    <definedName name="_xlpm.count_sorted" hidden="1" xlm="1">#NAME?</definedName>
    <definedName name="_xlpm.countdown_n" hidden="1" xlm="1">#NAME?</definedName>
    <definedName name="_xlpm.COUNTONE" hidden="1" xlm="1">#NAME?</definedName>
    <definedName name="_xlpm.counts_row" hidden="1" xlm="1">#NAME?</definedName>
    <definedName name="_xlpm.cr" hidden="1" xlm="1">#NAME?</definedName>
    <definedName name="_xlpm.cr_" hidden="1" xlm="1">#NAME?</definedName>
    <definedName name="_xlpm.crit" hidden="1" xlm="1">#NAME?</definedName>
    <definedName name="_xlpm.crite" hidden="1" xlm="1">#NAME?</definedName>
    <definedName name="_xlpm.criter" hidden="1" xlm="1">#NAME?</definedName>
    <definedName name="_xlpm.criteri" hidden="1" xlm="1">#NAME?</definedName>
    <definedName name="_xlpm.criteria" hidden="1" xlm="1">#NAME?</definedName>
    <definedName name="_xlpm.critr" hidden="1" xlm="1">#NAME?</definedName>
    <definedName name="_xlpm.critrt" hidden="1" xlm="1">#NAME?</definedName>
    <definedName name="_xlpm.critrti" hidden="1" xlm="1">#NAME?</definedName>
    <definedName name="_xlpm.critrtia" hidden="1" xlm="1">#NAME?</definedName>
    <definedName name="_xlpm.critrtis" hidden="1" xlm="1">#NAME?</definedName>
    <definedName name="_xlpm.cs" hidden="1" xlm="1">#NAME?</definedName>
    <definedName name="_xlpm.ct" hidden="1" xlm="1">#NAME?</definedName>
    <definedName name="_xlpm.cum" hidden="1" xlm="1">#NAME?</definedName>
    <definedName name="_xlpm.cur" hidden="1" xlm="1">#NAME?</definedName>
    <definedName name="_xlpm.cur_a" hidden="1" xlm="1">#NAME?</definedName>
    <definedName name="_xlpm.cur_b" hidden="1" xlm="1">#NAME?</definedName>
    <definedName name="_xlpm.cur_c" hidden="1" xlm="1">#NAME?</definedName>
    <definedName name="_xlpm.cur_col" hidden="1" xlm="1">#NAME?</definedName>
    <definedName name="_xlpm.cur_col_step" hidden="1" xlm="1">#NAME?</definedName>
    <definedName name="_xlpm.cur_row" hidden="1" xlm="1">#NAME?</definedName>
    <definedName name="_xlpm.cur_row_step" hidden="1" xlm="1">#NAME?</definedName>
    <definedName name="_xlpm.curr" hidden="1" xlm="1">#NAME?</definedName>
    <definedName name="_xlpm.curr_x" hidden="1" xlm="1">#NAME?</definedName>
    <definedName name="_xlpm.curr_y" hidden="1" xlm="1">#NAME?</definedName>
    <definedName name="_xlpm.current_row" hidden="1" xlm="1">#NAME?</definedName>
    <definedName name="_xlpm.cval" hidden="1" xlm="1">#NAME?</definedName>
    <definedName name="_xlpm.cVals" hidden="1" xlm="1">#NAME?</definedName>
    <definedName name="_xlpm.cvec" hidden="1" xlm="1">#NAME?</definedName>
    <definedName name="_xlpm.d" hidden="1" xlm="1">#NAME?</definedName>
    <definedName name="_xlpm.d_col" hidden="1" xlm="1">#NAME?</definedName>
    <definedName name="_xlpm.d_row" hidden="1" xlm="1">#NAME?</definedName>
    <definedName name="_xlpm.dAllowed" hidden="1" xlm="1">#NAME?</definedName>
    <definedName name="_xlpm.data" hidden="1" xlm="1">#NAME?</definedName>
    <definedName name="_xlpm.data_rng" hidden="1" xlm="1">#NAME?</definedName>
    <definedName name="_xlpm.dc" hidden="1" xlm="1">#NAME?</definedName>
    <definedName name="_xlpm.dcol" hidden="1" xlm="1">#NAME?</definedName>
    <definedName name="_xlpm.dd" hidden="1" xlm="1">#NAME?</definedName>
    <definedName name="_xlpm.DECON" hidden="1" xlm="1">#NAME?</definedName>
    <definedName name="_xlpm.DECONSTRUCT" hidden="1" xlm="1">#NAME?</definedName>
    <definedName name="_xlpm.DefaultBoard" hidden="1" xlm="1">#NAME?</definedName>
    <definedName name="_xlpm.DefaultPushMode" hidden="1" xlm="1">#NAME?</definedName>
    <definedName name="_xlpm.DefaultSteps" hidden="1" xlm="1">#NAME?</definedName>
    <definedName name="_xlpm.delim" hidden="1" xlm="1">#NAME?</definedName>
    <definedName name="_xlpm.delta" hidden="1" xlm="1">#NAME?</definedName>
    <definedName name="_xlpm.delta_c" hidden="1" xlm="1">#NAME?</definedName>
    <definedName name="_xlpm.delta_r" hidden="1" xlm="1">#NAME?</definedName>
    <definedName name="_xlpm.di" hidden="1" xlm="1">#NAME?</definedName>
    <definedName name="_xlpm.diag" hidden="1" xlm="1">#NAME?</definedName>
    <definedName name="_xlpm.diag_allowed" hidden="1" xlm="1">#NAME?</definedName>
    <definedName name="_xlpm.diag_arrow" hidden="1" xlm="1">#NAME?</definedName>
    <definedName name="_xlpm.diag_dist" hidden="1" xlm="1">#NAME?</definedName>
    <definedName name="_xlpm.diag_mask" hidden="1" xlm="1">#NAME?</definedName>
    <definedName name="_xlpm.diag_steps" hidden="1" xlm="1">#NAME?</definedName>
    <definedName name="_xlpm.diagonal_allowed" hidden="1" xlm="1">#NAME?</definedName>
    <definedName name="_xlpm.diagonalsDefTRUE" hidden="1" xlm="1">#NAME?</definedName>
    <definedName name="_xlpm.digits" hidden="1" xlm="1">#NAME?</definedName>
    <definedName name="_xlpm.dir" hidden="1" xlm="1">#NAME?</definedName>
    <definedName name="_xlpm.dir_count" hidden="1" xlm="1">#NAME?</definedName>
    <definedName name="_xlpm.dir_index" hidden="1" xlm="1">#NAME?</definedName>
    <definedName name="_xlpm.dir_ix" hidden="1" xlm="1">#NAME?</definedName>
    <definedName name="_xlpm.dir_list" hidden="1" xlm="1">#NAME?</definedName>
    <definedName name="_xlpm.dir_norm" hidden="1" xlm="1">#NAME?</definedName>
    <definedName name="_xlpm.dir_text" hidden="1" xlm="1">#NAME?</definedName>
    <definedName name="_xlpm.dir_values" hidden="1" xlm="1">#NAME?</definedName>
    <definedName name="_xlpm.dirs" hidden="1" xlm="1">#NAME?</definedName>
    <definedName name="_xlpm.dist" hidden="1" xlm="1">#NAME?</definedName>
    <definedName name="_xlpm.dist_mat" hidden="1" xlm="1">#NAME?</definedName>
    <definedName name="_xlpm.dist_vals" hidden="1" xlm="1">#NAME?</definedName>
    <definedName name="_xlpm.distinct_mask" hidden="1" xlm="1">#NAME?</definedName>
    <definedName name="_xlpm.dMap" hidden="1" xlm="1">#NAME?</definedName>
    <definedName name="_xlpm.dr" hidden="1" xlm="1">#NAME?</definedName>
    <definedName name="_xlpm.drow" hidden="1" xlm="1">#NAME?</definedName>
    <definedName name="_xlpm.ds" hidden="1" xlm="1">#NAME?</definedName>
    <definedName name="_xlpm.dtype" hidden="1" xlm="1">#NAME?</definedName>
    <definedName name="_xlpm.du" hidden="1" xlm="1">#NAME?</definedName>
    <definedName name="_xlpm.dx" hidden="1" xlm="1">#NAME?</definedName>
    <definedName name="_xlpm.dx_0" hidden="1" xlm="1">#NAME?</definedName>
    <definedName name="_xlpm.dx0" hidden="1" xlm="1">#NAME?</definedName>
    <definedName name="_xlpm.dy" hidden="1" xlm="1">#NAME?</definedName>
    <definedName name="_xlpm.dy0" hidden="1" xlm="1">#NAME?</definedName>
    <definedName name="_xlpm.e" hidden="1" xlm="1">#NAME?</definedName>
    <definedName name="_xlpm.each_rep" hidden="1" xlm="1">#NAME?</definedName>
    <definedName name="_xlpm.edge" hidden="1" xlm="1">#NAME?</definedName>
    <definedName name="_xlpm.edge_costs" hidden="1" xlm="1">#NAME?</definedName>
    <definedName name="_xlpm.eff_delim" hidden="1" xlm="1">#NAME?</definedName>
    <definedName name="_xlpm.elt_" hidden="1" xlm="1">#NAME?</definedName>
    <definedName name="_xlpm.end_ad" hidden="1" xlm="1">#NAME?</definedName>
    <definedName name="_xlpm.end_cell" hidden="1" xlm="1">#NAME?</definedName>
    <definedName name="_xlpm.end_col" hidden="1" xlm="1">#NAME?</definedName>
    <definedName name="_xlpm.end_coords" hidden="1" xlm="1">#NAME?</definedName>
    <definedName name="_xlpm.end_num" hidden="1" xlm="1">#NAME?</definedName>
    <definedName name="_xlpm.end_pos" hidden="1" xlm="1">#NAME?</definedName>
    <definedName name="_xlpm.end_ref" hidden="1" xlm="1">#NAME?</definedName>
    <definedName name="_xlpm.end_row" hidden="1" xlm="1">#NAME?</definedName>
    <definedName name="_xlpm.end_x" hidden="1" xlm="1">#NAME?</definedName>
    <definedName name="_xlpm.end_y" hidden="1" xlm="1">#NAME?</definedName>
    <definedName name="_xlpm.EndCol" hidden="1" xlm="1">#NAME?</definedName>
    <definedName name="_xlpm.EndRef" hidden="1" xlm="1">#NAME?</definedName>
    <definedName name="_xlpm.EndRow" hidden="1" xlm="1">#NAME?</definedName>
    <definedName name="_xlpm.extract_between" hidden="1" xlm="1">#NAME?</definedName>
    <definedName name="_xlpm.extract_fx" hidden="1" xlm="1">#NAME?</definedName>
    <definedName name="_xlpm.extracted" hidden="1" xlm="1">#NAME?</definedName>
    <definedName name="_xlpm.extracted_parts" hidden="1" xlm="1">#NAME?</definedName>
    <definedName name="_xlpm.f" hidden="1" xlm="1">#NAME?</definedName>
    <definedName name="_xlpm.f_1" hidden="1" xlm="1">#NAME?</definedName>
    <definedName name="_xlpm.f_2" hidden="1" xlm="1">#NAME?</definedName>
    <definedName name="_xlpm.f_3" hidden="1" xlm="1">#NAME?</definedName>
    <definedName name="_xlpm.f_4" hidden="1" xlm="1">#NAME?</definedName>
    <definedName name="_xlpm.f_5" hidden="1" xlm="1">#NAME?</definedName>
    <definedName name="_xlpm.f_c" hidden="1" xlm="1">#NAME?</definedName>
    <definedName name="_xlpm.f_r" hidden="1" xlm="1">#NAME?</definedName>
    <definedName name="_xlpm.fc" hidden="1" xlm="1">#NAME?</definedName>
    <definedName name="_xlpm.fill" hidden="1" xlm="1">#NAME?</definedName>
    <definedName name="_xlpm.filt2" hidden="1" xlm="1">#NAME?</definedName>
    <definedName name="_xlpm.filt3" hidden="1" xlm="1">#NAME?</definedName>
    <definedName name="_xlpm.filt4" hidden="1" xlm="1">#NAME?</definedName>
    <definedName name="_xlpm.filt5" hidden="1" xlm="1">#NAME?</definedName>
    <definedName name="_xlpm.filtArr" hidden="1" xlm="1">#NAME?</definedName>
    <definedName name="_xlpm.first" hidden="1" xlm="1">#NAME?</definedName>
    <definedName name="_xlpm.first_" hidden="1" xlm="1">#NAME?</definedName>
    <definedName name="_xlpm.first_a1" hidden="1" xlm="1">#NAME?</definedName>
    <definedName name="_xlpm.first_abs_col" hidden="1" xlm="1">#NAME?</definedName>
    <definedName name="_xlpm.first_abs_row" hidden="1" xlm="1">#NAME?</definedName>
    <definedName name="_xlpm.first_ad" hidden="1" xlm="1">#NAME?</definedName>
    <definedName name="_xlpm.first_char" hidden="1" xlm="1">#NAME?</definedName>
    <definedName name="_xlpm.first_col" hidden="1" xlm="1">#NAME?</definedName>
    <definedName name="_xlpm.first_dir" hidden="1" xlm="1">#NAME?</definedName>
    <definedName name="_xlpm.first_matches" hidden="1" xlm="1">#NAME?</definedName>
    <definedName name="_xlpm.first_num" hidden="1" xlm="1">#NAME?</definedName>
    <definedName name="_xlpm.first_pt" hidden="1" xlm="1">#NAME?</definedName>
    <definedName name="_xlpm.first_rel_col" hidden="1" xlm="1">#NAME?</definedName>
    <definedName name="_xlpm.first_rel_row" hidden="1" xlm="1">#NAME?</definedName>
    <definedName name="_xlpm.first_row" hidden="1" xlm="1">#NAME?</definedName>
    <definedName name="_xlpm.first_txt" hidden="1" xlm="1">#NAME?</definedName>
    <definedName name="_xlpm.flat" hidden="1" xlm="1">#NAME?</definedName>
    <definedName name="_xlpm.flat_" hidden="1" xlm="1">#NAME?</definedName>
    <definedName name="_xlpm.flat_addrs" hidden="1" xlm="1">#NAME?</definedName>
    <definedName name="_xlpm.flat_vals" hidden="1" xlm="1">#NAME?</definedName>
    <definedName name="_xlpm.flatArr" hidden="1" xlm="1">#NAME?</definedName>
    <definedName name="_xlpm.flatten" hidden="1" xlm="1">#NAME?</definedName>
    <definedName name="_xlpm.flattened" hidden="1" xlm="1">#NAME?</definedName>
    <definedName name="_xlpm.flipped" hidden="1" xlm="1">#NAME?</definedName>
    <definedName name="_xlpm.fn" hidden="1" xlm="1">#NAME?</definedName>
    <definedName name="_xlpm.fn_convert" hidden="1" xlm="1">#NAME?</definedName>
    <definedName name="_xlpm.found_val" hidden="1" xlm="1">#NAME?</definedName>
    <definedName name="_xlpm.freq" hidden="1" xlm="1">#NAME?</definedName>
    <definedName name="_xlpm.from_cell" hidden="1" xlm="1">#NAME?</definedName>
    <definedName name="_xlpm.from_cells" hidden="1" xlm="1">#NAME?</definedName>
    <definedName name="_xlpm.frontier" hidden="1" xlm="1">#NAME?</definedName>
    <definedName name="_xlpm.fsnF" hidden="1" xlm="1">#NAME?</definedName>
    <definedName name="_xlpm.fsnFrontier" hidden="1" xlm="1">#NAME?</definedName>
    <definedName name="_xlpm.ftd_lambda" hidden="1" xlm="1">#NAME?</definedName>
    <definedName name="_xlpm.function" hidden="1" xlm="1">#NAME?</definedName>
    <definedName name="_xlpm.fx" hidden="1" xlm="1">#NAME?</definedName>
    <definedName name="_xlpm.g" hidden="1" xlm="1">#NAME?</definedName>
    <definedName name="_xlpm.get_cell" hidden="1" xlm="1">#NAME?</definedName>
    <definedName name="_xlpm.get_col" hidden="1" xlm="1">#NAME?</definedName>
    <definedName name="_xlpm.get_one" hidden="1" xlm="1">#NAME?</definedName>
    <definedName name="_xlpm.get_rect" hidden="1" xlm="1">#NAME?</definedName>
    <definedName name="_xlpm.get_row" hidden="1" xlm="1">#NAME?</definedName>
    <definedName name="_xlpm.grid" hidden="1" xlm="1">#NAME?</definedName>
    <definedName name="_xlpm.grid2" hidden="1" xlm="1">#NAME?</definedName>
    <definedName name="_xlpm.grid3" hidden="1" xlm="1">#NAME?</definedName>
    <definedName name="_xlpm.grid4" hidden="1" xlm="1">#NAME?</definedName>
    <definedName name="_xlpm.grow_down" hidden="1" xlm="1">#NAME?</definedName>
    <definedName name="_xlpm.grow_left" hidden="1" xlm="1">#NAME?</definedName>
    <definedName name="_xlpm.grow_right" hidden="1" xlm="1">#NAME?</definedName>
    <definedName name="_xlpm.grow_up" hidden="1" xlm="1">#NAME?</definedName>
    <definedName name="_xlpm.gunit" hidden="1" xlm="1">#NAME?</definedName>
    <definedName name="_xlpm.h_arr" hidden="1" xlm="1">#NAME?</definedName>
    <definedName name="_xlpm.has_any" hidden="1" xlm="1">#NAME?</definedName>
    <definedName name="_xlpm.has_b" hidden="1" xlm="1">#NAME?</definedName>
    <definedName name="_xlpm.has_bounds" hidden="1" xlm="1">#NAME?</definedName>
    <definedName name="_xlpm.has_colon" hidden="1" xlm="1">#NAME?</definedName>
    <definedName name="_xlpm.has_horz" hidden="1" xlm="1">#NAME?</definedName>
    <definedName name="_xlpm.has_vert" hidden="1" xlm="1">#NAME?</definedName>
    <definedName name="_xlpm.hb" hidden="1" xlm="1">#NAME?</definedName>
    <definedName name="_xlpm.height" hidden="1" xlm="1">#NAME?</definedName>
    <definedName name="_xlpm.hi" hidden="1" xlm="1">#NAME?</definedName>
    <definedName name="_xlpm.high" hidden="1" xlm="1">#NAME?</definedName>
    <definedName name="_xlpm.hit" hidden="1" xlm="1">#NAME?</definedName>
    <definedName name="_xlpm.hit_count" hidden="1" xlm="1">#NAME?</definedName>
    <definedName name="_xlpm.hit_stop" hidden="1" xlm="1">#NAME?</definedName>
    <definedName name="_xlpm.hits" hidden="1" xlm="1">#NAME?</definedName>
    <definedName name="_xlpm.horizontal_arrow" hidden="1" xlm="1">#NAME?</definedName>
    <definedName name="_xlpm.horz_arrow" hidden="1" xlm="1">#NAME?</definedName>
    <definedName name="_xlpm.ht" hidden="1" xlm="1">#NAME?</definedName>
    <definedName name="_xlpm.i" hidden="1" xlm="1">#NAME?</definedName>
    <definedName name="_xlpm.i_" hidden="1" xlm="1">#NAME?</definedName>
    <definedName name="_xlpm.i_bot" hidden="1" xlm="1">#NAME?</definedName>
    <definedName name="_xlpm.i_code" hidden="1" xlm="1">#NAME?</definedName>
    <definedName name="_xlpm.i_left" hidden="1" xlm="1">#NAME?</definedName>
    <definedName name="_xlpm.i_lft" hidden="1" xlm="1">#NAME?</definedName>
    <definedName name="_xlpm.i_num" hidden="1" xlm="1">#NAME?</definedName>
    <definedName name="_xlpm.i_rgt" hidden="1" xlm="1">#NAME?</definedName>
    <definedName name="_xlpm.i_right" hidden="1" xlm="1">#NAME?</definedName>
    <definedName name="_xlpm.i_top" hidden="1" xlm="1">#NAME?</definedName>
    <definedName name="_xlpm.idx" hidden="1" xlm="1">#NAME?</definedName>
    <definedName name="_xlpm.idx_" hidden="1" xlm="1">#NAME?</definedName>
    <definedName name="_xlpm.idx_f" hidden="1" xlm="1">#NAME?</definedName>
    <definedName name="_xlpm.iMap" hidden="1" xlm="1">#NAME?</definedName>
    <definedName name="_xlpm.improvements" hidden="1" xlm="1">#NAME?</definedName>
    <definedName name="_xlpm.in" hidden="1" xlm="1">#NAME?</definedName>
    <definedName name="_xlpm.in_b" hidden="1" xlm="1">#NAME?</definedName>
    <definedName name="_xlpm.in_bounds" hidden="1" xlm="1">#NAME?</definedName>
    <definedName name="_xlpm.inb" hidden="1" xlm="1">#NAME?</definedName>
    <definedName name="_xlpm.inc" hidden="1" xlm="1">#NAME?</definedName>
    <definedName name="_xlpm.inf" hidden="1" xlm="1">#NAME?</definedName>
    <definedName name="_xlpm.inferred_delim" hidden="1" xlm="1">#NAME?</definedName>
    <definedName name="_xlpm.infinity" hidden="1" xlm="1">#NAME?</definedName>
    <definedName name="_xlpm.init" hidden="1" xlm="1">#NAME?</definedName>
    <definedName name="_xlpm.initial_costs" hidden="1" xlm="1">#NAME?</definedName>
    <definedName name="_xlpm.inner_n" hidden="1" xlm="1">#NAME?</definedName>
    <definedName name="_xlpm.input_array" hidden="1" xlm="1">#NAME?</definedName>
    <definedName name="_xlpm.input_is_array" hidden="1" xlm="1">#NAME?</definedName>
    <definedName name="_xlpm.input_lc" hidden="1" xlm="1">#NAME?</definedName>
    <definedName name="_xlpm.input_range" hidden="1" xlm="1">#NAME?</definedName>
    <definedName name="_xlpm.input_string" hidden="1" xlm="1">#NAME?</definedName>
    <definedName name="_xlpm.input_text" hidden="1" xlm="1">#NAME?</definedName>
    <definedName name="_xlpm.inside" hidden="1" xlm="1">#NAME?</definedName>
    <definedName name="_xlpm.inside_cols" hidden="1" xlm="1">#NAME?</definedName>
    <definedName name="_xlpm.inside_rows" hidden="1" xlm="1">#NAME?</definedName>
    <definedName name="_xlpm.is_horz" hidden="1" xlm="1">#NAME?</definedName>
    <definedName name="_xlpm.is_l" hidden="1" xlm="1">#NAME?</definedName>
    <definedName name="_xlpm.is_rng" hidden="1" xlm="1">#NAME?</definedName>
    <definedName name="_xlpm.is_scalar" hidden="1" xlm="1">#NAME?</definedName>
    <definedName name="_xlpm.is_text_or_num" hidden="1" xlm="1">#NAME?</definedName>
    <definedName name="_xlpm.is_u" hidden="1" xlm="1">#NAME?</definedName>
    <definedName name="_xlpm.is_valid" hidden="1" xlm="1">#NAME?</definedName>
    <definedName name="_xlpm.is_vert" hidden="1" xlm="1">#NAME?</definedName>
    <definedName name="_xlpm.isDie" hidden="1" xlm="1">#NAME?</definedName>
    <definedName name="_xlpm.isL" hidden="1" xlm="1">#NAME?</definedName>
    <definedName name="_xlpm.isU" hidden="1" xlm="1">#NAME?</definedName>
    <definedName name="_xlpm.item" hidden="1" xlm="1">#NAME?</definedName>
    <definedName name="_xlpm.item_text" hidden="1" xlm="1">#NAME?</definedName>
    <definedName name="_xlpm.items" hidden="1" xlm="1">#NAME?</definedName>
    <definedName name="_xlpm.iters" hidden="1" xlm="1">#NAME?</definedName>
    <definedName name="_xlpm.j" hidden="1" xlm="1">#NAME?</definedName>
    <definedName name="_xlpm.k" hidden="1" xlm="1">#NAME?</definedName>
    <definedName name="_xlpm.k_" hidden="1" xlm="1">#NAME?</definedName>
    <definedName name="_xlpm.keep" hidden="1" xlm="1">#NAME?</definedName>
    <definedName name="_xlpm.keep_" hidden="1" xlm="1">#NAME?</definedName>
    <definedName name="_xlpm.keep_mask" hidden="1" xlm="1">#NAME?</definedName>
    <definedName name="_xlpm.keep_rows" hidden="1" xlm="1">#NAME?</definedName>
    <definedName name="_xlpm.kmin" hidden="1" xlm="1">#NAME?</definedName>
    <definedName name="_xlpm.l_a" hidden="1" xlm="1">#NAME?</definedName>
    <definedName name="_xlpm.l_c" hidden="1" xlm="1">#NAME?</definedName>
    <definedName name="_xlpm.l_r" hidden="1" xlm="1">#NAME?</definedName>
    <definedName name="_xlpm.label" hidden="1" xlm="1">#NAME?</definedName>
    <definedName name="_xlpm.Laddresses" hidden="1" xlm="1">#NAME?</definedName>
    <definedName name="_xlpm.lambda_a" hidden="1" xlm="1">#NAME?</definedName>
    <definedName name="_xlpm.lambda_b" hidden="1" xlm="1">#NAME?</definedName>
    <definedName name="_xlpm.lambda_c" hidden="1" xlm="1">#NAME?</definedName>
    <definedName name="_xlpm.last" hidden="1" xlm="1">#NAME?</definedName>
    <definedName name="_xlpm.last_a1" hidden="1" xlm="1">#NAME?</definedName>
    <definedName name="_xlpm.last_abs_col" hidden="1" xlm="1">#NAME?</definedName>
    <definedName name="_xlpm.last_abs_row" hidden="1" xlm="1">#NAME?</definedName>
    <definedName name="_xlpm.last_ad" hidden="1" xlm="1">#NAME?</definedName>
    <definedName name="_xlpm.last_col" hidden="1" xlm="1">#NAME?</definedName>
    <definedName name="_xlpm.last_num" hidden="1" xlm="1">#NAME?</definedName>
    <definedName name="_xlpm.last_pt" hidden="1" xlm="1">#NAME?</definedName>
    <definedName name="_xlpm.last_rel_col" hidden="1" xlm="1">#NAME?</definedName>
    <definedName name="_xlpm.last_rel_row" hidden="1" xlm="1">#NAME?</definedName>
    <definedName name="_xlpm.last_row" hidden="1" xlm="1">#NAME?</definedName>
    <definedName name="_xlpm.last_state" hidden="1" xlm="1">#NAME?</definedName>
    <definedName name="_xlpm.last_txt" hidden="1" xlm="1">#NAME?</definedName>
    <definedName name="_xlpm.lastchar" hidden="1" xlm="1">#NAME?</definedName>
    <definedName name="_xlpm.lc" hidden="1" xlm="1">#NAME?</definedName>
    <definedName name="_xlpm.LEaddresses" hidden="1" xlm="1">#NAME?</definedName>
    <definedName name="_xlpm.left_col" hidden="1" xlm="1">#NAME?</definedName>
    <definedName name="_xlpm.left_rel_col" hidden="1" xlm="1">#NAME?</definedName>
    <definedName name="_xlpm.len_of" hidden="1" xlm="1">#NAME?</definedName>
    <definedName name="_xlpm.lens" hidden="1" xlm="1">#NAME?</definedName>
    <definedName name="_xlpm.lenv" hidden="1" xlm="1">#NAME?</definedName>
    <definedName name="_xlpm.LETaddresses" hidden="1" xlm="1">#NAME?</definedName>
    <definedName name="_xlpm.letter_part" hidden="1" xlm="1">#NAME?</definedName>
    <definedName name="_xlpm.letters" hidden="1" xlm="1">#NAME?</definedName>
    <definedName name="_xlpm.letters1" hidden="1" xlm="1">#NAME?</definedName>
    <definedName name="_xlpm.letters2" hidden="1" xlm="1">#NAME?</definedName>
    <definedName name="_xlpm.lft" hidden="1" xlm="1">#NAME?</definedName>
    <definedName name="_xlpm.lfx" hidden="1" xlm="1">#NAME?</definedName>
    <definedName name="_xlpm.list_a" hidden="1" xlm="1">#NAME?</definedName>
    <definedName name="_xlpm.list_b" hidden="1" xlm="1">#NAME?</definedName>
    <definedName name="_xlpm.lo" hidden="1" xlm="1">#NAME?</definedName>
    <definedName name="_xlpm.lookup_arrows" hidden="1" xlm="1">#NAME?</definedName>
    <definedName name="_xlpm.lookup_cdirs" hidden="1" xlm="1">#NAME?</definedName>
    <definedName name="_xlpm.lookup_rdirs" hidden="1" xlm="1">#NAME?</definedName>
    <definedName name="_xlpm.low" hidden="1" xlm="1">#NAME?</definedName>
    <definedName name="_xlpm.lower_item" hidden="1" xlm="1">#NAME?</definedName>
    <definedName name="_xlpm.lower_prefix" hidden="1" xlm="1">#NAME?</definedName>
    <definedName name="_xlpm.lower_suffix" hidden="1" xlm="1">#NAME?</definedName>
    <definedName name="_xlpm.lr" hidden="1" xlm="1">#NAME?</definedName>
    <definedName name="_xlpm.lSeq" hidden="1" xlm="1">#NAME?</definedName>
    <definedName name="_xlpm.lst" hidden="1" xlm="1">#NAME?</definedName>
    <definedName name="_xlpm.m" hidden="1" xlm="1">#NAME?</definedName>
    <definedName name="_xlpm.m_" hidden="1" xlm="1">#NAME?</definedName>
    <definedName name="_xlpm.make_sel" hidden="1" xlm="1">#NAME?</definedName>
    <definedName name="_xlpm.make_tocol" hidden="1" xlm="1">#NAME?</definedName>
    <definedName name="_xlpm.make_tocol_transpose" hidden="1" xlm="1">#NAME?</definedName>
    <definedName name="_xlpm.man" hidden="1" xlm="1">#NAME?</definedName>
    <definedName name="_xlpm.manhattan" hidden="1" xlm="1">#NAME?</definedName>
    <definedName name="_xlpm.many" hidden="1" xlm="1">#NAME?</definedName>
    <definedName name="_xlpm.map_start_col" hidden="1" xlm="1">#NAME?</definedName>
    <definedName name="_xlpm.map_start_row" hidden="1" xlm="1">#NAME?</definedName>
    <definedName name="_xlpm.mapC" hidden="1" xlm="1">#NAME?</definedName>
    <definedName name="_xlpm.mapped" hidden="1" xlm="1">#NAME?</definedName>
    <definedName name="_xlpm.mapR" hidden="1" xlm="1">#NAME?</definedName>
    <definedName name="_xlpm.mask" hidden="1" xlm="1">#NAME?</definedName>
    <definedName name="_xlpm.mask_count" hidden="1" xlm="1">#NAME?</definedName>
    <definedName name="_xlpm.matches" hidden="1" xlm="1">#NAME?</definedName>
    <definedName name="_xlpm.matchMatrix" hidden="1" xlm="1">#NAME?</definedName>
    <definedName name="_xlpm.max_k_" hidden="1" xlm="1">#NAME?</definedName>
    <definedName name="_xlpm.max_len" hidden="1" xlm="1">#NAME?</definedName>
    <definedName name="_xlpm.max_steps" hidden="1" xlm="1">#NAME?</definedName>
    <definedName name="_xlpm.mf" hidden="1" xlm="1">#NAME?</definedName>
    <definedName name="_xlpm.mid_row" hidden="1" xlm="1">#NAME?</definedName>
    <definedName name="_xlpm.min_freq" hidden="1" xlm="1">#NAME?</definedName>
    <definedName name="_xlpm.mode" hidden="1" xlm="1">#NAME?</definedName>
    <definedName name="_xlpm.mono_step" hidden="1" xlm="1">#NAME?</definedName>
    <definedName name="_xlpm.move_rule" hidden="1" xlm="1">#NAME?</definedName>
    <definedName name="_xlpm.moves" hidden="1" xlm="1">#NAME?</definedName>
    <definedName name="_xlpm.n" hidden="1" xlm="1">#NAME?</definedName>
    <definedName name="_xlpm.n_c" hidden="1" xlm="1">#NAME?</definedName>
    <definedName name="_xlpm.n_cols" hidden="1" xlm="1">#NAME?</definedName>
    <definedName name="_xlpm.n_r" hidden="1" xlm="1">#NAME?</definedName>
    <definedName name="_xlpm.n_rows" hidden="1" xlm="1">#NAME?</definedName>
    <definedName name="_xlpm.na" hidden="1" xlm="1">#NAME?</definedName>
    <definedName name="_xlpm.nc" hidden="1" xlm="1">#NAME?</definedName>
    <definedName name="_xlpm.ncell" hidden="1" xlm="1">#NAME?</definedName>
    <definedName name="_xlpm.ncoins" hidden="1" xlm="1">#NAME?</definedName>
    <definedName name="_xlpm.need_distinct" hidden="1" xlm="1">#NAME?</definedName>
    <definedName name="_xlpm.need_transpose" hidden="1" xlm="1">#NAME?</definedName>
    <definedName name="_xlpm.new_col" hidden="1" xlm="1">#NAME?</definedName>
    <definedName name="_xlpm.new_col_step" hidden="1" xlm="1">#NAME?</definedName>
    <definedName name="_xlpm.new_coords" hidden="1" xlm="1">#NAME?</definedName>
    <definedName name="_xlpm.new_frontier" hidden="1" xlm="1">#NAME?</definedName>
    <definedName name="_xlpm.new_l" hidden="1" xlm="1">#NAME?</definedName>
    <definedName name="_xlpm.new_row" hidden="1" xlm="1">#NAME?</definedName>
    <definedName name="_xlpm.new_row_step" hidden="1" xlm="1">#NAME?</definedName>
    <definedName name="_xlpm.new_state" hidden="1" xlm="1">#NAME?</definedName>
    <definedName name="_xlpm.new_u" hidden="1" xlm="1">#NAME?</definedName>
    <definedName name="_xlpm.new_x" hidden="1" xlm="1">#NAME?</definedName>
    <definedName name="_xlpm.new_y" hidden="1" xlm="1">#NAME?</definedName>
    <definedName name="_xlpm.newamt" hidden="1" xlm="1">#NAME?</definedName>
    <definedName name="_xlpm.newcnt" hidden="1" xlm="1">#NAME?</definedName>
    <definedName name="_xlpm.newL" hidden="1" xlm="1">#NAME?</definedName>
    <definedName name="_xlpm.newU" hidden="1" xlm="1">#NAME?</definedName>
    <definedName name="_xlpm.next_col" hidden="1" xlm="1">#NAME?</definedName>
    <definedName name="_xlpm.next_frontier" hidden="1" xlm="1">#NAME?</definedName>
    <definedName name="_xlpm.next_positions" hidden="1" xlm="1">#NAME?</definedName>
    <definedName name="_xlpm.next_row" hidden="1" xlm="1">#NAME?</definedName>
    <definedName name="_xlpm.nF" hidden="1" xlm="1">#NAME?</definedName>
    <definedName name="_xlpm.nFrontier" hidden="1" xlm="1">#NAME?</definedName>
    <definedName name="_xlpm.nlet" hidden="1" xlm="1">#NAME?</definedName>
    <definedName name="_xlpm.nm" hidden="1" xlm="1">#NAME?</definedName>
    <definedName name="_xlpm.no_sheet" hidden="1" xlm="1">#NAME?</definedName>
    <definedName name="_xlpm.norm" hidden="1" xlm="1">#NAME?</definedName>
    <definedName name="_xlpm.not_self" hidden="1" xlm="1">#NAME?</definedName>
    <definedName name="_xlpm.notself" hidden="1" xlm="1">#NAME?</definedName>
    <definedName name="_xlpm.npMap" hidden="1" xlm="1">#NAME?</definedName>
    <definedName name="_xlpm.npos" hidden="1" xlm="1">#NAME?</definedName>
    <definedName name="_xlpm.nr" hidden="1" xlm="1">#NAME?</definedName>
    <definedName name="_xlpm.nSeq" hidden="1" xlm="1">#NAME?</definedName>
    <definedName name="_xlpm.num" hidden="1" xlm="1">#NAME?</definedName>
    <definedName name="_xlpm.num_a" hidden="1" xlm="1">#NAME?</definedName>
    <definedName name="_xlpm.num_b" hidden="1" xlm="1">#NAME?</definedName>
    <definedName name="_xlpm.num_cols" hidden="1" xlm="1">#NAME?</definedName>
    <definedName name="_xlpm.num_fmt" hidden="1" xlm="1">#NAME?</definedName>
    <definedName name="_xlpm.num_list" hidden="1" xlm="1">#NAME?</definedName>
    <definedName name="_xlpm.num_or_arr" hidden="1" xlm="1">#NAME?</definedName>
    <definedName name="_xlpm.num_rows" hidden="1" xlm="1">#NAME?</definedName>
    <definedName name="_xlpm.num_sequence" hidden="1" xlm="1">#NAME?</definedName>
    <definedName name="_xlpm.num_start_pos" hidden="1" xlm="1">#NAME?</definedName>
    <definedName name="_xlpm.number" hidden="1" xlm="1">#NAME?</definedName>
    <definedName name="_xlpm.number_or_array" hidden="1" xlm="1">#NAME?</definedName>
    <definedName name="_xlpm.number_part" hidden="1" xlm="1">#NAME?</definedName>
    <definedName name="_xlpm.nums" hidden="1" xlm="1">#NAME?</definedName>
    <definedName name="_xlpm.o" hidden="1" xlm="1">#NAME?</definedName>
    <definedName name="_xlpm.obj" hidden="1" xlm="1">#NAME?</definedName>
    <definedName name="_xlpm.offset" hidden="1" xlm="1">#NAME?</definedName>
    <definedName name="_xlpm.ok" hidden="1" xlm="1">#NAME?</definedName>
    <definedName name="_xlpm.ok_bounds" hidden="1" xlm="1">#NAME?</definedName>
    <definedName name="_xlpm.ok_center" hidden="1" xlm="1">#NAME?</definedName>
    <definedName name="_xlpm.ok_dir" hidden="1" xlm="1">#NAME?</definedName>
    <definedName name="_xlpm.ok_div" hidden="1" xlm="1">#NAME?</definedName>
    <definedName name="_xlpm.ok_int" hidden="1" xlm="1">#NAME?</definedName>
    <definedName name="_xlpm.om" hidden="1" xlm="1">#NAME?</definedName>
    <definedName name="_xlpm.om_" hidden="1" xlm="1">#NAME?</definedName>
    <definedName name="_xlpm.one" hidden="1" xlm="1">#NAME?</definedName>
    <definedName name="_xlpm.one_addr" hidden="1" xlm="1">#NAME?</definedName>
    <definedName name="_xlpm.one_entry" hidden="1" xlm="1">#NAME?</definedName>
    <definedName name="_xlpm.one_k_" hidden="1" xlm="1">#NAME?</definedName>
    <definedName name="_xlpm.one_row" hidden="1" xlm="1">#NAME?</definedName>
    <definedName name="_xlpm.one_str" hidden="1" xlm="1">#NAME?</definedName>
    <definedName name="_xlpm.one_txt" hidden="1" xlm="1">#NAME?</definedName>
    <definedName name="_xlpm.one_val" hidden="1" xlm="1">#NAME?</definedName>
    <definedName name="_xlpm.OOB" hidden="1" xlm="1">#NAME?</definedName>
    <definedName name="_xlpm.op" hidden="1" xlm="1">#NAME?</definedName>
    <definedName name="_xlpm.op_count" hidden="1" xlm="1">#NAME?</definedName>
    <definedName name="_xlpm.op_h" hidden="1" xlm="1">#NAME?</definedName>
    <definedName name="_xlpm.op_v" hidden="1" xlm="1">#NAME?</definedName>
    <definedName name="_xlpm.ord" hidden="1" xlm="1">#NAME?</definedName>
    <definedName name="_xlpm.order" hidden="1" xlm="1">#NAME?</definedName>
    <definedName name="_xlpm.order_matters" hidden="1" xlm="1">#NAME?</definedName>
    <definedName name="_xlpm.oriented" hidden="1" xlm="1">#NAME?</definedName>
    <definedName name="_xlpm.out" hidden="1" xlm="1">#NAME?</definedName>
    <definedName name="_xlpm.out_addrs" hidden="1" xlm="1">#NAME?</definedName>
    <definedName name="_xlpm.out_side" hidden="1" xlm="1">#NAME?</definedName>
    <definedName name="_xlpm.out_vals" hidden="1" xlm="1">#NAME?</definedName>
    <definedName name="_xlpm.outer_n" hidden="1" xlm="1">#NAME?</definedName>
    <definedName name="_xlpm.output" hidden="1" xlm="1">#NAME?</definedName>
    <definedName name="_xlpm.output_mode" hidden="1" xlm="1">#NAME?</definedName>
    <definedName name="_xlpm.p" hidden="1" xlm="1">#NAME?</definedName>
    <definedName name="_xlpm.p_data" hidden="1" xlm="1">#NAME?</definedName>
    <definedName name="_xlpm.P0C1" hidden="1" xlm="1">#NAME?</definedName>
    <definedName name="_xlpm.packed" hidden="1" xlm="1">#NAME?</definedName>
    <definedName name="_xlpm.pad" hidden="1" xlm="1">#NAME?</definedName>
    <definedName name="_xlpm.pad_" hidden="1" xlm="1">#NAME?</definedName>
    <definedName name="_xlpm.parse_point" hidden="1" xlm="1">#NAME?</definedName>
    <definedName name="_xlpm.part_a" hidden="1" xlm="1">#NAME?</definedName>
    <definedName name="_xlpm.part_b" hidden="1" xlm="1">#NAME?</definedName>
    <definedName name="_xlpm.parts" hidden="1" xlm="1">#NAME?</definedName>
    <definedName name="_xlpm.pass_num" hidden="1" xlm="1">#NAME?</definedName>
    <definedName name="_xlpm.pat" hidden="1" xlm="1">#NAME?</definedName>
    <definedName name="_xlpm.pick" hidden="1" xlm="1">#NAME?</definedName>
    <definedName name="_xlpm.places" hidden="1" xlm="1">#NAME?</definedName>
    <definedName name="_xlpm.pMap" hidden="1" xlm="1">#NAME?</definedName>
    <definedName name="_xlpm.pnr_" hidden="1" xlm="1">#NAME?</definedName>
    <definedName name="_xlpm.pnum" hidden="1" xlm="1">#NAME?</definedName>
    <definedName name="_xlpm.point" hidden="1" xlm="1">#NAME?</definedName>
    <definedName name="_xlpm.pos" hidden="1" xlm="1">#NAME?</definedName>
    <definedName name="_xlpm.pos_" hidden="1" xlm="1">#NAME?</definedName>
    <definedName name="_xlpm.posd" hidden="1" xlm="1">#NAME?</definedName>
    <definedName name="_xlpm.positional_weights" hidden="1" xlm="1">#NAME?</definedName>
    <definedName name="_xlpm.pow" hidden="1" xlm="1">#NAME?</definedName>
    <definedName name="_xlpm.pows" hidden="1" xlm="1">#NAME?</definedName>
    <definedName name="_xlpm.pr_" hidden="1" xlm="1">#NAME?</definedName>
    <definedName name="_xlpm.prefix" hidden="1" xlm="1">#NAME?</definedName>
    <definedName name="_xlpm.prev" hidden="1" xlm="1">#NAME?</definedName>
    <definedName name="_xlpm.prevb" hidden="1" xlm="1">#NAME?</definedName>
    <definedName name="_xlpm.prevbest" hidden="1" xlm="1">#NAME?</definedName>
    <definedName name="_xlpm.prevrow" hidden="1" xlm="1">#NAME?</definedName>
    <definedName name="_xlpm.price" hidden="1" xlm="1">#NAME?</definedName>
    <definedName name="_xlpm.print_components" hidden="1" xlm="1">#NAME?</definedName>
    <definedName name="_xlpm.processed" hidden="1" xlm="1">#NAME?</definedName>
    <definedName name="_xlpm.processed_data" hidden="1" xlm="1">#NAME?</definedName>
    <definedName name="_xlpm.ProcessGrid" hidden="1" xlm="1">#NAME?</definedName>
    <definedName name="_xlpm.ps" hidden="1" xlm="1">#NAME?</definedName>
    <definedName name="_xlpm.push_col" hidden="1" xlm="1">#NAME?</definedName>
    <definedName name="_xlpm.push_mode" hidden="1" xlm="1">#NAME?</definedName>
    <definedName name="_xlpm.push_on" hidden="1" xlm="1">#NAME?</definedName>
    <definedName name="_xlpm.push_row" hidden="1" xlm="1">#NAME?</definedName>
    <definedName name="_xlpm.PushCol" hidden="1" xlm="1">#NAME?</definedName>
    <definedName name="_xlpm.PushMode" hidden="1" xlm="1">#NAME?</definedName>
    <definedName name="_xlpm.PushRow" hidden="1" xlm="1">#NAME?</definedName>
    <definedName name="_xlpm.pw" hidden="1" xlm="1">#NAME?</definedName>
    <definedName name="_xlpm.pWeights" hidden="1" xlm="1">#NAME?</definedName>
    <definedName name="_xlpm.quad" hidden="1" xlm="1">#NAME?</definedName>
    <definedName name="_xlpm.r" hidden="1" xlm="1">#NAME?</definedName>
    <definedName name="_xlpm.r_" hidden="1" xlm="1">#NAME?</definedName>
    <definedName name="_xlpm.r_down" hidden="1" xlm="1">#NAME?</definedName>
    <definedName name="_xlpm.r_idx" hidden="1" xlm="1">#NAME?</definedName>
    <definedName name="_xlpm.r_off" hidden="1" xlm="1">#NAME?</definedName>
    <definedName name="_xlpm.r_up" hidden="1" xlm="1">#NAME?</definedName>
    <definedName name="_xlpm.r0" hidden="1" xlm="1">#NAME?</definedName>
    <definedName name="_xlpm.ra" hidden="1" xlm="1">#NAME?</definedName>
    <definedName name="_xlpm.ran" hidden="1" xlm="1">#NAME?</definedName>
    <definedName name="_xlpm.rang" hidden="1" xlm="1">#NAME?</definedName>
    <definedName name="_xlpm.range" hidden="1" xlm="1">#NAME?</definedName>
    <definedName name="_xlpm.range_txt" hidden="1" xlm="1">#NAME?</definedName>
    <definedName name="_xlpm.rank_style_order" hidden="1" xlm="1">#NAME?</definedName>
    <definedName name="_xlpm.raw" hidden="1" xlm="1">#NAME?</definedName>
    <definedName name="_xlpm.rc" hidden="1" xlm="1">#NAME?</definedName>
    <definedName name="_xlpm.rd" hidden="1" xlm="1">#NAME?</definedName>
    <definedName name="_xlpm.rdirs" hidden="1" xlm="1">#NAME?</definedName>
    <definedName name="_xlpm.re" hidden="1" xlm="1">#NAME?</definedName>
    <definedName name="_xlpm.reach" hidden="1" xlm="1">#NAME?</definedName>
    <definedName name="_xlpm.ref" hidden="1" xlm="1">#NAME?</definedName>
    <definedName name="_xlpm.ref_1" hidden="1" xlm="1">#NAME?</definedName>
    <definedName name="_xlpm.ref_2" hidden="1" xlm="1">#NAME?</definedName>
    <definedName name="_xlpm.reflect_pos" hidden="1" xlm="1">#NAME?</definedName>
    <definedName name="_xlpm.REGEXTRACT" hidden="1" xlm="1">#NAME?</definedName>
    <definedName name="_xlpm.rel_c" hidden="1" xlm="1">#NAME?</definedName>
    <definedName name="_xlpm.rel_col" hidden="1" xlm="1">#NAME?</definedName>
    <definedName name="_xlpm.rel_r" hidden="1" xlm="1">#NAME?</definedName>
    <definedName name="_xlpm.rel_row" hidden="1" xlm="1">#NAME?</definedName>
    <definedName name="_xlpm.relative_col" hidden="1" xlm="1">#NAME?</definedName>
    <definedName name="_xlpm.relative_row" hidden="1" xlm="1">#NAME?</definedName>
    <definedName name="_xlpm.relC" hidden="1" xlm="1">#NAME?</definedName>
    <definedName name="_xlpm.relR" hidden="1" xlm="1">#NAME?</definedName>
    <definedName name="_xlpm.rem" hidden="1" xlm="1">#NAME?</definedName>
    <definedName name="_xlpm.rem_after" hidden="1" xlm="1">#NAME?</definedName>
    <definedName name="_xlpm.rem_before" hidden="1" xlm="1">#NAME?</definedName>
    <definedName name="_xlpm.rem_col" hidden="1" xlm="1">#NAME?</definedName>
    <definedName name="_xlpm.rem_col_dist" hidden="1" xlm="1">#NAME?</definedName>
    <definedName name="_xlpm.rem_row" hidden="1" xlm="1">#NAME?</definedName>
    <definedName name="_xlpm.rem_row_dist" hidden="1" xlm="1">#NAME?</definedName>
    <definedName name="_xlpm.remainder" hidden="1" xlm="1">#NAME?</definedName>
    <definedName name="_xlpm.remaining_col_dist" hidden="1" xlm="1">#NAME?</definedName>
    <definedName name="_xlpm.remaining_row_dist" hidden="1" xlm="1">#NAME?</definedName>
    <definedName name="_xlpm.rep" hidden="1" xlm="1">#NAME?</definedName>
    <definedName name="_xlpm.rep_" hidden="1" xlm="1">#NAME?</definedName>
    <definedName name="_xlpm.repeat_array" hidden="1" xlm="1">#NAME?</definedName>
    <definedName name="_xlpm.repeat_element" hidden="1" xlm="1">#NAME?</definedName>
    <definedName name="_xlpm.repeats_allowed" hidden="1" xlm="1">#NAME?</definedName>
    <definedName name="_xlpm.res" hidden="1" xlm="1">#NAME?</definedName>
    <definedName name="_xlpm.reshaped" hidden="1" xlm="1">#NAME?</definedName>
    <definedName name="_xlpm.rest_" hidden="1" xlm="1">#NAME?</definedName>
    <definedName name="_xlpm.result" hidden="1" xlm="1">#NAME?</definedName>
    <definedName name="_xlpm.return" hidden="1" xlm="1">#NAME?</definedName>
    <definedName name="_xlpm.reverse" hidden="1" xlm="1">#NAME?</definedName>
    <definedName name="_xlpm.reverse_flag" hidden="1" xlm="1">#NAME?</definedName>
    <definedName name="_xlpm.rgt" hidden="1" xlm="1">#NAME?</definedName>
    <definedName name="_xlpm.ri" hidden="1" xlm="1">#NAME?</definedName>
    <definedName name="_xlpm.ridx" hidden="1" xlm="1">#NAME?</definedName>
    <definedName name="_xlpm.right_col" hidden="1" xlm="1">#NAME?</definedName>
    <definedName name="_xlpm.right_rel_col" hidden="1" xlm="1">#NAME?</definedName>
    <definedName name="_xlpm.rm" hidden="1" xlm="1">#NAME?</definedName>
    <definedName name="_xlpm.rm_f" hidden="1" xlm="1">#NAME?</definedName>
    <definedName name="_xlpm.rmax" hidden="1" xlm="1">#NAME?</definedName>
    <definedName name="_xlpm.rmin" hidden="1" xlm="1">#NAME?</definedName>
    <definedName name="_xlpm.rng" hidden="1" xlm="1">#NAME?</definedName>
    <definedName name="_xlpm.rNum" hidden="1" xlm="1">#NAME?</definedName>
    <definedName name="_xlpm.ro" hidden="1" xlm="1">#NAME?</definedName>
    <definedName name="_xlpm.rounds" hidden="1" xlm="1">#NAME?</definedName>
    <definedName name="_xlpm.row" hidden="1" xlm="1">#NAME?</definedName>
    <definedName name="_xlpm.row_" hidden="1" xlm="1">#NAME?</definedName>
    <definedName name="_xlpm.row_1" hidden="1" xlm="1">#NAME?</definedName>
    <definedName name="_xlpm.row_2" hidden="1" xlm="1">#NAME?</definedName>
    <definedName name="_xlpm.row_abs" hidden="1" xlm="1">#NAME?</definedName>
    <definedName name="_xlpm.row_count" hidden="1" xlm="1">#NAME?</definedName>
    <definedName name="_xlpm.row_d" hidden="1" xlm="1">#NAME?</definedName>
    <definedName name="_xlpm.row_delimiter" hidden="1" xlm="1">#NAME?</definedName>
    <definedName name="_xlpm.row_delta" hidden="1" xlm="1">#NAME?</definedName>
    <definedName name="_xlpm.row_diff" hidden="1" xlm="1">#NAME?</definedName>
    <definedName name="_xlpm.row_end" hidden="1" xlm="1">#NAME?</definedName>
    <definedName name="_xlpm.row_flat" hidden="1" xlm="1">#NAME?</definedName>
    <definedName name="_xlpm.row_i" hidden="1" xlm="1">#NAME?</definedName>
    <definedName name="_xlpm.row_idx" hidden="1" xlm="1">#NAME?</definedName>
    <definedName name="_xlpm.row_ix" hidden="1" xlm="1">#NAME?</definedName>
    <definedName name="_xlpm.row_label" hidden="1" xlm="1">#NAME?</definedName>
    <definedName name="_xlpm.row_limit" hidden="1" xlm="1">#NAME?</definedName>
    <definedName name="_xlpm.row_major" hidden="1" xlm="1">#NAME?</definedName>
    <definedName name="_xlpm.row_major_flag" hidden="1" xlm="1">#NAME?</definedName>
    <definedName name="_xlpm.row_mask" hidden="1" xlm="1">#NAME?</definedName>
    <definedName name="_xlpm.row_max" hidden="1" xlm="1">#NAME?</definedName>
    <definedName name="_xlpm.row_min" hidden="1" xlm="1">#NAME?</definedName>
    <definedName name="_xlpm.row_mode" hidden="1" xlm="1">#NAME?</definedName>
    <definedName name="_xlpm.row_n" hidden="1" xlm="1">#NAME?</definedName>
    <definedName name="_xlpm.row_num" hidden="1" xlm="1">#NAME?</definedName>
    <definedName name="_xlpm.row_number" hidden="1" xlm="1">#NAME?</definedName>
    <definedName name="_xlpm.row_off" hidden="1" xlm="1">#NAME?</definedName>
    <definedName name="_xlpm.row_out" hidden="1" xlm="1">#NAME?</definedName>
    <definedName name="_xlpm.row_part" hidden="1" xlm="1">#NAME?</definedName>
    <definedName name="_xlpm.row_remain" hidden="1" xlm="1">#NAME?</definedName>
    <definedName name="_xlpm.row_rev_flat" hidden="1" xlm="1">#NAME?</definedName>
    <definedName name="_xlpm.row_size" hidden="1" xlm="1">#NAME?</definedName>
    <definedName name="_xlpm.row_snake" hidden="1" xlm="1">#NAME?</definedName>
    <definedName name="_xlpm.row_start" hidden="1" xlm="1">#NAME?</definedName>
    <definedName name="_xlpm.row_steps" hidden="1" xlm="1">#NAME?</definedName>
    <definedName name="_xlpm.row_str" hidden="1" xlm="1">#NAME?</definedName>
    <definedName name="_xlpm.row_strings" hidden="1" xlm="1">#NAME?</definedName>
    <definedName name="_xlpm.row_txt" hidden="1" xlm="1">#NAME?</definedName>
    <definedName name="_xlpm.rowCount" hidden="1" xlm="1">#NAME?</definedName>
    <definedName name="_xlpm.rows" hidden="1" xlm="1">#NAME?</definedName>
    <definedName name="_xlpm.rows_cnt" hidden="1" xlm="1">#NAME?</definedName>
    <definedName name="_xlpm.rows_n" hidden="1" xlm="1">#NAME?</definedName>
    <definedName name="_xlpm.rr" hidden="1" xlm="1">#NAME?</definedName>
    <definedName name="_xlpm.rs" hidden="1" xlm="1">#NAME?</definedName>
    <definedName name="_xlpm.rt" hidden="1" xlm="1">#NAME?</definedName>
    <definedName name="_xlpm.rv" hidden="1" xlm="1">#NAME?</definedName>
    <definedName name="_xlpm.rv_f" hidden="1" xlm="1">#NAME?</definedName>
    <definedName name="_xlpm.s" hidden="1" xlm="1">#NAME?</definedName>
    <definedName name="_xlpm.s_col" hidden="1" xlm="1">#NAME?</definedName>
    <definedName name="_xlpm.s_f" hidden="1" xlm="1">#NAME?</definedName>
    <definedName name="_xlpm.s_norm" hidden="1" xlm="1">#NAME?</definedName>
    <definedName name="_xlpm.s_row" hidden="1" xlm="1">#NAME?</definedName>
    <definedName name="_xlpm.s_text" hidden="1" xlm="1">#NAME?</definedName>
    <definedName name="_xlpm.sa" hidden="1" xlm="1">#NAME?</definedName>
    <definedName name="_xlpm.safe_cols" hidden="1" xlm="1">#NAME?</definedName>
    <definedName name="_xlpm.safe_rows" hidden="1" xlm="1">#NAME?</definedName>
    <definedName name="_xlpm.sbc" hidden="1" xlm="1">#NAME?</definedName>
    <definedName name="_xlpm.sc" hidden="1" xlm="1">#NAME?</definedName>
    <definedName name="_xlpm.scale" hidden="1" xlm="1">#NAME?</definedName>
    <definedName name="_xlpm.scan" hidden="1" xlm="1">#NAME?</definedName>
    <definedName name="_xlpm.scan_by_col" hidden="1" xlm="1">#NAME?</definedName>
    <definedName name="_xlpm.sCoords" hidden="1" xlm="1">#NAME?</definedName>
    <definedName name="_xlpm.second" hidden="1" xlm="1">#NAME?</definedName>
    <definedName name="_xlpm.second_char" hidden="1" xlm="1">#NAME?</definedName>
    <definedName name="_xlpm.seed" hidden="1" xlm="1">#NAME?</definedName>
    <definedName name="_xlpm.seed_" hidden="1" xlm="1">#NAME?</definedName>
    <definedName name="_xlpm.seeded" hidden="1" xlm="1">#NAME?</definedName>
    <definedName name="_xlpm.self" hidden="1" xlm="1">#NAME?</definedName>
    <definedName name="_xlpm.self_" hidden="1" xlm="1">#NAME?</definedName>
    <definedName name="_xlpm.self_count" hidden="1" xlm="1">#NAME?</definedName>
    <definedName name="_xlpm.self_mask" hidden="1" xlm="1">#NAME?</definedName>
    <definedName name="_xlpm.sep" hidden="1" xlm="1">#NAME?</definedName>
    <definedName name="_xlpm.seq" hidden="1" xlm="1">#NAME?</definedName>
    <definedName name="_xlpm.seq_" hidden="1" xlm="1">#NAME?</definedName>
    <definedName name="_xlpm.seqc" hidden="1" xlm="1">#NAME?</definedName>
    <definedName name="_xlpm.seqr" hidden="1" xlm="1">#NAME?</definedName>
    <definedName name="_xlpm.seqs" hidden="1" xlm="1">#NAME?</definedName>
    <definedName name="_xlpm.shifted" hidden="1" xlm="1">#NAME?</definedName>
    <definedName name="_xlpm.show_addr" hidden="1" xlm="1">#NAME?</definedName>
    <definedName name="_xlpm.show_addresses" hidden="1" xlm="1">#NAME?</definedName>
    <definedName name="_xlpm.show_components" hidden="1" xlm="1">#NAME?</definedName>
    <definedName name="_xlpm.show_flag" hidden="1" xlm="1">#NAME?</definedName>
    <definedName name="_xlpm.single" hidden="1" xlm="1">#NAME?</definedName>
    <definedName name="_xlpm.size" hidden="1" xlm="1">#NAME?</definedName>
    <definedName name="_xlpm.sizes" hidden="1" xlm="1">#NAME?</definedName>
    <definedName name="_xlpm.sk_f" hidden="1" xlm="1">#NAME?</definedName>
    <definedName name="_xlpm.sn" hidden="1" xlm="1">#NAME?</definedName>
    <definedName name="_xlpm.snake" hidden="1" xlm="1">#NAME?</definedName>
    <definedName name="_xlpm.snake_flag" hidden="1" xlm="1">#NAME?</definedName>
    <definedName name="_xlpm.snake_it" hidden="1" xlm="1">#NAME?</definedName>
    <definedName name="_xlpm.snF" hidden="1" xlm="1">#NAME?</definedName>
    <definedName name="_xlpm.snFrontier" hidden="1" xlm="1">#NAME?</definedName>
    <definedName name="_xlpm.sort_style_order" hidden="1" xlm="1">#NAME?</definedName>
    <definedName name="_xlpm.sorted_ds" hidden="1" xlm="1">#NAME?</definedName>
    <definedName name="_xlpm.sorted_improvements" hidden="1" xlm="1">#NAME?</definedName>
    <definedName name="_xlpm.source_cols" hidden="1" xlm="1">#NAME?</definedName>
    <definedName name="_xlpm.source_costs" hidden="1" xlm="1">#NAME?</definedName>
    <definedName name="_xlpm.source_count" hidden="1" xlm="1">#NAME?</definedName>
    <definedName name="_xlpm.source_rows" hidden="1" xlm="1">#NAME?</definedName>
    <definedName name="_xlpm.span" hidden="1" xlm="1">#NAME?</definedName>
    <definedName name="_xlpm.split" hidden="1" xlm="1">#NAME?</definedName>
    <definedName name="_xlpm.split_chars" hidden="1" xlm="1">#NAME?</definedName>
    <definedName name="_xlpm.sr" hidden="1" xlm="1">#NAME?</definedName>
    <definedName name="_xlpm.src_c" hidden="1" xlm="1">#NAME?</definedName>
    <definedName name="_xlpm.src_r" hidden="1" xlm="1">#NAME?</definedName>
    <definedName name="_xlpm.sRef" hidden="1" xlm="1">#NAME?</definedName>
    <definedName name="_xlpm.st" hidden="1" xlm="1">#NAME?</definedName>
    <definedName name="_xlpm.stacked" hidden="1" xlm="1">#NAME?</definedName>
    <definedName name="_xlpm.start" hidden="1" xlm="1">#NAME?</definedName>
    <definedName name="_xlpm.start_a" hidden="1" xlm="1">#NAME?</definedName>
    <definedName name="_xlpm.start_a1" hidden="1" xlm="1">#NAME?</definedName>
    <definedName name="_xlpm.start_ad" hidden="1" xlm="1">#NAME?</definedName>
    <definedName name="_xlpm.start_b" hidden="1" xlm="1">#NAME?</definedName>
    <definedName name="_xlpm.start_c" hidden="1" xlm="1">#NAME?</definedName>
    <definedName name="_xlpm.start_cell" hidden="1" xlm="1">#NAME?</definedName>
    <definedName name="_xlpm.start_col" hidden="1" xlm="1">#NAME?</definedName>
    <definedName name="_xlpm.start_coords" hidden="1" xlm="1">#NAME?</definedName>
    <definedName name="_xlpm.start_num" hidden="1" xlm="1">#NAME?</definedName>
    <definedName name="_xlpm.start_pos" hidden="1" xlm="1">#NAME?</definedName>
    <definedName name="_xlpm.start_rc" hidden="1" xlm="1">#NAME?</definedName>
    <definedName name="_xlpm.start_ref" hidden="1" xlm="1">#NAME?</definedName>
    <definedName name="_xlpm.start_ref_or_coords" hidden="1" xlm="1">#NAME?</definedName>
    <definedName name="_xlpm.start_ref_str" hidden="1" xlm="1">#NAME?</definedName>
    <definedName name="_xlpm.start_row" hidden="1" xlm="1">#NAME?</definedName>
    <definedName name="_xlpm.start_str_or_coords" hidden="1" xlm="1">#NAME?</definedName>
    <definedName name="_xlpm.start_x" hidden="1" xlm="1">#NAME?</definedName>
    <definedName name="_xlpm.start_y" hidden="1" xlm="1">#NAME?</definedName>
    <definedName name="_xlpm.StartCol" hidden="1" xlm="1">#NAME?</definedName>
    <definedName name="_xlpm.StartRef" hidden="1" xlm="1">#NAME?</definedName>
    <definedName name="_xlpm.StartRow" hidden="1" xlm="1">#NAME?</definedName>
    <definedName name="_xlpm.state_row" hidden="1" xlm="1">#NAME?</definedName>
    <definedName name="_xlpm.state_scan" hidden="1" xlm="1">#NAME?</definedName>
    <definedName name="_xlpm.state_seed" hidden="1" xlm="1">#NAME?</definedName>
    <definedName name="_xlpm.step" hidden="1" xlm="1">#NAME?</definedName>
    <definedName name="_xlpm.step_" hidden="1" xlm="1">#NAME?</definedName>
    <definedName name="_xlpm.step_cap" hidden="1" xlm="1">#NAME?</definedName>
    <definedName name="_xlpm.step_col" hidden="1" xlm="1">#NAME?</definedName>
    <definedName name="_xlpm.step_count" hidden="1" xlm="1">#NAME?</definedName>
    <definedName name="_xlpm.step_n" hidden="1" xlm="1">#NAME?</definedName>
    <definedName name="_xlpm.step_nums" hidden="1" xlm="1">#NAME?</definedName>
    <definedName name="_xlpm.step_row" hidden="1" xlm="1">#NAME?</definedName>
    <definedName name="_xlpm.steps" hidden="1" xlm="1">#NAME?</definedName>
    <definedName name="_xlpm.steps_left" hidden="1" xlm="1">#NAME?</definedName>
    <definedName name="_xlpm.steps_rem" hidden="1" xlm="1">#NAME?</definedName>
    <definedName name="_xlpm.stop" hidden="1" xlm="1">#NAME?</definedName>
    <definedName name="_xlpm.stop_pos" hidden="1" xlm="1">#NAME?</definedName>
    <definedName name="_xlpm.stopper" hidden="1" xlm="1">#NAME?</definedName>
    <definedName name="_xlpm.stp" hidden="1" xlm="1">#NAME?</definedName>
    <definedName name="_xlpm.str" hidden="1" xlm="1">#NAME?</definedName>
    <definedName name="_xlpm.str_arr_set" hidden="1" xlm="1">#NAME?</definedName>
    <definedName name="_xlpm.str_or_arr" hidden="1" xlm="1">#NAME?</definedName>
    <definedName name="_xlpm.str_or_array" hidden="1" xlm="1">#NAME?</definedName>
    <definedName name="_xlpm.straight_arrow" hidden="1" xlm="1">#NAME?</definedName>
    <definedName name="_xlpm.straight_dist" hidden="1" xlm="1">#NAME?</definedName>
    <definedName name="_xlpm.straight_output" hidden="1" xlm="1">#NAME?</definedName>
    <definedName name="_xlpm.strip_sheet" hidden="1" xlm="1">#NAME?</definedName>
    <definedName name="_xlpm.stripped" hidden="1" xlm="1">#NAME?</definedName>
    <definedName name="_xlpm.sub" hidden="1" xlm="1">#NAME?</definedName>
    <definedName name="_xlpm.sub_" hidden="1" xlm="1">#NAME?</definedName>
    <definedName name="_xlpm.sub_is_array" hidden="1" xlm="1">#NAME?</definedName>
    <definedName name="_xlpm.sub_lc" hidden="1" xlm="1">#NAME?</definedName>
    <definedName name="_xlpm.subtxt" hidden="1" xlm="1">#NAME?</definedName>
    <definedName name="_xlpm.suffix" hidden="1" xlm="1">#NAME?</definedName>
    <definedName name="_xlpm.sz" hidden="1" xlm="1">#NAME?</definedName>
    <definedName name="_xlpm.t" hidden="1" xlm="1">#NAME?</definedName>
    <definedName name="_xlpm.t_norm" hidden="1" xlm="1">#NAME?</definedName>
    <definedName name="_xlpm.tab" hidden="1" xlm="1">#NAME?</definedName>
    <definedName name="_xlpm.target" hidden="1" xlm="1">#NAME?</definedName>
    <definedName name="_xlpm.target_cols" hidden="1" xlm="1">#NAME?</definedName>
    <definedName name="_xlpm.target_rows" hidden="1" xlm="1">#NAME?</definedName>
    <definedName name="_xlpm.temp" hidden="1" xlm="1">#NAME?</definedName>
    <definedName name="_xlpm.text" hidden="1" xlm="1">#NAME?</definedName>
    <definedName name="_xlpm.text_in" hidden="1" xlm="1">#NAME?</definedName>
    <definedName name="_xlpm.tf" hidden="1" xlm="1">#NAME?</definedName>
    <definedName name="_xlpm.third" hidden="1" xlm="1">#NAME?</definedName>
    <definedName name="_xlpm.three" hidden="1" xlm="1">#NAME?</definedName>
    <definedName name="_xlpm.tl" hidden="1" xlm="1">#NAME?</definedName>
    <definedName name="_xlpm.tl_rc" hidden="1" xlm="1">#NAME?</definedName>
    <definedName name="_xlpm.tl_txt" hidden="1" xlm="1">#NAME?</definedName>
    <definedName name="_xlpm.to_cell" hidden="1" xlm="1">#NAME?</definedName>
    <definedName name="_xlpm.to_cells" hidden="1" xlm="1">#NAME?</definedName>
    <definedName name="_xlpm.to_num" hidden="1" xlm="1">#NAME?</definedName>
    <definedName name="_xlpm.to_num_1" hidden="1" xlm="1">#NAME?</definedName>
    <definedName name="_xlpm.to_str" hidden="1" xlm="1">#NAME?</definedName>
    <definedName name="_xlpm.to_str_1" hidden="1" xlm="1">#NAME?</definedName>
    <definedName name="_xlpm.token_count" hidden="1" xlm="1">#NAME?</definedName>
    <definedName name="_xlpm.tokens" hidden="1" xlm="1">#NAME?</definedName>
    <definedName name="_xlpm.top" hidden="1" xlm="1">#NAME?</definedName>
    <definedName name="_xlpm.top_rel_row" hidden="1" xlm="1">#NAME?</definedName>
    <definedName name="_xlpm.top_row" hidden="1" xlm="1">#NAME?</definedName>
    <definedName name="_xlpm.total_items" hidden="1" xlm="1">#NAME?</definedName>
    <definedName name="_xlpm.toVals" hidden="1" xlm="1">#NAME?</definedName>
    <definedName name="_xlpm.tr" hidden="1" xlm="1">#NAME?</definedName>
    <definedName name="_xlpm.travel_steps" hidden="1" xlm="1">#NAME?</definedName>
    <definedName name="_xlpm.trip_cols" hidden="1" xlm="1">#NAME?</definedName>
    <definedName name="_xlpm.trip_len" hidden="1" xlm="1">#NAME?</definedName>
    <definedName name="_xlpm.trip_rows" hidden="1" xlm="1">#NAME?</definedName>
    <definedName name="_xlpm.try_col" hidden="1" xlm="1">#NAME?</definedName>
    <definedName name="_xlpm.try_row" hidden="1" xlm="1">#NAME?</definedName>
    <definedName name="_xlpm.TryCol" hidden="1" xlm="1">#NAME?</definedName>
    <definedName name="_xlpm.TryRow" hidden="1" xlm="1">#NAME?</definedName>
    <definedName name="_xlpm.turn" hidden="1" xlm="1">#NAME?</definedName>
    <definedName name="_xlpm.two" hidden="1" xlm="1">#NAME?</definedName>
    <definedName name="_xlpm.txt" hidden="1" xlm="1">#NAME?</definedName>
    <definedName name="_xlpm.type" hidden="1" xlm="1">#NAME?</definedName>
    <definedName name="_xlpm.u" hidden="1" xlm="1">#NAME?</definedName>
    <definedName name="_xlpm.uc" hidden="1" xlm="1">#NAME?</definedName>
    <definedName name="_xlpm.uni" hidden="1" xlm="1">#NAME?</definedName>
    <definedName name="_xlpm.up" hidden="1" xlm="1">#NAME?</definedName>
    <definedName name="_xlpm.updated_costs" hidden="1" xlm="1">#NAME?</definedName>
    <definedName name="_xlpm.upper_ref" hidden="1" xlm="1">#NAME?</definedName>
    <definedName name="_xlpm.ur" hidden="1" xlm="1">#NAME?</definedName>
    <definedName name="_xlpm.uRef" hidden="1" xlm="1">#NAME?</definedName>
    <definedName name="_xlpm.use" hidden="1" xlm="1">#NAME?</definedName>
    <definedName name="_xlpm.use_delim_arg" hidden="1" xlm="1">#NAME?</definedName>
    <definedName name="_xlpm.use_diagonals" hidden="1" xlm="1">#NAME?</definedName>
    <definedName name="_xlpm.use_stop" hidden="1" xlm="1">#NAME?</definedName>
    <definedName name="_xlpm.used_rows" hidden="1" xlm="1">#NAME?</definedName>
    <definedName name="_xlpm.v" hidden="1" xlm="1">#NAME?</definedName>
    <definedName name="_xlpm.v_arr" hidden="1" xlm="1">#NAME?</definedName>
    <definedName name="_xlpm.Val" hidden="1" xlm="1">#NAME?</definedName>
    <definedName name="_xlpm.val_a" hidden="1" xlm="1">#NAME?</definedName>
    <definedName name="_xlpm.val_b" hidden="1" xlm="1">#NAME?</definedName>
    <definedName name="_xlpm.val_grid" hidden="1" xlm="1">#NAME?</definedName>
    <definedName name="_xlpm.val_list" hidden="1" xlm="1">#NAME?</definedName>
    <definedName name="_xlpm.val_or_arr" hidden="1" xlm="1">#NAME?</definedName>
    <definedName name="_xlpm.valid" hidden="1" xlm="1">#NAME?</definedName>
    <definedName name="_xlpm.valid_moves" hidden="1" xlm="1">#NAME?</definedName>
    <definedName name="_xlpm.valid_targets" hidden="1" xlm="1">#NAME?</definedName>
    <definedName name="_xlpm.vals" hidden="1" xlm="1">#NAME?</definedName>
    <definedName name="_xlpm.vals2" hidden="1" xlm="1">#NAME?</definedName>
    <definedName name="_xlpm.value" hidden="1" xlm="1">#NAME?</definedName>
    <definedName name="_xlpm.vec" hidden="1" xlm="1">#NAME?</definedName>
    <definedName name="_xlpm.vec0" hidden="1" xlm="1">#NAME?</definedName>
    <definedName name="_xlpm.vert_arrow" hidden="1" xlm="1">#NAME?</definedName>
    <definedName name="_xlpm.vertical_arrow" hidden="1" xlm="1">#NAME?</definedName>
    <definedName name="_xlpm.visited" hidden="1" xlm="1">#NAME?</definedName>
    <definedName name="_xlpm.vstar" hidden="1" xlm="1">#NAME?</definedName>
    <definedName name="_xlpm.w" hidden="1" xlm="1">#NAME?</definedName>
    <definedName name="_xlpm.want_str" hidden="1" xlm="1">#NAME?</definedName>
    <definedName name="_xlpm.wd" hidden="1" xlm="1">#NAME?</definedName>
    <definedName name="_xlpm.weights" hidden="1" xlm="1">#NAME?</definedName>
    <definedName name="_xlpm.whole_rep" hidden="1" xlm="1">#NAME?</definedName>
    <definedName name="_xlpm.wide" hidden="1" xlm="1">#NAME?</definedName>
    <definedName name="_xlpm.width" hidden="1" xlm="1">#NAME?</definedName>
    <definedName name="_xlpm.win" hidden="1" xlm="1">#NAME?</definedName>
    <definedName name="_xlpm.word" hidden="1" xlm="1">#NAME?</definedName>
    <definedName name="_xlpm.wrap_mode" hidden="1" xlm="1">#NAME?</definedName>
    <definedName name="_xlpm.x" hidden="1" xlm="1">#NAME?</definedName>
    <definedName name="_xlpm.x_" hidden="1" xlm="1">#NAME?</definedName>
    <definedName name="_xlpm.xo" hidden="1" xlm="1">#NAME?</definedName>
    <definedName name="_xlpm.xol" hidden="1" xlm="1">#NAME?</definedName>
    <definedName name="_xlpm.y" hidden="1" xlm="1">#NAME?</definedName>
    <definedName name="_xlpm.zeros" hidden="1" xlm="1">#NAME?</definedName>
    <definedName name="ad_to_cont" comment="Non-volatile INDIRECT: the contents of arr at an address or range. A single address gives one value; a range gives the array of contents where it overlaps arr; an array of addresses gives their contents element-wise. Empty cells return &quot;&quot; (never 0). No ov">_xlfn.LAMBDA(_xlpm.ad_or_rng,_xlpm.arr,
  _xlfn.LET(
    _xlpm.s_row, ROW(INDEX(_xlpm.arr, 1, 1)),
    _xlpm.s_col, COLUMN(INDEX(_xlpm.arr, 1, 1)),
    _xlpm.a_rows, ROWS(_xlpm.arr),
    _xlpm.a_cols, COLUMNS(_xlpm.arr),
    _xlpm.cell_at, _xlfn.LAMBDA(_xlpm.one, IFERROR(
      _xlfn.LET(_xlpm.box, z_ad_box(_xlpm.one),
        IF(OR(INDEX(_xlpm.box, 1) &lt;&gt; INDEX(_xlpm.box, 3), INDEX(_xlpm.box, 2) &lt;&gt; INDEX(_xlpm.box, 4)), "",
          _xlfn.LET(_xlpm.rel_r, INDEX(_xlpm.box, 1) - _xlpm.s_row + 1, _xlpm.rel_c, INDEX(_xlpm.box, 2) - _xlpm.s_col + 1,
            IF(OR(_xlpm.rel_r &lt; 1, _xlpm.rel_r &gt; _xlpm.a_rows, _xlpm.rel_c &lt; 1, _xlpm.rel_c &gt; _xlpm.a_cols), "",
              _xlfn.LET(_xlpm.cval, INDEX(_xlpm.arr, _xlpm.rel_r, _xlpm.rel_c), IF(_xlpm.cval = "", "", _xlpm.cval)))))), "")),
    _xlpm.box0, IFERROR(z_ad_box(_xlpm.ad_or_rng), 0),
    _xlpm.is_rng, IFERROR(AND(COUNT(_xlpm.box0) = 4, OR(INDEX(_xlpm.box0, 1) &lt;&gt; INDEX(_xlpm.box0, 3), INDEX(_xlpm.box0, 2) &lt;&gt; INDEX(_xlpm.box0, 4))), FALSE),
    IF(ROWS(_xlpm.ad_or_rng) * COLUMNS(_xlpm.ad_or_rng) &gt; 1, _xlfn.MAP(_xlpm.ad_or_rng, _xlpm.cell_at),
      IF(_xlpm.is_rng,
        _xlfn.LET(_xlpm.top, SUM(INDEX(_xlpm.box0, 1)), _xlpm.lft, SUM(INDEX(_xlpm.box0, 2)), _xlpm.bot, SUM(INDEX(_xlpm.box0, 3)), _xlpm.rgt, SUM(INDEX(_xlpm.box0, 4)),
            _xlpm.i_top, MAX(_xlpm.s_row, _xlpm.top), _xlpm.i_lft, MAX(_xlpm.s_col, _xlpm.lft),
            _xlpm.i_bot, MIN(_xlpm.s_row + _xlpm.a_rows - 1, _xlpm.bot), _xlpm.i_rgt, MIN(_xlpm.s_col + _xlpm.a_cols - 1, _xlpm.rgt),
            IF(OR(_xlpm.i_top &gt; _xlpm.i_bot, _xlpm.i_lft &gt; _xlpm.i_rgt), "",
              _xlfn.LET(_xlpm.block, _xlfn.TAKE(_xlfn.DROP(_xlpm.arr, _xlpm.i_top - _xlpm.s_row, _xlpm.i_lft - _xlpm.s_col), _xlpm.i_bot - _xlpm.i_top + 1, _xlpm.i_rgt - _xlpm.i_lft + 1),
                  IF(_xlpm.block = "", "", _xlpm.block)))),
        _xlpm.cell_at(_xlpm.ad_or_rng)))
  )
)</definedName>
    <definedName name="ad_to_rc" comment="Split a single address (numeric or A1 string) into its row and column numbers. Returns {row; col} vertically by default, or {row, col} horizontally when as_row = 1. A range, an array, or any non-address returns #VALUE!.">_xlfn.LAMBDA(_xlpm.ad,_xlop.as_row,
  _xlfn.LET(
    _xlpm.wide, IF(_xlfn.ISOMITTED(_xlpm.as_row), 0, _xlpm.as_row),
    _xlpm.single, ROWS(_xlpm.ad) * COLUMNS(_xlpm.ad) = 1,
    _xlpm.box, IFERROR(z_ad_box(_xlpm.ad), 0),
    _xlpm.ok, IFERROR(AND(_xlpm.single, COUNT(_xlpm.box) = 4, INDEX(_xlpm.box, 1) = INDEX(_xlpm.box, 3), INDEX(_xlpm.box, 2) = INDEX(_xlpm.box, 4)), FALSE),
    IF(NOT(_xlpm.ok), #VALUE!,
       IF(_xlpm.wide, _xlfn.HSTACK(INDEX(_xlpm.box, 1), INDEX(_xlpm.box, 2)),
                _xlfn.VSTACK(INDEX(_xlpm.box, 1), INDEX(_xlpm.box, 2))))
  )
)</definedName>
    <definedName name="arrow" comment="Converts a direction string to a standard arrow. Accepts letter codes (&quot;U&quot;,&quot;DL&quot;), compass points (&quot;NE&quot;), and non-standard arrows (⇧, ➶). Returns one of ↑↓←→↖↗↙↘↺↻↕↔⤡⤢, or &quot;&quot; if not recognized.">_xlfn.LAMBDA(_xlpm.str, _xlfn.IFNA(_xlfn.XLOOKUP(TRUE, EXACT(_xlpm.str, Prep!$V$13:$ALY$13), Prep!$V$14:$ALY$14), ""))</definedName>
    <definedName name="arrow_move" comment="Moves a start address (numeric or A1) 'steps' (default 1) in an arrow direction (arrow glyph, its numeric equivalent, or a letter code like &quot;R&quot;/&quot;UL&quot;), bounded by board_rng (default whole sheet). Returns a NUMERIC address. Out of bounds, push_mode: 1 stop ">_xlfn.LAMBDA(_xlpm.start_ad,_xlpm.arrow,_xlop.steps,_xlop.board_rng,_xlop.push_mode,
  _xlfn.LET(
    _xlpm.step_n, IF(_xlfn.ISOMITTED(_xlpm.steps), 1, _xlpm.steps),
    _xlpm.mode, IF(_xlfn.ISOMITTED(_xlpm.push_mode), 1, _xlpm.push_mode),
    _xlpm.start_num, num_ad(_xlpm.start_ad),
    _xlpm.start_row, INT(_xlpm.start_num / 1000000),
    _xlpm.start_col, MOD(_xlpm.start_num, 1000000),
    _xlpm.arr_norm, z_dir_to_arrow(_xlpm.arrow),
    _xlpm.d_row, _xlfn.SWITCH(_xlpm.arr_norm, "←", 0, "↖", -1, "↗", -1, "→", 0, "↙", 1, "↓", 1, "↘", 1, "↑", -1),
    _xlpm.d_col, _xlfn.SWITCH(_xlpm.arr_norm, "←", -1, "↖", -1, "↗", 1, "→", 1, "↙", -1, "↓", 0, "↘", 1, "↑", 0),
    _xlpm.row_min, IF(_xlfn.ISOMITTED(_xlpm.board_rng), 1, MIN(ROW(_xlpm.board_rng))),
    _xlpm.row_max, IF(_xlfn.ISOMITTED(_xlpm.board_rng), 1048576, MAX(ROW(_xlpm.board_rng))),
    _xlpm.col_min, IF(_xlfn.ISOMITTED(_xlpm.board_rng), 1, MIN(COLUMN(_xlpm.board_rng))),
    _xlpm.col_max, IF(_xlfn.ISOMITTED(_xlpm.board_rng), 16384, MAX(COLUMN(_xlpm.board_rng))),
    _xlpm.try_row, _xlpm.start_row + _xlpm.d_row * _xlpm.step_n,
    _xlpm.try_col, _xlpm.start_col + _xlpm.d_col * _xlpm.step_n,
    _xlpm.push_row, MIN(MAX(_xlpm.try_row, _xlpm.row_min), _xlpm.row_max),
    _xlpm.push_col, MIN(MAX(_xlpm.try_col, _xlpm.col_min), _xlpm.col_max),
    _xlpm.oob, OR(_xlpm.try_row &lt;&gt; _xlpm.push_row, _xlpm.try_col &lt;&gt; _xlpm.push_col),
    IF(_xlpm.oob,
      _xlfn.SWITCH(_xlpm.mode,
        1, 1000000 * _xlpm.push_row + _xlpm.push_col,
        0, 1000000 * _xlpm.start_row + _xlpm.start_col,
        -1, "oob",
        1000000 * _xlpm.push_row + _xlpm.push_col),
      1000000 * _xlpm.try_row + _xlpm.try_col)
  )
)</definedName>
    <definedName name="arrow_trip" comment="Walks from start_ad (numeric or A1) in a straight arrow direction (arrow glyph, its numeric equivalent, or a letter code like &quot;R&quot;/&quot;UL&quot;) across rng until the edge (or the optional stopper value). Returns a 2-column array of NUMERIC addresses and their valu">_xlfn.LAMBDA(_xlpm.rng,_xlpm.start_ad,_xlpm.dir,_xlop.stopper,
  _xlfn.LET(
    _xlpm.start_num, num_ad(_xlpm.start_ad),
    _xlpm.start_row, INT(_xlpm.start_num / 1000000),
    _xlpm.start_col, MOD(_xlpm.start_num, 1000000),
    _xlpm.top_row, ROW(INDEX(_xlpm.rng, 1, 1)),
    _xlpm.left_col, COLUMN(INDEX(_xlpm.rng, 1, 1)),
    _xlpm.height, ROWS(_xlpm.rng),
    _xlpm.width, COLUMNS(_xlpm.rng),
    _xlpm.bottom_row, _xlpm.top_row + _xlpm.height - 1,
    _xlpm.right_col, _xlpm.left_col + _xlpm.width - 1,
    _xlpm.inside, AND(_xlpm.start_row &gt;= _xlpm.top_row, _xlpm.start_row &lt;= _xlpm.bottom_row, _xlpm.start_col &gt;= _xlpm.left_col, _xlpm.start_col &lt;= _xlpm.right_col),
    _xlfn.IFNA(IF(NOT(_xlpm.inside), "X",
      _xlfn.LET(
        _xlpm.arrow_list, {"↑";"↓";"←";"→";"↖";"↗";"↘";"↙"},
        _xlpm.row_steps, {-1;1;0;0;-1;-1;1;1},
        _xlpm.col_steps, {0;0;-1;1;-1;1;1;-1},
        _xlpm.dir_index, _xlfn.XMATCH(z_dir_to_arrow(_xlpm.dir), _xlpm.arrow_list),
        _xlpm.row_delta, INDEX(_xlpm.row_steps, _xlpm.dir_index),
        _xlpm.col_delta, INDEX(_xlpm.col_steps, _xlpm.dir_index),
        _xlpm.row_limit, IF(_xlpm.row_delta &gt; 0, _xlpm.bottom_row - _xlpm.start_row, IF(_xlpm.row_delta &lt; 0, _xlpm.start_row - _xlpm.top_row, 1000000)),
        _xlpm.col_limit, IF(_xlpm.col_delta &gt; 0, _xlpm.right_col - _xlpm.start_col, IF(_xlpm.col_delta &lt; 0, _xlpm.start_col - _xlpm.left_col, 1000000)),
        _xlpm.max_steps, MIN(_xlpm.row_limit, _xlpm.col_limit),
        _xlpm.steps, _xlfn.SEQUENCE(_xlpm.max_steps + 1, , 0),
        _xlpm.trip_rows, _xlpm.start_row + _xlpm.steps * _xlpm.row_delta,
        _xlpm.trip_cols, _xlpm.start_col + _xlpm.steps * _xlpm.col_delta,
        _xlpm.num_list, 1000000 * _xlpm.trip_rows + _xlpm.trip_cols,
        _xlpm.val_list, _xlfn.MAP(_xlpm.num_list, _xlfn.LAMBDA(_xlpm.a, _xlfn.LET(_xlpm.v, ad_to_cont(_xlpm.a, _xlpm.rng), IF(OR(_xlpm.v = "", ISBLANK(_xlpm.v)), "", _xlpm.v)))),
        _xlpm.use_stop, NOT(_xlfn.ISOMITTED(_xlpm.stopper)),
        _xlpm.stop_pos, IF(_xlpm.use_stop, _xlfn.XMATCH(_xlpm.stopper, _xlpm.val_list, 0), NA()),
        _xlpm.keep_rows, IF(_xlpm.use_stop, IF(ISERROR(_xlpm.stop_pos), _xlpm.max_steps + 1, _xlpm.stop_pos), _xlpm.max_steps + 1),
        _xlpm.out_addrs, _xlfn.CHOOSEROWS(_xlpm.num_list, _xlfn.SEQUENCE(_xlpm.keep_rows)),
        _xlpm.out_vals, _xlfn.CHOOSEROWS(_xlpm.val_list, _xlfn.SEQUENCE(_xlpm.keep_rows)),
        _xlfn.HSTACK(_xlpm.out_addrs, _xlpm.out_vals)
      )
    ), "")
  )
)</definedName>
    <definedName name="biggest" comment="Finds the biggest number in &quot;check&quot; and returns the first matching value in &quot;return&quot; (an XLOOKUP on MAX).">_xlfn.LAMBDA(_xlpm.check,_xlpm.return, _xlfn.IFNA(_xlfn.XLOOKUP(MAX(_xlpm.check), _xlpm.check, _xlpm.return), ""))</definedName>
    <definedName name="clamp" comment="Restricts a number (or array) to be no lower than bottom and/or no higher than top; each is optional (no limit by default). Returns the same shape, blanking out text cells.">_xlfn.LAMBDA(_xlpm.num_or_arr,_xlop.bottom,_xlop.top, _xlfn.LET(
   _xlpm.clamp_one, _xlfn.LAMBDA(_xlpm.x,
      IF(
         ISERROR(_xlpm.x),
         _xlpm.x,
         IF(
            OR(_xlpm.x = "", ISTEXT(_xlpm.x)),
            "",
            _xlfn.LET(
               _xlpm.hi, IF(_xlfn.ISOMITTED(_xlpm.top), _xlpm.x, MIN(_xlpm.top, _xlpm.x)),
               _xlpm.lo, IF(_xlfn.ISOMITTED(_xlpm.bottom), _xlpm.hi, MAX(_xlpm.bottom, _xlpm.hi)),
               _xlpm.lo
            )
         )
      )
   ),
   IF(
      AND(ROWS(_xlpm.num_or_arr) = 1, COLUMNS(_xlpm.num_or_arr) = 1),
      _xlpm.clamp_one(_xlpm.num_or_arr),
      _xlfn.MAP(_xlpm.num_or_arr, _xlpm.clamp_one)
   )
))</definedName>
    <definedName name="cont_to_ad" comment="Reverse lookup: find a value in arr and return its address. Numeric address by default, A1 string when str = 1. A value appearing several times returns all its addresses in row-major order joined by &quot;;&quot;. A value not found returns &quot;&quot;. An array of values is">_xlfn.LAMBDA(_xlpm.cont,_xlpm.arr,_xlop.str,
  _xlfn.LET(
    _xlpm.want_str, IF(_xlfn.ISOMITTED(_xlpm.str), 0, _xlpm.str),
    _xlpm.s_row, ROW(INDEX(_xlpm.arr, 1, 1)),
    _xlpm.s_col, COLUMN(INDEX(_xlpm.arr, 1, 1)),
    _xlpm.a_rows, ROWS(_xlpm.arr),
    _xlpm.a_cols, COLUMNS(_xlpm.arr),
    _xlpm.ncell, _xlpm.a_rows * _xlpm.a_cols,
    _xlpm.flat, _xlfn.TOROW(_xlpm.arr),
    _xlpm.idx, _xlfn.SEQUENCE(1, _xlpm.ncell),
    _xlpm.abs_row, _xlpm.s_row + INT((_xlpm.idx - 1) / _xlpm.a_cols),
    _xlpm.abs_col, _xlpm.s_col + MOD(_xlpm.idx - 1, _xlpm.a_cols),
    _xlpm.addr, IF(_xlpm.want_str, ADDRESS(_xlpm.abs_row, _xlpm.abs_col, 4), 1000000 * _xlpm.abs_row + _xlpm.abs_col),
    _xlpm.one_val, _xlfn.LAMBDA(_xlpm.target,
      _xlfn.LET(_xlpm.hit, _xlpm.flat = _xlpm.target, _xlpm.hit_count, SUM(--_xlpm.hit),
        IF(_xlpm.hit_count = 0, "",
          IF(_xlpm.hit_count = 1, INDEX(_xlfn._xlws.FILTER(_xlpm.addr, _xlpm.hit), 1),
            _xlfn.TEXTJOIN(";", TRUE, _xlfn._xlws.FILTER(_xlpm.addr, _xlpm.hit)))))),
    IF(ROWS(_xlpm.cont) * COLUMNS(_xlpm.cont) &gt; 1, _xlfn.MAP(_xlpm.cont, _xlpm.one_val), _xlpm.one_val(_xlpm.cont))
  )
)</definedName>
    <definedName name="count_substring" comment="Counts how many times sub appears in str. case_sensitive is 0 by default. Either argument may be an array (but not both) to map the count across it.">_xlfn.LAMBDA(_xlpm.input_text,_xlpm.sub,_xlop.case_sensitive, _xlfn.LET(
   _xlpm.cs, IF(_xlfn.ISOMITTED(_xlpm.case_sensitive), 0, _xlpm.case_sensitive),
   _xlpm.norm, _xlfn.LAMBDA(_xlpm.t, IF(_xlpm.cs = 1, _xlpm.t, LOWER(_xlpm.t))),
   _xlpm.count_one, _xlfn.LAMBDA(_xlpm.txt,_xlpm.subtxt, _xlfn.LET(
      _xlpm.t_norm, _xlpm.norm(_xlpm.txt),
      _xlpm.s_norm, _xlpm.norm(_xlpm.subtxt),
      IF(
         _xlpm.s_norm = "",
         0,
         (LEN(_xlpm.t_norm) - LEN(SUBSTITUTE(_xlpm.t_norm, _xlpm.s_norm, ""))) / LEN(_xlpm.s_norm)
      )
   )),
   _xlpm.input_is_array, ROWS(_xlpm.input_text) * COLUMNS(_xlpm.input_text) &gt; 1,
   _xlpm.sub_is_array, ROWS(_xlpm.sub) * COLUMNS(_xlpm.sub) &gt; 1,
   _xlpm.is_text_or_num, _xlfn.LAMBDA(_xlpm.v, IFERROR(ISNUMBER(_xlpm.v) + ISTEXT(_xlpm.v), 0)),
   IF(
      _xlpm.input_is_array * _xlpm.sub_is_array,
      VALUE("both text args are arrays"),
      IF(
         _xlpm.input_is_array,
         _xlfn.MAP(
            _xlpm.input_text,
            _xlfn.LAMBDA(_xlpm.t, IF(_xlpm.is_text_or_num(_xlpm.t), IFERROR(_xlpm.count_one(_xlpm.t, _xlpm.sub), 0), 0))
         ),
         IF(
            _xlpm.sub_is_array,
            _xlfn.MAP(
               _xlpm.sub,
               _xlfn.LAMBDA(_xlpm.s,
                  IF(
                     _xlpm.is_text_or_num(_xlpm.input_text),
                     IFERROR(_xlpm.count_one(_xlpm.input_text, _xlpm.s), 0),
                     0
                  )
               )
            ),
            IF(
               _xlpm.is_text_or_num(_xlpm.input_text),
               IFERROR(_xlpm.count_one(_xlpm.input_text, _xlpm.sub), 0),
               0
            )
         )
      )
   )
))</definedName>
    <definedName name="ctotal" comment="Cumulative (running) total of an array. Returns an array of the same size where each value is the sum of itself and all values before it, in row-major order.">_xlfn.LAMBDA(_xlpm.arr, _xlfn.SCAN(0, _xlpm.arr, _xlfn.LAMBDA(_xlpm.a,_xlpm.b, _xlpm.a + _xlpm.b)))</definedName>
    <definedName name="cycles" comment="Simulates two nested loops: a 2-column array with outer_n*inner_n rows. Column 1 counts 1..outer_n, repeating each value inner_n times; column 2 cycles 1..inner_n.">_xlfn.LAMBDA(_xlpm.outer_n,_xlpm.inner_n, _xlfn.LET(
   _xlpm.seq, _xlfn.SEQUENCE(_xlpm.outer_n * _xlpm.inner_n, 1, 0),
   _xlfn.HSTACK(INT(_xlpm.seq / _xlpm.inner_n) + 1, MOD(_xlpm.seq, _xlpm.inner_n) + 1)
))</definedName>
    <definedName name="die_pips" comment="Converts die-face pip characters (⚀-⚅) to their numbers. Handles a concatenated string of dice or an array with one die per cell (concatenate first for multiple dice per cell).">_xlfn.LAMBDA(_xlpm.st, _xlfn.LET(
   _xlpm.toVals, _xlfn.LAMBDA(_xlpm.txt, _xlfn.LET(
      _xlpm.seq, _xlfn.SEQUENCE(LEN(_xlpm.txt)),
      _xlpm.chars, MID(_xlpm.txt, _xlpm.seq, 1),
      _xlpm.codes, _xlfn.UNICODE(_xlpm.chars),
      _xlpm.isDie, (_xlpm.codes &gt;= 9856) * (_xlpm.codes &lt;= 9861),
      _xlpm.vals, _xlfn._xlws.FILTER(_xlpm.codes - 9855, _xlpm.isDie, ""),
      IF(ROWS(_xlpm.vals) * COLUMNS(_xlpm.vals) = 1, INDEX(_xlpm.vals, 1), _xlpm.vals)
   )),
   IF(
      ROWS(_xlpm.st) * COLUMNS(_xlpm.st) = 1,
      _xlpm.toVals(_xlpm.st),
      _xlfn.MAP(_xlpm.st, _xlfn.LAMBDA(_xlpm.cell, _xlpm.toVals(_xlpm.cell)))
   )
))</definedName>
    <definedName name="dist" comment="Distance from start_ad to end_ad (each numeric or A1). diag_allowed: 1 chessboard (default), 0 taxicab, -1 pythagorean. If print_components is 1 (not default) returns the component arrows and magnitudes instead.">_xlfn.LAMBDA(_xlpm.start_ad,_xlpm.end_ad,_xlop.diag_allowed,_xlop.print_components,
  _xlfn.LET(
    _xlpm.s, num_ad(_xlpm.start_ad),
    _xlpm.e, num_ad(_xlpm.end_ad),
    _xlpm.start_row, INT(_xlpm.s / 1000000),
    _xlpm.start_col, MOD(_xlpm.s, 1000000),
    _xlpm.end_row, INT(_xlpm.e / 1000000),
    _xlpm.end_col, MOD(_xlpm.e, 1000000),
    _xlpm.mode, IF(_xlfn.ISOMITTED(_xlpm.diag_allowed), 1, _xlpm.diag_allowed),
    _xlpm.show_components, IF(_xlfn.ISOMITTED(_xlpm.print_components), 0, _xlpm.print_components),
    _xlpm.row_diff, _xlpm.end_row - _xlpm.start_row,
    _xlpm.col_diff, _xlpm.end_col - _xlpm.start_col,
    _xlpm.abs_row, ABS(_xlpm.row_diff),
    _xlpm.abs_col, ABS(_xlpm.col_diff),
    _xlpm.quad, _xlfn.SWITCH(TRUE, AND(_xlpm.row_diff&lt;0,_xlpm.col_diff&lt;0),"↖", AND(_xlpm.row_diff&lt;0,_xlpm.col_diff&gt;0),"↗", AND(_xlpm.row_diff&gt;0,_xlpm.col_diff&lt;0),"↙", "↘"),
    _xlpm.v_arr, IF(_xlpm.row_diff&gt;0,"↓",IF(_xlpm.row_diff&lt;0,"↑","")),
    _xlpm.h_arr, IF(_xlpm.col_diff&gt;0,"→",IF(_xlpm.col_diff&lt;0,"←","")),
    IF(_xlpm.mode = -1,
      IF(_xlpm.show_components = 0, SQRT(_xlpm.row_diff^2 + _xlpm.col_diff^2),
        _xlfn.VSTACK(_xlpm.v_arr, _xlpm.abs_row, _xlpm.h_arr, _xlpm.abs_col, IF(OR(_xlpm.row_diff=0,_xlpm.col_diff=0),"",_xlpm.quad), SQRT(_xlpm.row_diff^2+_xlpm.col_diff^2))),
      IF(_xlpm.show_components = 0,
        IF(_xlpm.mode = 0, _xlpm.abs_row + _xlpm.abs_col, MAX(_xlpm.abs_row, _xlpm.abs_col)),
        IF(_xlpm.mode = 0,
          _xlfn.VSTACK(_xlpm.v_arr, _xlpm.abs_row, _xlpm.h_arr, _xlpm.abs_col),
          _xlfn.LET(_xlpm.dd, MIN(_xlpm.abs_row,_xlpm.abs_col), _xlpm.rr, _xlpm.abs_row-_xlpm.dd, _xlpm.cc, _xlpm.abs_col-_xlpm.dd,
            _xlfn.VSTACK(IF(_xlpm.dd&gt;0,_xlpm.quad,""), _xlpm.dd, IF(_xlpm.rr&gt;0,_xlpm.v_arr,""), _xlpm.rr, IF(_xlpm.cc&gt;0,_xlpm.h_arr,""), _xlpm.cc)))))
  )
)</definedName>
    <definedName name="exists" comment="Checks whether value is present anywhere in arr; returns 1 or 0.">_xlfn.LAMBDA(_xlpm.Arr,_xlpm.Val, IF(ISNUMBER(_xlfn.XMATCH(_xlpm.Val, _xlfn.TOCOL(_xlpm.Arr), 0)), 1, 0))</definedName>
    <definedName name="expand_rng" comment="Grow an address or range into a bigger rectangle and return it as a range string. Expands r_down rows down, c_right cols right, r_up rows up, c_left cols left (all 0 by default, non-negative integers). Clamps at row 1 / col 1. Output format mirrors the in">_xlfn.LAMBDA(_xlpm.ad_or_rng,_xlop.r_down,_xlop.c_right,_xlop.r_up,_xlop.c_left,
  _xlfn.LET(
    _xlpm.grow_down, IF(_xlfn.ISOMITTED(_xlpm.r_down), 0, _xlpm.r_down),
    _xlpm.grow_right, IF(_xlfn.ISOMITTED(_xlpm.c_right), 0, _xlpm.c_right),
    _xlpm.grow_up, IF(_xlfn.ISOMITTED(_xlpm.r_up), 0, _xlpm.r_up),
    _xlpm.grow_left, IF(_xlfn.ISOMITTED(_xlpm.c_left), 0, _xlpm.c_left),
    _xlpm.single, ROWS(_xlpm.ad_or_rng) * COLUMNS(_xlpm.ad_or_rng) = 1,
    _xlpm.ok_int, _xlfn.LAMBDA(_xlpm.x, IFERROR(AND(ISNUMBER(_xlpm.x), _xlpm.x = INT(_xlpm.x), _xlpm.x &gt;= 0), FALSE)),
    _xlpm.args_ok, AND(_xlpm.ok_int(_xlpm.grow_down), _xlpm.ok_int(_xlpm.grow_right), _xlpm.ok_int(_xlpm.grow_up), _xlpm.ok_int(_xlpm.grow_left)),
    _xlpm.box, IFERROR(z_ad_box(_xlpm.ad_or_rng), 0),
    IF(OR(NOT(_xlpm.single), NOT(_xlpm.args_ok), COUNT(_xlpm.box) &lt;&gt; 4), #VALUE!,
      _xlfn.LET(
        _xlpm.top, MAX(1, SUM(INDEX(_xlpm.box, 1)) - _xlpm.grow_up),
        _xlpm.lft, MAX(1, SUM(INDEX(_xlpm.box, 2)) - _xlpm.grow_left),
        _xlpm.bot, MIN(1048576, SUM(INDEX(_xlpm.box, 3)) + _xlpm.grow_down),
        _xlpm.rgt, MIN(16384, SUM(INDEX(_xlpm.box, 4)) + _xlpm.grow_right),
        _xlpm.num_fmt, OR(ISNUMBER(_xlpm.ad_or_rng), AND(ISTEXT(_xlpm.ad_or_rng), NOT(_xlfn.REGEXTEST(_xlpm.ad_or_rng, "[A-Za-z]")))),
        _xlpm.corner_tl, IF(_xlpm.num_fmt, 1000000 * _xlpm.top + _xlpm.lft, ADDRESS(_xlpm.top, _xlpm.lft, 4)),
        _xlpm.corner_br, IF(_xlpm.num_fmt, 1000000 * _xlpm.bot + _xlpm.rgt, ADDRESS(_xlpm.bot, _xlpm.rgt, 4)),
        _xlpm.corner_tl &amp; ":" &amp; _xlpm.corner_br))
  )
)</definedName>
    <definedName name="freq_table" comment="Turns an array into a frequency table sorted by frequency descending. min_freq filters out rows below that count. Ignores blanks and &quot;&quot;; errors if every row is filtered out.">_xlfn.LAMBDA(_xlpm.array,_xlop.min_freq, _xlfn.LET(
   _xlpm.mf, IF(_xlfn.ISOMITTED(_xlpm.min_freq), 1, _xlpm.min_freq),
   _xlpm.vec0, _xlfn.TOCOL(_xlpm.array, 1),
   _xlpm.vec, IFERROR(_xlfn._xlws.FILTER(_xlpm.vec0, _xlpm.vec0 &lt;&gt; ""), NA()),
   _xlpm.u, IFERROR(_xlfn.UNIQUE(_xlpm.vec), NA()),
   _xlpm.cnt, IFERROR(_xlfn.MAP(_xlpm.u, _xlfn.LAMBDA(_xlpm.x, SUM(--(_xlpm.vec = _xlpm.x)))), NA()),
   _xlpm.tab, IFERROR(_xlfn._xlws.FILTER(_xlfn.HSTACK(_xlpm.u, _xlpm.cnt), _xlpm.cnt &gt;= _xlpm.mf), NA()),
   IFERROR(_xlfn._xlws.SORT(_xlpm.tab, {2,1}, {-1,1}), NA())
))</definedName>
    <definedName name="ftd_maze_cost" comment="Directed maze costs. ftd_lambda(from,to,dir) returns a nonnegative edge cost or NA()/text for an illegal move. Returns least cost to every cell; start is 0.">_xlfn.LAMBDA(_xlpm.board,_xlpm.start_ref,_xlpm.ftd_lambda,_xlop.max_steps,
  _xlfn.LET(
    _xlpm.row_count, ROWS(_xlpm.board),
    _xlpm.col_count, COLUMNS(_xlpm.board),
    _xlpm.infinity, 1E+99,
    _xlpm.dir_list, {"↑";"↓";"←";"→";"↖";"↗";"↙";"↘"},
    _xlpm.row_delta, {-1;1;0;0;-1;-1;1;1},
    _xlpm.col_delta, {0;0;-1;1;-1;1;-1;1},
    _xlpm.step_count, MAX(1, INT(IF(_xlfn.ISOMITTED(_xlpm.max_steps), MAX(_xlpm.row_count, _xlpm.col_count) - 1, _xlpm.max_steps))),
    _xlpm.start_coords, IF(
      ROWS(_xlpm.start_ref) * COLUMNS(_xlpm.start_ref) = 1,
      _xlfn.LET(
        _xlpm.start_num, num_ad(_xlpm.start_ref),
        _xlfn.HSTACK(
          INT(_xlpm.start_num / 1000000) - MIN(ROW(_xlpm.board)) + 1,
          MOD(_xlpm.start_num, 1000000) - MIN(COLUMN(_xlpm.board)) + 1
        )
      ),
      _xlpm.start_ref
    ),
    _xlpm.start_row, INDEX(_xlpm.start_coords, 1),
    _xlpm.start_col, INDEX(_xlpm.start_coords, 2),
    _xlpm.initial_costs, _xlfn.MAKEARRAY(
      _xlpm.row_count,
      _xlpm.col_count,
      _xlfn.LAMBDA(_xlpm.row_ix,_xlpm.col_ix, IF(AND(_xlpm.row_ix = _xlpm.start_row, _xlpm.col_ix = _xlpm.start_col), 0, _xlpm.infinity))
    ),
    _xlpm.cell_keys, _xlfn.MAKEARRAY(_xlpm.row_count, _xlpm.col_count, _xlfn.LAMBDA(_xlpm.row_ix,_xlpm.col_ix, _xlpm.row_ix &amp; "|" &amp; _xlpm.col_ix)),
    IF(
      OR(_xlpm.start_row &lt; 1, _xlpm.start_row &gt; _xlpm.row_count, _xlpm.start_col &lt; 1, _xlpm.start_col &gt; _xlpm.col_count),
      "X",
      _xlfn.LET(
        _xlpm.result, z_ftd_maze_cost_worker(
          z_ftd_maze_cost_worker,
          _xlpm.initial_costs,
          _xlfn.HSTACK(_xlpm.start_row, _xlpm.start_col, 0),
          _xlpm.board,
          _xlpm.ftd_lambda,
          _xlpm.dir_list,
          _xlpm.row_delta,
          _xlpm.col_delta,
          _xlpm.cell_keys,
          _xlpm.infinity,
          _xlpm.step_count
        ),
        IF(_xlpm.result = "MORE STEPS", _xlpm.result, IF(_xlpm.result &gt;= _xlpm.infinity / 2, "", _xlpm.result))
      )
    )
  )
)</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LATESTK" hidden="1">1000</definedName>
    <definedName name="IQ_LATESTQ" hidden="1">500</definedName>
    <definedName name="IQ_LTMMONTH" hidden="1">120000</definedName>
    <definedName name="IQ_TODAY" hidden="1">0</definedName>
    <definedName name="IQ_YTDMONTH" hidden="1">130000</definedName>
    <definedName name="is_unique" comment="Checks whether all values in the array are unique; returns TRUE/FALSE. Case-insensitive, so {&quot;A&quot;,&quot;a&quot;} is not unique. Combine with str_to_arr to test character by character.">_xlfn.LAMBDA(_xlpm.Arr, _xlfn.LET(
   _xlpm.flatArr, _xlfn.TOCOL(_xlpm.Arr, 1, 4),
   _xlpm.filtArr, _xlfn._xlws.FILTER(_xlpm.flatArr, _xlpm.flatArr &lt;&gt; ""),
   _xlpm.rowCount, ROWS(_xlpm.filtArr),
   _xlpm.matchMatrix, --(_xlpm.filtArr = TRANSPOSE(_xlpm.filtArr)),
   _xlpm.freq, MMULT(_xlpm.matchMatrix, _xlfn.SEQUENCE(_xlpm.rowCount, 1, 1, 0)),
   IF(MAX(_xlpm.freq) &gt; 1, 0, 1)
))</definedName>
    <definedName name="knight_moves" comment="Minimum number of chess knight moves between two cells on an unbounded board. start_ad and end_ad each accept a numeric address (1e6*row+col) or an A1 string.">_xlfn.LAMBDA(_xlpm.start_ad,_xlpm.end_ad, _xlfn.LET(
   _xlpm.a, num_ad(_xlpm.start_ad),
   _xlpm.b, num_ad(_xlpm.end_ad),
   _xlpm.row_1, INT(_xlpm.a / 1000000),
   _xlpm.col_1, MOD(_xlpm.a, 1000000),
   _xlpm.row_2, INT(_xlpm.b / 1000000),
   _xlpm.col_2, MOD(_xlpm.b, 1000000),
   _xlpm.adx, ABS(_xlpm.col_1 - _xlpm.col_2),
   _xlpm.ady, ABS(_xlpm.row_1 - _xlpm.row_2),
   _xlpm.dx, MAX(_xlpm.adx, _xlpm.ady),
   _xlpm.dy, MIN(_xlpm.adx, _xlpm.ady),
   _xlpm.base_est, MAX(QUOTIENT(_xlpm.dx + 1, 2), QUOTIENT(_xlpm.dx + _xlpm.dy + 2, 3)),
   _xlpm.raw, IF(MOD(_xlpm.base_est + _xlpm.dx + _xlpm.dy, 2) = 1, _xlpm.base_est + 1, _xlpm.base_est),
   IF(_xlpm.dx = 0, 0, IF(AND(_xlpm.dx = 1, _xlpm.dy = 0), 3, IF(AND(_xlpm.dx = 2, _xlpm.dy = 2), 4, _xlpm.raw)))
))</definedName>
    <definedName name="label_lookup" comment="Two-way lookup in a labelled 2D array: finds row_label in the first column and column_label in the first row and returns the value at their intersection.">_xlfn.LAMBDA(_xlpm.arr,_xlpm.row_label,_xlpm.column_label,
   _xlfn.IFNA(
      INDEX(
         _xlpm.arr,
         _xlfn.XMATCH(_xlpm.row_label, INDEX(_xlpm.arr, , 1), 0),
         _xlfn.XMATCH(_xlpm.column_label, INDEX(_xlpm.arr, 1, ), 0)
      ),
      ""
   )
)</definedName>
    <definedName name="load_array" comment="Rebuilds an array from a delimited string (inverse of save_array). Defaults match save_array: &quot;|&quot; separates columns and &quot;;&quot; separates rows.">_xlfn.LAMBDA(_xlpm.input_string,_xlop.col_delimiter,_xlop.row_delimiter,
   IF(
      _xlpm.input_string = "",
      "",
      _xlfn.LET(
         _xlpm.cd, IF(_xlfn.ISOMITTED(_xlpm.col_delimiter), "|", _xlpm.col_delimiter),
         _xlpm.rd, IF(_xlfn.ISOMITTED(_xlpm.row_delimiter), ";", _xlpm.row_delimiter),
         _xlfn.LET(
            _xlpm.arr, _xlfn.TEXTSPLIT(_xlpm.input_string, _xlpm.cd, _xlpm.rd, FALSE),
            _xlfn.MAP(_xlpm.arr, _xlfn.LAMBDA(_xlpm.val, IF(_xlpm.val = "", "", IFERROR(--_xlpm.val, _xlpm.val))))
         )
      )
   )
)</definedName>
    <definedName name="make_change" comment="Greedy change: takes as many of the largest denomination as fit without exceeding price, then the next largest, and so on. coins is a vertical array of denominations; returns a matching array of counts. Prefers higher denominations even when a lower-denom">_xlfn.LAMBDA(_xlpm.coins,_xlpm.price, _xlfn.LET(
   _xlpm.cvec, _xlfn.TOCOL(_xlpm.coins),
   _xlpm.ncoins, ROWS(_xlpm.cvec),
   _xlpm.scale, 1000000,
   _xlpm.cnum, IFERROR(_xlpm.cvec * 1, 0),
   _xlpm.pnum, IFERROR(_xlpm.price * 1, 0),
   _xlpm.ds, IF(_xlpm.cnum &gt; 0, ROUND(_xlpm.cnum * _xlpm.scale, 0), 0),
   _xlpm.ps, MAX(ROUND(_xlpm.pnum * _xlpm.scale, 0), 0),
   _xlpm.idx, _xlfn.SEQUENCE(_xlpm.ncoins),
   _xlpm.ord, _xlfn.SORTBY(_xlpm.idx, _xlpm.ds, -1),
   _xlpm.sorted_ds, _xlfn.SORTBY(_xlpm.ds, _xlpm.ds, -1),
   _xlpm.rem_after, _xlfn.SCAN(_xlpm.ps, _xlpm.sorted_ds, _xlfn.LAMBDA(_xlpm.rem,_xlpm.coin, IF(_xlpm.coin &lt; 1, _xlpm.rem, MOD(_xlpm.rem, _xlpm.coin)))),
   _xlpm.rem_before, _xlfn.TAKE(_xlfn.VSTACK(_xlpm.ps, _xlpm.rem_after), _xlpm.ncoins),
   _xlpm.count_sorted, IF(_xlpm.sorted_ds &lt; 1, 0, INT(_xlpm.rem_before / _xlpm.sorted_ds)),
   _xlpm.count_orig, _xlfn.SORTBY(_xlpm.count_sorted, _xlpm.ord),
   IF(ROWS(_xlpm.coins) &gt;= COLUMNS(_xlpm.coins), _xlpm.count_orig, TRANSPOSE(_xlpm.count_orig))
))</definedName>
    <definedName name="neighbors_count" comment="Returns an array the same size as arr where each value is the count of val within dist cells. diag_allowed and self_count are both 1 (on) by default.">_xlfn.LAMBDA(_xlpm.arr,_xlpm.val,_xlpm.dist,_xlop.diag_allowed,_xlop.self_count, _xlfn.LET(
   _xlpm.r, ROWS(_xlpm.arr),
   _xlpm.c, COLUMNS(_xlpm.arr),
   _xlpm.d, _xlpm.dist,
   _xlpm.diag, IF(_xlfn.ISOMITTED(_xlpm.diag_allowed), TRUE, _xlpm.diag_allowed),
   _xlpm.self, IF(_xlfn.ISOMITTED(_xlpm.self_count), TRUE, _xlpm.self_count),
   _xlpm.sz, 2 * _xlpm.d + 1,
   _xlpm.ro, _xlfn.MAKEARRAY(_xlpm.sz, _xlpm.sz, _xlfn.LAMBDA(_xlpm.a,_xlpm.b, _xlpm.a - (_xlpm.d + 1))),
   _xlpm.co, _xlfn.MAKEARRAY(_xlpm.sz, _xlpm.sz, _xlfn.LAMBDA(_xlpm.a,_xlpm.b, _xlpm.b - (_xlpm.d + 1))),
   _xlfn.MAKEARRAY(
      _xlpm.r,
      _xlpm.c,
      _xlfn.LAMBDA(_xlpm.i,_xlpm.j, _xlfn.LET(
         _xlpm.ri, _xlpm.i + _xlpm.ro,
         _xlpm.cj, _xlpm.j + _xlpm.co,
         _xlpm.in_bounds, (_xlpm.ri &gt;= 1) * (_xlpm.ri &lt;= _xlpm.r) * (_xlpm.cj &gt;= 1) * (_xlpm.cj &lt;= _xlpm.c),
         _xlpm.diag_mask, IF(_xlpm.diag, 1, (ABS(_xlpm.ro) + ABS(_xlpm.co) &lt;= _xlpm.d)),
         _xlpm.self_mask, IF(_xlpm.self, 1, 1 - ((_xlpm.ro = 0) * (_xlpm.co = 0))),
         _xlpm.vals, INDEX(_xlpm.arr, _xlpm.ri, _xlpm.cj),
         _xlpm.hits, IFERROR(--(_xlpm.vals = _xlpm.val), 0),
         SUM(_xlpm.hits * _xlpm.in_bounds * _xlpm.diag_mask * _xlpm.self_mask)
      ))
   )
))</definedName>
    <definedName name="neighbors_list" comment="Lists the A1 addresses around a center cell within size (default 1), bounded by boundary_rng (default whole sheet). center_ad accepts a numeric address or an A1 string. diag_allowed 1 = chessboard (default), 0 = Manhattan.">_xlfn.LAMBDA(_xlpm.center_ad,_xlop.size,_xlop.boundary_rng,_xlop.diag_allowed, _xlfn.LET(
   _xlpm.s, IF(_xlfn.ISOMITTED(_xlpm.size), 1, _xlpm.size),
   _xlpm.d, IF(_xlfn.ISOMITTED(_xlpm.diag_allowed), 1, _xlpm.diag_allowed),
   _xlpm.cen_num, num_ad(_xlpm.center_ad),
   _xlpm.cen_row, IFERROR(INT(_xlpm.cen_num / 1000000), NA()),
   _xlpm.cen_col, IFERROR(MOD(_xlpm.cen_num, 1000000), NA()),
   _xlpm.rmin, IF(_xlfn.ISOMITTED(_xlpm.boundary_rng), 1, MIN(ROW(_xlpm.boundary_rng))),
   _xlpm.rmax, IF(_xlfn.ISOMITTED(_xlpm.boundary_rng), 1048576, MAX(ROW(_xlpm.boundary_rng))),
   _xlpm.cmin, IF(_xlfn.ISOMITTED(_xlpm.boundary_rng), 1, MIN(COLUMN(_xlpm.boundary_rng))),
   _xlpm.cmax, IF(_xlfn.ISOMITTED(_xlpm.boundary_rng), 16384, MAX(COLUMN(_xlpm.boundary_rng))),
   _xlpm.ok, ISNUMBER(_xlpm.cen_row) * ISNUMBER(_xlpm.cen_col),
   IF(
      NOT(_xlpm.ok),
      NA(),
      _xlfn.LET(
         _xlpm.w, 2 * _xlpm.s + 1,
         _xlpm.ro, _xlfn.MAKEARRAY(_xlpm.w, _xlpm.w, _xlfn.LAMBDA(_xlpm.i,_xlpm.j, _xlpm.i - _xlpm.s - 1)),
         _xlpm.co, _xlfn.MAKEARRAY(_xlpm.w, _xlpm.w, _xlfn.LAMBDA(_xlpm.i,_xlpm.j, _xlpm.j - _xlpm.s - 1)),
         _xlpm.ri, _xlpm.cen_row + _xlpm.ro,
         _xlpm.ci, _xlpm.cen_col + _xlpm.co,
         _xlpm.m, (_xlpm.ri &gt;= _xlpm.rmin) * (_xlpm.ri &lt;= _xlpm.rmax) * (_xlpm.ci &gt;= _xlpm.cmin) * (_xlpm.ci &lt;= _xlpm.cmax)
            * ((_xlpm.ro &lt;&gt; 0) + (_xlpm.co &lt;&gt; 0))
            * IF(_xlpm.d, 1, ABS(_xlpm.ro) + ABS(_xlpm.co) &lt;= _xlpm.s),
         _xlpm.dist, IF(_xlpm.d, MAX(ABS(_xlpm.ro), ABS(_xlpm.co)), ABS(_xlpm.ro) + ABS(_xlpm.co)),
         _xlpm.ad, _xlfn.TOCOL(IF(_xlpm.m, ADDRESS(_xlpm.ri, _xlpm.ci, 4), "")),
         _xlpm.di, _xlfn.TOCOL(IF(_xlpm.m, _xlpm.dist, "")),
         _xlpm.k, _xlpm.ad &lt;&gt; "",
         _xlpm.lst, _xlfn._xlws.FILTER(_xlpm.ad, _xlpm.k),
         _xlpm.ord, _xlfn._xlws.FILTER(_xlpm.di, _xlpm.k),
         IF(ROWS(_xlpm.lst) = 0, NA(), _xlfn.SORTBY(_xlpm.lst, _xlpm.ord, 1))
      )
   )
))</definedName>
    <definedName name="num_ad" comment="Convert any address or range to a numeric address (1e6*row+col) or an array of them. A string address becomes its number; a standard direction arrow becomes its numeric delta (→ 1, ↑ -1000000, ...); a range (A1 or numeric) expands to an array of numeric a">_xlfn.LAMBDA(_xlpm.ad_or_rng,
  _xlfn.LET(
    _xlpm.to_num_1, _xlfn.LAMBDA(_xlpm.one, IF(_xlpm.one = "", "", _xlfn.LET(_xlpm.av, z_arrow_to_num(_xlpm.one), IF(ISNUMBER(_xlpm.av), _xlpm.av, IFERROR(z_a1n(_xlpm.one), _xlpm.one))))),
    IF(ROWS(_xlpm.ad_or_rng) * COLUMNS(_xlpm.ad_or_rng) &gt; 1,
      _xlfn.MAP(_xlpm.ad_or_rng, _xlpm.to_num_1),
      _xlfn.LET(
        _xlpm.has_colon, AND(ISTEXT(_xlpm.ad_or_rng), ISNUMBER(SEARCH(":", _xlpm.ad_or_rng))),
        _xlpm.box, IFERROR(z_ad_box(_xlpm.ad_or_rng), 0),
        IF(AND(_xlpm.has_colon, COUNT(_xlpm.box) = 4),
          _xlfn.LET(_xlpm.top, SUM(INDEX(_xlpm.box, 1)), _xlpm.lft, SUM(INDEX(_xlpm.box, 2)), _xlpm.bot, SUM(INDEX(_xlpm.box, 3)), _xlpm.rgt, SUM(INDEX(_xlpm.box, 4)),
              _xlfn.MAKEARRAY(_xlpm.bot - _xlpm.top + 1, _xlpm.rgt - _xlpm.lft + 1, _xlfn.LAMBDA(_xlpm.dr,_xlpm.dc, 1000000 * (_xlpm.top + _xlpm.dr - 1) + (_xlpm.lft + _xlpm.dc - 1)))),
          _xlpm.to_num_1(_xlpm.ad_or_rng))))
  )
)</definedName>
    <definedName name="offset_letter" comment="Shifts each letter in a string by an integer offset with wraparound (e.g. &quot;xyz&quot; +2 = &quot;zab&quot;). Preserves case and non-letter characters; works on arrays.">_xlfn.LAMBDA(_xlpm.st,_xlpm.offset, _xlfn.LET(
   _xlpm.r, ROWS(_xlpm.st),
   _xlpm.c, COLUMNS(_xlpm.st),
   _xlpm.f, _xlfn.LAMBDA(_xlpm.s,_xlpm.o, _xlfn.LET(
      _xlpm.s_text, _xlpm.s &amp; "",
      _xlpm.n, LEN(_xlpm.s_text),
      _xlpm.chars, IF(_xlpm.n = 0, "", MID(_xlpm.s_text, _xlfn.SEQUENCE(_xlpm.n), 1)),
      _xlpm.shifted, IF(
         _xlpm.n = 0,
         "",
         _xlfn.MAP(
            _xlpm.chars,
            _xlfn.LAMBDA(_xlpm.ch, _xlfn.LET(
               _xlpm.code, CODE(_xlpm.ch),
               _xlpm.is_u, (_xlpm.code &gt;= 65) * (_xlpm.code &lt;= 90),
               _xlpm.is_l, (_xlpm.code &gt;= 97) * (_xlpm.code &lt;= 122),
               _xlpm.new_u, CHAR(65 + MOD(_xlpm.code - 65 + _xlpm.o, 26)),
               _xlpm.new_l, CHAR(97 + MOD(_xlpm.code - 97 + _xlpm.o, 26)),
               IF(_xlpm.is_u, _xlpm.new_u, IF(_xlpm.is_l, _xlpm.new_l, _xlpm.ch))
            ))
         )
      ),
      IF(_xlpm.n = 0, "", _xlfn.TEXTJOIN("", TRUE, _xlpm.shifted))
   )),
   _xlfn.MAKEARRAY(
      _xlpm.r,
      _xlpm.c,
      _xlfn.LAMBDA(_xlpm.i,_xlpm.j,
         _xlpm.f(
            INDEX(_xlpm.st, _xlpm.i, _xlpm.j),
            IF(ROWS(_xlpm.offset) * COLUMNS(_xlpm.offset) = 1, _xlpm.offset, INDEX(_xlpm.offset, _xlpm.i, _xlpm.j))
         )
      )
   )
))</definedName>
    <definedName name="only_letters" comment="Keeps only the letters in a string (or array), dropping all other characters.">_xlfn.LAMBDA(_xlpm.arr, _xlfn.LET(
   _xlpm.f, _xlfn.LAMBDA(_xlpm.x, IFERROR(_xlfn.CONCAT(_xlfn.REGEXEXTRACT(_xlpm.x, "[a-z]", 1, 1)), "")),
   IF(ROWS(_xlpm.arr) * COLUMNS(_xlpm.arr) = 1, _xlpm.f(_xlpm.arr), _xlfn.MAP(_xlpm.arr, _xlpm.f))
))</definedName>
    <definedName name="only_numbers" comment="Pulls numbers out of a string via regex &quot;-?\d+(?:\.\d+)?&quot;. Can return several numbers from one string, so it does not map over arrays (use MAP when it is 1-to-1).">_xlfn.LAMBDA(_xlpm.txt, _xlfn.LET(
   _xlpm.matches, IFERROR(--_xlfn.REGEXEXTRACT(_xlpm.txt, "-?\d+(?:\.\d+)?", 1), ""),
   IF(ROWS(_xlpm.matches) * COLUMNS(_xlpm.matches) = 1, INDEX(_xlpm.matches, 1), _xlpm.matches)
))</definedName>
    <definedName name="rc_to_ad" comment="Build an address from a row and column number. Returns the numeric address (1e6*row+col) by default, or an A1 string (&quot;D3&quot;) when str = 1. Out-of-range or non-integer inputs return #VALUE!.">_xlfn.LAMBDA(_xlpm.row_n,_xlpm.col_n,_xlop.str,
  _xlfn.LET(
    _xlpm.want_str, IF(_xlfn.ISOMITTED(_xlpm.str), 0, _xlpm.str),
    _xlpm.ok, IFERROR(AND(ISNUMBER(_xlpm.row_n), ISNUMBER(_xlpm.col_n),
                    _xlpm.row_n = INT(_xlpm.row_n), _xlpm.col_n = INT(_xlpm.col_n),
                    _xlpm.row_n &gt;= 1, _xlpm.row_n &lt;= 1048576,
                    _xlpm.col_n &gt;= 1, _xlpm.col_n &lt;= 16384), FALSE),
    IF(NOT(_xlpm.ok), #VALUE!,
       IF(_xlpm.want_str,
          str_ad(1000000 * _xlpm.row_n + _xlpm.col_n),
          1000000 * _xlpm.row_n + _xlpm.col_n))
  )
)</definedName>
    <definedName name="repo_path">"C:\MEWC Dev Cowork\mewc-lambdas"</definedName>
    <definedName name="rev" comment="Cleans and reverses an array (same as xtocol(arr, 0, , &quot;←↑&quot;)).">_xlfn.LAMBDA(_xlpm.arr, xtocol(_xlpm.arr, 0, , arrow("L") &amp; arrow("U")))</definedName>
    <definedName name="rotate_arrow" comment="Rotates an arrow by 45 degrees times steps. arrow may be a standard arrow, its numeric equivalent, or a letter code (U D L R UL UR DL DR). clockwise = 1 (default) rotates clockwise, 0 counter-clockwise. as_num = 0 (default) returns an arrow, 1 returns the">_xlfn.LAMBDA(_xlpm.arrow,_xlpm.steps,_xlop.clockwise,_xlop.as_num, _xlfn.LET(
   _xlpm.arrows, "↑↗→↘↓↙←↖",
   _xlpm.arrow_list, MID(_xlpm.arrows, _xlfn.SEQUENCE(8), 1),
   _xlpm.idx, _xlfn.XMATCH(z_dir_to_arrow(_xlpm.arrow), _xlpm.arrow_list),
   _xlpm.turn, IF(_xlfn.ISOMITTED(_xlpm.clockwise), _xlpm.steps, IF(OR(_xlpm.clockwise = 0, _xlpm.clockwise = "ccw"), -_xlpm.steps, _xlpm.steps)),
   _xlpm.pos, MOD(_xlpm.idx - 1 + _xlpm.turn, 8) + 1,
   _xlpm.out, _xlfn.IFNA(MID(_xlpm.arrows, _xlpm.pos, 1), ""),
   IF(IF(_xlfn.ISOMITTED(_xlpm.as_num), 0, _xlpm.as_num) = 1, z_arrow_to_num(_xlpm.out), _xlpm.out)
))</definedName>
    <definedName name="route_cost" comment="Dijkstra over cost_map (numbers = cost, text = walls): least cost to reach each cell from start_ref. start_ref may be A1 text, a numeric address, or {row,col} coords. Diagonals on by default; end cell counts, start ignored.">_xlfn.LAMBDA(_xlpm.cost_map,_xlpm.start_ref,_xlop.diag_allowed, _xlfn.LET(
   _xlpm._nr, ROWS(_xlpm.cost_map),
   _xlpm._nc, COLUMNS(_xlpm.cost_map),
   _xlpm._c, IF(
      ROWS(_xlpm.start_ref) * COLUMNS(_xlpm.start_ref) = 1,
      _xlfn.LET(
         _xlpm._n, num_ad(_xlpm.start_ref),
         _xlfn.HSTACK(
            INT(_xlpm._n / 1000000) - MIN(ROW(_xlpm.cost_map)) + 1,
            MOD(_xlpm._n, 1000000) - MIN(COLUMN(_xlpm.cost_map)) + 1
         )
      ),
      _xlpm.start_ref
   ),
   _xlpm._rr, INDEX(_xlpm._c, 1),
   _xlpm._rc, INDEX(_xlpm._c, 2),
   IF(
      OR(_xlpm._rr &lt; 1, _xlpm._rr &gt; _xlpm._nr, _xlpm._rc &lt; 1, _xlpm._rc &gt; _xlpm._nc),
      "X",
      _xlfn.LET(
         _xlpm._dg, IF(_xlfn.ISOMITTED(_xlpm.diag_allowed), 1, _xlpm.diag_allowed),
         _xlpm._rd, IF(_xlpm._dg, {-1,1,0,0,-1,-1,1,1}, {-1,1,0,0}),
         _xlpm._cd, IF(_xlpm._dg, {0,0,-1,1,-1,1,-1,1}, {0,0,-1,1}),
         _xlpm._sq, (INT(_xlfn.SEQUENCE(_xlpm._nr, _xlpm._nc, 0, 1) / _xlpm._nc) + 1) &amp; "|"
            &amp; (MOD(_xlfn.SEQUENCE(_xlpm._nr, _xlpm._nc, 0, 1), _xlpm._nc) + 1),
         _xlpm._im, IF(
            (INT(_xlfn.SEQUENCE(_xlpm._nr, _xlpm._nc, 0, 1) / _xlpm._nc) + 1) = _xlpm._rr,
            IF((MOD(_xlfn.SEQUENCE(_xlpm._nr, _xlpm._nc, 0, 1), _xlpm._nc) + 1) = _xlpm._rc, 0, "X"),
            "X"
         ),
         z_route_worker(z_route_worker, _xlpm._im, _xlfn.HSTACK(_xlpm._rr, _xlpm._rc, 0), _xlpm.cost_map, _xlpm._nr, _xlpm._nc, _xlpm._rd, _xlpm._cd, _xlpm._sq)
      )
   )
))</definedName>
    <definedName name="save_array" comment="Flattens an array into a delimited text string (inverse of load_array). Defaults match load_array: &quot;|&quot; between columns and &quot;;&quot; between rows.">_xlfn.LAMBDA(_xlpm.input_array,_xlop.col_delimiter,_xlop.row_delimiter, _xlfn.LET(
   _xlpm.cd, IF(_xlfn.ISOMITTED(_xlpm.col_delimiter), "|", _xlpm.col_delimiter),
   _xlpm.rd, IF(_xlfn.ISOMITTED(_xlpm.row_delimiter), ";", _xlpm.row_delimiter),
   _xlfn.TEXTJOIN(
      _xlpm.rd,
      FALSE,
      _xlfn.BYROW(_xlpm.input_array, _xlfn.LAMBDA(_xlpm.row, _xlfn.TEXTJOIN(_xlpm.cd, FALSE, _xlpm.row)))
   )
))</definedName>
    <definedName name="scan2" comment="Like SCAN but carries TWO accumulators. For each item of arr it updates a and b together; lambda_a and lambda_b each receive (a, b, item) and return the next a and next b. Returns a 2-column array of the running (a, b) after each item.">_xlfn.LAMBDA(_xlpm.start_a,_xlpm.start_b,_xlpm.arr,_xlpm.lambda_a,_xlpm.lambda_b, _xlfn.LET(
   _xlpm.vec, _xlfn.TOCOL(_xlpm.arr),
   _xlpm.seeded, _xlfn.REDUCE(_xlfn.HSTACK(_xlpm.start_a, _xlpm.start_b), _xlpm.vec, _xlfn.LAMBDA(_xlpm.acc,_xlpm.item, _xlfn.LET(
      _xlpm.cur_a, INDEX(_xlpm.acc, ROWS(_xlpm.acc), 1),
      _xlpm.cur_b, INDEX(_xlpm.acc, ROWS(_xlpm.acc), 2),
      _xlfn.VSTACK(_xlpm.acc, _xlfn.HSTACK(_xlpm.lambda_a(_xlpm.cur_a, _xlpm.cur_b, _xlpm.item), _xlpm.lambda_b(_xlpm.cur_a, _xlpm.cur_b, _xlpm.item)))
   ))),
   _xlfn.DROP(_xlpm.seeded, 1)
))</definedName>
    <definedName name="scan3" comment="Like SCAN but carries THREE accumulators. For each item of arr it updates a, b and c together; lambda_a/lambda_b/lambda_c each receive (a, b, c, item) and return the next value of that accumulator. Returns a 3-column array of the running (a, b, c) after e">_xlfn.LAMBDA(_xlpm.start_a,_xlpm.start_b,_xlpm.start_c,_xlpm.arr,_xlpm.lambda_a,_xlpm.lambda_b,_xlpm.lambda_c, _xlfn.LET(
   _xlpm.vec, _xlfn.TOCOL(_xlpm.arr),
   _xlpm.seeded, _xlfn.REDUCE(_xlfn.HSTACK(_xlpm.start_a, _xlpm.start_b, _xlpm.start_c), _xlpm.vec, _xlfn.LAMBDA(_xlpm.acc,_xlpm.item, _xlfn.LET(
      _xlpm.cur_a, INDEX(_xlpm.acc, ROWS(_xlpm.acc), 1),
      _xlpm.cur_b, INDEX(_xlpm.acc, ROWS(_xlpm.acc), 2),
      _xlpm.cur_c, INDEX(_xlpm.acc, ROWS(_xlpm.acc), 3),
      _xlfn.VSTACK(_xlpm.acc, _xlfn.HSTACK(
         _xlpm.lambda_a(_xlpm.cur_a, _xlpm.cur_b, _xlpm.cur_c, _xlpm.item),
         _xlpm.lambda_b(_xlpm.cur_a, _xlpm.cur_b, _xlpm.cur_c, _xlpm.item),
         _xlpm.lambda_c(_xlpm.cur_a, _xlpm.cur_b, _xlpm.cur_c, _xlpm.item)
      ))
   ))),
   _xlfn.DROP(_xlpm.seeded, 1)
))</definedName>
    <definedName name="selections" comment="Permutations (order_matters=1) or combinations (=0) of size n from arr. countdown_mode stacks sizes n..1. clean_input (default 1) de-dupes/drops blanks; other flags default 0.">_xlfn.LAMBDA(_xlpm.arr,_xlpm.n,_xlop.order_matters,_xlop.repeats_allowed,_xlop.countdown_n,_xlop.clean_input,
 IF(
  _xlpm.n &lt; 1,
  NA(),
  _xlfn.LET(
   _xlpm.ci_, IF(_xlfn.ISOMITTED(_xlpm.clean_input), 1, _xlpm.clean_input),
   _xlpm.flat_, IF(
    _xlpm.ci_ = 1,
    _xlfn.LET(_xlpm.r_, _xlfn.TOCOL(_xlpm.arr, 3), _xlfn.UNIQUE(_xlfn._xlws.FILTER(_xlpm.r_, _xlpm.r_ &lt;&gt; ""))),
    _xlfn.TOCOL(_xlpm.arr)
   ),
   _xlpm.m_, ROWS(_xlpm.flat_),
   _xlpm.om_, IF(_xlfn.ISOMITTED(_xlpm.order_matters), 0, _xlpm.order_matters),
   _xlpm.rep_, IF(_xlfn.ISOMITTED(_xlpm.repeats_allowed), 0, _xlpm.repeats_allowed),
   _xlpm.cd_, IF(_xlfn.ISOMITTED(_xlpm.countdown_n), 0, _xlpm.countdown_n),
   _xlpm.chars_, _xlfn.UNICHAR(_xlfn.SEQUENCE(, _xlpm.m_, 20001)),
   _xlpm.one_k_, _xlfn.LAMBDA(_xlpm.k_,
    IF(
     _xlpm.k_ &lt; 1,
     NA(),
     _xlfn.LET(
      _xlpm.seq_, _xlfn.SEQUENCE(, _xlpm.k_),
      _xlpm.built_, _xlfn.REDUCE(
       "",
       _xlpm.seq_,
       _xlfn.LAMBDA(_xlpm.acc_,_xlpm.step_,
        _xlfn.TOCOL(
         _xlfn.IFS(
          IF(
           _xlpm.om_ = 1,
           IF(_xlpm.rep_ = 1, 1, ISERR(FIND(_xlpm.chars_, _xlpm.acc_))),
           IF(
            _xlpm.rep_ = 1,
            RIGHT(_xlpm.acc_) &lt;= _xlpm.chars_,
            RIGHT(_xlpm.acc_) &lt; _xlpm.chars_
           )
          ),
          _xlpm.acc_ &amp; _xlpm.chars_
         ),
         3
        )
       )
      ),
      IFERROR(
       _xlfn.MAP(_xlfn.UNICODE(MID(_xlpm.built_, _xlpm.seq_, 1)) - 20000, _xlfn.LAMBDA(_xlpm.pos_, INDEX(_xlpm.flat_, _xlpm.pos_))),
       NA()
      )
     )
    )
   ),
   _xlpm.pad_, _xlfn.LAMBDA(_xlpm.x_, _xlfn.EXPAND(_xlpm.x_, ROWS(_xlpm.x_), _xlpm.n, "")),
   IF(
    _xlpm.cd_ = 0,
    _xlpm.pad_(_xlpm.one_k_(_xlpm.n)),
    _xlfn.LET(
     _xlpm.max_k_, IF(_xlpm.rep_ = 1, _xlpm.n, MIN(_xlpm.n, _xlpm.m_)),
     _xlpm.seed_, _xlpm.pad_(_xlpm.one_k_(_xlpm.max_k_)),
     IF(
      _xlpm.max_k_ = 1,
      _xlpm.seed_,
      _xlfn.REDUCE(
       _xlpm.seed_,
       _xlfn.SEQUENCE(_xlpm.max_k_ - 1, 1, _xlpm.max_k_ - 1, -1),
       _xlfn.LAMBDA(_xlpm.acc_,_xlpm.k_, _xlfn.VSTACK(_xlpm.acc_, _xlpm.pad_(_xlpm.one_k_(_xlpm.k_))))
      )
     )
    )
   )
  )
 )
)</definedName>
    <definedName name="set" comment="Turns a range into a set: flattens, removes blanks and errors, uniques, and sorts. Returns a column by default, or a row if as_row = 1.">_xlfn.LAMBDA(_xlpm.data_rng,_xlop.as_row,
   IFERROR(
      _xlfn.LET(
         _xlpm._flat, _xlfn.TOCOL(_xlpm.data_rng, 3),
         _xlpm._clean, _xlfn._xlws.FILTER(_xlpm._flat, _xlpm._flat &lt;&gt; ""),
         _xlpm._res, _xlfn._xlws.SORT(_xlfn.UNIQUE(_xlpm._clean)),
         IF(IF(_xlfn.ISOMITTED(_xlpm.as_row), 0, _xlpm.as_row), _xlfn.TOROW(_xlpm._res), _xlpm._res)
      ),
      ""
   )
)</definedName>
    <definedName name="set_d" comment="Set difference: the values in set a that are not in set b.">_xlfn.LAMBDA(_xlpm.val_a,_xlpm.val_b,_xlop.as_row,
   IFERROR(
      _xlfn.LET(
         _xlpm.list_a, set(_xlpm.val_a),
         _xlpm.list_b, set(_xlpm.val_b),
         _xlpm.res, _xlfn._xlws.FILTER(_xlpm.list_a, ISNA(_xlfn.XMATCH(_xlpm.list_a, _xlpm.list_b))),
         IF(IF(_xlfn.ISOMITTED(_xlpm.as_row), 0, _xlpm.as_row), _xlfn.TOROW(_xlpm.res), _xlpm.res)
      ),
      ""
   )
)</definedName>
    <definedName name="set_i" comment="Set intersection: the values present in both set a and set b.">_xlfn.LAMBDA(_xlpm.val_a,_xlpm.val_b,_xlop.as_row,
   IFERROR(
      _xlfn.LET(
         _xlpm.list_a, set(_xlpm.val_a),
         _xlpm.list_b, set(_xlpm.val_b),
         _xlpm.res, _xlfn._xlws.FILTER(_xlpm.list_a, ISNUMBER(_xlfn.XMATCH(_xlpm.list_a, _xlpm.list_b))),
         IF(IF(_xlfn.ISOMITTED(_xlpm.as_row), 0, _xlpm.as_row), _xlfn.TOROW(_xlpm.res), _xlpm.res)
      ),
      ""
   )
)</definedName>
    <definedName name="set_u" comment="Set union: all distinct values from set a and set b combined.">_xlfn.LAMBDA(_xlpm.val_a,_xlpm.val_b,_xlop.as_row,
   set(_xlfn.VSTACK(_xlpm.val_a, _xlpm.val_b), IF(_xlfn.ISOMITTED(_xlpm.as_row), 0, _xlpm.as_row))
)</definedName>
    <definedName name="shift_arr" comment="Shifts a 1D or 2D array by &quot;steps&quot; (default 1) in the dir direction (arrow glyph, its numeric equivalent, or a letter code like &quot;R&quot;/&quot;UL&quot;). With no fill, items wrap around; if fill is a value, it fills the vacated cells instead.">_xlfn.LAMBDA(_xlpm.arr,_xlpm.dir,_xlop.fill,_xlop.steps, _xlfn.LET(
   _xlpm.s, IF(_xlfn.ISOMITTED(_xlpm.steps), 1, _xlpm.steps),
   _xlpm.wrap_mode, IF(_xlfn.ISOMITTED(_xlpm.fill), TRUE, _xlpm.fill = "wrap"),
   _xlpm.num_rows, ROWS(_xlpm.arr),
   _xlpm.num_cols, COLUMNS(_xlpm.arr),
   _xlpm.dir_norm, z_dir_to_arrow(_xlpm.dir),
   _xlpm.dir_list, {"U","D","L","R","UL","UR","DL","DR","↑","↓","←","→","↖","↗","↙","↘","⇑","⇓","⇐","⇒","⇖","⇗","⇙","⇘"},
   _xlpm.delta_r, CHOOSE(
      _xlfn.XMATCH(_xlpm.dir_norm, _xlpm.dir_list),
      -1,
      1,
      0,
      0,
      -1,
      -1,
      1,
      1,
      -1,
      1,
      0,
      0,
      -1,
      -1,
      1,
      1,
      -1,
      1,
      0,
      0,
      -1,
      -1,
      1,
      1
   ),
   _xlpm.delta_c, CHOOSE(
      _xlfn.XMATCH(_xlpm.dir_norm, _xlpm.dir_list),
      0,
      0,
      -1,
      1,
      -1,
      1,
      -1,
      1,
      0,
      0,
      -1,
      1,
      -1,
      1,
      -1,
      1,
      0,
      0,
      -1,
      1,
      -1,
      1,
      -1,
      1
   ),
   _xlpm.d_row, _xlpm.delta_r * _xlpm.s,
   _xlpm.d_col, _xlpm.delta_c * _xlpm.s,
   _xlpm.result, IF(
      _xlpm.wrap_mode,
      _xlfn.MAKEARRAY(
         _xlpm.num_rows,
         _xlpm.num_cols,
         _xlfn.LAMBDA(_xlpm.i,_xlpm.j,
            INDEX(
               _xlpm.arr,
               MOD(_xlpm.i - 1 - _xlpm.d_row + _xlpm.num_rows, _xlpm.num_rows) + 1,
               MOD(_xlpm.j - 1 - _xlpm.d_col + _xlpm.num_cols, _xlpm.num_cols) + 1
            )
         )
      ),
      _xlfn.MAKEARRAY(
         _xlpm.num_rows,
         _xlpm.num_cols,
         _xlfn.LAMBDA(_xlpm.i,_xlpm.j, _xlfn.LET(
            _xlpm.src_r, _xlpm.i - _xlpm.d_row,
            _xlpm.src_c, _xlpm.j - _xlpm.d_col,
            IF(
               AND(_xlpm.src_r &gt;= 1, _xlpm.src_r &lt;= _xlpm.num_rows, _xlpm.src_c &gt;= 1, _xlpm.src_c &lt;= _xlpm.num_cols),
               INDEX(_xlpm.arr, _xlpm.src_r, _xlpm.src_c),
               _xlpm.fill
            )
         ))
      )
   ),
   _xlfn.IFNA(_xlpm.result, "")
))</definedName>
    <definedName name="smallest" comment="Finds the smallest number in &quot;check&quot; and returns the first matching value in &quot;return&quot; (an XLOOKUP on MIN).">_xlfn.LAMBDA(_xlpm.check,_xlpm.return, _xlfn.IFNA(_xlfn.XLOOKUP(MIN(_xlpm.check), _xlpm.check, _xlpm.return), ""))</definedName>
    <definedName name="str_ad" comment="Convert any address or range to an A1 string address or an array of them. A numeric address becomes its A1 string; a range (A1 or numeric) expands to an array of A1 strings top-left to bottom-right; empty becomes &quot;&quot;; anything else passes through. Element-">_xlfn.LAMBDA(_xlpm.ad_or_rng,
  _xlfn.LET(
    _xlpm.to_str_1, _xlfn.LAMBDA(_xlpm.one, IF(_xlpm.one = "", "",
      IFERROR(_xlfn.LET(_xlpm.num, z_numval(_xlpm.one), ADDRESS(INT(_xlpm.num / 1000000), MOD(_xlpm.num, 1000000), 4)), _xlpm.one))),
    IF(ROWS(_xlpm.ad_or_rng) * COLUMNS(_xlpm.ad_or_rng) &gt; 1,
      _xlfn.MAP(_xlpm.ad_or_rng, _xlpm.to_str_1),
      _xlfn.LET(
        _xlpm.has_colon, AND(ISTEXT(_xlpm.ad_or_rng), ISNUMBER(SEARCH(":", _xlpm.ad_or_rng))),
        _xlpm.box, IFERROR(z_ad_box(_xlpm.ad_or_rng), 0),
        IF(AND(_xlpm.has_colon, COUNT(_xlpm.box) = 4),
          _xlfn.LET(_xlpm.top, SUM(INDEX(_xlpm.box, 1)), _xlpm.lft, SUM(INDEX(_xlpm.box, 2)), _xlpm.bot, SUM(INDEX(_xlpm.box, 3)), _xlpm.rgt, SUM(INDEX(_xlpm.box, 4)),
              _xlfn.MAKEARRAY(_xlpm.bot - _xlpm.top + 1, _xlpm.rgt - _xlpm.lft + 1, _xlfn.LAMBDA(_xlpm.dr,_xlpm.dc, ADDRESS(_xlpm.top + _xlpm.dr - 1, _xlpm.lft + _xlpm.dc - 1, 4)))),
          _xlpm.to_str_1(_xlpm.ad_or_rng))))
  )
)</definedName>
    <definedName name="str_rev" comment="Reverses a string (character by character), respecting whole multi-character symbols.">_xlfn.LAMBDA(_xlpm.str,
   IF(
      ROWS(_xlpm.str) * COLUMNS(_xlpm.str) = 1,
      _xlfn.TEXTJOIN("", , MID(_xlpm.str, _xlfn.SEQUENCE(LEN(_xlpm.str), , LEN(_xlpm.str), -1), 1)),
      _xlfn.BYROW(
         _xlpm.str,
         _xlfn.LAMBDA(_xlpm.x, _xlfn.TEXTJOIN("", , MID(_xlpm.x, _xlfn.SEQUENCE(LEN(_xlpm.x), , LEN(_xlpm.x), -1), 1)))
      )
   )
)</definedName>
    <definedName name="str_to_arr" comment="Splits a string into a vertical array (horizontal if as_row=1), keeping multi-char Unicode symbols whole. 1D input splits into the unused axis; 2D concatenates row-major first. Digits become numbers.">_xlfn.LAMBDA(_xlpm.str_or_array,_xlop.as_row, _xlfn.LET(
 _xlpm.a, _xlpm.str_or_array,
 _xlpm.r, ROWS(_xlpm.a),
 _xlpm.c, COLUMNS(_xlpm.a),
 _xlpm._as_row, IF(_xlfn.ISOMITTED(_xlpm.as_row), 0, _xlpm.as_row),
 IF(
  _xlpm.r * _xlpm.c = 1,
  _xlfn.LET(
   _xlpm.val, _xlpm.a &amp; "",
   IF(
    _xlpm.val = "",
    "",
    _xlfn.LET(
     _xlpm.extracted, _xlfn.REGEXEXTRACT(_xlpm.val, "\X", 1),
     _xlfn.MAP(
      IF(_xlpm._as_row, _xlpm.extracted, _xlfn.TOCOL(_xlpm.extracted)),
      _xlfn.LAMBDA(_xlpm.char, IFERROR(--_xlpm.char, _xlpm.char))
     )
    )
   )
  ),
  IF(
   _xlpm.r &gt; 1,
   IF(
    _xlpm.c &gt; 1,
    _xlfn.MAP(
     _xlfn.TOCOL(_xlfn.REGEXEXTRACT(_xlfn.CONCAT(_xlpm.a) &amp; "", "\X", 1)),
     _xlfn.LAMBDA(_xlpm.char, IFERROR(--_xlpm.char, _xlpm.char))
    ),
    _xlfn.LET(
     _xlpm.max_len, MAX(
      _xlfn.BYROW(
       _xlpm.a,
       _xlfn.LAMBDA(_xlpm.row,
        IFERROR(COLUMNS(_xlfn.REGEXEXTRACT(_xlpm.row &amp; "", "\X", 1)), 0)
       )
      )
     ),
     IF(
      _xlpm.max_len = 0,
      "",
      _xlfn.MAKEARRAY(
       _xlpm.r,
       _xlpm.max_len,
       _xlfn.LAMBDA(_xlpm.i,_xlpm.j, _xlfn.LET(
        _xlpm._char, IFERROR(
         INDEX(
          _xlfn.REGEXEXTRACT(INDEX(_xlpm.a, _xlpm.i, 1) &amp; "", "\X", 1),
          1,
          _xlpm.j
         ),
         ""
        ),
        IF(_xlpm._char = "", "", IFERROR(--_xlpm._char, _xlpm._char))
       ))
      )
     )
    )
   ),
   _xlfn.LET(
    _xlpm.max_len, MAX(
     _xlfn.BYCOL(
      _xlpm.a,
      _xlfn.LAMBDA(_xlpm.col,
       IFERROR(COLUMNS(_xlfn.REGEXEXTRACT(_xlpm.col &amp; "", "\X", 1)), 0)
      )
     )
    ),
    IF(
     _xlpm.max_len = 0,
     "",
     _xlfn.MAKEARRAY(
      _xlpm.max_len,
      _xlpm.c,
      _xlfn.LAMBDA(_xlpm.i,_xlpm.j, _xlfn.LET(
       _xlpm._char, IFERROR(
        INDEX(
         _xlfn.TOCOL(_xlfn.REGEXEXTRACT(INDEX(_xlpm.a, 1, _xlpm.j) &amp; "", "\X", 1)),
         _xlpm.i,
         1
        ),
        ""
       ),
       IF(_xlpm._char = "", "", IFERROR(--_xlpm._char, _xlpm._char))
      ))
     )
    )
   )
  )
 )
))</definedName>
    <definedName name="textbetween" comment="Returns the text between a prefix and a suffix. Trims the result and converts to a number when possible. Works on arrays, returning an array of the same size.">_xlfn.LAMBDA(_xlpm.str_or_arr,_xlpm.prefix,_xlpm.suffix, _xlfn.LET(
   _xlpm.extract_between, _xlfn.LAMBDA(_xlpm.item,
      IF(
         ISERROR(_xlpm.item),
         _xlpm.item,
         _xlfn.LET(
            _xlpm.item_text, _xlpm.item &amp; "",
            _xlpm.lower_item, LOWER(_xlpm.item_text),
            _xlpm.lower_prefix, LOWER(_xlpm.prefix &amp; ""),
            _xlpm.lower_suffix, LOWER(_xlpm.suffix &amp; ""),
            _xlpm.start_num, IF(
               OR(_xlpm.lower_prefix = "", _xlpm.lower_suffix = ""),
               0,
               IFERROR(SEARCH(_xlpm.lower_prefix, _xlpm.lower_item), 0)
            ),
            _xlpm.after_num, _xlpm.start_num + LEN(_xlpm.lower_prefix),
            _xlpm.end_num, IF(
               _xlpm.start_num = 0,
               0,
               IFERROR(SEARCH(_xlpm.lower_suffix, _xlpm.lower_item, _xlpm.after_num), 0)
            ),
            _xlpm.between_text, IF(
               OR(_xlpm.start_num = 0, _xlpm.end_num = 0),
               "",
               MID(_xlpm.item_text, _xlpm.after_num, _xlpm.end_num - _xlpm.after_num)
            ),
            _xlpm.cleaned_text, TRIM(_xlpm.between_text),
            IF(_xlpm.cleaned_text = "", "", IFERROR(--_xlpm.cleaned_text, _xlpm.cleaned_text))
         )
      )
   ),
   _xlpm.row_count, ROWS(_xlpm.str_or_arr),
   _xlpm.col_count, COLUMNS(_xlpm.str_or_arr),
   IF(
      _xlpm.row_count * _xlpm.col_count = 1,
      _xlpm.extract_between(_xlpm.str_or_arr),
      _xlfn.MAP(_xlpm.str_or_arr, _xlpm.extract_between)
   )
))</definedName>
    <definedName name="transform_array" comment="Rotates 90 degrees or flips an array, once or twice, using one or two of ↺↻↕↔. For two operations pass them concatenated, e.g. &quot;↕↔&quot; or &quot;↺↺&quot;.">_xlfn.LAMBDA(_xlpm.arr,_xlpm.dir, _xlfn.LET(
   _xlpm.base, _xlpm.arr,
   _xlpm.is_scalar, AND(ROWS(_xlpm.base) = 1, COLUMNS(_xlpm.base) = 1),
   _xlpm.op_count, LEN(_xlpm.dir),
   _xlpm.apply_one, _xlfn.LAMBDA(_xlpm.cur,_xlpm.op, _xlfn.LET(
      _xlpm.row_count, ROWS(_xlpm.cur),
      _xlpm.col_count, COLUMNS(_xlpm.cur),
      IF(
         _xlpm.op = "↻",
         _xlfn.MAKEARRAY(
            _xlpm.col_count,
            _xlpm.row_count,
            _xlfn.LAMBDA(_xlpm.i,_xlpm.j, INDEX(_xlpm.cur, _xlpm.row_count - _xlpm.j + 1, _xlpm.i))
         ),
         IF(
            _xlpm.op = "↺",
            _xlfn.MAKEARRAY(
               _xlpm.col_count,
               _xlpm.row_count,
               _xlfn.LAMBDA(_xlpm.i,_xlpm.j, INDEX(_xlpm.cur, _xlpm.j, _xlpm.col_count - _xlpm.i + 1))
            ),
            IF(
               _xlpm.op = "↕",
               _xlfn.MAKEARRAY(
                  _xlpm.row_count,
                  _xlpm.col_count,
                  _xlfn.LAMBDA(_xlpm.i,_xlpm.j, INDEX(_xlpm.cur, _xlpm.row_count - _xlpm.i + 1, _xlpm.j))
               ),
               IF(
                  _xlpm.op = "↔",
                  _xlfn.MAKEARRAY(
                     _xlpm.row_count,
                     _xlpm.col_count,
                     _xlfn.LAMBDA(_xlpm.i,_xlpm.j, INDEX(_xlpm.cur, _xlpm.i, _xlpm.col_count - _xlpm.j + 1))
                  ),
                  #VALUE!
               )
            )
         )
      )
   )),
   IF(
      _xlpm.is_scalar,
      _xlpm.base,
      IF(
         _xlpm.op_count = 0,
         _xlpm.base,
         IF(
            _xlpm.op_count &gt; 2,
            #VALUE!,
            _xlfn.REDUCE(
               _xlpm.base,
               _xlfn.SEQUENCE(_xlpm.op_count),
               _xlfn.LAMBDA(_xlpm.cur,_xlpm.k, _xlpm.apply_one(_xlpm.cur, MID(_xlpm.dir, _xlpm.k, 1)))
            )
         )
      )
   )
))</definedName>
    <definedName name="update_arr" comment="Returns a copy of the array with the cell at row r, column c replaced by value.">_xlfn.LAMBDA(_xlpm.array,_xlpm.r,_xlpm.c,_xlpm.value, _xlfn.LET(
   _xlpm.arr, _xlpm.array,
   _xlfn.MAKEARRAY(
      ROWS(_xlpm.arr),
      COLUMNS(_xlpm.arr),
      _xlfn.LAMBDA(_xlpm.i,_xlpm.j, IF((_xlpm.i = _xlpm.r) * (_xlpm.j = _xlpm.c), _xlpm.value, INDEX(_xlpm.arr, _xlpm.i, _xlpm.j)))
   )
))</definedName>
    <definedName name="xbyrow" comment="BYROW that allows array-returning functions: each row's result is flattened to a row (TOROW) and stacked; ragged #N/A padding is blanked (IFNA). Use for per-row transforms that expand each item into a row.">_xlfn.LAMBDA(_xlpm.arr,_xlpm.function,
  _xlfn.IFNA(z_xbyrow_ix(_xlpm.arr, _xlpm.function, 1, ROWS(_xlpm.arr)), "")
)</definedName>
    <definedName name="xcountif" comment="Like COUNTIF but both arguments may be arrays. Uses FILTER internally and correctly returns 0 (not an error) when nothing matches.">_xlfn.LAMBDA(_xlpm.arr,_xlpm.criteria, _xlfn.LET(
   _xlpm.flat, _xlfn.TOCOL(_xlpm.arr, 0),
   _xlpm.count_fx, _xlfn.LAMBDA(_xlpm.x, IFERROR(ROWS(_xlfn._xlws.FILTER(_xlpm.flat, _xlpm.flat = _xlpm.x)), 0)),
   IF(
      ROWS(_xlpm.criteria) * COLUMNS(_xlpm.criteria) = 1,
      _xlpm.count_fx(_xlpm.criteria),
      _xlfn.MAP(_xlpm.criteria, _xlpm.count_fx)
   )
))</definedName>
    <definedName name="xdec2bin" comment="Like DEC2BIN but handles up to 53 binary places instead of 10 (beyond 53 the value exceeds the exact-integer range of a double).">_xlfn.LAMBDA(_xlpm.number,_xlop.places, _xlfn.LET(
   _xlpm.n, ROUND(_xlpm.number, 0),
   _xlpm.p, IF(_xlfn.ISOMITTED(_xlpm.places), 0, _xlpm.places),
   IF(
      _xlpm.n &gt;= 0,
      _xlfn.BASE(_xlpm.n, 2, MAX(_xlpm.p, 1)),
      _xlfn.LET(
         _xlpm.bits, IF(_xlpm.p = 0, 64, _xlpm.p),
         IF(
            _xlpm.bits &gt; 53,
            "Error: Precision Limit",
            _xlfn.BASE(POWER(2, _xlpm.bits) + _xlpm.n, 2, _xlpm.bits)
         )
      )
   )
))</definedName>
    <definedName name="xfilter" comment="Multi-criteria FILTER. ANDs up to 5 boolean masks. A column-vector mask filters rows; a row-vector mask filters columns - so you can filter BOTH directions in one call. Omitted masks default to 1. Returns &quot;&quot; if nothing matches.">_xlfn.LAMBDA(_xlpm.arr,_xlpm.f_1,_xlop.f_2,_xlop.f_3,_xlop.f_4,_xlop.f_5, _xlfn.LET(
   _xlpm.nr, ROWS(_xlpm.arr),
   _xlpm.nc, COLUMNS(_xlpm.arr),
   _xlpm.filt2, IF(_xlfn.ISOMITTED(_xlpm.f_2), 1, _xlpm.f_2),
   _xlpm.filt3, IF(_xlfn.ISOMITTED(_xlpm.f_3), 1, _xlpm.f_3),
   _xlpm.filt4, IF(_xlfn.ISOMITTED(_xlpm.f_4), 1, _xlpm.f_4),
   _xlpm.filt5, IF(_xlfn.ISOMITTED(_xlpm.f_5), 1, _xlpm.f_5),
   _xlpm.as_row_mask, _xlfn.LAMBDA(_xlpm.g, IF(AND(ROWS(_xlpm.g) = _xlpm.nr, COLUMNS(_xlpm.g) = 1, _xlpm.nr &gt; 1), _xlpm.g, 1)),
   _xlpm.as_col_mask, _xlfn.LAMBDA(_xlpm.g, IF(AND(COLUMNS(_xlpm.g) = _xlpm.nc, ROWS(_xlpm.g) = 1, _xlpm.nc &gt; 1), _xlpm.g, 1)),
   _xlpm.row_mask, _xlfn.SEQUENCE(_xlpm.nr, 1, 1, 0) * _xlpm.as_row_mask(_xlpm.f_1) * _xlpm.as_row_mask(_xlpm.filt2)
      * _xlpm.as_row_mask(_xlpm.filt3) * _xlpm.as_row_mask(_xlpm.filt4) * _xlpm.as_row_mask(_xlpm.filt5),
   _xlpm.col_mask, _xlfn.SEQUENCE(1, _xlpm.nc, 1, 0) * _xlpm.as_col_mask(_xlpm.f_1) * _xlpm.as_col_mask(_xlpm.filt2)
      * _xlpm.as_col_mask(_xlpm.filt3) * _xlpm.as_col_mask(_xlpm.filt4) * _xlpm.as_col_mask(_xlpm.filt5),
   IFERROR(_xlfn._xlws.FILTER(_xlfn._xlws.FILTER(_xlpm.arr, _xlpm.row_mask), _xlpm.col_mask), "")
))</definedName>
    <definedName name="xmod" comment="One-based modulo: like MOD but cycles 1..b instead of 0..b-1. Equal to MOD(a,b) except when that is 0, where it returns b.">_xlfn.LAMBDA(_xlpm.a,_xlpm.b, IF(MOD(_xlpm.a, _xlpm.b) = 0, _xlpm.b, MOD(_xlpm.a, _xlpm.b)))</definedName>
    <definedName name="xn" comment="Converts numeric strings to numbers (like N). Non-numeric strings pass through unchanged, TRUE/FALSE become 1/0, blanks become &quot;&quot;, &quot;&quot; stays &quot;&quot;. Works on arrays.">_xlfn.LAMBDA(_xlpm.val_or_arr, _xlfn.LET(
   _xlpm.fn_convert, _xlfn.LAMBDA(_xlpm.x,
      IF(
         _xlpm.x = "",
         "",
         IF(ISNUMBER(_xlpm.x), _xlpm.x, IF(ISLOGICAL(_xlpm.x), N(_xlpm.x), IFERROR(VALUE(_xlpm.x), _xlpm.x)))
      )
   ),
   IF(
      ROWS(_xlpm.val_or_arr) * COLUMNS(_xlpm.val_or_arr) = 1,
      _xlpm.fn_convert(_xlpm.val_or_arr),
      _xlfn.MAP(_xlpm.val_or_arr, _xlpm.fn_convert)
   )
))</definedName>
    <definedName name="xrank" comment="Like the built-in RANK but works on arrays.">_xlfn.LAMBDA(_xlpm.value,_xlpm.array,_xlop.order, _xlfn.LET(
   _xlpm.rank_style_order, IF(_xlfn.ISOMITTED(_xlpm.order), 0, _xlpm.order),
   _xlpm.sort_style_order, IF(_xlpm.rank_style_order = 0, -1, 1),
   _xlfn.IFNA(_xlfn.XMATCH(_xlpm.value, _xlfn._xlws.SORT(_xlfn.TOCOL(_xlpm.array), 1, _xlpm.sort_style_order)), "")
))</definedName>
    <definedName name="xsequence" comment="Vertical sequence from start to stop inclusive, counting by step. Can repeat each element or repeat the whole array. Optional args default to 1. Decimal steps may cause floating-point drift.">_xlfn.LAMBDA(_xlpm.start,_xlpm.stop,_xlop.step,_xlop.repeat_element,_xlop.repeat_array, _xlfn.LET(
   _xlpm.s, _xlpm.start,
   _xlpm.t, _xlpm.stop,
   _xlpm.stp, IF(_xlfn.ISOMITTED(_xlpm.step), IF(_xlpm.t &gt;= _xlpm.s, 1, -1), _xlpm.step),
   _xlpm.re, IF(_xlfn.ISOMITTED(_xlpm.repeat_element), 1, _xlpm.repeat_element),
   _xlpm.ra, IF(_xlfn.ISOMITTED(_xlpm.repeat_array), 1, _xlpm.repeat_array),
   _xlpm.d, _xlpm.t - _xlpm.s,
   _xlpm.ok_dir, OR(_xlpm.d = 0, SIGN(_xlpm.stp) = SIGN(_xlpm.d)),
   _xlpm.ok_div, MOD(ABS(_xlpm.d), ABS(_xlpm.stp)) = 0,
   _xlpm.n, QUOTIENT(ABS(_xlpm.d), ABS(_xlpm.stp)) + 1,
   _xlpm.out, _xlpm.s + _xlpm.stp * INT(MOD(_xlfn.SEQUENCE(_xlpm.n * _xlpm.re * _xlpm.ra) - 1, _xlpm.n * _xlpm.re) / _xlpm.re),
   IF(AND(_xlpm.stp &lt;&gt; 0, _xlpm.ok_dir, _xlpm.ok_div), _xlpm.out, #VALUE!)
))</definedName>
    <definedName name="xtextjoin" comment="TEXTJOIN that can also split back into an array or set, and beats the arg-count and 32k-char limits. delim (default &quot;;&quot;) both joins output and splits input. Blanks, errors and &quot;&quot; are ignored; explicit zeros are kept. str_arr_set: 1=string (default), 2=arr">_xlfn.LAMBDA(_xlpm.arr,_xlop.delim,_xlop.str_arr_set,
  _xlfn.LET(
    _xlpm.sep, IF(_xlfn.ISOMITTED(_xlpm.delim), ";", _xlpm.delim),
    _xlpm.mode, IF(_xlfn.ISOMITTED(_xlpm.str_arr_set), 1, _xlpm.str_arr_set),
    _xlpm.row_strings, _xlfn.BYROW(_xlpm.arr, _xlfn.LAMBDA(_xlpm.one_row,
      _xlfn.TEXTJOIN(_xlpm.sep, TRUE, IFERROR(_xlpm.one_row &amp; "", "")))),
    _xlpm.has_any, SUM(--(_xlpm.row_strings &lt;&gt; "")) &gt; 0,
    IF(
      NOT(_xlpm.has_any),
      "",
      _xlfn.LET(
        _xlpm.used_rows, _xlfn._xlws.FILTER(_xlpm.row_strings, _xlpm.row_strings &lt;&gt; ""),
        _xlpm.stacked, _xlfn.REDUCE("", _xlpm.used_rows, _xlfn.LAMBDA(_xlpm.acc,_xlpm.one_str,
          _xlfn.VSTACK(_xlpm.acc, _xlfn.TEXTSPLIT(_xlpm.one_str, , _xlpm.sep, TRUE)))),
        _xlpm.tokens, _xlfn.DROP(_xlpm.stacked, 1),
        _xlpm.token_count, ROWS(_xlpm.tokens),
        IF(
          _xlpm.mode = 2,
          _xlpm.tokens,
          IF(
            _xlpm.mode = 3,
            _xlfn._xlws.SORT(_xlfn.UNIQUE(_xlpm.tokens)),
            IF(
              SUM(LEN(_xlpm.tokens)) + (_xlpm.token_count - 1) * LEN(_xlpm.sep) &gt; 32767,
              "TOO LONG",
              _xlfn.TEXTJOIN(_xlpm.sep, TRUE, _xlpm.tokens)
            )
          )
        )
      )
    )
  )
)</definedName>
    <definedName name="xtextsplit" comment="Like TEXTSPLIT but trims items, returns a vertical array (horizontal if as_row=1), and converts to numbers. If delim is omitted, the first non-alphanumeric char (incl. whitespace) is used.">_xlfn.LAMBDA(_xlpm.str,_xlop.delim,_xlop.as_row, _xlfn.LET(
   _xlpm.use_delim_arg, NOT(_xlfn.ISOMITTED(_xlpm.delim)),
   _xlpm.inferred_delim, IF(_xlpm.use_delim_arg, "", _xlfn.REGEXEXTRACT(_xlpm.str, "[^A-Za-z0-9]")),
   _xlpm.can_split, IF(_xlpm.use_delim_arg, TRUE, NOT(ISERROR(_xlpm.inferred_delim))),
   _xlpm.eff_delim, IF(_xlpm.use_delim_arg, _xlpm.delim, _xlpm.inferred_delim),
   _xlpm.base_split, IF(
      _xlpm.can_split,
      IFERROR(_xlfn.TOCOL(TRIM(_xlfn.TEXTSPLIT(_xlpm.str, _xlpm.eff_delim))), _xlpm.str),
      _xlpm.str
   ),
   _xlpm.split, _xlpm.base_split,
   _xlpm.one_entry, COUNTA(_xlpm.split) = 1,
   _xlpm.all_numbers, COUNTA(_xlfn._xlws.FILTER(_xlpm.split, ISNUMBER(_xlpm.split * 1))) = COUNTA(_xlpm.split),
   _xlpm.as_row_val, IF(_xlfn.ISOMITTED(_xlpm.as_row), 0, _xlpm.as_row),
   _xlpm.core_result, IF(_xlpm.one_entry, _xlpm.str, IF(_xlpm.all_numbers, _xlpm.split * 1, _xlpm.split)),
   IF(AND(_xlpm.as_row_val = 1, NOT(_xlpm.one_entry)), _xlfn.TOROW(_xlpm.core_result), _xlpm.core_result)
))</definedName>
    <definedName name="xtocol" comment="Flattens a 2D range to a column. show_addr (default 1) adds an address column; clean (default 1) drops blanks/errors/&quot;&quot;; dir sets scan order (&quot;→↓&quot; default); snake (default 0) zig-zags.">_xlfn.LAMBDA(_xlpm.rng,_xlop.show_addr,_xlop.clean,_xlop.dir,_xlop.snake, _xlfn.LET(
 _xlpm._show, IF(_xlfn.ISOMITTED(_xlpm.show_addr), 1, _xlpm.show_addr),
 _xlpm._clean, IF(_xlfn.ISOMITTED(_xlpm.clean), 1, _xlpm.clean),
 _xlpm._in_dir, IF(_xlfn.ISOMITTED(_xlpm.dir), "→↓", _xlpm.dir),
 _xlpm._snake, IF(_xlfn.ISOMITTED(_xlpm.snake), 0, _xlpm.snake),
 _xlpm._len, LEN(_xlpm._in_dir),
 _xlpm._d, IF(
  _xlpm._len = 2,
  _xlpm._in_dir,
  IF(
   _xlpm._len &lt;&gt; 1,
   #VALUE!,
   _xlfn.LET(
    _xlpm.char_one, _xlpm._in_dir,
    _xlpm.is_vert, OR(_xlpm.char_one = "↑", _xlpm.char_one = "↓"),
    _xlpm.is_horz, OR(_xlpm.char_one = "←", _xlpm.char_one = "→"),
    IF(_xlpm.is_vert, _xlpm.char_one &amp; "→", IF(_xlpm.is_horz, _xlpm.char_one &amp; "↓", #VALUE!))
   )
  )
 ),
 _xlpm.first_char, LEFT(_xlpm._d, 1),
 _xlpm.second_char, RIGHT(_xlpm._d, 1),
 _xlpm.has_vert, OR(
  _xlpm.first_char = "↑",
  _xlpm.first_char = "↓",
  _xlpm.second_char = "↑",
  _xlpm.second_char = "↓"
 ),
 _xlpm.has_horz, OR(
  _xlpm.first_char = "←",
  _xlpm.first_char = "→",
  _xlpm.second_char = "←",
  _xlpm.second_char = "→"
 ),
 _xlpm.is_valid, AND(LEN(_xlpm._d) = 2, _xlpm.has_vert, _xlpm.has_horz),
 IF(
  NOT(_xlpm.is_valid),
  #VALUE!,
  _xlfn.LET(
   _xlpm.op_h, IF(OR(_xlpm.first_char = "←", _xlpm.second_char = "←"), "↔", ""),
   _xlpm.op_v, IF(OR(_xlpm.first_char = "↑", _xlpm.second_char = "↑"), "↕", ""),
   _xlpm.need_transpose, OR(_xlpm.first_char = "↑", _xlpm.first_char = "↓"),
   _xlpm.ProcessGrid, _xlfn.LAMBDA(_xlpm.grid, _xlfn.LET(
    _xlpm.flipped, transform_array(_xlpm.grid, _xlpm.op_h &amp; _xlpm.op_v),
    _xlpm.oriented, IF(_xlpm.need_transpose, TRANSPOSE(_xlpm.flipped), _xlpm.flipped),
    _xlpm.rows_cnt, ROWS(_xlpm.oriented),
    _xlpm.cols_cnt, COLUMNS(_xlpm.oriented),
    IF(
     _xlpm._snake,
     _xlfn.MAKEARRAY(
      _xlpm.rows_cnt,
      _xlpm.cols_cnt,
      _xlfn.LAMBDA(_xlpm.r_idx,_xlpm.c_idx,
       INDEX(
        _xlpm.oriented,
        _xlpm.r_idx,
        IF(ISODD(_xlpm.r_idx), _xlpm.c_idx, _xlpm.cols_cnt - _xlpm.c_idx + 1)
       )
      )
     ),
     _xlpm.oriented
    )
   )),
   _xlpm.val_grid, _xlpm.rng,
   _xlpm.addr_grid, ADDRESS(ROW(_xlpm.val_grid), COLUMN(_xlpm.val_grid), 4),
   _xlpm.flat_vals, _xlfn.TOCOL(_xlpm.ProcessGrid(_xlpm.val_grid)),
   _xlpm.flat_addrs, _xlfn.TOCOL(_xlpm.ProcessGrid(_xlpm.addr_grid)),
   _xlpm.base, IF(_xlpm._show, _xlfn.HSTACK(_xlpm.flat_addrs, _xlpm.flat_vals), _xlpm.flat_vals),
   _xlpm.mask, IF(
    ISERROR(_xlpm.flat_vals),
    FALSE,
    (_xlpm.flat_vals &lt;&gt; "") * (NOT(ISBLANK(_xlpm.flat_vals)))
   ),
   IF(_xlpm._clean, _xlfn._xlws.FILTER(_xlpm.base, _xlpm.mask), _xlpm.base)
  )
 )
))</definedName>
    <definedName name="z_a1n" comment="Helper: one A1 string (&quot;D3&quot;, &quot;$D$3&quot;, &quot;Sheet1!D3&quot;) to its numeric address (1e6*row+col). Returns #VALUE! for anything that is not a single valid A1 cell reference - including numbers, ranges, and junk text.">_xlfn.LAMBDA(_xlpm.a1_str,
  IFERROR(
    _xlfn.LET(
      _xlpm.s, UPPER(SUBSTITUTE(IFERROR(_xlfn.TEXTAFTER(_xlpm.a1_str, "!"), _xlpm.a1_str), "$", "")),
      IF(NOT(_xlfn.REGEXTEST(_xlpm.s, "^[A-Z]{1,3}[0-9]+$")), #VALUE!,
        _xlfn.LET(
          _xlpm.letters, _xlfn.REGEXEXTRACT(_xlpm.s, "[A-Z]+"),
          _xlpm.row_num, VALUE(_xlfn.REGEXEXTRACT(_xlpm.s, "[0-9]+")),
          _xlpm.nlet, LEN(_xlpm.letters),
          _xlpm.seq, _xlfn.SEQUENCE(_xlpm.nlet),
          _xlpm.col, SUM((CODE(MID(_xlpm.letters, _xlpm.seq, 1)) - 64) * 26 ^ (_xlpm.nlet - _xlpm.seq)),
          IF(OR(_xlpm.col &gt; 16384, _xlpm.row_num &gt; 1048576, _xlpm.row_num &lt; 1), #VALUE!, 1000000 * _xlpm.row_num + _xlpm.col)))
    ), #VALUE!)
)</definedName>
    <definedName name="z_ad_box" comment="Helper: bounding box of any address or range, as {top; left; bottom; right} absolute row/column numbers. Accepts all four types - numeric address, A1 string, A1 range (&quot;B2:D4&quot;), numeric range (&quot;1000001:4000002&quot;). Returns #VALUE! for anything else.">_xlfn.LAMBDA(_xlpm.ref,
  IFERROR(
    IF(AND(ISTEXT(_xlpm.ref), ISNUMBER(SEARCH(":", _xlpm.ref))),
      _xlfn.LET(
        _xlpm.clean, UPPER(SUBSTITUTE(_xlpm.ref, "$", "")),
        _xlpm.part_a, _xlfn.TEXTBEFORE(_xlpm.clean, ":"), _xlpm.part_b, _xlfn.TEXTAFTER(_xlpm.clean, ":"),
        _xlpm.addr_a, IFERROR(z_a1n(_xlpm.part_a), -1), _xlpm.addr_b, IFERROR(z_a1n(_xlpm.part_b), -1),
        _xlpm.num_a, IFERROR(z_numval(_xlpm.part_a), -1), _xlpm.num_b, IFERROR(z_numval(_xlpm.part_b), -1),
        IF(AND(_xlpm.addr_a &gt; 0, _xlpm.addr_b &gt; 0),
          _xlfn.VSTACK(MIN(INT(_xlpm.addr_a / 1000000), INT(_xlpm.addr_b / 1000000)), MIN(MOD(_xlpm.addr_a, 1000000), MOD(_xlpm.addr_b, 1000000)),
                 MAX(INT(_xlpm.addr_a / 1000000), INT(_xlpm.addr_b / 1000000)), MAX(MOD(_xlpm.addr_a, 1000000), MOD(_xlpm.addr_b, 1000000))),
          IF(AND(_xlpm.num_a &gt; 0, _xlpm.num_b &gt; 0, INT(_xlpm.num_a / 1000000) &lt;= INT(_xlpm.num_b / 1000000), MOD(_xlpm.num_a, 1000000) &lt;= MOD(_xlpm.num_b, 1000000)),
            _xlfn.VSTACK(INT(_xlpm.num_a / 1000000), MOD(_xlpm.num_a, 1000000), INT(_xlpm.num_b / 1000000), MOD(_xlpm.num_b, 1000000)),
            #VALUE!))),
      _xlfn.LET(
        _xlpm.packed, IF(ISNUMBER(_xlpm.ref), z_numval(_xlpm.ref), z_a1n(_xlpm.ref)),
        _xlpm.row_num, INT(_xlpm.packed / 1000000), _xlpm.col_num, MOD(_xlpm.packed, 1000000),
        _xlfn.VSTACK(_xlpm.row_num, _xlpm.col_num, _xlpm.row_num, _xlpm.col_num))
    ), #VALUE!)
)</definedName>
    <definedName name="z_arrow_to_num" comment="Helper: if x is one of the 8 standard direction arrows, return its numeric-address delta (up -1000000, down 1000000, left -1, right 1, and the four diagonals); anything else (numbers, other text) passes through unchanged.">_xlfn.LAMBDA(_xlpm.x, _xlfn.LET(
   _xlpm.arrows, "↑↓←→↖↗↙↘",
   _xlpm.nums, {-1000000;1000000;-1;1;-1000001;-999999;999999;1000001},
   _xlpm.i, IFERROR(_xlfn.XMATCH(_xlpm.x, MID(_xlpm.arrows, _xlfn.SEQUENCE(8), 1)), 0),
   IF(AND(ISTEXT(_xlpm.x), _xlpm.i &gt;= 1), INDEX(_xlpm.nums, _xlpm.i), _xlpm.x)
))</definedName>
    <definedName name="z_dir_to_arrow" comment="Helper: normalize a direction to a standard arrow glyph. Accepts a numeric-address delta (1, -1000000, ...) or a letter code (U D L R UL UR DL DR) and returns the matching arrow; an arrow or anything unrecognized passes through unchanged.">_xlfn.LAMBDA(_xlpm.x, _xlfn.LET(
   _xlpm.arrows, "↑↓←→↖↗↙↘",
   _xlpm.nums, {-1000000;1000000;-1;1;-1000001;-999999;999999;1000001},
   _xlpm.codes, {"U";"D";"L";"R";"UL";"UR";"DL";"DR"},
   _xlpm.i_num, IFERROR(_xlfn.XMATCH(_xlpm.x, _xlpm.nums), 0),
   _xlpm.i_code, IFERROR(_xlfn.XMATCH(_xlpm.x, _xlpm.codes), 0),
   IF(AND(ISNUMBER(_xlpm.x), _xlpm.i_num &gt;= 1), MID(_xlpm.arrows, _xlpm.i_num, 1),
      IF(AND(ISTEXT(_xlpm.x), _xlpm.i_code &gt;= 1), MID(_xlpm.arrows, _xlpm.i_code, 1), _xlpm.x))
))</definedName>
    <definedName name="z_ftd_maze_cost_candidates" comment="Private helper for ftd_maze_cost; do not call directly. Returns all valid cost improvements reachable from the current frontier.">_xlfn.LAMBDA(_xlpm.costs,_xlpm.frontier,_xlpm.board,_xlpm.ftd_lambda,_xlpm.dir_list,_xlpm.row_delta,_xlpm.col_delta,_xlpm.infinity,
  _xlfn.LET(
    _xlpm.row_count, ROWS(_xlpm.board),
    _xlpm.col_count, COLUMNS(_xlpm.board),
    _xlpm.dir_count, ROWS(_xlpm.dir_list),
    _xlpm.source_count, ROWS(_xlpm.frontier),
    _xlpm.source_rows, INDEX(_xlpm.frontier, 0, 1),
    _xlpm.source_cols, INDEX(_xlpm.frontier, 0, 2),
    _xlpm.source_costs, INDEX(_xlpm.frontier, 0, 3),
    _xlpm.target_rows, _xlfn.TOCOL(_xlpm.source_rows + TRANSPOSE(_xlpm.row_delta)),
    _xlpm.target_cols, _xlfn.TOCOL(_xlpm.source_cols + TRANSPOSE(_xlpm.col_delta)),
    _xlpm.base_costs, _xlfn.TOCOL(_xlpm.source_costs + _xlfn.SEQUENCE(, _xlpm.dir_count, 0, 0)),
    _xlpm.valid_targets, (_xlpm.target_rows &gt;= 1) * (_xlpm.target_rows &lt;= _xlpm.row_count) * (_xlpm.target_cols &gt;= 1) * (_xlpm.target_cols &lt;= _xlpm.col_count),
    _xlpm.safe_rows, _xlfn.MAP(_xlpm.target_rows, _xlfn.LAMBDA(_xlpm.row_ix, MIN(_xlpm.row_count, MAX(1, _xlpm.row_ix)))),
    _xlpm.safe_cols, _xlfn.MAP(_xlpm.target_cols, _xlfn.LAMBDA(_xlpm.col_ix, MIN(_xlpm.col_count, MAX(1, _xlpm.col_ix)))),
    _xlpm.from_cells, _xlfn.TOCOL(_xlfn.MAKEARRAY(
      _xlpm.source_count,
      _xlpm.dir_count,
      _xlfn.LAMBDA(_xlpm.row_ix,_xlpm.dir_ix, INDEX(_xlpm.board, INDEX(_xlpm.source_rows, _xlpm.row_ix), INDEX(_xlpm.source_cols, _xlpm.row_ix)))
    )),
    _xlpm.to_cells, _xlfn.MAP(_xlpm.safe_rows, _xlpm.safe_cols, _xlfn.LAMBDA(_xlpm.row_ix,_xlpm.col_ix, INDEX(_xlpm.board, _xlpm.row_ix, _xlpm.col_ix))),
    _xlpm.dir_values, _xlfn.TOCOL(_xlfn.MAKEARRAY(
      _xlpm.source_count,
      _xlpm.dir_count,
      _xlfn.LAMBDA(_xlpm.row_ix,_xlpm.dir_ix, INDEX(_xlpm.dir_list, _xlpm.dir_ix))
    )),
    _xlpm.edge_costs, _xlfn.MAP(
      _xlpm.from_cells,
      _xlpm.to_cells,
      _xlpm.dir_values,
      _xlfn.LAMBDA(_xlpm.from_cell,_xlpm.to_cell,_xlpm.dir, _xlfn.IFNA(_xlpm.ftd_lambda(_xlpm.from_cell, _xlpm.to_cell, _xlpm.dir), _xlpm.infinity))
    ),
    _xlpm.clean_edges, _xlfn.MAP(
      _xlpm.edge_costs,
      _xlfn.LAMBDA(_xlpm.edge, IF(NOT(ISNUMBER(_xlpm.edge)), _xlpm.infinity, IF(_xlpm.edge &lt; 0, _xlpm.infinity, _xlpm.edge)))
    ),
    _xlpm.candidate_costs, _xlfn.MAP(_xlpm.base_costs, _xlpm.clean_edges, _xlfn.LAMBDA(_xlpm.base_cost,_xlpm.edge, MIN(_xlpm.infinity, _xlpm.base_cost + _xlpm.edge))),
    IF(
      _xlpm.valid_targets * (_xlpm.candidate_costs &lt; INDEX(_xlpm.costs, _xlpm.safe_rows, _xlpm.safe_cols)),
      _xlfn.HSTACK(_xlpm.target_rows, _xlpm.target_cols, _xlpm.candidate_costs),
      {0,0,0}
    )
  )
)</definedName>
    <definedName name="z_ftd_maze_cost_worker" comment="Private recursive worker for ftd_maze_cost; do not call directly. Relaxes only outgoing edges from cells whose costs improved in the prior pass.">_xlfn.LAMBDA(_xlpm.self,_xlpm.costs,_xlpm.frontier,_xlpm.board,_xlpm.ftd_lambda,_xlpm.dir_list,_xlpm.row_delta,_xlpm.col_delta,_xlpm.cell_keys,_xlpm.infinity,_xlpm.steps_left,
  _xlfn.LET(
    _xlpm.improvements, z_ftd_maze_cost_candidates(
      _xlpm.costs,
      _xlpm.frontier,
      _xlpm.board,
      _xlpm.ftd_lambda,
      _xlpm.dir_list,
      _xlpm.row_delta,
      _xlpm.col_delta,
      _xlpm.infinity
    ),
    _xlpm.sorted_improvements, _xlfn._xlws.SORT(_xlpm.improvements, 3, 1),
    _xlpm.first_matches, _xlfn.XMATCH(
      _xlfn.UNIQUE(INDEX(_xlpm.sorted_improvements, 0, 1) &amp; "|" &amp; INDEX(_xlpm.sorted_improvements, 0, 2)),
      INDEX(_xlpm.sorted_improvements, 0, 1) &amp; "|" &amp; INDEX(_xlpm.sorted_improvements, 0, 2)
    ),
    _xlpm.next_frontier, _xlfn._xlws.FILTER(
      INDEX(_xlpm.sorted_improvements, _xlpm.first_matches, _xlfn.SEQUENCE(, 3)),
      INDEX(_xlpm.sorted_improvements, _xlpm.first_matches, 1) &gt; 0,
      0
    ),
    _xlpm.updated_costs, _xlfn.IFNA(
      INDEX(
        _xlpm.next_frontier,
        _xlfn.XMATCH(_xlpm.cell_keys, INDEX(_xlpm.next_frontier, 0, 1) &amp; "|" &amp; INDEX(_xlpm.next_frontier, 0, 2)),
        3
      ),
      _xlpm.costs
    ),
    IF(
      SUM(_xlpm.next_frontier) = 0,
      _xlpm.costs,
      IF(
        _xlpm.steps_left = 0,
        "MORE STEPS",
        _xlpm.self(
          _xlpm.self,
          _xlpm.updated_costs,
          _xlpm.next_frontier,
          _xlpm.board,
          _xlpm.ftd_lambda,
          _xlpm.dir_list,
          _xlpm.row_delta,
          _xlpm.col_delta,
          _xlpm.cell_keys,
          _xlpm.infinity,
          _xlpm.steps_left - 1
        )
      )
    )
  )
)</definedName>
    <definedName name="z_is_ad" comment="Helper: TRUE if ref is a valid address or range of any of the four types (numeric address, A1 string, A1 range, numeric range). FALSE for plain data values.">_xlfn.LAMBDA(_xlpm.ref, NOT(ISERROR(z_ad_box(_xlpm.ref))))</definedName>
    <definedName name="z_numval" comment="Helper: validate val as a numeric address. Returns the number when val (a number, or a digit string like &quot;1000001&quot;) is a positive integer with row in 1..1048576 and column in 1..16384; otherwise #VALUE!.">_xlfn.LAMBDA(_xlpm.val,
  IFERROR(
    _xlfn.LET(_xlpm.num, _xlpm.val * 1,
      IF(AND(_xlpm.num = INT(_xlpm.num), _xlpm.num &gt; 0,
             MOD(_xlpm.num, 1000000) &gt;= 1, MOD(_xlpm.num, 1000000) &lt;= 16384,
             INT(_xlpm.num / 1000000) &gt;= 1, INT(_xlpm.num / 1000000) &lt;= 1048576),
         _xlpm.num, #VALUE!)),
    #VALUE!)
)</definedName>
    <definedName name="z_route_worker" comment="Private recursive worker for route_cost - do not call directly. Runs one Dijkstra relaxation pass over the frontier and recurses until no cell's cost improves. Extra args carry route_cost's grid, size and move deltas.">_xlfn.LAMBDA(_xlpm._s,_xlpm._p,_xlpm._f2,_xlpm.cost_map,_xlpm._nr,_xlpm._nc,_xlpm._rd,_xlpm._cd,_xlpm._sq, _xlfn.LET(
   _xlpm._tr, _xlfn.TOCOL(_xlpm._rd + INDEX(_xlpm._f2, 0, 1)),
   _xlpm._tc, _xlfn.TOCOL(_xlpm._cd + INDEX(_xlpm._f2, 0, 2)),
   _xlpm._db, _xlfn.TOCOL(
      INDEX(_xlpm._p, INDEX(_xlpm._f2, 0, 1), INDEX(_xlpm._f2, 0, 2))
         + _xlfn.SEQUENCE(, COUNTA(_xlpm._rd), 0, 0)
   ),
   _xlpm._nf, IF(
      NOT((_xlpm._tr &gt;= 1) * (_xlpm._tr &lt;= _xlpm._nr) * (_xlpm._tc &gt;= 1) * (_xlpm._tc &lt;= _xlpm._nc)),
      {0,0,0},
      IF(
         NOT(ISNUMBER(INDEX(_xlpm.cost_map, _xlpm._tr, _xlpm._tc))),
         {0,0,0},
         IF(
            INDEX(_xlpm.cost_map, _xlpm._tr, _xlpm._tc) + _xlpm._db &lt; INDEX(_xlpm._p, _xlpm._tr, _xlpm._tc),
            _xlfn.HSTACK(_xlpm._tr, _xlpm._tc, _xlpm._db + INDEX(_xlpm.cost_map, _xlpm._tr, _xlpm._tc)),
            {0,0,0}
         )
      )
   ),
   _xlpm._sn, _xlfn._xlws.SORT(_xlpm._nf, 3, 1),
   _xlpm._ps, _xlfn.XMATCH(
      _xlfn.UNIQUE(INDEX(_xlpm._sn, 0, 1) &amp; "|" &amp; INDEX(_xlpm._sn, 0, 2)),
      INDEX(_xlpm._sn, 0, 1) &amp; "|" &amp; INDEX(_xlpm._sn, 0, 2)
   ),
   _xlpm._fs, _xlfn._xlws.FILTER(
      INDEX(_xlpm._sn, _xlpm._ps, _xlfn.SEQUENCE(, 3)),
      INDEX(_xlpm._sn, _xlpm._ps, 1) &gt; 0,
      0
   ),
   _xlpm._um, IFERROR(
      INDEX(
         _xlpm._fs,
         _xlfn.XMATCH(_xlpm._sq, INDEX(_xlpm._fs, 0, 1) &amp; "|" &amp; INDEX(_xlpm._fs, 0, 2)),
         3
      ),
      _xlpm._p
   ),
   IF(SUM(_xlpm._fs) = 0, _xlpm._p, _xlpm._s(_xlpm._s, _xlpm._um, _xlpm._fs, _xlpm.cost_map, _xlpm._nr, _xlpm._nc, _xlpm._rd, _xlpm._cd, _xlpm._sq))
))</definedName>
    <definedName name="z_xbyrow_ix" comment="Private recursive worker for xbyrow (don't call directly). Applies function to each row, flattens the result to a row with TOROW, and VSTACKs the pieces via divide-and-conquer.">_xlfn.LAMBDA(_xlpm.arr,_xlpm.function,_xlpm.first,_xlpm.last,
  IF(_xlpm.first = _xlpm.last,
     _xlfn.TOROW(
       IF(COLUMNS(_xlpm.arr) = 1,
          _xlpm.function(_xlfn.SINGLE(_xlfn.CHOOSEROWS(_xlpm.arr, _xlpm.first))),
          _xlpm.function(_xlfn.CHOOSEROWS(_xlpm.arr, _xlpm.first)))),
     _xlfn.LET(
       _xlpm.mid_row, INT((_xlpm.first + _xlpm.last) / 2),
       _xlfn.VSTACK(
         z_xbyrow_ix(_xlpm.arr, _xlpm.function, _xlpm.first, _xlpm.mid_row),
         z_xbyrow_ix(_xlpm.arr, _xlpm.function, _xlpm.mid_row + 1, _xlpm.last)
       )
     )
  )
)</definedName>
  </definedNames>
  <calcPr calcId="191029" fullCalcOn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<sst xmlns="http://schemas.openxmlformats.org/spreadsheetml/2006/main" count="5826" uniqueCount="3671">
  <si>
    <t>Signature</t>
  </si>
  <si>
    <t>xfilter(arr, f_1, [f_2], [f_3], [f_4], [f_5])</t>
  </si>
  <si>
    <t>Description</t>
  </si>
  <si>
    <t>Applies FILTER with up to five criteria at once, joined by multiplication (logical AND), and can filter both directions in a single call.
Arguments:
  arr           - the array/range to filter.
  f_1           - first boolean mask (required).
  [f_2]..[f_5]  - further masks; any omitted one defaults to 1 (no effect).
Each mask is applied by its shape: a column-vector mask (height = ROWS(arr)) filters ROWS; a row-vector mask (width = COLUMNS(arr)) filters COLUMNS. All row masks are multiplied together, all column masks are multiplied together, so a single call can filter BOTH rows and columns - which a native FILTER cannot.
Returns:
  The filtered array, or "" when nothing matches.
Example:
  xfilter(data, colA&gt;5, colB="x")        ; rows where both conditions hold
  xfilter(grid, rowmask, colmask)        ; trim rows and columns together</t>
  </si>
  <si>
    <t>Code</t>
  </si>
  <si>
    <t>=LAMBDA(arr, f_1, [f_2], [f_3], [f_4], [f_5], LET(
   nr, ROWS(arr),
   nc, COLUMNS(arr),
   filt2, IF(ISOMITTED(f_2), 1, f_2),
   filt3, IF(ISOMITTED(f_3), 1, f_3),
   filt4, IF(ISOMITTED(f_4), 1, f_4),
   filt5, IF(ISOMITTED(f_5), 1, f_5),
   as_row_mask, LAMBDA(g, IF(AND(ROWS(g) = nr, COLUMNS(g) = 1, nr &gt; 1), g, 1)),
   as_col_mask, LAMBDA(g, IF(AND(COLUMNS(g) = nc, ROWS(g) = 1, nc &gt; 1), g, 1)),
   row_mask, SEQUENCE(nr, 1, 1, 0) * as_row_mask(f_1) * as_row_mask(filt2)
      * as_row_mask(filt3) * as_row_mask(filt4) * as_row_mask(filt5),
   col_mask, SEQUENCE(1, nc, 1, 0) * as_col_mask(f_1) * as_col_mask(filt2)
      * as_col_mask(filt3) * as_col_mask(filt4) * as_col_mask(filt5),
   IFERROR(FILTER(FILTER(arr, row_mask), col_mask), "")
))</t>
  </si>
  <si>
    <t>xfilter(arr,f_1,[f_2]..[f_5]) - up to 5 masks ANDed. Column-vector mask filters rows; row-vector mask filters columns (both directions at once). "" if none match.</t>
  </si>
  <si>
    <t>#</t>
  </si>
  <si>
    <t>Case</t>
  </si>
  <si>
    <t>Inputs</t>
  </si>
  <si>
    <t>Expected</t>
  </si>
  <si>
    <t>Actual</t>
  </si>
  <si>
    <t>Match</t>
  </si>
  <si>
    <t>row mask {1;0;1;0}</t>
  </si>
  <si>
    <t>two row masks ANDed</t>
  </si>
  <si>
    <t>col mask {1,0,1} (filters columns)</t>
  </si>
  <si>
    <t>BOTH: row {1;0;1;0} + col {1,0,1}</t>
  </si>
  <si>
    <t>1D column filter</t>
  </si>
  <si>
    <t>no match -&gt; ""</t>
  </si>
  <si>
    <t>Directory:</t>
  </si>
  <si>
    <t>Case Filename:</t>
  </si>
  <si>
    <t>Domino</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</si>
  <si>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</si>
  <si>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</si>
  <si>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</si>
  <si>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</si>
  <si>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</si>
  <si>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</si>
  <si>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</si>
  <si>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</si>
  <si>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</si>
  <si>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</si>
  <si>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</si>
  <si>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</si>
  <si>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</si>
  <si>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</si>
  <si>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</si>
  <si>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</si>
  <si>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</si>
  <si>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</si>
  <si>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</si>
  <si>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</si>
  <si>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</si>
  <si>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</si>
  <si>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</si>
  <si>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</si>
  <si>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</si>
  <si>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</si>
  <si>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</si>
  <si>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</si>
  <si>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</si>
  <si>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</si>
  <si>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</si>
  <si>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</si>
  <si>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</si>
  <si>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</si>
  <si>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</si>
  <si>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</si>
  <si>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</si>
  <si>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</si>
  <si>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</si>
  <si>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</si>
  <si>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</si>
  <si>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</si>
  <si>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</si>
  <si>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</si>
  <si>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</si>
  <si>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</si>
  <si>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</si>
  <si>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</si>
  <si>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</si>
  <si>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</si>
  <si>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</si>
  <si>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</si>
  <si>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</si>
  <si>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</si>
  <si>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</si>
  <si>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</si>
  <si>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</si>
  <si>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</si>
  <si>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</si>
  <si>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</si>
  <si>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</si>
  <si>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</si>
  <si>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</si>
  <si>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</si>
  <si>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</si>
  <si>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</si>
  <si>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</si>
  <si>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</si>
  <si>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</si>
  <si>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</si>
  <si>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</si>
  <si>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</si>
  <si>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</si>
  <si>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</si>
  <si>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</si>
  <si>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</si>
  <si>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</si>
  <si>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</si>
  <si>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</si>
  <si>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</si>
  <si>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</si>
  <si>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</si>
  <si>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</si>
  <si>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</si>
  <si>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</si>
  <si>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</si>
  <si>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</si>
  <si>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</si>
  <si>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</si>
  <si>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</si>
  <si>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</si>
  <si>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</si>
  <si>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</si>
  <si>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</si>
  <si>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</si>
  <si>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</si>
  <si>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</si>
  <si>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</si>
  <si>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</si>
  <si>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Model Filename:</t>
  </si>
  <si>
    <t>Left Pips</t>
  </si>
  <si>
    <t>Right Pips</t>
  </si>
  <si>
    <t xml:space="preserve">What is this? </t>
  </si>
  <si>
    <t>Card Symbol</t>
  </si>
  <si>
    <t>Card Points</t>
  </si>
  <si>
    <t>Card Sequence</t>
  </si>
  <si>
    <t>Number</t>
  </si>
  <si>
    <t>Letter</t>
  </si>
  <si>
    <t>Vowel / Consonant</t>
  </si>
  <si>
    <t>Month</t>
  </si>
  <si>
    <t>Days 2026</t>
  </si>
  <si>
    <t>Start 2026</t>
  </si>
  <si>
    <t>End 2026</t>
  </si>
  <si>
    <t>A collection of lambdas and VBA by Eric Ashton for use in Excel Esports</t>
  </si>
  <si>
    <t>2</t>
  </si>
  <si>
    <t>A</t>
  </si>
  <si>
    <t>Vowel</t>
  </si>
  <si>
    <t>January</t>
  </si>
  <si>
    <t>1000 Primes</t>
  </si>
  <si>
    <t>Guide to this file: https://tinyurl.com/EricLambdaGuide</t>
  </si>
  <si>
    <t>https://youtu.be/MHZXi6s6fGk</t>
  </si>
  <si>
    <t>3</t>
  </si>
  <si>
    <t>B</t>
  </si>
  <si>
    <t>Consonant</t>
  </si>
  <si>
    <t>February</t>
  </si>
  <si>
    <t>4</t>
  </si>
  <si>
    <t>C</t>
  </si>
  <si>
    <t>March</t>
  </si>
  <si>
    <t>Tournament Seeds</t>
  </si>
  <si>
    <t>Letters</t>
  </si>
  <si>
    <t>Arrows</t>
  </si>
  <si>
    <t>Components</t>
  </si>
  <si>
    <t>Row Change</t>
  </si>
  <si>
    <t>Col Change</t>
  </si>
  <si>
    <t>5</t>
  </si>
  <si>
    <t>D</t>
  </si>
  <si>
    <t>April</t>
  </si>
  <si>
    <t>U</t>
  </si>
  <si>
    <t>↑</t>
  </si>
  <si>
    <t>6</t>
  </si>
  <si>
    <t>E</t>
  </si>
  <si>
    <t>May</t>
  </si>
  <si>
    <t>Fractions</t>
  </si>
  <si>
    <t>¼</t>
  </si>
  <si>
    <t>½</t>
  </si>
  <si>
    <t>¾</t>
  </si>
  <si>
    <t>⅓</t>
  </si>
  <si>
    <t>⅔</t>
  </si>
  <si>
    <t>⅕</t>
  </si>
  <si>
    <t>⅖</t>
  </si>
  <si>
    <t>⅗</t>
  </si>
  <si>
    <t>⅘</t>
  </si>
  <si>
    <t>⅙</t>
  </si>
  <si>
    <t>⅚</t>
  </si>
  <si>
    <t>⅛</t>
  </si>
  <si>
    <t>⅜</t>
  </si>
  <si>
    <t>⅝</t>
  </si>
  <si>
    <t>⅞</t>
  </si>
  <si>
    <t>↉</t>
  </si>
  <si>
    <t>↓</t>
  </si>
  <si>
    <t>7</t>
  </si>
  <si>
    <t>F</t>
  </si>
  <si>
    <t>June</t>
  </si>
  <si>
    <t>Decimals</t>
  </si>
  <si>
    <t>L</t>
  </si>
  <si>
    <t>←</t>
  </si>
  <si>
    <t>8</t>
  </si>
  <si>
    <t>G</t>
  </si>
  <si>
    <t>July</t>
  </si>
  <si>
    <t>R</t>
  </si>
  <si>
    <t>→</t>
  </si>
  <si>
    <t>9</t>
  </si>
  <si>
    <t>H</t>
  </si>
  <si>
    <t>August</t>
  </si>
  <si>
    <t>Arrow</t>
  </si>
  <si>
    <t>⤡</t>
  </si>
  <si>
    <t>ULDR</t>
  </si>
  <si>
    <t>⤢</t>
  </si>
  <si>
    <t>URDL</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</si>
  <si>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</si>
  <si>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</si>
  <si>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</si>
  <si>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</si>
  <si>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</si>
  <si>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</si>
  <si>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</si>
  <si>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</si>
  <si>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</si>
  <si>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</si>
  <si>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</si>
  <si>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</si>
  <si>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</si>
  <si>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</si>
  <si>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</si>
  <si>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</si>
  <si>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</si>
  <si>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</si>
  <si>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</si>
  <si>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</si>
  <si>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</si>
  <si>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</si>
  <si>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</si>
  <si>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</si>
  <si>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</si>
  <si>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</si>
  <si>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</si>
  <si>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</si>
  <si>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</si>
  <si>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</si>
  <si>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</si>
  <si>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</si>
  <si>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</si>
  <si>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</si>
  <si>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</si>
  <si>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</si>
  <si>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</si>
  <si>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</si>
  <si>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</si>
  <si>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N</t>
  </si>
  <si>
    <t>North</t>
  </si>
  <si>
    <t>Up</t>
  </si>
  <si>
    <t>ꜛ</t>
  </si>
  <si>
    <t>👆</t>
  </si>
  <si>
    <t>🔺</t>
  </si>
  <si>
    <t>🔼</t>
  </si>
  <si>
    <t>🖞</t>
  </si>
  <si>
    <t>🖠</t>
  </si>
  <si>
    <t>🖢</t>
  </si>
  <si>
    <t>⭧</t>
  </si>
  <si>
    <t>⭷</t>
  </si>
  <si>
    <t>⬀</t>
  </si>
  <si>
    <t>⬈</t>
  </si>
  <si>
    <t>↗</t>
  </si>
  <si>
    <t>⇗</t>
  </si>
  <si>
    <t>➚</t>
  </si>
  <si>
    <t>➶</t>
  </si>
  <si>
    <t>➹</t>
  </si>
  <si>
    <t>NE</t>
  </si>
  <si>
    <t>Northeast</t>
  </si>
  <si>
    <t>RU</t>
  </si>
  <si>
    <t>UR</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</si>
  <si>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</si>
  <si>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</si>
  <si>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</si>
  <si>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</si>
  <si>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</si>
  <si>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</si>
  <si>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</si>
  <si>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</si>
  <si>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</si>
  <si>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</si>
  <si>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</si>
  <si>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</si>
  <si>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</si>
  <si>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</si>
  <si>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</si>
  <si>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</si>
  <si>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</si>
  <si>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</si>
  <si>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</si>
  <si>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</si>
  <si>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</si>
  <si>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</si>
  <si>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</si>
  <si>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</si>
  <si>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</si>
  <si>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</si>
  <si>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</si>
  <si>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</si>
  <si>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</si>
  <si>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</si>
  <si>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</si>
  <si>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</si>
  <si>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</si>
  <si>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</si>
  <si>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</si>
  <si>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</si>
  <si>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</si>
  <si>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</si>
  <si>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</si>
  <si>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</si>
  <si>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</si>
  <si>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</si>
  <si>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</si>
  <si>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</si>
  <si>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</si>
  <si>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</si>
  <si>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</si>
  <si>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</si>
  <si>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</si>
  <si>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</si>
  <si>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</si>
  <si>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</si>
  <si>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</si>
  <si>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</si>
  <si>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</si>
  <si>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</si>
  <si>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</si>
  <si>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</si>
  <si>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</si>
  <si>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</si>
  <si>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</si>
  <si>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</si>
  <si>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</si>
  <si>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</si>
  <si>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</si>
  <si>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</si>
  <si>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</si>
  <si>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</si>
  <si>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</si>
  <si>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</si>
  <si>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</si>
  <si>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</si>
  <si>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</si>
  <si>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</si>
  <si>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</si>
  <si>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</si>
  <si>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</si>
  <si>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</si>
  <si>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</si>
  <si>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</si>
  <si>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</si>
  <si>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</si>
  <si>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</si>
  <si>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</si>
  <si>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</si>
  <si>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</si>
  <si>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</si>
  <si>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</si>
  <si>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</si>
  <si>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</si>
  <si>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</si>
  <si>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</si>
  <si>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</si>
  <si>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</si>
  <si>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</si>
  <si>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</si>
  <si>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</si>
  <si>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</si>
  <si>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</si>
  <si>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</si>
  <si>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East</t>
  </si>
  <si>
    <t>Right</t>
  </si>
  <si>
    <t>👈</t>
  </si>
  <si>
    <t>👉</t>
  </si>
  <si>
    <t>🖙</t>
  </si>
  <si>
    <t>🖛</t>
  </si>
  <si>
    <t>🖝</t>
  </si>
  <si>
    <t>⭨</t>
  </si>
  <si>
    <t>⭸</t>
  </si>
  <si>
    <t>⬂</t>
  </si>
  <si>
    <t>⬊</t>
  </si>
  <si>
    <t>↘</t>
  </si>
  <si>
    <t>⇘</t>
  </si>
  <si>
    <t>➘</t>
  </si>
  <si>
    <t>➴</t>
  </si>
  <si>
    <t>➷</t>
  </si>
  <si>
    <t>⇲</t>
  </si>
  <si>
    <t>DR</t>
  </si>
  <si>
    <t>RD</t>
  </si>
  <si>
    <t>SE</t>
  </si>
  <si>
    <t>Southeast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</si>
  <si>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</si>
  <si>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</si>
  <si>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</si>
  <si>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</si>
  <si>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</si>
  <si>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</si>
  <si>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</si>
  <si>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</si>
  <si>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</si>
  <si>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</si>
  <si>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</si>
  <si>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</si>
  <si>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</si>
  <si>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</si>
  <si>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</si>
  <si>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</si>
  <si>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</si>
  <si>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</si>
  <si>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</si>
  <si>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</si>
  <si>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</si>
  <si>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</si>
  <si>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</si>
  <si>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</si>
  <si>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</si>
  <si>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</si>
  <si>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</si>
  <si>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</si>
  <si>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</si>
  <si>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</si>
  <si>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</si>
  <si>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</si>
  <si>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</si>
  <si>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</si>
  <si>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</si>
  <si>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Down</t>
  </si>
  <si>
    <t>S</t>
  </si>
  <si>
    <t>South</t>
  </si>
  <si>
    <t>ꜜ</t>
  </si>
  <si>
    <t>👇</t>
  </si>
  <si>
    <t>🔻</t>
  </si>
  <si>
    <t>🔽</t>
  </si>
  <si>
    <t>🖗</t>
  </si>
  <si>
    <t>🖟</t>
  </si>
  <si>
    <t>🖡</t>
  </si>
  <si>
    <t>🖣</t>
  </si>
  <si>
    <t>⭩</t>
  </si>
  <si>
    <t>⭹</t>
  </si>
  <si>
    <t>⬃</t>
  </si>
  <si>
    <t>⬋</t>
  </si>
  <si>
    <t>↙</t>
  </si>
  <si>
    <t>⇙</t>
  </si>
  <si>
    <t>⟀</t>
  </si>
  <si>
    <t>DL</t>
  </si>
  <si>
    <t>LD</t>
  </si>
  <si>
    <t>Southwest</t>
  </si>
  <si>
    <t>SW</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</si>
  <si>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</si>
  <si>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</si>
  <si>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</si>
  <si>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</si>
  <si>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</si>
  <si>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</si>
  <si>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</si>
  <si>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</si>
  <si>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</si>
  <si>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</si>
  <si>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</si>
  <si>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</si>
  <si>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</si>
  <si>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</si>
  <si>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</si>
  <si>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</si>
  <si>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</si>
  <si>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</si>
  <si>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</si>
  <si>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</si>
  <si>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</si>
  <si>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</si>
  <si>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</si>
  <si>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</si>
  <si>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</si>
  <si>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</si>
  <si>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</si>
  <si>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</si>
  <si>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</si>
  <si>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</si>
  <si>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</si>
  <si>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</si>
  <si>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</si>
  <si>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</si>
  <si>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</si>
  <si>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</si>
  <si>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</si>
  <si>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</si>
  <si>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</si>
  <si>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</si>
  <si>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</si>
  <si>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</si>
  <si>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</si>
  <si>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</si>
  <si>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</si>
  <si>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</si>
  <si>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</si>
  <si>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</si>
  <si>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</si>
  <si>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</si>
  <si>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</si>
  <si>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</si>
  <si>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</si>
  <si>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</si>
  <si>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</si>
  <si>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</si>
  <si>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</si>
  <si>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</si>
  <si>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</si>
  <si>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</si>
  <si>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</si>
  <si>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</si>
  <si>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</si>
  <si>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</si>
  <si>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</si>
  <si>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</si>
  <si>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</si>
  <si>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</si>
  <si>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</si>
  <si>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</si>
  <si>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</si>
  <si>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Left</t>
  </si>
  <si>
    <t>W</t>
  </si>
  <si>
    <t>West</t>
  </si>
  <si>
    <t>🖘</t>
  </si>
  <si>
    <t>🖚</t>
  </si>
  <si>
    <t>🖜</t>
  </si>
  <si>
    <t>⭦</t>
  </si>
  <si>
    <t>⭶</t>
  </si>
  <si>
    <t>⬁</t>
  </si>
  <si>
    <t>⬉</t>
  </si>
  <si>
    <t>↖</t>
  </si>
  <si>
    <t>↸</t>
  </si>
  <si>
    <t>⇖</t>
  </si>
  <si>
    <t>⇱</t>
  </si>
  <si>
    <t>LU</t>
  </si>
  <si>
    <t>Northwest</t>
  </si>
  <si>
    <t>NW</t>
  </si>
  <si>
    <t>UL</t>
  </si>
  <si>
    <t>⭤</t>
  </si>
  <si>
    <t>⮀</t>
  </si>
  <si>
    <t>⮂</t>
  </si>
  <si>
    <t>⬄</t>
  </si>
  <si>
    <t>⬌</t>
  </si>
  <si>
    <t>⇹</t>
  </si>
  <si>
    <t>⇼</t>
  </si>
  <si>
    <t>⇿</t>
  </si>
  <si>
    <t>↔</t>
  </si>
  <si>
    <t>↭</t>
  </si>
  <si>
    <t>↹</t>
  </si>
  <si>
    <t>⇄</t>
  </si>
  <si>
    <t>⇆</t>
  </si>
  <si>
    <t>⇋</t>
  </si>
  <si>
    <t>⇌</t>
  </si>
  <si>
    <t>⇔</t>
  </si>
  <si>
    <t>↮</t>
  </si>
  <si>
    <t>⇎</t>
  </si>
  <si>
    <t>LR</t>
  </si>
  <si>
    <t>RL</t>
  </si>
  <si>
    <t>⭥</t>
  </si>
  <si>
    <t>⮁</t>
  </si>
  <si>
    <t>⮃</t>
  </si>
  <si>
    <t>⬍</t>
  </si>
  <si>
    <t>⇵</t>
  </si>
  <si>
    <t>↕</t>
  </si>
  <si>
    <t>↨</t>
  </si>
  <si>
    <t>⇕</t>
  </si>
  <si>
    <t>⇅</t>
  </si>
  <si>
    <t>⇳</t>
  </si>
  <si>
    <t>DU</t>
  </si>
  <si>
    <t>UD</t>
  </si>
  <si>
    <t>⭮</t>
  </si>
  <si>
    <t>↷</t>
  </si>
  <si>
    <t>↻</t>
  </si>
  <si>
    <t>CW</t>
  </si>
  <si>
    <t>Clockwise</t>
  </si>
  <si>
    <t>⭯</t>
  </si>
  <si>
    <t>⮌</t>
  </si>
  <si>
    <t>⮍</t>
  </si>
  <si>
    <t>⮎</t>
  </si>
  <si>
    <t>⮏</t>
  </si>
  <si>
    <t>↶</t>
  </si>
  <si>
    <t>↺</t>
  </si>
  <si>
    <t>CCW</t>
  </si>
  <si>
    <t>Counterclockwise</t>
  </si>
  <si>
    <t>↑←</t>
  </si>
  <si>
    <t>1</t>
  </si>
  <si>
    <t>I</t>
  </si>
  <si>
    <t>September</t>
  </si>
  <si>
    <t>Standard Arrow</t>
  </si>
  <si>
    <t>↑→</t>
  </si>
  <si>
    <t>J</t>
  </si>
  <si>
    <t>October</t>
  </si>
  <si>
    <t>↓←</t>
  </si>
  <si>
    <t>Q</t>
  </si>
  <si>
    <t>K</t>
  </si>
  <si>
    <t>November</t>
  </si>
  <si>
    <t>Numeral</t>
  </si>
  <si>
    <t>↓→</t>
  </si>
  <si>
    <t>December</t>
  </si>
  <si>
    <t>Cardinal Number</t>
  </si>
  <si>
    <t>zero</t>
  </si>
  <si>
    <t>one</t>
  </si>
  <si>
    <t>two</t>
  </si>
  <si>
    <t>three</t>
  </si>
  <si>
    <t>four</t>
  </si>
  <si>
    <t>five</t>
  </si>
  <si>
    <t>six</t>
  </si>
  <si>
    <t>seven</t>
  </si>
  <si>
    <t>eight</t>
  </si>
  <si>
    <t>nine</t>
  </si>
  <si>
    <t>ten</t>
  </si>
  <si>
    <t>eleven</t>
  </si>
  <si>
    <t>twelve</t>
  </si>
  <si>
    <t>thirteen</t>
  </si>
  <si>
    <t>fourteen</t>
  </si>
  <si>
    <t>fifteen</t>
  </si>
  <si>
    <t>sixteen</t>
  </si>
  <si>
    <t>seventeen</t>
  </si>
  <si>
    <t>eighteen</t>
  </si>
  <si>
    <t>nineteen</t>
  </si>
  <si>
    <t>twenty</t>
  </si>
  <si>
    <t>twenty-one</t>
  </si>
  <si>
    <t>twenty-two</t>
  </si>
  <si>
    <t>twenty-three</t>
  </si>
  <si>
    <t>twenty-four</t>
  </si>
  <si>
    <t>twenty-five</t>
  </si>
  <si>
    <t>twenty-six</t>
  </si>
  <si>
    <t>twenty-seven</t>
  </si>
  <si>
    <t>twenty-eight</t>
  </si>
  <si>
    <t>twenty-nine</t>
  </si>
  <si>
    <t>thirty</t>
  </si>
  <si>
    <t>thirty-one</t>
  </si>
  <si>
    <t>thirty-two</t>
  </si>
  <si>
    <t>thirty-three</t>
  </si>
  <si>
    <t>thirty-four</t>
  </si>
  <si>
    <t>thirty-five</t>
  </si>
  <si>
    <t>thirty-six</t>
  </si>
  <si>
    <t>thirty-seven</t>
  </si>
  <si>
    <t>thirty-eight</t>
  </si>
  <si>
    <t>thirty-nine</t>
  </si>
  <si>
    <t>forty</t>
  </si>
  <si>
    <t>forty-one</t>
  </si>
  <si>
    <t>forty-two</t>
  </si>
  <si>
    <t>forty-three</t>
  </si>
  <si>
    <t>forty-four</t>
  </si>
  <si>
    <t>forty-five</t>
  </si>
  <si>
    <t>forty-six</t>
  </si>
  <si>
    <t>forty-seven</t>
  </si>
  <si>
    <t>forty-eight</t>
  </si>
  <si>
    <t>forty-nine</t>
  </si>
  <si>
    <t>fifty</t>
  </si>
  <si>
    <t>fifty-one</t>
  </si>
  <si>
    <t>fifty-two</t>
  </si>
  <si>
    <t>fifty-three</t>
  </si>
  <si>
    <t>fifty-four</t>
  </si>
  <si>
    <t>fifty-five</t>
  </si>
  <si>
    <t>fifty-six</t>
  </si>
  <si>
    <t>fifty-seven</t>
  </si>
  <si>
    <t>fifty-eight</t>
  </si>
  <si>
    <t>fifty-nine</t>
  </si>
  <si>
    <t>sixty</t>
  </si>
  <si>
    <t>sixty-one</t>
  </si>
  <si>
    <t>sixty-two</t>
  </si>
  <si>
    <t>sixty-three</t>
  </si>
  <si>
    <t>sixty-four</t>
  </si>
  <si>
    <t>sixty-five</t>
  </si>
  <si>
    <t>sixty-six</t>
  </si>
  <si>
    <t>sixty-seven</t>
  </si>
  <si>
    <t>sixty-eight</t>
  </si>
  <si>
    <t>sixty-nine</t>
  </si>
  <si>
    <t>seventy</t>
  </si>
  <si>
    <t>seventy-one</t>
  </si>
  <si>
    <t>seventy-two</t>
  </si>
  <si>
    <t>seventy-three</t>
  </si>
  <si>
    <t>seventy-four</t>
  </si>
  <si>
    <t>seventy-five</t>
  </si>
  <si>
    <t>seventy-six</t>
  </si>
  <si>
    <t>seventy-seven</t>
  </si>
  <si>
    <t>seventy-eight</t>
  </si>
  <si>
    <t>seventy-nine</t>
  </si>
  <si>
    <t>eighty</t>
  </si>
  <si>
    <t>eighty-one</t>
  </si>
  <si>
    <t>eighty-two</t>
  </si>
  <si>
    <t>eighty-three</t>
  </si>
  <si>
    <t>eighty-four</t>
  </si>
  <si>
    <t>eighty-five</t>
  </si>
  <si>
    <t>eighty-six</t>
  </si>
  <si>
    <t>eighty-seven</t>
  </si>
  <si>
    <t>eighty-eight</t>
  </si>
  <si>
    <t>eighty-nine</t>
  </si>
  <si>
    <t>ninety</t>
  </si>
  <si>
    <t>ninety-one</t>
  </si>
  <si>
    <t>ninety-two</t>
  </si>
  <si>
    <t>ninety-three</t>
  </si>
  <si>
    <t>ninety-four</t>
  </si>
  <si>
    <t>ninety-five</t>
  </si>
  <si>
    <t>ninety-six</t>
  </si>
  <si>
    <t>ninety-seven</t>
  </si>
  <si>
    <t>ninety-eight</t>
  </si>
  <si>
    <t>ninety-nine</t>
  </si>
  <si>
    <t>one hundred</t>
  </si>
  <si>
    <t>one hundred one</t>
  </si>
  <si>
    <t>one hundred two</t>
  </si>
  <si>
    <t>one hundred three</t>
  </si>
  <si>
    <t>one hundred four</t>
  </si>
  <si>
    <t>one hundred five</t>
  </si>
  <si>
    <t>one hundred six</t>
  </si>
  <si>
    <t>one hundred seven</t>
  </si>
  <si>
    <t>one hundred eight</t>
  </si>
  <si>
    <t>one hundred nine</t>
  </si>
  <si>
    <t>one hundred ten</t>
  </si>
  <si>
    <t>one hundred eleven</t>
  </si>
  <si>
    <t>one hundred twelve</t>
  </si>
  <si>
    <t>one hundred thirteen</t>
  </si>
  <si>
    <t>one hundred fourteen</t>
  </si>
  <si>
    <t>one hundred fifteen</t>
  </si>
  <si>
    <t>one hundred sixteen</t>
  </si>
  <si>
    <t>one hundred seventeen</t>
  </si>
  <si>
    <t>one hundred eighteen</t>
  </si>
  <si>
    <t>one hundred nineteen</t>
  </si>
  <si>
    <t>one hundred twenty</t>
  </si>
  <si>
    <t>one hundred twenty-one</t>
  </si>
  <si>
    <t>one hundred twenty-two</t>
  </si>
  <si>
    <t>one hundred twenty-three</t>
  </si>
  <si>
    <t>one hundred twenty-four</t>
  </si>
  <si>
    <t>one hundred twenty-five</t>
  </si>
  <si>
    <t>one hundred twenty-six</t>
  </si>
  <si>
    <t>one hundred twenty-seven</t>
  </si>
  <si>
    <t>one hundred twenty-eight</t>
  </si>
  <si>
    <t>one hundred twenty-nine</t>
  </si>
  <si>
    <t>one hundred thirty</t>
  </si>
  <si>
    <t>one hundred thirty-one</t>
  </si>
  <si>
    <t>one hundred thirty-two</t>
  </si>
  <si>
    <t>one hundred thirty-three</t>
  </si>
  <si>
    <t>one hundred thirty-four</t>
  </si>
  <si>
    <t>one hundred thirty-five</t>
  </si>
  <si>
    <t>one hundred thirty-six</t>
  </si>
  <si>
    <t>one hundred thirty-seven</t>
  </si>
  <si>
    <t>one hundred thirty-eight</t>
  </si>
  <si>
    <t>one hundred thirty-nine</t>
  </si>
  <si>
    <t>one hundred forty</t>
  </si>
  <si>
    <t>one hundred forty-one</t>
  </si>
  <si>
    <t>one hundred forty-two</t>
  </si>
  <si>
    <t>one hundred forty-three</t>
  </si>
  <si>
    <t>one hundred forty-four</t>
  </si>
  <si>
    <t>one hundred forty-five</t>
  </si>
  <si>
    <t>one hundred forty-six</t>
  </si>
  <si>
    <t>one hundred forty-seven</t>
  </si>
  <si>
    <t>one hundred forty-eight</t>
  </si>
  <si>
    <t>one hundred forty-nine</t>
  </si>
  <si>
    <t>one hundred fifty</t>
  </si>
  <si>
    <t>one hundred fifty-one</t>
  </si>
  <si>
    <t>one hundred fifty-two</t>
  </si>
  <si>
    <t>one hundred fifty-three</t>
  </si>
  <si>
    <t>one hundred fifty-four</t>
  </si>
  <si>
    <t>one hundred fifty-five</t>
  </si>
  <si>
    <t>one hundred fifty-six</t>
  </si>
  <si>
    <t>one hundred fifty-seven</t>
  </si>
  <si>
    <t>one hundred fifty-eight</t>
  </si>
  <si>
    <t>one hundred fifty-nine</t>
  </si>
  <si>
    <t>one hundred sixty</t>
  </si>
  <si>
    <t>one hundred sixty-one</t>
  </si>
  <si>
    <t>one hundred sixty-two</t>
  </si>
  <si>
    <t>one hundred sixty-three</t>
  </si>
  <si>
    <t>one hundred sixty-four</t>
  </si>
  <si>
    <t>one hundred sixty-five</t>
  </si>
  <si>
    <t>one hundred sixty-six</t>
  </si>
  <si>
    <t>one hundred sixty-seven</t>
  </si>
  <si>
    <t>one hundred sixty-eight</t>
  </si>
  <si>
    <t>one hundred sixty-nine</t>
  </si>
  <si>
    <t>one hundred seventy</t>
  </si>
  <si>
    <t>one hundred seventy-one</t>
  </si>
  <si>
    <t>one hundred seventy-two</t>
  </si>
  <si>
    <t>one hundred seventy-three</t>
  </si>
  <si>
    <t>one hundred seventy-four</t>
  </si>
  <si>
    <t>one hundred seventy-five</t>
  </si>
  <si>
    <t>one hundred seventy-six</t>
  </si>
  <si>
    <t>one hundred seventy-seven</t>
  </si>
  <si>
    <t>one hundred seventy-eight</t>
  </si>
  <si>
    <t>one hundred seventy-nine</t>
  </si>
  <si>
    <t>one hundred eighty</t>
  </si>
  <si>
    <t>one hundred eighty-one</t>
  </si>
  <si>
    <t>one hundred eighty-two</t>
  </si>
  <si>
    <t>one hundred eighty-three</t>
  </si>
  <si>
    <t>one hundred eighty-four</t>
  </si>
  <si>
    <t>one hundred eighty-five</t>
  </si>
  <si>
    <t>one hundred eighty-six</t>
  </si>
  <si>
    <t>one hundred eighty-seven</t>
  </si>
  <si>
    <t>one hundred eighty-eight</t>
  </si>
  <si>
    <t>one hundred eighty-nine</t>
  </si>
  <si>
    <t>one hundred ninety</t>
  </si>
  <si>
    <t>one hundred ninety-one</t>
  </si>
  <si>
    <t>one hundred ninety-two</t>
  </si>
  <si>
    <t>one hundred ninety-three</t>
  </si>
  <si>
    <t>one hundred ninety-four</t>
  </si>
  <si>
    <t>one hundred ninety-five</t>
  </si>
  <si>
    <t>one hundred ninety-six</t>
  </si>
  <si>
    <t>one hundred ninety-seven</t>
  </si>
  <si>
    <t>one hundred ninety-eight</t>
  </si>
  <si>
    <t>one hundred ninety-nine</t>
  </si>
  <si>
    <t>two hundred</t>
  </si>
  <si>
    <t>two hundred one</t>
  </si>
  <si>
    <t>two hundred two</t>
  </si>
  <si>
    <t>two hundred three</t>
  </si>
  <si>
    <t>two hundred four</t>
  </si>
  <si>
    <t>two hundred five</t>
  </si>
  <si>
    <t>two hundred six</t>
  </si>
  <si>
    <t>two hundred seven</t>
  </si>
  <si>
    <t>two hundred eight</t>
  </si>
  <si>
    <t>two hundred nine</t>
  </si>
  <si>
    <t>two hundred ten</t>
  </si>
  <si>
    <t>two hundred eleven</t>
  </si>
  <si>
    <t>two hundred twelve</t>
  </si>
  <si>
    <t>two hundred thirteen</t>
  </si>
  <si>
    <t>two hundred fourteen</t>
  </si>
  <si>
    <t>two hundred fifteen</t>
  </si>
  <si>
    <t>two hundred sixteen</t>
  </si>
  <si>
    <t>two hundred seventeen</t>
  </si>
  <si>
    <t>two hundred eighteen</t>
  </si>
  <si>
    <t>two hundred nineteen</t>
  </si>
  <si>
    <t>two hundred twenty</t>
  </si>
  <si>
    <t>two hundred twenty-one</t>
  </si>
  <si>
    <t>two hundred twenty-two</t>
  </si>
  <si>
    <t>two hundred twenty-three</t>
  </si>
  <si>
    <t>two hundred twenty-four</t>
  </si>
  <si>
    <t>two hundred twenty-five</t>
  </si>
  <si>
    <t>two hundred twenty-six</t>
  </si>
  <si>
    <t>two hundred twenty-seven</t>
  </si>
  <si>
    <t>two hundred twenty-eight</t>
  </si>
  <si>
    <t>two hundred twenty-nine</t>
  </si>
  <si>
    <t>two hundred thirty</t>
  </si>
  <si>
    <t>two hundred thirty-one</t>
  </si>
  <si>
    <t>two hundred thirty-two</t>
  </si>
  <si>
    <t>two hundred thirty-three</t>
  </si>
  <si>
    <t>two hundred thirty-four</t>
  </si>
  <si>
    <t>two hundred thirty-five</t>
  </si>
  <si>
    <t>two hundred thirty-six</t>
  </si>
  <si>
    <t>two hundred thirty-seven</t>
  </si>
  <si>
    <t>two hundred thirty-eight</t>
  </si>
  <si>
    <t>two hundred thirty-nine</t>
  </si>
  <si>
    <t>two hundred forty</t>
  </si>
  <si>
    <t>two hundred forty-one</t>
  </si>
  <si>
    <t>two hundred forty-two</t>
  </si>
  <si>
    <t>two hundred forty-three</t>
  </si>
  <si>
    <t>two hundred forty-four</t>
  </si>
  <si>
    <t>two hundred forty-five</t>
  </si>
  <si>
    <t>two hundred forty-six</t>
  </si>
  <si>
    <t>two hundred forty-seven</t>
  </si>
  <si>
    <t>two hundred forty-eight</t>
  </si>
  <si>
    <t>two hundred forty-nine</t>
  </si>
  <si>
    <t>two hundred fifty</t>
  </si>
  <si>
    <t>two hundred fifty-one</t>
  </si>
  <si>
    <t>two hundred fifty-two</t>
  </si>
  <si>
    <t>two hundred fifty-three</t>
  </si>
  <si>
    <t>two hundred fifty-four</t>
  </si>
  <si>
    <t>two hundred fifty-five</t>
  </si>
  <si>
    <t>two hundred fifty-six</t>
  </si>
  <si>
    <t>two hundred fifty-seven</t>
  </si>
  <si>
    <t>two hundred fifty-eight</t>
  </si>
  <si>
    <t>two hundred fifty-nine</t>
  </si>
  <si>
    <t>two hundred sixty</t>
  </si>
  <si>
    <t>two hundred sixty-one</t>
  </si>
  <si>
    <t>two hundred sixty-two</t>
  </si>
  <si>
    <t>two hundred sixty-three</t>
  </si>
  <si>
    <t>two hundred sixty-four</t>
  </si>
  <si>
    <t>two hundred sixty-five</t>
  </si>
  <si>
    <t>two hundred sixty-six</t>
  </si>
  <si>
    <t>two hundred sixty-seven</t>
  </si>
  <si>
    <t>two hundred sixty-eight</t>
  </si>
  <si>
    <t>two hundred sixty-nine</t>
  </si>
  <si>
    <t>two hundred seventy</t>
  </si>
  <si>
    <t>two hundred seventy-one</t>
  </si>
  <si>
    <t>two hundred seventy-two</t>
  </si>
  <si>
    <t>two hundred seventy-three</t>
  </si>
  <si>
    <t>two hundred seventy-four</t>
  </si>
  <si>
    <t>two hundred seventy-five</t>
  </si>
  <si>
    <t>two hundred seventy-six</t>
  </si>
  <si>
    <t>two hundred seventy-seven</t>
  </si>
  <si>
    <t>two hundred seventy-eight</t>
  </si>
  <si>
    <t>two hundred seventy-nine</t>
  </si>
  <si>
    <t>two hundred eighty</t>
  </si>
  <si>
    <t>two hundred eighty-one</t>
  </si>
  <si>
    <t>two hundred eighty-two</t>
  </si>
  <si>
    <t>two hundred eighty-three</t>
  </si>
  <si>
    <t>two hundred eighty-four</t>
  </si>
  <si>
    <t>two hundred eighty-five</t>
  </si>
  <si>
    <t>two hundred eighty-six</t>
  </si>
  <si>
    <t>two hundred eighty-seven</t>
  </si>
  <si>
    <t>two hundred eighty-eight</t>
  </si>
  <si>
    <t>two hundred eighty-nine</t>
  </si>
  <si>
    <t>two hundred ninety</t>
  </si>
  <si>
    <t>two hundred ninety-one</t>
  </si>
  <si>
    <t>two hundred ninety-two</t>
  </si>
  <si>
    <t>two hundred ninety-three</t>
  </si>
  <si>
    <t>two hundred ninety-four</t>
  </si>
  <si>
    <t>two hundred ninety-five</t>
  </si>
  <si>
    <t>two hundred ninety-six</t>
  </si>
  <si>
    <t>two hundred ninety-seven</t>
  </si>
  <si>
    <t>two hundred ninety-eight</t>
  </si>
  <si>
    <t>two hundred ninety-nine</t>
  </si>
  <si>
    <t>three hundred</t>
  </si>
  <si>
    <t>three hundred one</t>
  </si>
  <si>
    <t>three hundred two</t>
  </si>
  <si>
    <t>three hundred three</t>
  </si>
  <si>
    <t>three hundred four</t>
  </si>
  <si>
    <t>three hundred five</t>
  </si>
  <si>
    <t>three hundred six</t>
  </si>
  <si>
    <t>three hundred seven</t>
  </si>
  <si>
    <t>three hundred eight</t>
  </si>
  <si>
    <t>three hundred nine</t>
  </si>
  <si>
    <t>three hundred ten</t>
  </si>
  <si>
    <t>three hundred eleven</t>
  </si>
  <si>
    <t>three hundred twelve</t>
  </si>
  <si>
    <t>three hundred thirteen</t>
  </si>
  <si>
    <t>three hundred fourteen</t>
  </si>
  <si>
    <t>three hundred fifteen</t>
  </si>
  <si>
    <t>three hundred sixteen</t>
  </si>
  <si>
    <t>three hundred seventeen</t>
  </si>
  <si>
    <t>three hundred eighteen</t>
  </si>
  <si>
    <t>three hundred nineteen</t>
  </si>
  <si>
    <t>three hundred twenty</t>
  </si>
  <si>
    <t>three hundred twenty-one</t>
  </si>
  <si>
    <t>three hundred twenty-two</t>
  </si>
  <si>
    <t>three hundred twenty-three</t>
  </si>
  <si>
    <t>three hundred twenty-four</t>
  </si>
  <si>
    <t>three hundred twenty-five</t>
  </si>
  <si>
    <t>three hundred twenty-six</t>
  </si>
  <si>
    <t>three hundred twenty-seven</t>
  </si>
  <si>
    <t>three hundred twenty-eight</t>
  </si>
  <si>
    <t>three hundred twenty-nine</t>
  </si>
  <si>
    <t>three hundred thirty</t>
  </si>
  <si>
    <t>three hundred thirty-one</t>
  </si>
  <si>
    <t>three hundred thirty-two</t>
  </si>
  <si>
    <t>three hundred thirty-three</t>
  </si>
  <si>
    <t>three hundred thirty-four</t>
  </si>
  <si>
    <t>three hundred thirty-five</t>
  </si>
  <si>
    <t>three hundred thirty-six</t>
  </si>
  <si>
    <t>three hundred thirty-seven</t>
  </si>
  <si>
    <t>three hundred thirty-eight</t>
  </si>
  <si>
    <t>three hundred thirty-nine</t>
  </si>
  <si>
    <t>three hundred forty</t>
  </si>
  <si>
    <t>three hundred forty-one</t>
  </si>
  <si>
    <t>three hundred forty-two</t>
  </si>
  <si>
    <t>three hundred forty-three</t>
  </si>
  <si>
    <t>three hundred forty-four</t>
  </si>
  <si>
    <t>three hundred forty-five</t>
  </si>
  <si>
    <t>three hundred forty-six</t>
  </si>
  <si>
    <t>three hundred forty-seven</t>
  </si>
  <si>
    <t>three hundred forty-eight</t>
  </si>
  <si>
    <t>three hundred forty-nine</t>
  </si>
  <si>
    <t>three hundred fifty</t>
  </si>
  <si>
    <t>three hundred fifty-one</t>
  </si>
  <si>
    <t>three hundred fifty-two</t>
  </si>
  <si>
    <t>three hundred fifty-three</t>
  </si>
  <si>
    <t>three hundred fifty-four</t>
  </si>
  <si>
    <t>three hundred fifty-five</t>
  </si>
  <si>
    <t>three hundred fifty-six</t>
  </si>
  <si>
    <t>three hundred fifty-seven</t>
  </si>
  <si>
    <t>three hundred fifty-eight</t>
  </si>
  <si>
    <t>three hundred fifty-nine</t>
  </si>
  <si>
    <t>three hundred sixty</t>
  </si>
  <si>
    <t>three hundred sixty-one</t>
  </si>
  <si>
    <t>three hundred sixty-two</t>
  </si>
  <si>
    <t>three hundred sixty-three</t>
  </si>
  <si>
    <t>three hundred sixty-four</t>
  </si>
  <si>
    <t>three hundred sixty-five</t>
  </si>
  <si>
    <t>three hundred sixty-six</t>
  </si>
  <si>
    <t>three hundred sixty-seven</t>
  </si>
  <si>
    <t>three hundred sixty-eight</t>
  </si>
  <si>
    <t>three hundred sixty-nine</t>
  </si>
  <si>
    <t>three hundred seventy</t>
  </si>
  <si>
    <t>three hundred seventy-one</t>
  </si>
  <si>
    <t>three hundred seventy-two</t>
  </si>
  <si>
    <t>three hundred seventy-three</t>
  </si>
  <si>
    <t>three hundred seventy-four</t>
  </si>
  <si>
    <t>three hundred seventy-five</t>
  </si>
  <si>
    <t>three hundred seventy-six</t>
  </si>
  <si>
    <t>three hundred seventy-seven</t>
  </si>
  <si>
    <t>three hundred seventy-eight</t>
  </si>
  <si>
    <t>three hundred seventy-nine</t>
  </si>
  <si>
    <t>three hundred eighty</t>
  </si>
  <si>
    <t>three hundred eighty-one</t>
  </si>
  <si>
    <t>three hundred eighty-two</t>
  </si>
  <si>
    <t>three hundred eighty-three</t>
  </si>
  <si>
    <t>three hundred eighty-four</t>
  </si>
  <si>
    <t>three hundred eighty-five</t>
  </si>
  <si>
    <t>three hundred eighty-six</t>
  </si>
  <si>
    <t>three hundred eighty-seven</t>
  </si>
  <si>
    <t>three hundred eighty-eight</t>
  </si>
  <si>
    <t>three hundred eighty-nine</t>
  </si>
  <si>
    <t>three hundred ninety</t>
  </si>
  <si>
    <t>three hundred ninety-one</t>
  </si>
  <si>
    <t>three hundred ninety-two</t>
  </si>
  <si>
    <t>three hundred ninety-three</t>
  </si>
  <si>
    <t>three hundred ninety-four</t>
  </si>
  <si>
    <t>three hundred ninety-five</t>
  </si>
  <si>
    <t>three hundred ninety-six</t>
  </si>
  <si>
    <t>three hundred ninety-seven</t>
  </si>
  <si>
    <t>three hundred ninety-eight</t>
  </si>
  <si>
    <t>three hundred ninety-nine</t>
  </si>
  <si>
    <t>four hundred</t>
  </si>
  <si>
    <t>four hundred one</t>
  </si>
  <si>
    <t>four hundred two</t>
  </si>
  <si>
    <t>four hundred three</t>
  </si>
  <si>
    <t>four hundred four</t>
  </si>
  <si>
    <t>four hundred five</t>
  </si>
  <si>
    <t>four hundred six</t>
  </si>
  <si>
    <t>four hundred seven</t>
  </si>
  <si>
    <t>four hundred eight</t>
  </si>
  <si>
    <t>four hundred nine</t>
  </si>
  <si>
    <t>four hundred ten</t>
  </si>
  <si>
    <t>four hundred eleven</t>
  </si>
  <si>
    <t>four hundred twelve</t>
  </si>
  <si>
    <t>four hundred thirteen</t>
  </si>
  <si>
    <t>four hundred fourteen</t>
  </si>
  <si>
    <t>four hundred fifteen</t>
  </si>
  <si>
    <t>four hundred sixteen</t>
  </si>
  <si>
    <t>four hundred seventeen</t>
  </si>
  <si>
    <t>four hundred eighteen</t>
  </si>
  <si>
    <t>four hundred nineteen</t>
  </si>
  <si>
    <t>four hundred twenty</t>
  </si>
  <si>
    <t>four hundred twenty-one</t>
  </si>
  <si>
    <t>four hundred twenty-two</t>
  </si>
  <si>
    <t>four hundred twenty-three</t>
  </si>
  <si>
    <t>four hundred twenty-four</t>
  </si>
  <si>
    <t>four hundred twenty-five</t>
  </si>
  <si>
    <t>four hundred twenty-six</t>
  </si>
  <si>
    <t>four hundred twenty-seven</t>
  </si>
  <si>
    <t>four hundred twenty-eight</t>
  </si>
  <si>
    <t>four hundred twenty-nine</t>
  </si>
  <si>
    <t>four hundred thirty</t>
  </si>
  <si>
    <t>four hundred thirty-one</t>
  </si>
  <si>
    <t>four hundred thirty-two</t>
  </si>
  <si>
    <t>four hundred thirty-three</t>
  </si>
  <si>
    <t>four hundred thirty-four</t>
  </si>
  <si>
    <t>four hundred thirty-five</t>
  </si>
  <si>
    <t>four hundred thirty-six</t>
  </si>
  <si>
    <t>four hundred thirty-seven</t>
  </si>
  <si>
    <t>four hundred thirty-eight</t>
  </si>
  <si>
    <t>four hundred thirty-nine</t>
  </si>
  <si>
    <t>four hundred forty</t>
  </si>
  <si>
    <t>four hundred forty-one</t>
  </si>
  <si>
    <t>four hundred forty-two</t>
  </si>
  <si>
    <t>four hundred forty-three</t>
  </si>
  <si>
    <t>four hundred forty-four</t>
  </si>
  <si>
    <t>four hundred forty-five</t>
  </si>
  <si>
    <t>four hundred forty-six</t>
  </si>
  <si>
    <t>four hundred forty-seven</t>
  </si>
  <si>
    <t>four hundred forty-eight</t>
  </si>
  <si>
    <t>four hundred forty-nine</t>
  </si>
  <si>
    <t>four hundred fifty</t>
  </si>
  <si>
    <t>four hundred fifty-one</t>
  </si>
  <si>
    <t>four hundred fifty-two</t>
  </si>
  <si>
    <t>four hundred fifty-three</t>
  </si>
  <si>
    <t>four hundred fifty-four</t>
  </si>
  <si>
    <t>four hundred fifty-five</t>
  </si>
  <si>
    <t>four hundred fifty-six</t>
  </si>
  <si>
    <t>four hundred fifty-seven</t>
  </si>
  <si>
    <t>four hundred fifty-eight</t>
  </si>
  <si>
    <t>four hundred fifty-nine</t>
  </si>
  <si>
    <t>four hundred sixty</t>
  </si>
  <si>
    <t>four hundred sixty-one</t>
  </si>
  <si>
    <t>four hundred sixty-two</t>
  </si>
  <si>
    <t>four hundred sixty-three</t>
  </si>
  <si>
    <t>four hundred sixty-four</t>
  </si>
  <si>
    <t>four hundred sixty-five</t>
  </si>
  <si>
    <t>four hundred sixty-six</t>
  </si>
  <si>
    <t>four hundred sixty-seven</t>
  </si>
  <si>
    <t>four hundred sixty-eight</t>
  </si>
  <si>
    <t>four hundred sixty-nine</t>
  </si>
  <si>
    <t>four hundred seventy</t>
  </si>
  <si>
    <t>four hundred seventy-one</t>
  </si>
  <si>
    <t>four hundred seventy-two</t>
  </si>
  <si>
    <t>four hundred seventy-three</t>
  </si>
  <si>
    <t>four hundred seventy-four</t>
  </si>
  <si>
    <t>four hundred seventy-five</t>
  </si>
  <si>
    <t>four hundred seventy-six</t>
  </si>
  <si>
    <t>four hundred seventy-seven</t>
  </si>
  <si>
    <t>four hundred seventy-eight</t>
  </si>
  <si>
    <t>four hundred seventy-nine</t>
  </si>
  <si>
    <t>four hundred eighty</t>
  </si>
  <si>
    <t>four hundred eighty-one</t>
  </si>
  <si>
    <t>four hundred eighty-two</t>
  </si>
  <si>
    <t>four hundred eighty-three</t>
  </si>
  <si>
    <t>four hundred eighty-four</t>
  </si>
  <si>
    <t>four hundred eighty-five</t>
  </si>
  <si>
    <t>four hundred eighty-six</t>
  </si>
  <si>
    <t>four hundred eighty-seven</t>
  </si>
  <si>
    <t>four hundred eighty-eight</t>
  </si>
  <si>
    <t>four hundred eighty-nine</t>
  </si>
  <si>
    <t>four hundred ninety</t>
  </si>
  <si>
    <t>four hundred ninety-one</t>
  </si>
  <si>
    <t>four hundred ninety-two</t>
  </si>
  <si>
    <t>four hundred ninety-three</t>
  </si>
  <si>
    <t>four hundred ninety-four</t>
  </si>
  <si>
    <t>four hundred ninety-five</t>
  </si>
  <si>
    <t>four hundred ninety-six</t>
  </si>
  <si>
    <t>four hundred ninety-seven</t>
  </si>
  <si>
    <t>four hundred ninety-eight</t>
  </si>
  <si>
    <t>four hundred ninety-nine</t>
  </si>
  <si>
    <t>five hundred</t>
  </si>
  <si>
    <t>five hundred one</t>
  </si>
  <si>
    <t>five hundred two</t>
  </si>
  <si>
    <t>five hundred three</t>
  </si>
  <si>
    <t>five hundred four</t>
  </si>
  <si>
    <t>five hundred five</t>
  </si>
  <si>
    <t>five hundred six</t>
  </si>
  <si>
    <t>five hundred seven</t>
  </si>
  <si>
    <t>five hundred eight</t>
  </si>
  <si>
    <t>five hundred nine</t>
  </si>
  <si>
    <t>five hundred ten</t>
  </si>
  <si>
    <t>five hundred eleven</t>
  </si>
  <si>
    <t>five hundred twelve</t>
  </si>
  <si>
    <t>five hundred thirteen</t>
  </si>
  <si>
    <t>five hundred fourteen</t>
  </si>
  <si>
    <t>five hundred fifteen</t>
  </si>
  <si>
    <t>five hundred sixteen</t>
  </si>
  <si>
    <t>five hundred seventeen</t>
  </si>
  <si>
    <t>five hundred eighteen</t>
  </si>
  <si>
    <t>five hundred nineteen</t>
  </si>
  <si>
    <t>five hundred twenty</t>
  </si>
  <si>
    <t>five hundred twenty-one</t>
  </si>
  <si>
    <t>five hundred twenty-two</t>
  </si>
  <si>
    <t>five hundred twenty-three</t>
  </si>
  <si>
    <t>five hundred twenty-four</t>
  </si>
  <si>
    <t>five hundred twenty-five</t>
  </si>
  <si>
    <t>five hundred twenty-six</t>
  </si>
  <si>
    <t>five hundred twenty-seven</t>
  </si>
  <si>
    <t>five hundred twenty-eight</t>
  </si>
  <si>
    <t>five hundred twenty-nine</t>
  </si>
  <si>
    <t>five hundred thirty</t>
  </si>
  <si>
    <t>five hundred thirty-one</t>
  </si>
  <si>
    <t>five hundred thirty-two</t>
  </si>
  <si>
    <t>five hundred thirty-three</t>
  </si>
  <si>
    <t>five hundred thirty-four</t>
  </si>
  <si>
    <t>five hundred thirty-five</t>
  </si>
  <si>
    <t>five hundred thirty-six</t>
  </si>
  <si>
    <t>five hundred thirty-seven</t>
  </si>
  <si>
    <t>five hundred thirty-eight</t>
  </si>
  <si>
    <t>five hundred thirty-nine</t>
  </si>
  <si>
    <t>five hundred forty</t>
  </si>
  <si>
    <t>five hundred forty-one</t>
  </si>
  <si>
    <t>five hundred forty-two</t>
  </si>
  <si>
    <t>five hundred forty-three</t>
  </si>
  <si>
    <t>five hundred forty-four</t>
  </si>
  <si>
    <t>five hundred forty-five</t>
  </si>
  <si>
    <t>five hundred forty-six</t>
  </si>
  <si>
    <t>five hundred forty-seven</t>
  </si>
  <si>
    <t>five hundred forty-eight</t>
  </si>
  <si>
    <t>five hundred forty-nine</t>
  </si>
  <si>
    <t>five hundred fifty</t>
  </si>
  <si>
    <t>five hundred fifty-one</t>
  </si>
  <si>
    <t>five hundred fifty-two</t>
  </si>
  <si>
    <t>five hundred fifty-three</t>
  </si>
  <si>
    <t>five hundred fifty-four</t>
  </si>
  <si>
    <t>five hundred fifty-five</t>
  </si>
  <si>
    <t>five hundred fifty-six</t>
  </si>
  <si>
    <t>five hundred fifty-seven</t>
  </si>
  <si>
    <t>five hundred fifty-eight</t>
  </si>
  <si>
    <t>five hundred fifty-nine</t>
  </si>
  <si>
    <t>five hundred sixty</t>
  </si>
  <si>
    <t>five hundred sixty-one</t>
  </si>
  <si>
    <t>five hundred sixty-two</t>
  </si>
  <si>
    <t>five hundred sixty-three</t>
  </si>
  <si>
    <t>five hundred sixty-four</t>
  </si>
  <si>
    <t>five hundred sixty-five</t>
  </si>
  <si>
    <t>five hundred sixty-six</t>
  </si>
  <si>
    <t>five hundred sixty-seven</t>
  </si>
  <si>
    <t>five hundred sixty-eight</t>
  </si>
  <si>
    <t>five hundred sixty-nine</t>
  </si>
  <si>
    <t>five hundred seventy</t>
  </si>
  <si>
    <t>five hundred seventy-one</t>
  </si>
  <si>
    <t>five hundred seventy-two</t>
  </si>
  <si>
    <t>five hundred seventy-three</t>
  </si>
  <si>
    <t>five hundred seventy-four</t>
  </si>
  <si>
    <t>five hundred seventy-five</t>
  </si>
  <si>
    <t>five hundred seventy-six</t>
  </si>
  <si>
    <t>five hundred seventy-seven</t>
  </si>
  <si>
    <t>five hundred seventy-eight</t>
  </si>
  <si>
    <t>five hundred seventy-nine</t>
  </si>
  <si>
    <t>five hundred eighty</t>
  </si>
  <si>
    <t>five hundred eighty-one</t>
  </si>
  <si>
    <t>five hundred eighty-two</t>
  </si>
  <si>
    <t>five hundred eighty-three</t>
  </si>
  <si>
    <t>five hundred eighty-four</t>
  </si>
  <si>
    <t>five hundred eighty-five</t>
  </si>
  <si>
    <t>five hundred eighty-six</t>
  </si>
  <si>
    <t>five hundred eighty-seven</t>
  </si>
  <si>
    <t>five hundred eighty-eight</t>
  </si>
  <si>
    <t>five hundred eighty-nine</t>
  </si>
  <si>
    <t>five hundred ninety</t>
  </si>
  <si>
    <t>five hundred ninety-one</t>
  </si>
  <si>
    <t>five hundred ninety-two</t>
  </si>
  <si>
    <t>five hundred ninety-three</t>
  </si>
  <si>
    <t>five hundred ninety-four</t>
  </si>
  <si>
    <t>five hundred ninety-five</t>
  </si>
  <si>
    <t>five hundred ninety-six</t>
  </si>
  <si>
    <t>five hundred ninety-seven</t>
  </si>
  <si>
    <t>five hundred ninety-eight</t>
  </si>
  <si>
    <t>five hundred ninety-nine</t>
  </si>
  <si>
    <t>six hundred</t>
  </si>
  <si>
    <t>six hundred one</t>
  </si>
  <si>
    <t>six hundred two</t>
  </si>
  <si>
    <t>six hundred three</t>
  </si>
  <si>
    <t>six hundred four</t>
  </si>
  <si>
    <t>six hundred five</t>
  </si>
  <si>
    <t>six hundred six</t>
  </si>
  <si>
    <t>six hundred seven</t>
  </si>
  <si>
    <t>six hundred eight</t>
  </si>
  <si>
    <t>six hundred nine</t>
  </si>
  <si>
    <t>six hundred ten</t>
  </si>
  <si>
    <t>six hundred eleven</t>
  </si>
  <si>
    <t>six hundred twelve</t>
  </si>
  <si>
    <t>six hundred thirteen</t>
  </si>
  <si>
    <t>six hundred fourteen</t>
  </si>
  <si>
    <t>six hundred fifteen</t>
  </si>
  <si>
    <t>six hundred sixteen</t>
  </si>
  <si>
    <t>six hundred seventeen</t>
  </si>
  <si>
    <t>six hundred eighteen</t>
  </si>
  <si>
    <t>six hundred nineteen</t>
  </si>
  <si>
    <t>six hundred twenty</t>
  </si>
  <si>
    <t>six hundred twenty-one</t>
  </si>
  <si>
    <t>six hundred twenty-two</t>
  </si>
  <si>
    <t>six hundred twenty-three</t>
  </si>
  <si>
    <t>six hundred twenty-four</t>
  </si>
  <si>
    <t>six hundred twenty-five</t>
  </si>
  <si>
    <t>six hundred twenty-six</t>
  </si>
  <si>
    <t>six hundred twenty-seven</t>
  </si>
  <si>
    <t>six hundred twenty-eight</t>
  </si>
  <si>
    <t>six hundred twenty-nine</t>
  </si>
  <si>
    <t>six hundred thirty</t>
  </si>
  <si>
    <t>six hundred thirty-one</t>
  </si>
  <si>
    <t>six hundred thirty-two</t>
  </si>
  <si>
    <t>six hundred thirty-three</t>
  </si>
  <si>
    <t>six hundred thirty-four</t>
  </si>
  <si>
    <t>six hundred thirty-five</t>
  </si>
  <si>
    <t>six hundred thirty-six</t>
  </si>
  <si>
    <t>six hundred thirty-seven</t>
  </si>
  <si>
    <t>six hundred thirty-eight</t>
  </si>
  <si>
    <t>six hundred thirty-nine</t>
  </si>
  <si>
    <t>six hundred forty</t>
  </si>
  <si>
    <t>six hundred forty-one</t>
  </si>
  <si>
    <t>six hundred forty-two</t>
  </si>
  <si>
    <t>six hundred forty-three</t>
  </si>
  <si>
    <t>six hundred forty-four</t>
  </si>
  <si>
    <t>six hundred forty-five</t>
  </si>
  <si>
    <t>six hundred forty-six</t>
  </si>
  <si>
    <t>six hundred forty-seven</t>
  </si>
  <si>
    <t>six hundred forty-eight</t>
  </si>
  <si>
    <t>six hundred forty-nine</t>
  </si>
  <si>
    <t>six hundred fifty</t>
  </si>
  <si>
    <t>six hundred fifty-one</t>
  </si>
  <si>
    <t>six hundred fifty-two</t>
  </si>
  <si>
    <t>six hundred fifty-three</t>
  </si>
  <si>
    <t>six hundred fifty-four</t>
  </si>
  <si>
    <t>six hundred fifty-five</t>
  </si>
  <si>
    <t>six hundred fifty-six</t>
  </si>
  <si>
    <t>six hundred fifty-seven</t>
  </si>
  <si>
    <t>six hundred fifty-eight</t>
  </si>
  <si>
    <t>six hundred fifty-nine</t>
  </si>
  <si>
    <t>six hundred sixty</t>
  </si>
  <si>
    <t>six hundred sixty-one</t>
  </si>
  <si>
    <t>six hundred sixty-two</t>
  </si>
  <si>
    <t>six hundred sixty-three</t>
  </si>
  <si>
    <t>six hundred sixty-four</t>
  </si>
  <si>
    <t>six hundred sixty-five</t>
  </si>
  <si>
    <t>six hundred sixty-six</t>
  </si>
  <si>
    <t>six hundred sixty-seven</t>
  </si>
  <si>
    <t>six hundred sixty-eight</t>
  </si>
  <si>
    <t>six hundred sixty-nine</t>
  </si>
  <si>
    <t>six hundred seventy</t>
  </si>
  <si>
    <t>six hundred seventy-one</t>
  </si>
  <si>
    <t>six hundred seventy-two</t>
  </si>
  <si>
    <t>six hundred seventy-three</t>
  </si>
  <si>
    <t>six hundred seventy-four</t>
  </si>
  <si>
    <t>six hundred seventy-five</t>
  </si>
  <si>
    <t>six hundred seventy-six</t>
  </si>
  <si>
    <t>six hundred seventy-seven</t>
  </si>
  <si>
    <t>six hundred seventy-eight</t>
  </si>
  <si>
    <t>six hundred seventy-nine</t>
  </si>
  <si>
    <t>six hundred eighty</t>
  </si>
  <si>
    <t>six hundred eighty-one</t>
  </si>
  <si>
    <t>six hundred eighty-two</t>
  </si>
  <si>
    <t>six hundred eighty-three</t>
  </si>
  <si>
    <t>six hundred eighty-four</t>
  </si>
  <si>
    <t>six hundred eighty-five</t>
  </si>
  <si>
    <t>six hundred eighty-six</t>
  </si>
  <si>
    <t>six hundred eighty-seven</t>
  </si>
  <si>
    <t>six hundred eighty-eight</t>
  </si>
  <si>
    <t>six hundred eighty-nine</t>
  </si>
  <si>
    <t>six hundred ninety</t>
  </si>
  <si>
    <t>six hundred ninety-one</t>
  </si>
  <si>
    <t>six hundred ninety-two</t>
  </si>
  <si>
    <t>six hundred ninety-three</t>
  </si>
  <si>
    <t>six hundred ninety-four</t>
  </si>
  <si>
    <t>six hundred ninety-five</t>
  </si>
  <si>
    <t>six hundred ninety-six</t>
  </si>
  <si>
    <t>six hundred ninety-seven</t>
  </si>
  <si>
    <t>six hundred ninety-eight</t>
  </si>
  <si>
    <t>six hundred ninety-nine</t>
  </si>
  <si>
    <t>seven hundred</t>
  </si>
  <si>
    <t>seven hundred one</t>
  </si>
  <si>
    <t>seven hundred two</t>
  </si>
  <si>
    <t>seven hundred three</t>
  </si>
  <si>
    <t>seven hundred four</t>
  </si>
  <si>
    <t>seven hundred five</t>
  </si>
  <si>
    <t>seven hundred six</t>
  </si>
  <si>
    <t>seven hundred seven</t>
  </si>
  <si>
    <t>seven hundred eight</t>
  </si>
  <si>
    <t>seven hundred nine</t>
  </si>
  <si>
    <t>seven hundred ten</t>
  </si>
  <si>
    <t>seven hundred eleven</t>
  </si>
  <si>
    <t>seven hundred twelve</t>
  </si>
  <si>
    <t>seven hundred thirteen</t>
  </si>
  <si>
    <t>seven hundred fourteen</t>
  </si>
  <si>
    <t>seven hundred fifteen</t>
  </si>
  <si>
    <t>seven hundred sixteen</t>
  </si>
  <si>
    <t>seven hundred seventeen</t>
  </si>
  <si>
    <t>seven hundred eighteen</t>
  </si>
  <si>
    <t>seven hundred nineteen</t>
  </si>
  <si>
    <t>seven hundred twenty</t>
  </si>
  <si>
    <t>seven hundred twenty-one</t>
  </si>
  <si>
    <t>seven hundred twenty-two</t>
  </si>
  <si>
    <t>seven hundred twenty-three</t>
  </si>
  <si>
    <t>seven hundred twenty-four</t>
  </si>
  <si>
    <t>seven hundred twenty-five</t>
  </si>
  <si>
    <t>seven hundred twenty-six</t>
  </si>
  <si>
    <t>seven hundred twenty-seven</t>
  </si>
  <si>
    <t>seven hundred twenty-eight</t>
  </si>
  <si>
    <t>seven hundred twenty-nine</t>
  </si>
  <si>
    <t>seven hundred thirty</t>
  </si>
  <si>
    <t>seven hundred thirty-one</t>
  </si>
  <si>
    <t>seven hundred thirty-two</t>
  </si>
  <si>
    <t>seven hundred thirty-three</t>
  </si>
  <si>
    <t>seven hundred thirty-four</t>
  </si>
  <si>
    <t>seven hundred thirty-five</t>
  </si>
  <si>
    <t>seven hundred thirty-six</t>
  </si>
  <si>
    <t>seven hundred thirty-seven</t>
  </si>
  <si>
    <t>seven hundred thirty-eight</t>
  </si>
  <si>
    <t>seven hundred thirty-nine</t>
  </si>
  <si>
    <t>seven hundred forty</t>
  </si>
  <si>
    <t>seven hundred forty-one</t>
  </si>
  <si>
    <t>seven hundred forty-two</t>
  </si>
  <si>
    <t>seven hundred forty-three</t>
  </si>
  <si>
    <t>seven hundred forty-four</t>
  </si>
  <si>
    <t>seven hundred forty-five</t>
  </si>
  <si>
    <t>seven hundred forty-six</t>
  </si>
  <si>
    <t>seven hundred forty-seven</t>
  </si>
  <si>
    <t>seven hundred forty-eight</t>
  </si>
  <si>
    <t>seven hundred forty-nine</t>
  </si>
  <si>
    <t>seven hundred fifty</t>
  </si>
  <si>
    <t>seven hundred fifty-one</t>
  </si>
  <si>
    <t>seven hundred fifty-two</t>
  </si>
  <si>
    <t>seven hundred fifty-three</t>
  </si>
  <si>
    <t>seven hundred fifty-four</t>
  </si>
  <si>
    <t>seven hundred fifty-five</t>
  </si>
  <si>
    <t>seven hundred fifty-six</t>
  </si>
  <si>
    <t>seven hundred fifty-seven</t>
  </si>
  <si>
    <t>seven hundred fifty-eight</t>
  </si>
  <si>
    <t>seven hundred fifty-nine</t>
  </si>
  <si>
    <t>seven hundred sixty</t>
  </si>
  <si>
    <t>seven hundred sixty-one</t>
  </si>
  <si>
    <t>seven hundred sixty-two</t>
  </si>
  <si>
    <t>seven hundred sixty-three</t>
  </si>
  <si>
    <t>seven hundred sixty-four</t>
  </si>
  <si>
    <t>seven hundred sixty-five</t>
  </si>
  <si>
    <t>seven hundred sixty-six</t>
  </si>
  <si>
    <t>seven hundred sixty-seven</t>
  </si>
  <si>
    <t>seven hundred sixty-eight</t>
  </si>
  <si>
    <t>seven hundred sixty-nine</t>
  </si>
  <si>
    <t>seven hundred seventy</t>
  </si>
  <si>
    <t>seven hundred seventy-one</t>
  </si>
  <si>
    <t>seven hundred seventy-two</t>
  </si>
  <si>
    <t>seven hundred seventy-three</t>
  </si>
  <si>
    <t>seven hundred seventy-four</t>
  </si>
  <si>
    <t>seven hundred seventy-five</t>
  </si>
  <si>
    <t>seven hundred seventy-six</t>
  </si>
  <si>
    <t>seven hundred seventy-seven</t>
  </si>
  <si>
    <t>seven hundred seventy-eight</t>
  </si>
  <si>
    <t>seven hundred seventy-nine</t>
  </si>
  <si>
    <t>seven hundred eighty</t>
  </si>
  <si>
    <t>seven hundred eighty-one</t>
  </si>
  <si>
    <t>seven hundred eighty-two</t>
  </si>
  <si>
    <t>seven hundred eighty-three</t>
  </si>
  <si>
    <t>seven hundred eighty-four</t>
  </si>
  <si>
    <t>seven hundred eighty-five</t>
  </si>
  <si>
    <t>seven hundred eighty-six</t>
  </si>
  <si>
    <t>seven hundred eighty-seven</t>
  </si>
  <si>
    <t>seven hundred eighty-eight</t>
  </si>
  <si>
    <t>seven hundred eighty-nine</t>
  </si>
  <si>
    <t>seven hundred ninety</t>
  </si>
  <si>
    <t>seven hundred ninety-one</t>
  </si>
  <si>
    <t>seven hundred ninety-two</t>
  </si>
  <si>
    <t>seven hundred ninety-three</t>
  </si>
  <si>
    <t>seven hundred ninety-four</t>
  </si>
  <si>
    <t>seven hundred ninety-five</t>
  </si>
  <si>
    <t>seven hundred ninety-six</t>
  </si>
  <si>
    <t>seven hundred ninety-seven</t>
  </si>
  <si>
    <t>seven hundred ninety-eight</t>
  </si>
  <si>
    <t>seven hundred ninety-nine</t>
  </si>
  <si>
    <t>eight hundred</t>
  </si>
  <si>
    <t>eight hundred one</t>
  </si>
  <si>
    <t>eight hundred two</t>
  </si>
  <si>
    <t>eight hundred three</t>
  </si>
  <si>
    <t>eight hundred four</t>
  </si>
  <si>
    <t>eight hundred five</t>
  </si>
  <si>
    <t>eight hundred six</t>
  </si>
  <si>
    <t>eight hundred seven</t>
  </si>
  <si>
    <t>eight hundred eight</t>
  </si>
  <si>
    <t>eight hundred nine</t>
  </si>
  <si>
    <t>eight hundred ten</t>
  </si>
  <si>
    <t>eight hundred eleven</t>
  </si>
  <si>
    <t>eight hundred twelve</t>
  </si>
  <si>
    <t>eight hundred thirteen</t>
  </si>
  <si>
    <t>eight hundred fourteen</t>
  </si>
  <si>
    <t>eight hundred fifteen</t>
  </si>
  <si>
    <t>eight hundred sixteen</t>
  </si>
  <si>
    <t>eight hundred seventeen</t>
  </si>
  <si>
    <t>eight hundred eighteen</t>
  </si>
  <si>
    <t>eight hundred nineteen</t>
  </si>
  <si>
    <t>eight hundred twenty</t>
  </si>
  <si>
    <t>eight hundred twenty-one</t>
  </si>
  <si>
    <t>eight hundred twenty-two</t>
  </si>
  <si>
    <t>eight hundred twenty-three</t>
  </si>
  <si>
    <t>eight hundred twenty-four</t>
  </si>
  <si>
    <t>eight hundred twenty-five</t>
  </si>
  <si>
    <t>eight hundred twenty-six</t>
  </si>
  <si>
    <t>eight hundred twenty-seven</t>
  </si>
  <si>
    <t>eight hundred twenty-eight</t>
  </si>
  <si>
    <t>eight hundred twenty-nine</t>
  </si>
  <si>
    <t>eight hundred thirty</t>
  </si>
  <si>
    <t>eight hundred thirty-one</t>
  </si>
  <si>
    <t>eight hundred thirty-two</t>
  </si>
  <si>
    <t>eight hundred thirty-three</t>
  </si>
  <si>
    <t>eight hundred thirty-four</t>
  </si>
  <si>
    <t>eight hundred thirty-five</t>
  </si>
  <si>
    <t>eight hundred thirty-six</t>
  </si>
  <si>
    <t>eight hundred thirty-seven</t>
  </si>
  <si>
    <t>eight hundred thirty-eight</t>
  </si>
  <si>
    <t>eight hundred thirty-nine</t>
  </si>
  <si>
    <t>eight hundred forty</t>
  </si>
  <si>
    <t>eight hundred forty-one</t>
  </si>
  <si>
    <t>eight hundred forty-two</t>
  </si>
  <si>
    <t>eight hundred forty-three</t>
  </si>
  <si>
    <t>eight hundred forty-four</t>
  </si>
  <si>
    <t>eight hundred forty-five</t>
  </si>
  <si>
    <t>eight hundred forty-six</t>
  </si>
  <si>
    <t>eight hundred forty-seven</t>
  </si>
  <si>
    <t>eight hundred forty-eight</t>
  </si>
  <si>
    <t>eight hundred forty-nine</t>
  </si>
  <si>
    <t>eight hundred fifty</t>
  </si>
  <si>
    <t>eight hundred fifty-one</t>
  </si>
  <si>
    <t>eight hundred fifty-two</t>
  </si>
  <si>
    <t>eight hundred fifty-three</t>
  </si>
  <si>
    <t>eight hundred fifty-four</t>
  </si>
  <si>
    <t>eight hundred fifty-five</t>
  </si>
  <si>
    <t>eight hundred fifty-six</t>
  </si>
  <si>
    <t>eight hundred fifty-seven</t>
  </si>
  <si>
    <t>eight hundred fifty-eight</t>
  </si>
  <si>
    <t>eight hundred fifty-nine</t>
  </si>
  <si>
    <t>eight hundred sixty</t>
  </si>
  <si>
    <t>eight hundred sixty-one</t>
  </si>
  <si>
    <t>eight hundred sixty-two</t>
  </si>
  <si>
    <t>eight hundred sixty-three</t>
  </si>
  <si>
    <t>eight hundred sixty-four</t>
  </si>
  <si>
    <t>eight hundred sixty-five</t>
  </si>
  <si>
    <t>eight hundred sixty-six</t>
  </si>
  <si>
    <t>eight hundred sixty-seven</t>
  </si>
  <si>
    <t>eight hundred sixty-eight</t>
  </si>
  <si>
    <t>eight hundred sixty-nine</t>
  </si>
  <si>
    <t>eight hundred seventy</t>
  </si>
  <si>
    <t>eight hundred seventy-one</t>
  </si>
  <si>
    <t>eight hundred seventy-two</t>
  </si>
  <si>
    <t>eight hundred seventy-three</t>
  </si>
  <si>
    <t>eight hundred seventy-four</t>
  </si>
  <si>
    <t>eight hundred seventy-five</t>
  </si>
  <si>
    <t>eight hundred seventy-six</t>
  </si>
  <si>
    <t>eight hundred seventy-seven</t>
  </si>
  <si>
    <t>eight hundred seventy-eight</t>
  </si>
  <si>
    <t>eight hundred seventy-nine</t>
  </si>
  <si>
    <t>eight hundred eighty</t>
  </si>
  <si>
    <t>eight hundred eighty-one</t>
  </si>
  <si>
    <t>eight hundred eighty-two</t>
  </si>
  <si>
    <t>eight hundred eighty-three</t>
  </si>
  <si>
    <t>eight hundred eighty-four</t>
  </si>
  <si>
    <t>eight hundred eighty-five</t>
  </si>
  <si>
    <t>eight hundred eighty-six</t>
  </si>
  <si>
    <t>eight hundred eighty-seven</t>
  </si>
  <si>
    <t>eight hundred eighty-eight</t>
  </si>
  <si>
    <t>eight hundred eighty-nine</t>
  </si>
  <si>
    <t>eight hundred ninety</t>
  </si>
  <si>
    <t>eight hundred ninety-one</t>
  </si>
  <si>
    <t>eight hundred ninety-two</t>
  </si>
  <si>
    <t>eight hundred ninety-three</t>
  </si>
  <si>
    <t>eight hundred ninety-four</t>
  </si>
  <si>
    <t>eight hundred ninety-five</t>
  </si>
  <si>
    <t>eight hundred ninety-six</t>
  </si>
  <si>
    <t>eight hundred ninety-seven</t>
  </si>
  <si>
    <t>eight hundred ninety-eight</t>
  </si>
  <si>
    <t>eight hundred ninety-nine</t>
  </si>
  <si>
    <t>nine hundred</t>
  </si>
  <si>
    <t>nine hundred one</t>
  </si>
  <si>
    <t>nine hundred two</t>
  </si>
  <si>
    <t>nine hundred three</t>
  </si>
  <si>
    <t>nine hundred four</t>
  </si>
  <si>
    <t>nine hundred five</t>
  </si>
  <si>
    <t>nine hundred six</t>
  </si>
  <si>
    <t>nine hundred seven</t>
  </si>
  <si>
    <t>nine hundred eight</t>
  </si>
  <si>
    <t>nine hundred nine</t>
  </si>
  <si>
    <t>nine hundred ten</t>
  </si>
  <si>
    <t>nine hundred eleven</t>
  </si>
  <si>
    <t>nine hundred twelve</t>
  </si>
  <si>
    <t>nine hundred thirteen</t>
  </si>
  <si>
    <t>nine hundred fourteen</t>
  </si>
  <si>
    <t>nine hundred fifteen</t>
  </si>
  <si>
    <t>nine hundred sixteen</t>
  </si>
  <si>
    <t>nine hundred seventeen</t>
  </si>
  <si>
    <t>nine hundred eighteen</t>
  </si>
  <si>
    <t>nine hundred nineteen</t>
  </si>
  <si>
    <t>nine hundred twenty</t>
  </si>
  <si>
    <t>nine hundred twenty-one</t>
  </si>
  <si>
    <t>nine hundred twenty-two</t>
  </si>
  <si>
    <t>nine hundred twenty-three</t>
  </si>
  <si>
    <t>nine hundred twenty-four</t>
  </si>
  <si>
    <t>nine hundred twenty-five</t>
  </si>
  <si>
    <t>nine hundred twenty-six</t>
  </si>
  <si>
    <t>nine hundred twenty-seven</t>
  </si>
  <si>
    <t>nine hundred twenty-eight</t>
  </si>
  <si>
    <t>nine hundred twenty-nine</t>
  </si>
  <si>
    <t>nine hundred thirty</t>
  </si>
  <si>
    <t>nine hundred thirty-one</t>
  </si>
  <si>
    <t>nine hundred thirty-two</t>
  </si>
  <si>
    <t>nine hundred thirty-three</t>
  </si>
  <si>
    <t>nine hundred thirty-four</t>
  </si>
  <si>
    <t>nine hundred thirty-five</t>
  </si>
  <si>
    <t>nine hundred thirty-six</t>
  </si>
  <si>
    <t>nine hundred thirty-seven</t>
  </si>
  <si>
    <t>nine hundred thirty-eight</t>
  </si>
  <si>
    <t>nine hundred thirty-nine</t>
  </si>
  <si>
    <t>nine hundred forty</t>
  </si>
  <si>
    <t>nine hundred forty-one</t>
  </si>
  <si>
    <t>nine hundred forty-two</t>
  </si>
  <si>
    <t>nine hundred forty-three</t>
  </si>
  <si>
    <t>nine hundred forty-four</t>
  </si>
  <si>
    <t>nine hundred forty-five</t>
  </si>
  <si>
    <t>nine hundred forty-six</t>
  </si>
  <si>
    <t>nine hundred forty-seven</t>
  </si>
  <si>
    <t>nine hundred forty-eight</t>
  </si>
  <si>
    <t>nine hundred forty-nine</t>
  </si>
  <si>
    <t>nine hundred fifty</t>
  </si>
  <si>
    <t>nine hundred fifty-one</t>
  </si>
  <si>
    <t>nine hundred fifty-two</t>
  </si>
  <si>
    <t>nine hundred fifty-three</t>
  </si>
  <si>
    <t>nine hundred fifty-four</t>
  </si>
  <si>
    <t>nine hundred fifty-five</t>
  </si>
  <si>
    <t>nine hundred fifty-six</t>
  </si>
  <si>
    <t>nine hundred fifty-seven</t>
  </si>
  <si>
    <t>nine hundred fifty-eight</t>
  </si>
  <si>
    <t>nine hundred fifty-nine</t>
  </si>
  <si>
    <t>nine hundred sixty</t>
  </si>
  <si>
    <t>nine hundred sixty-one</t>
  </si>
  <si>
    <t>nine hundred sixty-two</t>
  </si>
  <si>
    <t>nine hundred sixty-three</t>
  </si>
  <si>
    <t>nine hundred sixty-four</t>
  </si>
  <si>
    <t>nine hundred sixty-five</t>
  </si>
  <si>
    <t>nine hundred sixty-six</t>
  </si>
  <si>
    <t>nine hundred sixty-seven</t>
  </si>
  <si>
    <t>nine hundred sixty-eight</t>
  </si>
  <si>
    <t>nine hundred sixty-nine</t>
  </si>
  <si>
    <t>nine hundred seventy</t>
  </si>
  <si>
    <t>nine hundred seventy-one</t>
  </si>
  <si>
    <t>nine hundred seventy-two</t>
  </si>
  <si>
    <t>nine hundred seventy-three</t>
  </si>
  <si>
    <t>nine hundred seventy-four</t>
  </si>
  <si>
    <t>nine hundred seventy-five</t>
  </si>
  <si>
    <t>nine hundred seventy-six</t>
  </si>
  <si>
    <t>nine hundred seventy-seven</t>
  </si>
  <si>
    <t>nine hundred seventy-eight</t>
  </si>
  <si>
    <t>nine hundred seventy-nine</t>
  </si>
  <si>
    <t>nine hundred eighty</t>
  </si>
  <si>
    <t>nine hundred eighty-one</t>
  </si>
  <si>
    <t>nine hundred eighty-two</t>
  </si>
  <si>
    <t>nine hundred eighty-three</t>
  </si>
  <si>
    <t>nine hundred eighty-four</t>
  </si>
  <si>
    <t>nine hundred eighty-five</t>
  </si>
  <si>
    <t>nine hundred eighty-six</t>
  </si>
  <si>
    <t>nine hundred eighty-seven</t>
  </si>
  <si>
    <t>nine hundred eighty-eight</t>
  </si>
  <si>
    <t>nine hundred eighty-nine</t>
  </si>
  <si>
    <t>nine hundred ninety</t>
  </si>
  <si>
    <t>nine hundred ninety-one</t>
  </si>
  <si>
    <t>nine hundred ninety-two</t>
  </si>
  <si>
    <t>nine hundred ninety-three</t>
  </si>
  <si>
    <t>nine hundred ninety-four</t>
  </si>
  <si>
    <t>nine hundred ninety-five</t>
  </si>
  <si>
    <t>nine hundred ninety-six</t>
  </si>
  <si>
    <t>nine hundred ninety-seven</t>
  </si>
  <si>
    <t>nine hundred ninety-eight</t>
  </si>
  <si>
    <t>nine hundred ninety-nine</t>
  </si>
  <si>
    <t>one thousand</t>
  </si>
  <si>
    <t xml:space="preserve"> </t>
  </si>
  <si>
    <t>M</t>
  </si>
  <si>
    <t>Ordinal Number</t>
  </si>
  <si>
    <t>zeroth</t>
  </si>
  <si>
    <t>first</t>
  </si>
  <si>
    <t>second</t>
  </si>
  <si>
    <t>third</t>
  </si>
  <si>
    <t>fourth</t>
  </si>
  <si>
    <t>fifth</t>
  </si>
  <si>
    <t>sixth</t>
  </si>
  <si>
    <t>seventh</t>
  </si>
  <si>
    <t>eighth</t>
  </si>
  <si>
    <t>ninth</t>
  </si>
  <si>
    <t>tenth</t>
  </si>
  <si>
    <t>eleventh</t>
  </si>
  <si>
    <t>twelfth</t>
  </si>
  <si>
    <t>thirteenth</t>
  </si>
  <si>
    <t>fourteenth</t>
  </si>
  <si>
    <t>fifteenth</t>
  </si>
  <si>
    <t>sixteenth</t>
  </si>
  <si>
    <t>seventeenth</t>
  </si>
  <si>
    <t>eighteenth</t>
  </si>
  <si>
    <t>nineteenth</t>
  </si>
  <si>
    <t>twentieth</t>
  </si>
  <si>
    <t>twenty-first</t>
  </si>
  <si>
    <t>twenty-second</t>
  </si>
  <si>
    <t>twenty-third</t>
  </si>
  <si>
    <t>twenty-fourth</t>
  </si>
  <si>
    <t>twenty-fifth</t>
  </si>
  <si>
    <t>twenty-sixth</t>
  </si>
  <si>
    <t>twenty-seventh</t>
  </si>
  <si>
    <t>twenty-eighth</t>
  </si>
  <si>
    <t>twenty-ninth</t>
  </si>
  <si>
    <t>thirtieth</t>
  </si>
  <si>
    <t>thirty-first</t>
  </si>
  <si>
    <t>thirty-second</t>
  </si>
  <si>
    <t>thirty-third</t>
  </si>
  <si>
    <t>thirty-fourth</t>
  </si>
  <si>
    <t>thirty-fifth</t>
  </si>
  <si>
    <t>thirty-sixth</t>
  </si>
  <si>
    <t>thirty-seventh</t>
  </si>
  <si>
    <t>thirty-eighth</t>
  </si>
  <si>
    <t>thirty-ninth</t>
  </si>
  <si>
    <t>fortieth</t>
  </si>
  <si>
    <t>forty-first</t>
  </si>
  <si>
    <t>forty-second</t>
  </si>
  <si>
    <t>forty-third</t>
  </si>
  <si>
    <t>forty-fourth</t>
  </si>
  <si>
    <t>forty-fifth</t>
  </si>
  <si>
    <t>forty-sixth</t>
  </si>
  <si>
    <t>forty-seventh</t>
  </si>
  <si>
    <t>forty-eighth</t>
  </si>
  <si>
    <t>forty-ninth</t>
  </si>
  <si>
    <t>fiftieth</t>
  </si>
  <si>
    <t>fifty-first</t>
  </si>
  <si>
    <t>fifty-second</t>
  </si>
  <si>
    <t>fifty-third</t>
  </si>
  <si>
    <t>fifty-fourth</t>
  </si>
  <si>
    <t>fifty-fifth</t>
  </si>
  <si>
    <t>fifty-sixth</t>
  </si>
  <si>
    <t>fifty-seventh</t>
  </si>
  <si>
    <t>fifty-eighth</t>
  </si>
  <si>
    <t>fifty-ninth</t>
  </si>
  <si>
    <t>sixtieth</t>
  </si>
  <si>
    <t>sixty-first</t>
  </si>
  <si>
    <t>sixty-second</t>
  </si>
  <si>
    <t>sixty-third</t>
  </si>
  <si>
    <t>sixty-fourth</t>
  </si>
  <si>
    <t>sixty-fifth</t>
  </si>
  <si>
    <t>sixty-sixth</t>
  </si>
  <si>
    <t>sixty-seventh</t>
  </si>
  <si>
    <t>sixty-eighth</t>
  </si>
  <si>
    <t>sixty-ninth</t>
  </si>
  <si>
    <t>seventieth</t>
  </si>
  <si>
    <t>seventy-first</t>
  </si>
  <si>
    <t>seventy-second</t>
  </si>
  <si>
    <t>seventy-third</t>
  </si>
  <si>
    <t>seventy-fourth</t>
  </si>
  <si>
    <t>seventy-fifth</t>
  </si>
  <si>
    <t>seventy-sixth</t>
  </si>
  <si>
    <t>seventy-seventh</t>
  </si>
  <si>
    <t>seventy-eighth</t>
  </si>
  <si>
    <t>seventy-ninth</t>
  </si>
  <si>
    <t>eightieth</t>
  </si>
  <si>
    <t>eighty-first</t>
  </si>
  <si>
    <t>eighty-second</t>
  </si>
  <si>
    <t>eighty-third</t>
  </si>
  <si>
    <t>eighty-fourth</t>
  </si>
  <si>
    <t>eighty-fifth</t>
  </si>
  <si>
    <t>eighty-sixth</t>
  </si>
  <si>
    <t>eighty-seventh</t>
  </si>
  <si>
    <t>eighty-eighth</t>
  </si>
  <si>
    <t>eighty-ninth</t>
  </si>
  <si>
    <t>ninetieth</t>
  </si>
  <si>
    <t>ninety-first</t>
  </si>
  <si>
    <t>ninety-second</t>
  </si>
  <si>
    <t>ninety-third</t>
  </si>
  <si>
    <t>ninety-fourth</t>
  </si>
  <si>
    <t>ninety-fifth</t>
  </si>
  <si>
    <t>ninety-sixth</t>
  </si>
  <si>
    <t>ninety-seventh</t>
  </si>
  <si>
    <t>ninety-eighth</t>
  </si>
  <si>
    <t>ninety-ninth</t>
  </si>
  <si>
    <t>one hundredth</t>
  </si>
  <si>
    <t>one hundred first</t>
  </si>
  <si>
    <t>one hundred second</t>
  </si>
  <si>
    <t>one hundred third</t>
  </si>
  <si>
    <t>one hundred fourth</t>
  </si>
  <si>
    <t>one hundred fifth</t>
  </si>
  <si>
    <t>one hundred sixth</t>
  </si>
  <si>
    <t>one hundred seventh</t>
  </si>
  <si>
    <t>one hundred eighth</t>
  </si>
  <si>
    <t>one hundred ninth</t>
  </si>
  <si>
    <t>one hundred tenth</t>
  </si>
  <si>
    <t>one hundred eleventh</t>
  </si>
  <si>
    <t>one hundred twelfth</t>
  </si>
  <si>
    <t>one hundred thirteenth</t>
  </si>
  <si>
    <t>one hundred fourteenth</t>
  </si>
  <si>
    <t>one hundred fifteenth</t>
  </si>
  <si>
    <t>one hundred sixteenth</t>
  </si>
  <si>
    <t>one hundred seventeenth</t>
  </si>
  <si>
    <t>one hundred eighteenth</t>
  </si>
  <si>
    <t>one hundred nineteenth</t>
  </si>
  <si>
    <t>one hundred twentieth</t>
  </si>
  <si>
    <t>one hundred twenty-first</t>
  </si>
  <si>
    <t>one hundred twenty-second</t>
  </si>
  <si>
    <t>one hundred twenty-third</t>
  </si>
  <si>
    <t>one hundred twenty-fourth</t>
  </si>
  <si>
    <t>one hundred twenty-fifth</t>
  </si>
  <si>
    <t>one hundred twenty-sixth</t>
  </si>
  <si>
    <t>one hundred twenty-seventh</t>
  </si>
  <si>
    <t>one hundred twenty-eighth</t>
  </si>
  <si>
    <t>one hundred twenty-ninth</t>
  </si>
  <si>
    <t>one hundred thirtieth</t>
  </si>
  <si>
    <t>one hundred thirty-first</t>
  </si>
  <si>
    <t>one hundred thirty-second</t>
  </si>
  <si>
    <t>one hundred thirty-third</t>
  </si>
  <si>
    <t>one hundred thirty-fourth</t>
  </si>
  <si>
    <t>one hundred thirty-fifth</t>
  </si>
  <si>
    <t>one hundred thirty-sixth</t>
  </si>
  <si>
    <t>one hundred thirty-seventh</t>
  </si>
  <si>
    <t>one hundred thirty-eighth</t>
  </si>
  <si>
    <t>one hundred thirty-ninth</t>
  </si>
  <si>
    <t>one hundred fortieth</t>
  </si>
  <si>
    <t>one hundred forty-first</t>
  </si>
  <si>
    <t>one hundred forty-second</t>
  </si>
  <si>
    <t>one hundred forty-third</t>
  </si>
  <si>
    <t>one hundred forty-fourth</t>
  </si>
  <si>
    <t>one hundred forty-fifth</t>
  </si>
  <si>
    <t>one hundred forty-sixth</t>
  </si>
  <si>
    <t>one hundred forty-seventh</t>
  </si>
  <si>
    <t>one hundred forty-eighth</t>
  </si>
  <si>
    <t>one hundred forty-ninth</t>
  </si>
  <si>
    <t>one hundred fiftieth</t>
  </si>
  <si>
    <t>one hundred fifty-first</t>
  </si>
  <si>
    <t>one hundred fifty-second</t>
  </si>
  <si>
    <t>one hundred fifty-third</t>
  </si>
  <si>
    <t>one hundred fifty-fourth</t>
  </si>
  <si>
    <t>one hundred fifty-fifth</t>
  </si>
  <si>
    <t>one hundred fifty-sixth</t>
  </si>
  <si>
    <t>one hundred fifty-seventh</t>
  </si>
  <si>
    <t>one hundred fifty-eighth</t>
  </si>
  <si>
    <t>one hundred fifty-ninth</t>
  </si>
  <si>
    <t>one hundred sixtieth</t>
  </si>
  <si>
    <t>one hundred sixty-first</t>
  </si>
  <si>
    <t>one hundred sixty-second</t>
  </si>
  <si>
    <t>one hundred sixty-third</t>
  </si>
  <si>
    <t>one hundred sixty-fourth</t>
  </si>
  <si>
    <t>one hundred sixty-fifth</t>
  </si>
  <si>
    <t>one hundred sixty-sixth</t>
  </si>
  <si>
    <t>one hundred sixty-seventh</t>
  </si>
  <si>
    <t>one hundred sixty-eighth</t>
  </si>
  <si>
    <t>one hundred sixty-ninth</t>
  </si>
  <si>
    <t>one hundred seventieth</t>
  </si>
  <si>
    <t>one hundred seventy-first</t>
  </si>
  <si>
    <t>one hundred seventy-second</t>
  </si>
  <si>
    <t>one hundred seventy-third</t>
  </si>
  <si>
    <t>one hundred seventy-fourth</t>
  </si>
  <si>
    <t>one hundred seventy-fifth</t>
  </si>
  <si>
    <t>one hundred seventy-sixth</t>
  </si>
  <si>
    <t>one hundred seventy-seventh</t>
  </si>
  <si>
    <t>one hundred seventy-eighth</t>
  </si>
  <si>
    <t>one hundred seventy-ninth</t>
  </si>
  <si>
    <t>one hundred eightieth</t>
  </si>
  <si>
    <t>one hundred eighty-first</t>
  </si>
  <si>
    <t>one hundred eighty-second</t>
  </si>
  <si>
    <t>one hundred eighty-third</t>
  </si>
  <si>
    <t>one hundred eighty-fourth</t>
  </si>
  <si>
    <t>one hundred eighty-fifth</t>
  </si>
  <si>
    <t>one hundred eighty-sixth</t>
  </si>
  <si>
    <t>one hundred eighty-seventh</t>
  </si>
  <si>
    <t>one hundred eighty-eighth</t>
  </si>
  <si>
    <t>one hundred eighty-ninth</t>
  </si>
  <si>
    <t>one hundred ninetieth</t>
  </si>
  <si>
    <t>one hundred ninety-first</t>
  </si>
  <si>
    <t>one hundred ninety-second</t>
  </si>
  <si>
    <t>one hundred ninety-third</t>
  </si>
  <si>
    <t>one hundred ninety-fourth</t>
  </si>
  <si>
    <t>one hundred ninety-fifth</t>
  </si>
  <si>
    <t>one hundred ninety-sixth</t>
  </si>
  <si>
    <t>one hundred ninety-seventh</t>
  </si>
  <si>
    <t>one hundred ninety-eighth</t>
  </si>
  <si>
    <t>one hundred ninety-ninth</t>
  </si>
  <si>
    <t>two hundredth</t>
  </si>
  <si>
    <t>two hundred first</t>
  </si>
  <si>
    <t>two hundred second</t>
  </si>
  <si>
    <t>two hundred third</t>
  </si>
  <si>
    <t>two hundred fourth</t>
  </si>
  <si>
    <t>two hundred fifth</t>
  </si>
  <si>
    <t>two hundred sixth</t>
  </si>
  <si>
    <t>two hundred seventh</t>
  </si>
  <si>
    <t>two hundred eighth</t>
  </si>
  <si>
    <t>two hundred ninth</t>
  </si>
  <si>
    <t>two hundred tenth</t>
  </si>
  <si>
    <t>two hundred eleventh</t>
  </si>
  <si>
    <t>two hundred twelfth</t>
  </si>
  <si>
    <t>two hundred thirteenth</t>
  </si>
  <si>
    <t>two hundred fourteenth</t>
  </si>
  <si>
    <t>two hundred fifteenth</t>
  </si>
  <si>
    <t>two hundred sixteenth</t>
  </si>
  <si>
    <t>two hundred seventeenth</t>
  </si>
  <si>
    <t>two hundred eighteenth</t>
  </si>
  <si>
    <t>two hundred nineteenth</t>
  </si>
  <si>
    <t>two hundred twentieth</t>
  </si>
  <si>
    <t>two hundred twenty-first</t>
  </si>
  <si>
    <t>two hundred twenty-second</t>
  </si>
  <si>
    <t>two hundred twenty-third</t>
  </si>
  <si>
    <t>two hundred twenty-fourth</t>
  </si>
  <si>
    <t>two hundred twenty-fifth</t>
  </si>
  <si>
    <t>two hundred twenty-sixth</t>
  </si>
  <si>
    <t>two hundred twenty-seventh</t>
  </si>
  <si>
    <t>two hundred twenty-eighth</t>
  </si>
  <si>
    <t>two hundred twenty-ninth</t>
  </si>
  <si>
    <t>two hundred thirtieth</t>
  </si>
  <si>
    <t>two hundred thirty-first</t>
  </si>
  <si>
    <t>two hundred thirty-second</t>
  </si>
  <si>
    <t>two hundred thirty-third</t>
  </si>
  <si>
    <t>two hundred thirty-fourth</t>
  </si>
  <si>
    <t>two hundred thirty-fifth</t>
  </si>
  <si>
    <t>two hundred thirty-sixth</t>
  </si>
  <si>
    <t>two hundred thirty-seventh</t>
  </si>
  <si>
    <t>two hundred thirty-eighth</t>
  </si>
  <si>
    <t>two hundred thirty-ninth</t>
  </si>
  <si>
    <t>two hundred fortieth</t>
  </si>
  <si>
    <t>two hundred forty-first</t>
  </si>
  <si>
    <t>two hundred forty-second</t>
  </si>
  <si>
    <t>two hundred forty-third</t>
  </si>
  <si>
    <t>two hundred forty-fourth</t>
  </si>
  <si>
    <t>two hundred forty-fifth</t>
  </si>
  <si>
    <t>two hundred forty-sixth</t>
  </si>
  <si>
    <t>two hundred forty-seventh</t>
  </si>
  <si>
    <t>two hundred forty-eighth</t>
  </si>
  <si>
    <t>two hundred forty-ninth</t>
  </si>
  <si>
    <t>two hundred fiftieth</t>
  </si>
  <si>
    <t>two hundred fifty-first</t>
  </si>
  <si>
    <t>two hundred fifty-second</t>
  </si>
  <si>
    <t>two hundred fifty-third</t>
  </si>
  <si>
    <t>two hundred fifty-fourth</t>
  </si>
  <si>
    <t>two hundred fifty-fifth</t>
  </si>
  <si>
    <t>two hundred fifty-sixth</t>
  </si>
  <si>
    <t>two hundred fifty-seventh</t>
  </si>
  <si>
    <t>two hundred fifty-eighth</t>
  </si>
  <si>
    <t>two hundred fifty-ninth</t>
  </si>
  <si>
    <t>two hundred sixtieth</t>
  </si>
  <si>
    <t>two hundred sixty-first</t>
  </si>
  <si>
    <t>two hundred sixty-second</t>
  </si>
  <si>
    <t>two hundred sixty-third</t>
  </si>
  <si>
    <t>two hundred sixty-fourth</t>
  </si>
  <si>
    <t>two hundred sixty-fifth</t>
  </si>
  <si>
    <t>two hundred sixty-sixth</t>
  </si>
  <si>
    <t>two hundred sixty-seventh</t>
  </si>
  <si>
    <t>two hundred sixty-eighth</t>
  </si>
  <si>
    <t>two hundred sixty-ninth</t>
  </si>
  <si>
    <t>two hundred seventieth</t>
  </si>
  <si>
    <t>two hundred seventy-first</t>
  </si>
  <si>
    <t>two hundred seventy-second</t>
  </si>
  <si>
    <t>two hundred seventy-third</t>
  </si>
  <si>
    <t>two hundred seventy-fourth</t>
  </si>
  <si>
    <t>two hundred seventy-fifth</t>
  </si>
  <si>
    <t>two hundred seventy-sixth</t>
  </si>
  <si>
    <t>two hundred seventy-seventh</t>
  </si>
  <si>
    <t>two hundred seventy-eighth</t>
  </si>
  <si>
    <t>two hundred seventy-ninth</t>
  </si>
  <si>
    <t>two hundred eightieth</t>
  </si>
  <si>
    <t>two hundred eighty-first</t>
  </si>
  <si>
    <t>two hundred eighty-second</t>
  </si>
  <si>
    <t>two hundred eighty-third</t>
  </si>
  <si>
    <t>two hundred eighty-fourth</t>
  </si>
  <si>
    <t>two hundred eighty-fifth</t>
  </si>
  <si>
    <t>two hundred eighty-sixth</t>
  </si>
  <si>
    <t>two hundred eighty-seventh</t>
  </si>
  <si>
    <t>two hundred eighty-eighth</t>
  </si>
  <si>
    <t>two hundred eighty-ninth</t>
  </si>
  <si>
    <t>two hundred ninetieth</t>
  </si>
  <si>
    <t>two hundred ninety-first</t>
  </si>
  <si>
    <t>two hundred ninety-second</t>
  </si>
  <si>
    <t>two hundred ninety-third</t>
  </si>
  <si>
    <t>two hundred ninety-fourth</t>
  </si>
  <si>
    <t>two hundred ninety-fifth</t>
  </si>
  <si>
    <t>two hundred ninety-sixth</t>
  </si>
  <si>
    <t>two hundred ninety-seventh</t>
  </si>
  <si>
    <t>two hundred ninety-eighth</t>
  </si>
  <si>
    <t>two hundred ninety-ninth</t>
  </si>
  <si>
    <t>three hundredth</t>
  </si>
  <si>
    <t>three hundred first</t>
  </si>
  <si>
    <t>three hundred second</t>
  </si>
  <si>
    <t>three hundred third</t>
  </si>
  <si>
    <t>three hundred fourth</t>
  </si>
  <si>
    <t>three hundred fifth</t>
  </si>
  <si>
    <t>three hundred sixth</t>
  </si>
  <si>
    <t>three hundred seventh</t>
  </si>
  <si>
    <t>three hundred eighth</t>
  </si>
  <si>
    <t>three hundred ninth</t>
  </si>
  <si>
    <t>three hundred tenth</t>
  </si>
  <si>
    <t>three hundred eleventh</t>
  </si>
  <si>
    <t>three hundred twelfth</t>
  </si>
  <si>
    <t>three hundred thirteenth</t>
  </si>
  <si>
    <t>three hundred fourteenth</t>
  </si>
  <si>
    <t>three hundred fifteenth</t>
  </si>
  <si>
    <t>three hundred sixteenth</t>
  </si>
  <si>
    <t>three hundred seventeenth</t>
  </si>
  <si>
    <t>three hundred eighteenth</t>
  </si>
  <si>
    <t>three hundred nineteenth</t>
  </si>
  <si>
    <t>three hundred twentieth</t>
  </si>
  <si>
    <t>three hundred twenty-first</t>
  </si>
  <si>
    <t>three hundred twenty-second</t>
  </si>
  <si>
    <t>three hundred twenty-third</t>
  </si>
  <si>
    <t>three hundred twenty-fourth</t>
  </si>
  <si>
    <t>three hundred twenty-fifth</t>
  </si>
  <si>
    <t>three hundred twenty-sixth</t>
  </si>
  <si>
    <t>three hundred twenty-seventh</t>
  </si>
  <si>
    <t>three hundred twenty-eighth</t>
  </si>
  <si>
    <t>three hundred twenty-ninth</t>
  </si>
  <si>
    <t>three hundred thirtieth</t>
  </si>
  <si>
    <t>three hundred thirty-first</t>
  </si>
  <si>
    <t>three hundred thirty-second</t>
  </si>
  <si>
    <t>three hundred thirty-third</t>
  </si>
  <si>
    <t>three hundred thirty-fourth</t>
  </si>
  <si>
    <t>three hundred thirty-fifth</t>
  </si>
  <si>
    <t>three hundred thirty-sixth</t>
  </si>
  <si>
    <t>three hundred thirty-seventh</t>
  </si>
  <si>
    <t>three hundred thirty-eighth</t>
  </si>
  <si>
    <t>three hundred thirty-ninth</t>
  </si>
  <si>
    <t>three hundred fortieth</t>
  </si>
  <si>
    <t>three hundred forty-first</t>
  </si>
  <si>
    <t>three hundred forty-second</t>
  </si>
  <si>
    <t>three hundred forty-third</t>
  </si>
  <si>
    <t>three hundred forty-fourth</t>
  </si>
  <si>
    <t>three hundred forty-fifth</t>
  </si>
  <si>
    <t>three hundred forty-sixth</t>
  </si>
  <si>
    <t>three hundred forty-seventh</t>
  </si>
  <si>
    <t>three hundred forty-eighth</t>
  </si>
  <si>
    <t>three hundred forty-ninth</t>
  </si>
  <si>
    <t>three hundred fiftieth</t>
  </si>
  <si>
    <t>three hundred fifty-first</t>
  </si>
  <si>
    <t>three hundred fifty-second</t>
  </si>
  <si>
    <t>three hundred fifty-third</t>
  </si>
  <si>
    <t>three hundred fifty-fourth</t>
  </si>
  <si>
    <t>three hundred fifty-fifth</t>
  </si>
  <si>
    <t>three hundred fifty-sixth</t>
  </si>
  <si>
    <t>three hundred fifty-seventh</t>
  </si>
  <si>
    <t>three hundred fifty-eighth</t>
  </si>
  <si>
    <t>three hundred fifty-ninth</t>
  </si>
  <si>
    <t>three hundred sixtieth</t>
  </si>
  <si>
    <t>three hundred sixty-first</t>
  </si>
  <si>
    <t>three hundred sixty-second</t>
  </si>
  <si>
    <t>three hundred sixty-third</t>
  </si>
  <si>
    <t>three hundred sixty-fourth</t>
  </si>
  <si>
    <t>three hundred sixty-fifth</t>
  </si>
  <si>
    <t>three hundred sixty-sixth</t>
  </si>
  <si>
    <t>three hundred sixty-seventh</t>
  </si>
  <si>
    <t>three hundred sixty-eighth</t>
  </si>
  <si>
    <t>three hundred sixty-ninth</t>
  </si>
  <si>
    <t>three hundred seventieth</t>
  </si>
  <si>
    <t>three hundred seventy-first</t>
  </si>
  <si>
    <t>three hundred seventy-second</t>
  </si>
  <si>
    <t>three hundred seventy-third</t>
  </si>
  <si>
    <t>three hundred seventy-fourth</t>
  </si>
  <si>
    <t>three hundred seventy-fifth</t>
  </si>
  <si>
    <t>three hundred seventy-sixth</t>
  </si>
  <si>
    <t>three hundred seventy-seventh</t>
  </si>
  <si>
    <t>three hundred seventy-eighth</t>
  </si>
  <si>
    <t>three hundred seventy-ninth</t>
  </si>
  <si>
    <t>three hundred eightieth</t>
  </si>
  <si>
    <t>three hundred eighty-first</t>
  </si>
  <si>
    <t>three hundred eighty-second</t>
  </si>
  <si>
    <t>three hundred eighty-third</t>
  </si>
  <si>
    <t>three hundred eighty-fourth</t>
  </si>
  <si>
    <t>three hundred eighty-fifth</t>
  </si>
  <si>
    <t>three hundred eighty-sixth</t>
  </si>
  <si>
    <t>three hundred eighty-seventh</t>
  </si>
  <si>
    <t>three hundred eighty-eighth</t>
  </si>
  <si>
    <t>three hundred eighty-ninth</t>
  </si>
  <si>
    <t>three hundred ninetieth</t>
  </si>
  <si>
    <t>three hundred ninety-first</t>
  </si>
  <si>
    <t>three hundred ninety-second</t>
  </si>
  <si>
    <t>three hundred ninety-third</t>
  </si>
  <si>
    <t>three hundred ninety-fourth</t>
  </si>
  <si>
    <t>three hundred ninety-fifth</t>
  </si>
  <si>
    <t>three hundred ninety-sixth</t>
  </si>
  <si>
    <t>three hundred ninety-seventh</t>
  </si>
  <si>
    <t>three hundred ninety-eighth</t>
  </si>
  <si>
    <t>three hundred ninety-ninth</t>
  </si>
  <si>
    <t>four hundredth</t>
  </si>
  <si>
    <t>four hundred first</t>
  </si>
  <si>
    <t>four hundred second</t>
  </si>
  <si>
    <t>four hundred third</t>
  </si>
  <si>
    <t>four hundred fourth</t>
  </si>
  <si>
    <t>four hundred fifth</t>
  </si>
  <si>
    <t>four hundred sixth</t>
  </si>
  <si>
    <t>four hundred seventh</t>
  </si>
  <si>
    <t>four hundred eighth</t>
  </si>
  <si>
    <t>four hundred ninth</t>
  </si>
  <si>
    <t>four hundred tenth</t>
  </si>
  <si>
    <t>four hundred eleventh</t>
  </si>
  <si>
    <t>four hundred twelfth</t>
  </si>
  <si>
    <t>four hundred thirteenth</t>
  </si>
  <si>
    <t>four hundred fourteenth</t>
  </si>
  <si>
    <t>four hundred fifteenth</t>
  </si>
  <si>
    <t>four hundred sixteenth</t>
  </si>
  <si>
    <t>four hundred seventeenth</t>
  </si>
  <si>
    <t>four hundred eighteenth</t>
  </si>
  <si>
    <t>four hundred nineteenth</t>
  </si>
  <si>
    <t>four hundred twentieth</t>
  </si>
  <si>
    <t>four hundred twenty-first</t>
  </si>
  <si>
    <t>four hundred twenty-second</t>
  </si>
  <si>
    <t>four hundred twenty-third</t>
  </si>
  <si>
    <t>four hundred twenty-fourth</t>
  </si>
  <si>
    <t>four hundred twenty-fifth</t>
  </si>
  <si>
    <t>four hundred twenty-sixth</t>
  </si>
  <si>
    <t>four hundred twenty-seventh</t>
  </si>
  <si>
    <t>four hundred twenty-eighth</t>
  </si>
  <si>
    <t>four hundred twenty-ninth</t>
  </si>
  <si>
    <t>four hundred thirtieth</t>
  </si>
  <si>
    <t>four hundred thirty-first</t>
  </si>
  <si>
    <t>four hundred thirty-second</t>
  </si>
  <si>
    <t>four hundred thirty-third</t>
  </si>
  <si>
    <t>four hundred thirty-fourth</t>
  </si>
  <si>
    <t>four hundred thirty-fifth</t>
  </si>
  <si>
    <t>four hundred thirty-sixth</t>
  </si>
  <si>
    <t>four hundred thirty-seventh</t>
  </si>
  <si>
    <t>four hundred thirty-eighth</t>
  </si>
  <si>
    <t>four hundred thirty-ninth</t>
  </si>
  <si>
    <t>four hundred fortieth</t>
  </si>
  <si>
    <t>four hundred forty-first</t>
  </si>
  <si>
    <t>four hundred forty-second</t>
  </si>
  <si>
    <t>four hundred forty-third</t>
  </si>
  <si>
    <t>four hundred forty-fourth</t>
  </si>
  <si>
    <t>four hundred forty-fifth</t>
  </si>
  <si>
    <t>four hundred forty-sixth</t>
  </si>
  <si>
    <t>four hundred forty-seventh</t>
  </si>
  <si>
    <t>four hundred forty-eighth</t>
  </si>
  <si>
    <t>four hundred forty-ninth</t>
  </si>
  <si>
    <t>four hundred fiftieth</t>
  </si>
  <si>
    <t>four hundred fifty-first</t>
  </si>
  <si>
    <t>four hundred fifty-second</t>
  </si>
  <si>
    <t>four hundred fifty-third</t>
  </si>
  <si>
    <t>four hundred fifty-fourth</t>
  </si>
  <si>
    <t>four hundred fifty-fifth</t>
  </si>
  <si>
    <t>four hundred fifty-sixth</t>
  </si>
  <si>
    <t>four hundred fifty-seventh</t>
  </si>
  <si>
    <t>four hundred fifty-eighth</t>
  </si>
  <si>
    <t>four hundred fifty-ninth</t>
  </si>
  <si>
    <t>four hundred sixtieth</t>
  </si>
  <si>
    <t>four hundred sixty-first</t>
  </si>
  <si>
    <t>four hundred sixty-second</t>
  </si>
  <si>
    <t>four hundred sixty-third</t>
  </si>
  <si>
    <t>four hundred sixty-fourth</t>
  </si>
  <si>
    <t>four hundred sixty-fifth</t>
  </si>
  <si>
    <t>four hundred sixty-sixth</t>
  </si>
  <si>
    <t>four hundred sixty-seventh</t>
  </si>
  <si>
    <t>four hundred sixty-eighth</t>
  </si>
  <si>
    <t>four hundred sixty-ninth</t>
  </si>
  <si>
    <t>four hundred seventieth</t>
  </si>
  <si>
    <t>four hundred seventy-first</t>
  </si>
  <si>
    <t>four hundred seventy-second</t>
  </si>
  <si>
    <t>four hundred seventy-third</t>
  </si>
  <si>
    <t>four hundred seventy-fourth</t>
  </si>
  <si>
    <t>four hundred seventy-fifth</t>
  </si>
  <si>
    <t>four hundred seventy-sixth</t>
  </si>
  <si>
    <t>four hundred seventy-seventh</t>
  </si>
  <si>
    <t>four hundred seventy-eighth</t>
  </si>
  <si>
    <t>four hundred seventy-ninth</t>
  </si>
  <si>
    <t>four hundred eightieth</t>
  </si>
  <si>
    <t>four hundred eighty-first</t>
  </si>
  <si>
    <t>four hundred eighty-second</t>
  </si>
  <si>
    <t>four hundred eighty-third</t>
  </si>
  <si>
    <t>four hundred eighty-fourth</t>
  </si>
  <si>
    <t>four hundred eighty-fifth</t>
  </si>
  <si>
    <t>four hundred eighty-sixth</t>
  </si>
  <si>
    <t>four hundred eighty-seventh</t>
  </si>
  <si>
    <t>four hundred eighty-eighth</t>
  </si>
  <si>
    <t>four hundred eighty-ninth</t>
  </si>
  <si>
    <t>four hundred ninetieth</t>
  </si>
  <si>
    <t>four hundred ninety-first</t>
  </si>
  <si>
    <t>four hundred ninety-second</t>
  </si>
  <si>
    <t>four hundred ninety-third</t>
  </si>
  <si>
    <t>four hundred ninety-fourth</t>
  </si>
  <si>
    <t>four hundred ninety-fifth</t>
  </si>
  <si>
    <t>four hundred ninety-sixth</t>
  </si>
  <si>
    <t>four hundred ninety-seventh</t>
  </si>
  <si>
    <t>four hundred ninety-eighth</t>
  </si>
  <si>
    <t>four hundred ninety-ninth</t>
  </si>
  <si>
    <t>five hundredth</t>
  </si>
  <si>
    <t>five hundred first</t>
  </si>
  <si>
    <t>five hundred second</t>
  </si>
  <si>
    <t>five hundred third</t>
  </si>
  <si>
    <t>five hundred fourth</t>
  </si>
  <si>
    <t>five hundred fifth</t>
  </si>
  <si>
    <t>five hundred sixth</t>
  </si>
  <si>
    <t>five hundred seventh</t>
  </si>
  <si>
    <t>five hundred eighth</t>
  </si>
  <si>
    <t>five hundred ninth</t>
  </si>
  <si>
    <t>five hundred tenth</t>
  </si>
  <si>
    <t>five hundred eleventh</t>
  </si>
  <si>
    <t>five hundred twelfth</t>
  </si>
  <si>
    <t>five hundred thirteenth</t>
  </si>
  <si>
    <t>five hundred fourteenth</t>
  </si>
  <si>
    <t>five hundred fifteenth</t>
  </si>
  <si>
    <t>five hundred sixteenth</t>
  </si>
  <si>
    <t>five hundred seventeenth</t>
  </si>
  <si>
    <t>five hundred eighteenth</t>
  </si>
  <si>
    <t>five hundred nineteenth</t>
  </si>
  <si>
    <t>five hundred twentieth</t>
  </si>
  <si>
    <t>five hundred twenty-first</t>
  </si>
  <si>
    <t>five hundred twenty-second</t>
  </si>
  <si>
    <t>five hundred twenty-third</t>
  </si>
  <si>
    <t>five hundred twenty-fourth</t>
  </si>
  <si>
    <t>five hundred twenty-fifth</t>
  </si>
  <si>
    <t>five hundred twenty-sixth</t>
  </si>
  <si>
    <t>five hundred twenty-seventh</t>
  </si>
  <si>
    <t>five hundred twenty-eighth</t>
  </si>
  <si>
    <t>five hundred twenty-ninth</t>
  </si>
  <si>
    <t>five hundred thirtieth</t>
  </si>
  <si>
    <t>five hundred thirty-first</t>
  </si>
  <si>
    <t>five hundred thirty-second</t>
  </si>
  <si>
    <t>five hundred thirty-third</t>
  </si>
  <si>
    <t>five hundred thirty-fourth</t>
  </si>
  <si>
    <t>five hundred thirty-fifth</t>
  </si>
  <si>
    <t>five hundred thirty-sixth</t>
  </si>
  <si>
    <t>five hundred thirty-seventh</t>
  </si>
  <si>
    <t>five hundred thirty-eighth</t>
  </si>
  <si>
    <t>five hundred thirty-ninth</t>
  </si>
  <si>
    <t>five hundred fortieth</t>
  </si>
  <si>
    <t>five hundred forty-first</t>
  </si>
  <si>
    <t>five hundred forty-second</t>
  </si>
  <si>
    <t>five hundred forty-third</t>
  </si>
  <si>
    <t>five hundred forty-fourth</t>
  </si>
  <si>
    <t>five hundred forty-fifth</t>
  </si>
  <si>
    <t>five hundred forty-sixth</t>
  </si>
  <si>
    <t>five hundred forty-seventh</t>
  </si>
  <si>
    <t>five hundred forty-eighth</t>
  </si>
  <si>
    <t>five hundred forty-ninth</t>
  </si>
  <si>
    <t>five hundred fiftieth</t>
  </si>
  <si>
    <t>five hundred fifty-first</t>
  </si>
  <si>
    <t>five hundred fifty-second</t>
  </si>
  <si>
    <t>five hundred fifty-third</t>
  </si>
  <si>
    <t>five hundred fifty-fourth</t>
  </si>
  <si>
    <t>five hundred fifty-fifth</t>
  </si>
  <si>
    <t>five hundred fifty-sixth</t>
  </si>
  <si>
    <t>five hundred fifty-seventh</t>
  </si>
  <si>
    <t>five hundred fifty-eighth</t>
  </si>
  <si>
    <t>five hundred fifty-ninth</t>
  </si>
  <si>
    <t>five hundred sixtieth</t>
  </si>
  <si>
    <t>five hundred sixty-first</t>
  </si>
  <si>
    <t>five hundred sixty-second</t>
  </si>
  <si>
    <t>five hundred sixty-third</t>
  </si>
  <si>
    <t>five hundred sixty-fourth</t>
  </si>
  <si>
    <t>five hundred sixty-fifth</t>
  </si>
  <si>
    <t>five hundred sixty-sixth</t>
  </si>
  <si>
    <t>five hundred sixty-seventh</t>
  </si>
  <si>
    <t>five hundred sixty-eighth</t>
  </si>
  <si>
    <t>five hundred sixty-ninth</t>
  </si>
  <si>
    <t>five hundred seventieth</t>
  </si>
  <si>
    <t>five hundred seventy-first</t>
  </si>
  <si>
    <t>five hundred seventy-second</t>
  </si>
  <si>
    <t>five hundred seventy-third</t>
  </si>
  <si>
    <t>five hundred seventy-fourth</t>
  </si>
  <si>
    <t>five hundred seventy-fifth</t>
  </si>
  <si>
    <t>five hundred seventy-sixth</t>
  </si>
  <si>
    <t>five hundred seventy-seventh</t>
  </si>
  <si>
    <t>five hundred seventy-eighth</t>
  </si>
  <si>
    <t>five hundred seventy-ninth</t>
  </si>
  <si>
    <t>five hundred eightieth</t>
  </si>
  <si>
    <t>five hundred eighty-first</t>
  </si>
  <si>
    <t>five hundred eighty-second</t>
  </si>
  <si>
    <t>five hundred eighty-third</t>
  </si>
  <si>
    <t>five hundred eighty-fourth</t>
  </si>
  <si>
    <t>five hundred eighty-fifth</t>
  </si>
  <si>
    <t>five hundred eighty-sixth</t>
  </si>
  <si>
    <t>five hundred eighty-seventh</t>
  </si>
  <si>
    <t>five hundred eighty-eighth</t>
  </si>
  <si>
    <t>five hundred eighty-ninth</t>
  </si>
  <si>
    <t>five hundred ninetieth</t>
  </si>
  <si>
    <t>five hundred ninety-first</t>
  </si>
  <si>
    <t>five hundred ninety-second</t>
  </si>
  <si>
    <t>five hundred ninety-third</t>
  </si>
  <si>
    <t>five hundred ninety-fourth</t>
  </si>
  <si>
    <t>five hundred ninety-fifth</t>
  </si>
  <si>
    <t>five hundred ninety-sixth</t>
  </si>
  <si>
    <t>five hundred ninety-seventh</t>
  </si>
  <si>
    <t>five hundred ninety-eighth</t>
  </si>
  <si>
    <t>five hundred ninety-ninth</t>
  </si>
  <si>
    <t>six hundredth</t>
  </si>
  <si>
    <t>six hundred first</t>
  </si>
  <si>
    <t>six hundred second</t>
  </si>
  <si>
    <t>six hundred third</t>
  </si>
  <si>
    <t>six hundred fourth</t>
  </si>
  <si>
    <t>six hundred fifth</t>
  </si>
  <si>
    <t>six hundred sixth</t>
  </si>
  <si>
    <t>six hundred seventh</t>
  </si>
  <si>
    <t>six hundred eighth</t>
  </si>
  <si>
    <t>six hundred ninth</t>
  </si>
  <si>
    <t>six hundred tenth</t>
  </si>
  <si>
    <t>six hundred eleventh</t>
  </si>
  <si>
    <t>six hundred twelfth</t>
  </si>
  <si>
    <t>six hundred thirteenth</t>
  </si>
  <si>
    <t>six hundred fourteenth</t>
  </si>
  <si>
    <t>six hundred fifteenth</t>
  </si>
  <si>
    <t>six hundred sixteenth</t>
  </si>
  <si>
    <t>six hundred seventeenth</t>
  </si>
  <si>
    <t>six hundred eighteenth</t>
  </si>
  <si>
    <t>six hundred nineteenth</t>
  </si>
  <si>
    <t>six hundred twentieth</t>
  </si>
  <si>
    <t>six hundred twenty-first</t>
  </si>
  <si>
    <t>six hundred twenty-second</t>
  </si>
  <si>
    <t>six hundred twenty-third</t>
  </si>
  <si>
    <t>six hundred twenty-fourth</t>
  </si>
  <si>
    <t>six hundred twenty-fifth</t>
  </si>
  <si>
    <t>six hundred twenty-sixth</t>
  </si>
  <si>
    <t>six hundred twenty-seventh</t>
  </si>
  <si>
    <t>six hundred twenty-eighth</t>
  </si>
  <si>
    <t>six hundred twenty-ninth</t>
  </si>
  <si>
    <t>six hundred thirtieth</t>
  </si>
  <si>
    <t>six hundred thirty-first</t>
  </si>
  <si>
    <t>six hundred thirty-second</t>
  </si>
  <si>
    <t>six hundred thirty-third</t>
  </si>
  <si>
    <t>six hundred thirty-fourth</t>
  </si>
  <si>
    <t>six hundred thirty-fifth</t>
  </si>
  <si>
    <t>six hundred thirty-sixth</t>
  </si>
  <si>
    <t>six hundred thirty-seventh</t>
  </si>
  <si>
    <t>six hundred thirty-eighth</t>
  </si>
  <si>
    <t>six hundred thirty-ninth</t>
  </si>
  <si>
    <t>six hundred fortieth</t>
  </si>
  <si>
    <t>six hundred forty-first</t>
  </si>
  <si>
    <t>six hundred forty-second</t>
  </si>
  <si>
    <t>six hundred forty-third</t>
  </si>
  <si>
    <t>six hundred forty-fourth</t>
  </si>
  <si>
    <t>six hundred forty-fifth</t>
  </si>
  <si>
    <t>six hundred forty-sixth</t>
  </si>
  <si>
    <t>six hundred forty-seventh</t>
  </si>
  <si>
    <t>six hundred forty-eighth</t>
  </si>
  <si>
    <t>six hundred forty-ninth</t>
  </si>
  <si>
    <t>six hundred fiftieth</t>
  </si>
  <si>
    <t>six hundred fifty-first</t>
  </si>
  <si>
    <t>six hundred fifty-second</t>
  </si>
  <si>
    <t>six hundred fifty-third</t>
  </si>
  <si>
    <t>six hundred fifty-fourth</t>
  </si>
  <si>
    <t>six hundred fifty-fifth</t>
  </si>
  <si>
    <t>six hundred fifty-sixth</t>
  </si>
  <si>
    <t>six hundred fifty-seventh</t>
  </si>
  <si>
    <t>six hundred fifty-eighth</t>
  </si>
  <si>
    <t>six hundred fifty-ninth</t>
  </si>
  <si>
    <t>six hundred sixtieth</t>
  </si>
  <si>
    <t>six hundred sixty-first</t>
  </si>
  <si>
    <t>six hundred sixty-second</t>
  </si>
  <si>
    <t>six hundred sixty-third</t>
  </si>
  <si>
    <t>six hundred sixty-fourth</t>
  </si>
  <si>
    <t>six hundred sixty-fifth</t>
  </si>
  <si>
    <t>six hundred sixty-sixth</t>
  </si>
  <si>
    <t>six hundred sixty-seventh</t>
  </si>
  <si>
    <t>six hundred sixty-eighth</t>
  </si>
  <si>
    <t>six hundred sixty-ninth</t>
  </si>
  <si>
    <t>six hundred seventieth</t>
  </si>
  <si>
    <t>six hundred seventy-first</t>
  </si>
  <si>
    <t>six hundred seventy-second</t>
  </si>
  <si>
    <t>six hundred seventy-third</t>
  </si>
  <si>
    <t>six hundred seventy-fourth</t>
  </si>
  <si>
    <t>six hundred seventy-fifth</t>
  </si>
  <si>
    <t>six hundred seventy-sixth</t>
  </si>
  <si>
    <t>six hundred seventy-seventh</t>
  </si>
  <si>
    <t>six hundred seventy-eighth</t>
  </si>
  <si>
    <t>six hundred seventy-ninth</t>
  </si>
  <si>
    <t>six hundred eightieth</t>
  </si>
  <si>
    <t>six hundred eighty-first</t>
  </si>
  <si>
    <t>six hundred eighty-second</t>
  </si>
  <si>
    <t>six hundred eighty-third</t>
  </si>
  <si>
    <t>six hundred eighty-fourth</t>
  </si>
  <si>
    <t>six hundred eighty-fifth</t>
  </si>
  <si>
    <t>six hundred eighty-sixth</t>
  </si>
  <si>
    <t>six hundred eighty-seventh</t>
  </si>
  <si>
    <t>six hundred eighty-eighth</t>
  </si>
  <si>
    <t>six hundred eighty-ninth</t>
  </si>
  <si>
    <t>six hundred ninetieth</t>
  </si>
  <si>
    <t>six hundred ninety-first</t>
  </si>
  <si>
    <t>six hundred ninety-second</t>
  </si>
  <si>
    <t>six hundred ninety-third</t>
  </si>
  <si>
    <t>six hundred ninety-fourth</t>
  </si>
  <si>
    <t>six hundred ninety-fifth</t>
  </si>
  <si>
    <t>six hundred ninety-sixth</t>
  </si>
  <si>
    <t>six hundred ninety-seventh</t>
  </si>
  <si>
    <t>six hundred ninety-eighth</t>
  </si>
  <si>
    <t>six hundred ninety-ninth</t>
  </si>
  <si>
    <t>seven hundredth</t>
  </si>
  <si>
    <t>seven hundred first</t>
  </si>
  <si>
    <t>seven hundred second</t>
  </si>
  <si>
    <t>seven hundred third</t>
  </si>
  <si>
    <t>seven hundred fourth</t>
  </si>
  <si>
    <t>seven hundred fifth</t>
  </si>
  <si>
    <t>seven hundred sixth</t>
  </si>
  <si>
    <t>seven hundred seventh</t>
  </si>
  <si>
    <t>seven hundred eighth</t>
  </si>
  <si>
    <t>seven hundred ninth</t>
  </si>
  <si>
    <t>seven hundred tenth</t>
  </si>
  <si>
    <t>seven hundred eleventh</t>
  </si>
  <si>
    <t>seven hundred twelfth</t>
  </si>
  <si>
    <t>seven hundred thirteenth</t>
  </si>
  <si>
    <t>seven hundred fourteenth</t>
  </si>
  <si>
    <t>seven hundred fifteenth</t>
  </si>
  <si>
    <t>seven hundred sixteenth</t>
  </si>
  <si>
    <t>seven hundred seventeenth</t>
  </si>
  <si>
    <t>seven hundred eighteenth</t>
  </si>
  <si>
    <t>seven hundred nineteenth</t>
  </si>
  <si>
    <t>seven hundred twentieth</t>
  </si>
  <si>
    <t>seven hundred twenty-first</t>
  </si>
  <si>
    <t>seven hundred twenty-second</t>
  </si>
  <si>
    <t>seven hundred twenty-third</t>
  </si>
  <si>
    <t>seven hundred twenty-fourth</t>
  </si>
  <si>
    <t>seven hundred twenty-fifth</t>
  </si>
  <si>
    <t>seven hundred twenty-sixth</t>
  </si>
  <si>
    <t>seven hundred twenty-seventh</t>
  </si>
  <si>
    <t>seven hundred twenty-eighth</t>
  </si>
  <si>
    <t>seven hundred twenty-ninth</t>
  </si>
  <si>
    <t>seven hundred thirtieth</t>
  </si>
  <si>
    <t>seven hundred thirty-first</t>
  </si>
  <si>
    <t>seven hundred thirty-second</t>
  </si>
  <si>
    <t>seven hundred thirty-third</t>
  </si>
  <si>
    <t>seven hundred thirty-fourth</t>
  </si>
  <si>
    <t>seven hundred thirty-fifth</t>
  </si>
  <si>
    <t>seven hundred thirty-sixth</t>
  </si>
  <si>
    <t>seven hundred thirty-seventh</t>
  </si>
  <si>
    <t>seven hundred thirty-eighth</t>
  </si>
  <si>
    <t>seven hundred thirty-ninth</t>
  </si>
  <si>
    <t>seven hundred fortieth</t>
  </si>
  <si>
    <t>seven hundred forty-first</t>
  </si>
  <si>
    <t>seven hundred forty-second</t>
  </si>
  <si>
    <t>seven hundred forty-third</t>
  </si>
  <si>
    <t>seven hundred forty-fourth</t>
  </si>
  <si>
    <t>seven hundred forty-fifth</t>
  </si>
  <si>
    <t>seven hundred forty-sixth</t>
  </si>
  <si>
    <t>seven hundred forty-seventh</t>
  </si>
  <si>
    <t>seven hundred forty-eighth</t>
  </si>
  <si>
    <t>seven hundred forty-ninth</t>
  </si>
  <si>
    <t>seven hundred fiftieth</t>
  </si>
  <si>
    <t>seven hundred fifty-first</t>
  </si>
  <si>
    <t>seven hundred fifty-second</t>
  </si>
  <si>
    <t>seven hundred fifty-third</t>
  </si>
  <si>
    <t>seven hundred fifty-fourth</t>
  </si>
  <si>
    <t>seven hundred fifty-fifth</t>
  </si>
  <si>
    <t>seven hundred fifty-sixth</t>
  </si>
  <si>
    <t>seven hundred fifty-seventh</t>
  </si>
  <si>
    <t>seven hundred fifty-eighth</t>
  </si>
  <si>
    <t>seven hundred fifty-ninth</t>
  </si>
  <si>
    <t>seven hundred sixtieth</t>
  </si>
  <si>
    <t>seven hundred sixty-first</t>
  </si>
  <si>
    <t>seven hundred sixty-second</t>
  </si>
  <si>
    <t>seven hundred sixty-third</t>
  </si>
  <si>
    <t>seven hundred sixty-fourth</t>
  </si>
  <si>
    <t>seven hundred sixty-fifth</t>
  </si>
  <si>
    <t>seven hundred sixty-sixth</t>
  </si>
  <si>
    <t>seven hundred sixty-seventh</t>
  </si>
  <si>
    <t>seven hundred sixty-eighth</t>
  </si>
  <si>
    <t>seven hundred sixty-ninth</t>
  </si>
  <si>
    <t>seven hundred seventieth</t>
  </si>
  <si>
    <t>seven hundred seventy-first</t>
  </si>
  <si>
    <t>seven hundred seventy-second</t>
  </si>
  <si>
    <t>seven hundred seventy-third</t>
  </si>
  <si>
    <t>seven hundred seventy-fourth</t>
  </si>
  <si>
    <t>seven hundred seventy-fifth</t>
  </si>
  <si>
    <t>seven hundred seventy-sixth</t>
  </si>
  <si>
    <t>seven hundred seventy-seventh</t>
  </si>
  <si>
    <t>seven hundred seventy-eighth</t>
  </si>
  <si>
    <t>seven hundred seventy-ninth</t>
  </si>
  <si>
    <t>seven hundred eightieth</t>
  </si>
  <si>
    <t>seven hundred eighty-first</t>
  </si>
  <si>
    <t>seven hundred eighty-second</t>
  </si>
  <si>
    <t>seven hundred eighty-third</t>
  </si>
  <si>
    <t>seven hundred eighty-fourth</t>
  </si>
  <si>
    <t>seven hundred eighty-fifth</t>
  </si>
  <si>
    <t>seven hundred eighty-sixth</t>
  </si>
  <si>
    <t>seven hundred eighty-seventh</t>
  </si>
  <si>
    <t>seven hundred eighty-eighth</t>
  </si>
  <si>
    <t>seven hundred eighty-ninth</t>
  </si>
  <si>
    <t>seven hundred ninetieth</t>
  </si>
  <si>
    <t>seven hundred ninety-first</t>
  </si>
  <si>
    <t>seven hundred ninety-second</t>
  </si>
  <si>
    <t>seven hundred ninety-third</t>
  </si>
  <si>
    <t>seven hundred ninety-fourth</t>
  </si>
  <si>
    <t>seven hundred ninety-fifth</t>
  </si>
  <si>
    <t>seven hundred ninety-sixth</t>
  </si>
  <si>
    <t>seven hundred ninety-seventh</t>
  </si>
  <si>
    <t>seven hundred ninety-eighth</t>
  </si>
  <si>
    <t>seven hundred ninety-ninth</t>
  </si>
  <si>
    <t>eight hundredth</t>
  </si>
  <si>
    <t>eight hundred first</t>
  </si>
  <si>
    <t>eight hundred second</t>
  </si>
  <si>
    <t>eight hundred third</t>
  </si>
  <si>
    <t>eight hundred fourth</t>
  </si>
  <si>
    <t>eight hundred fifth</t>
  </si>
  <si>
    <t>eight hundred sixth</t>
  </si>
  <si>
    <t>eight hundred seventh</t>
  </si>
  <si>
    <t>eight hundred eighth</t>
  </si>
  <si>
    <t>eight hundred ninth</t>
  </si>
  <si>
    <t>eight hundred tenth</t>
  </si>
  <si>
    <t>eight hundred eleventh</t>
  </si>
  <si>
    <t>eight hundred twelfth</t>
  </si>
  <si>
    <t>eight hundred thirteenth</t>
  </si>
  <si>
    <t>eight hundred fourteenth</t>
  </si>
  <si>
    <t>eight hundred fifteenth</t>
  </si>
  <si>
    <t>eight hundred sixteenth</t>
  </si>
  <si>
    <t>eight hundred seventeenth</t>
  </si>
  <si>
    <t>eight hundred eighteenth</t>
  </si>
  <si>
    <t>eight hundred nineteenth</t>
  </si>
  <si>
    <t>eight hundred twentieth</t>
  </si>
  <si>
    <t>eight hundred twenty-first</t>
  </si>
  <si>
    <t>eight hundred twenty-second</t>
  </si>
  <si>
    <t>eight hundred twenty-third</t>
  </si>
  <si>
    <t>eight hundred twenty-fourth</t>
  </si>
  <si>
    <t>eight hundred twenty-fifth</t>
  </si>
  <si>
    <t>eight hundred twenty-sixth</t>
  </si>
  <si>
    <t>eight hundred twenty-seventh</t>
  </si>
  <si>
    <t>eight hundred twenty-eighth</t>
  </si>
  <si>
    <t>eight hundred twenty-ninth</t>
  </si>
  <si>
    <t>eight hundred thirtieth</t>
  </si>
  <si>
    <t>eight hundred thirty-first</t>
  </si>
  <si>
    <t>eight hundred thirty-second</t>
  </si>
  <si>
    <t>eight hundred thirty-third</t>
  </si>
  <si>
    <t>eight hundred thirty-fourth</t>
  </si>
  <si>
    <t>eight hundred thirty-fifth</t>
  </si>
  <si>
    <t>eight hundred thirty-sixth</t>
  </si>
  <si>
    <t>eight hundred thirty-seventh</t>
  </si>
  <si>
    <t>eight hundred thirty-eighth</t>
  </si>
  <si>
    <t>eight hundred thirty-ninth</t>
  </si>
  <si>
    <t>eight hundred fortieth</t>
  </si>
  <si>
    <t>eight hundred forty-first</t>
  </si>
  <si>
    <t>eight hundred forty-second</t>
  </si>
  <si>
    <t>eight hundred forty-third</t>
  </si>
  <si>
    <t>eight hundred forty-fourth</t>
  </si>
  <si>
    <t>eight hundred forty-fifth</t>
  </si>
  <si>
    <t>eight hundred forty-sixth</t>
  </si>
  <si>
    <t>eight hundred forty-seventh</t>
  </si>
  <si>
    <t>eight hundred forty-eighth</t>
  </si>
  <si>
    <t>eight hundred forty-ninth</t>
  </si>
  <si>
    <t>eight hundred fiftieth</t>
  </si>
  <si>
    <t>eight hundred fifty-first</t>
  </si>
  <si>
    <t>eight hundred fifty-second</t>
  </si>
  <si>
    <t>eight hundred fifty-third</t>
  </si>
  <si>
    <t>eight hundred fifty-fourth</t>
  </si>
  <si>
    <t>eight hundred fifty-fifth</t>
  </si>
  <si>
    <t>eight hundred fifty-sixth</t>
  </si>
  <si>
    <t>eight hundred fifty-seventh</t>
  </si>
  <si>
    <t>eight hundred fifty-eighth</t>
  </si>
  <si>
    <t>eight hundred fifty-ninth</t>
  </si>
  <si>
    <t>eight hundred sixtieth</t>
  </si>
  <si>
    <t>eight hundred sixty-first</t>
  </si>
  <si>
    <t>eight hundred sixty-second</t>
  </si>
  <si>
    <t>eight hundred sixty-third</t>
  </si>
  <si>
    <t>eight hundred sixty-fourth</t>
  </si>
  <si>
    <t>eight hundred sixty-fifth</t>
  </si>
  <si>
    <t>eight hundred sixty-sixth</t>
  </si>
  <si>
    <t>eight hundred sixty-seventh</t>
  </si>
  <si>
    <t>eight hundred sixty-eighth</t>
  </si>
  <si>
    <t>eight hundred sixty-ninth</t>
  </si>
  <si>
    <t>eight hundred seventieth</t>
  </si>
  <si>
    <t>eight hundred seventy-first</t>
  </si>
  <si>
    <t>eight hundred seventy-second</t>
  </si>
  <si>
    <t>eight hundred seventy-third</t>
  </si>
  <si>
    <t>eight hundred seventy-fourth</t>
  </si>
  <si>
    <t>eight hundred seventy-fifth</t>
  </si>
  <si>
    <t>eight hundred seventy-sixth</t>
  </si>
  <si>
    <t>eight hundred seventy-seventh</t>
  </si>
  <si>
    <t>eight hundred seventy-eighth</t>
  </si>
  <si>
    <t>eight hundred seventy-ninth</t>
  </si>
  <si>
    <t>eight hundred eightieth</t>
  </si>
  <si>
    <t>eight hundred eighty-first</t>
  </si>
  <si>
    <t>eight hundred eighty-second</t>
  </si>
  <si>
    <t>eight hundred eighty-third</t>
  </si>
  <si>
    <t>eight hundred eighty-fourth</t>
  </si>
  <si>
    <t>eight hundred eighty-fifth</t>
  </si>
  <si>
    <t>eight hundred eighty-sixth</t>
  </si>
  <si>
    <t>eight hundred eighty-seventh</t>
  </si>
  <si>
    <t>eight hundred eighty-eighth</t>
  </si>
  <si>
    <t>eight hundred eighty-ninth</t>
  </si>
  <si>
    <t>eight hundred ninetieth</t>
  </si>
  <si>
    <t>eight hundred ninety-first</t>
  </si>
  <si>
    <t>eight hundred ninety-second</t>
  </si>
  <si>
    <t>eight hundred ninety-third</t>
  </si>
  <si>
    <t>eight hundred ninety-fourth</t>
  </si>
  <si>
    <t>eight hundred ninety-fifth</t>
  </si>
  <si>
    <t>eight hundred ninety-sixth</t>
  </si>
  <si>
    <t>eight hundred ninety-seventh</t>
  </si>
  <si>
    <t>eight hundred ninety-eighth</t>
  </si>
  <si>
    <t>eight hundred ninety-ninth</t>
  </si>
  <si>
    <t>nine hundredth</t>
  </si>
  <si>
    <t>nine hundred first</t>
  </si>
  <si>
    <t>nine hundred second</t>
  </si>
  <si>
    <t>nine hundred third</t>
  </si>
  <si>
    <t>nine hundred fourth</t>
  </si>
  <si>
    <t>nine hundred fifth</t>
  </si>
  <si>
    <t>nine hundred sixth</t>
  </si>
  <si>
    <t>nine hundred seventh</t>
  </si>
  <si>
    <t>nine hundred eighth</t>
  </si>
  <si>
    <t>nine hundred ninth</t>
  </si>
  <si>
    <t>nine hundred tenth</t>
  </si>
  <si>
    <t>nine hundred eleventh</t>
  </si>
  <si>
    <t>nine hundred twelfth</t>
  </si>
  <si>
    <t>nine hundred thirteenth</t>
  </si>
  <si>
    <t>nine hundred fourteenth</t>
  </si>
  <si>
    <t>nine hundred fifteenth</t>
  </si>
  <si>
    <t>nine hundred sixteenth</t>
  </si>
  <si>
    <t>nine hundred seventeenth</t>
  </si>
  <si>
    <t>nine hundred eighteenth</t>
  </si>
  <si>
    <t>nine hundred nineteenth</t>
  </si>
  <si>
    <t>nine hundred twentieth</t>
  </si>
  <si>
    <t>nine hundred twenty-first</t>
  </si>
  <si>
    <t>nine hundred twenty-second</t>
  </si>
  <si>
    <t>nine hundred twenty-third</t>
  </si>
  <si>
    <t>nine hundred twenty-fourth</t>
  </si>
  <si>
    <t>nine hundred twenty-fifth</t>
  </si>
  <si>
    <t>nine hundred twenty-sixth</t>
  </si>
  <si>
    <t>nine hundred twenty-seventh</t>
  </si>
  <si>
    <t>nine hundred twenty-eighth</t>
  </si>
  <si>
    <t>nine hundred twenty-ninth</t>
  </si>
  <si>
    <t>nine hundred thirtieth</t>
  </si>
  <si>
    <t>nine hundred thirty-first</t>
  </si>
  <si>
    <t>nine hundred thirty-second</t>
  </si>
  <si>
    <t>nine hundred thirty-third</t>
  </si>
  <si>
    <t>nine hundred thirty-fourth</t>
  </si>
  <si>
    <t>nine hundred thirty-fifth</t>
  </si>
  <si>
    <t>nine hundred thirty-sixth</t>
  </si>
  <si>
    <t>nine hundred thirty-seventh</t>
  </si>
  <si>
    <t>nine hundred thirty-eighth</t>
  </si>
  <si>
    <t>nine hundred thirty-ninth</t>
  </si>
  <si>
    <t>nine hundred fortieth</t>
  </si>
  <si>
    <t>nine hundred forty-first</t>
  </si>
  <si>
    <t>nine hundred forty-second</t>
  </si>
  <si>
    <t>nine hundred forty-third</t>
  </si>
  <si>
    <t>nine hundred forty-fourth</t>
  </si>
  <si>
    <t>nine hundred forty-fifth</t>
  </si>
  <si>
    <t>nine hundred forty-sixth</t>
  </si>
  <si>
    <t>nine hundred forty-seventh</t>
  </si>
  <si>
    <t>nine hundred forty-eighth</t>
  </si>
  <si>
    <t>nine hundred forty-ninth</t>
  </si>
  <si>
    <t>nine hundred fiftieth</t>
  </si>
  <si>
    <t>nine hundred fifty-first</t>
  </si>
  <si>
    <t>nine hundred fifty-second</t>
  </si>
  <si>
    <t>nine hundred fifty-third</t>
  </si>
  <si>
    <t>nine hundred fifty-fourth</t>
  </si>
  <si>
    <t>nine hundred fifty-fifth</t>
  </si>
  <si>
    <t>nine hundred fifty-sixth</t>
  </si>
  <si>
    <t>nine hundred fifty-seventh</t>
  </si>
  <si>
    <t>nine hundred fifty-eighth</t>
  </si>
  <si>
    <t>nine hundred fifty-ninth</t>
  </si>
  <si>
    <t>nine hundred sixtieth</t>
  </si>
  <si>
    <t>nine hundred sixty-first</t>
  </si>
  <si>
    <t>nine hundred sixty-second</t>
  </si>
  <si>
    <t>nine hundred sixty-third</t>
  </si>
  <si>
    <t>nine hundred sixty-fourth</t>
  </si>
  <si>
    <t>nine hundred sixty-fifth</t>
  </si>
  <si>
    <t>nine hundred sixty-sixth</t>
  </si>
  <si>
    <t>nine hundred sixty-seventh</t>
  </si>
  <si>
    <t>nine hundred sixty-eighth</t>
  </si>
  <si>
    <t>nine hundred sixty-ninth</t>
  </si>
  <si>
    <t>nine hundred seventieth</t>
  </si>
  <si>
    <t>nine hundred seventy-first</t>
  </si>
  <si>
    <t>nine hundred seventy-second</t>
  </si>
  <si>
    <t>nine hundred seventy-third</t>
  </si>
  <si>
    <t>nine hundred seventy-fourth</t>
  </si>
  <si>
    <t>nine hundred seventy-fifth</t>
  </si>
  <si>
    <t>nine hundred seventy-sixth</t>
  </si>
  <si>
    <t>nine hundred seventy-seventh</t>
  </si>
  <si>
    <t>nine hundred seventy-eighth</t>
  </si>
  <si>
    <t>nine hundred seventy-ninth</t>
  </si>
  <si>
    <t>nine hundred eightieth</t>
  </si>
  <si>
    <t>nine hundred eighty-first</t>
  </si>
  <si>
    <t>nine hundred eighty-second</t>
  </si>
  <si>
    <t>nine hundred eighty-third</t>
  </si>
  <si>
    <t>nine hundred eighty-fourth</t>
  </si>
  <si>
    <t>nine hundred eighty-fifth</t>
  </si>
  <si>
    <t>nine hundred eighty-sixth</t>
  </si>
  <si>
    <t>nine hundred eighty-seventh</t>
  </si>
  <si>
    <t>nine hundred eighty-eighth</t>
  </si>
  <si>
    <t>nine hundred eighty-ninth</t>
  </si>
  <si>
    <t>nine hundred ninetieth</t>
  </si>
  <si>
    <t>nine hundred ninety-first</t>
  </si>
  <si>
    <t>nine hundred ninety-second</t>
  </si>
  <si>
    <t>nine hundred ninety-third</t>
  </si>
  <si>
    <t>nine hundred ninety-fourth</t>
  </si>
  <si>
    <t>nine hundred ninety-fifth</t>
  </si>
  <si>
    <t>nine hundred ninety-sixth</t>
  </si>
  <si>
    <t>nine hundred ninety-seventh</t>
  </si>
  <si>
    <t>nine hundred ninety-eighth</t>
  </si>
  <si>
    <t>nine hundred ninety-ninth</t>
  </si>
  <si>
    <t>one thousandth</t>
  </si>
  <si>
    <t>One of this</t>
  </si>
  <si>
    <t>is this many</t>
  </si>
  <si>
    <t>of this unit</t>
  </si>
  <si>
    <t>Card Suit</t>
  </si>
  <si>
    <t>Same Color</t>
  </si>
  <si>
    <t>O</t>
  </si>
  <si>
    <t>Day of Week</t>
  </si>
  <si>
    <t>Reminders:</t>
  </si>
  <si>
    <t>Quart</t>
  </si>
  <si>
    <t>Pint</t>
  </si>
  <si>
    <t>♠</t>
  </si>
  <si>
    <t>♣</t>
  </si>
  <si>
    <t>P</t>
  </si>
  <si>
    <t>Sunday</t>
  </si>
  <si>
    <t>Gallon</t>
  </si>
  <si>
    <t>Monday</t>
  </si>
  <si>
    <t>Debug Steps</t>
  </si>
  <si>
    <t>♥</t>
  </si>
  <si>
    <t>♦</t>
  </si>
  <si>
    <t>Tuesday</t>
  </si>
  <si>
    <t>1. Reread instructions</t>
  </si>
  <si>
    <t>Wednesday</t>
  </si>
  <si>
    <t>2. Check difference with example</t>
  </si>
  <si>
    <t>♤</t>
  </si>
  <si>
    <t>♧</t>
  </si>
  <si>
    <t>T</t>
  </si>
  <si>
    <t>Thursday</t>
  </si>
  <si>
    <t>3. Check formula refs</t>
  </si>
  <si>
    <t>Friday</t>
  </si>
  <si>
    <t>4. Move on or restart</t>
  </si>
  <si>
    <t>♡</t>
  </si>
  <si>
    <t>♢</t>
  </si>
  <si>
    <t>V</t>
  </si>
  <si>
    <t>Saturday</t>
  </si>
  <si>
    <t>X</t>
  </si>
  <si>
    <t>Y</t>
  </si>
  <si>
    <t>Z</t>
  </si>
  <si>
    <t>User-Defined Functions (VBA)</t>
  </si>
  <si>
    <t>get_color(cell)</t>
  </si>
  <si>
    <t>gives RGB hex value of the background color (both colors of a gradient fill). Requires ctrl-alt-F9 to update.</t>
  </si>
  <si>
    <t>sheet_data(sheet_names, range_ref, [flatten])</t>
  </si>
  <si>
    <t>vertically sacks the range_ref range from each sheet in the list of sheet_names. Flatten (0 by default) makes it one column per sheet and stacks them horizontally. Requires ctrl+alt+F9 to update</t>
  </si>
  <si>
    <t>sheet_names()</t>
  </si>
  <si>
    <t>returns a vertical array of all worksheet names in order. Requires ctrl+alt+F9 to update.</t>
  </si>
  <si>
    <t>xconvert(conversion_table, unit_from, quantity, unit_to)</t>
  </si>
  <si>
    <t>conversion_table has conversions in the format in A21:C22 of this sheet. Then you can convert quantity of unit_from to unit_to. Handles proportions, chains, self-conversions, and reverse conversions. Use singular forms only (e.g. "gram" not "grams"). Requires ctrl-alt-F9 to update.</t>
  </si>
  <si>
    <t>Regex Cheat Sheet</t>
  </si>
  <si>
    <t>Pattern</t>
  </si>
  <si>
    <t>Example Pattern</t>
  </si>
  <si>
    <t>Input</t>
  </si>
  <si>
    <t>Outputs</t>
  </si>
  <si>
    <t>\d</t>
  </si>
  <si>
    <t>any digit</t>
  </si>
  <si>
    <t>MEWC2025</t>
  </si>
  <si>
    <t>A1 - C35</t>
  </si>
  <si>
    <t>\d+</t>
  </si>
  <si>
    <t>one or more digits</t>
  </si>
  <si>
    <t>\d*</t>
  </si>
  <si>
    <t>zero or more digits</t>
  </si>
  <si>
    <t>A\d*</t>
  </si>
  <si>
    <t>AA2025</t>
  </si>
  <si>
    <t>\D</t>
  </si>
  <si>
    <t>any non-digit character</t>
  </si>
  <si>
    <t>\D+</t>
  </si>
  <si>
    <t>one or more non-digits</t>
  </si>
  <si>
    <t>.</t>
  </si>
  <si>
    <t>any character (one)</t>
  </si>
  <si>
    <t>C.</t>
  </si>
  <si>
    <t>.+</t>
  </si>
  <si>
    <t>one or more of any characters</t>
  </si>
  <si>
    <t>C.+</t>
  </si>
  <si>
    <t>?</t>
  </si>
  <si>
    <t>optional character</t>
  </si>
  <si>
    <t>-?\d+</t>
  </si>
  <si>
    <t>3 and -5</t>
  </si>
  <si>
    <t>9 and -3 and 0</t>
  </si>
  <si>
    <t>\w</t>
  </si>
  <si>
    <t>"word" character - letters, digits, and underscore</t>
  </si>
  <si>
    <t>a. 4! - _3</t>
  </si>
  <si>
    <t>Hi, 2 u!</t>
  </si>
  <si>
    <t>\p{P}</t>
  </si>
  <si>
    <t>punctuation  (unicode property punctuation)</t>
  </si>
  <si>
    <t>\s</t>
  </si>
  <si>
    <t>whitespace</t>
  </si>
  <si>
    <t>\S</t>
  </si>
  <si>
    <t>non-whitespace</t>
  </si>
  <si>
    <t xml:space="preserve">   x    9    </t>
  </si>
  <si>
    <t>\X</t>
  </si>
  <si>
    <t>visible character (including combined emoji)</t>
  </si>
  <si>
    <t>x😍🏴‍☠️👪</t>
  </si>
  <si>
    <t>AB🍌</t>
  </si>
  <si>
    <t>[]</t>
  </si>
  <si>
    <t>choice of characters</t>
  </si>
  <si>
    <t>[dh]og</t>
  </si>
  <si>
    <t>hog</t>
  </si>
  <si>
    <t>bog</t>
  </si>
  <si>
    <t>[^]</t>
  </si>
  <si>
    <t>non-characters</t>
  </si>
  <si>
    <t>[^dh]og</t>
  </si>
  <si>
    <t>[-]</t>
  </si>
  <si>
    <t>range of characters</t>
  </si>
  <si>
    <t>[A-Za-d]</t>
  </si>
  <si>
    <t>MEwc 2025</t>
  </si>
  <si>
    <t>{}</t>
  </si>
  <si>
    <t>exactly N repeats - no overlap</t>
  </si>
  <si>
    <t>x{3}</t>
  </si>
  <si>
    <t>xxxxxxx</t>
  </si>
  <si>
    <t>xxxxx xx-xx</t>
  </si>
  <si>
    <t>{,}</t>
  </si>
  <si>
    <t>range of repeats - no overlap, picks bigger if possible</t>
  </si>
  <si>
    <t>x{1,2}</t>
  </si>
  <si>
    <t>xxxxx xx-x</t>
  </si>
  <si>
    <t>^</t>
  </si>
  <si>
    <t>start of input</t>
  </si>
  <si>
    <t>^.</t>
  </si>
  <si>
    <t>hi
yes?</t>
  </si>
  <si>
    <t>^a</t>
  </si>
  <si>
    <t>alpha</t>
  </si>
  <si>
    <t>beta</t>
  </si>
  <si>
    <t>$</t>
  </si>
  <si>
    <t>end of input</t>
  </si>
  <si>
    <t>.$</t>
  </si>
  <si>
    <t>\b</t>
  </si>
  <si>
    <t>word boundary (a non-word character plus start and end of input)</t>
  </si>
  <si>
    <t>\b[A-Z]{1,3}\d{1,7}\b</t>
  </si>
  <si>
    <t>A1-HELLO73 D9 9aa9</t>
  </si>
  <si>
    <t>A4VBZ4399999111D1</t>
  </si>
  <si>
    <t>\bcat\b</t>
  </si>
  <si>
    <t xml:space="preserve">cat </t>
  </si>
  <si>
    <t>bobcatfish</t>
  </si>
  <si>
    <t>\B</t>
  </si>
  <si>
    <t>no boundary (use on one or both sides)</t>
  </si>
  <si>
    <t>\Bcat\B</t>
  </si>
  <si>
    <t>catfish</t>
  </si>
  <si>
    <t>=UNICHAR(10) 
(note: invisible)</t>
  </si>
  <si>
    <t>line breaks but not first line- UNICHAR(10)</t>
  </si>
  <si>
    <t>-?\d+(?:\.\d+)?</t>
  </si>
  <si>
    <t>Full numbers with sign and decimals</t>
  </si>
  <si>
    <t>The first number is 2 the next one is -3.2 and 99.0323141</t>
  </si>
  <si>
    <t>[A-Z]{1,3}\d{1,7}</t>
  </si>
  <si>
    <t>A1 address (works without seperator, if too many chars pulls partial)</t>
  </si>
  <si>
    <t>Python</t>
  </si>
  <si>
    <t>''def salesman_route(df_nodes, start_node=None)'''
import itertools
def salesman_route(df_nodes, start_node=None):
    """
    Solves the Traveling Salesman Problem using a brute-force approach.
    Args:
        df_nodes (pd.DataFrame): A DataFrame representing the distance matrix.
                                 The first column must contain the node names.
        start_node (str, optional): The name of the node to start the route from.
                                    If None, finds the best route starting from any node.
    Returns:
        tuple: A tuple containing the minimum cost (float) and the route (str).
    """
    # Use the first column as the index for easy lookups
    df_nodes = df_nodes.set_index(df_nodes.columns[0])
    nodes = list(df_nodes.index)
    if start_node and start_node not in nodes:
        return ("Start node not found", "")
    best_route = None
    min_cost = float('inf')
    # Determine which nodes to generate permutations for
    if start_node:
        nodes_to_permute = [n for n in nodes if n != start_node]
        permutations = itertools.permutations(nodes_to_permute)
    else:
        permutations = itertools.permutations(nodes)
    # Iterate through all possible routes
    for p in permutations:
        current_cost = 0
        # Prepend the start_node if one was specified
        current_route = [start_node] + list(p) if start_node else list(p)
        # Calculate the cost of the current route
        for i in range(len(current_route) - 1):
            from_node = current_route[i]
            to_node = current_route[i+1]
            current_cost += df_nodes.loc[from_node, to_node]
        # If this route is the best so far, save it
        if current_cost &lt; min_cost:
            min_cost = current_cost
            best_route = current_route
    # Format the output string
    route_string = " -&gt; ".join(best_route)
    return (min_cost, route_string)
'''def salesman_route(df_nodes, start_node=None):'''</t>
  </si>
  <si>
    <t>computes the shortest route for a "travelling salesman" problem. Input df with cost to travel between nodes must have the same node names in the first row and the first column. Can optionally set a fixed starting node with a string.</t>
  </si>
  <si>
    <t xml:space="preserve">''def bouncy_trip(rng, start, dir, stopper=None, i=100, origin="A1")'''
import re
def a1_to_rc(a1_ref: str) -&gt; tuple[int, int]:
    text = a1_ref.upper().replace("$", "")
    m = re.match(r"([A-Z]+)(\d+)", text)
    if not m:
        raise ValueError(f"Invalid A1 reference: {a1_ref}")
    col_letters, row_text = m.groups()
    row = int(row_text)
    col = 0
    for ch in col_letters:
        col = col * 26 + (ord(ch) - 64)
    return row, col
def rc_to_a1(row: int, col: int) -&gt; str:
    letters = []
    n = col
    while n &gt; 0:
        n, rem = divmod(n - 1, 26)
        letters.append(chr(65 + rem))
    return f"{''.join(reversed(letters))}{row}"
def bouncy_trip(rng, start, dir, stopper=None, i=100, origin="A1"):
    """
    rng      : DataFrame from xl(...)
    start    : A1 reference in the sheet (e.g. 'C1')
    dir      : one of '↑','↓','←','→','↖','↗','↘','↙'
    stopper  : optional value that causes a bounce; stopper cell is never entered
    i        : number of output rows
    origin   : A1 address of the top-left cell of rng in the sheet
    """
    df = rng
    n_rows, n_cols = df.shape
    origin_row, origin_col = a1_to_rc(origin)
    start_row, start_col = a1_to_rc(start)
    # Ensure start is inside the rectangle covered by df+origin
    if not (origin_row &lt;= start_row &lt; origin_row + n_rows and
            origin_col &lt;= start_col &lt; origin_col + n_cols):
        raise ValueError("start is outside the given range dataframe + origin")
    top_row = origin_row
    left_col = origin_col
    bottom_row = origin_row + n_rows - 1
    right_col = origin_col + n_cols - 1
    arrow_map = {
        "↑": (-1, 0),
        "↓": (1, 0),
        "←": (0, -1),
        "→": (0, 1),
        "↖": (-1, -1),
        "↗": (-1, 1),
        "↘": (1, 1),
        "↙": (1, -1),
    }
    if dir not in arrow_map:
        raise ValueError(f"Invalid direction arrow: {dir}")
    row_delta, col_delta = arrow_map[dir]
    cur_row, cur_col = start_row, start_col
    records: list[tuple[str, object]] = []
    def cell_is_valid(r: int, c: int) -&gt; bool:
        """Inside bounds and (if stopper is set) not equal to stopper."""
        if not (top_row &lt;= r &lt;= bottom_row and left_col &lt;= c &lt;= right_col):
            return False
        if stopper is None:
            return True
        rr = r - origin_row
        cc = c - origin_col
        val = df.iloc[rr, cc]
        val_norm = "" if pd.isna(val) else val
        return val_norm != stopper
    for _ in range(i):
        # Current cell
        r_idx = cur_row - origin_row
        c_idx = cur_col - origin_col
        val = df.iloc[r_idx, c_idx]
        out_val = "" if pd.isna(val) else val
        records.append((rc_to_a1(cur_row, cur_col), out_val))
        # Straight diagonal / cardinal candidate
        next_row = cur_row + row_delta
        next_col = cur_col + col_delta
        straight_valid = cell_is_valid(next_row, next_col)
        if not straight_valid:
            if abs(row_delta) == 1 and abs(col_delta) == 1:
                # Diagonal case: check vertical-only and horizontal-only components
                vert_valid = cell_is_valid(cur_row + row_delta, cur_col)
                horiz_valid = cell_is_valid(cur_row, cur_col + col_delta)
                if vert_valid and not horiz_valid:
                    # Row direction is open, col is blocked -&gt; flip col only
                    col_delta *= -1
                elif horiz_valid and not vert_valid:
                    # Col direction is open, row is blocked -&gt; flip row only
                    row_delta *= -1
                else:
                    # Both open or both blocked -&gt; full 180° reverse
                    row_delta *= -1
                    col_delta *= -1
            else:
                # Non-diagonal: always 180°
                row_delta *= -1
                col_delta *= -1
            # Recompute next step after bounce
            next_row = cur_row + row_delta
            next_col = cur_col + col_delta
        # Final move for this step
        cur_row, cur_col = next_row, next_col
    return pd.DataFrame(records, columns=["addr", "value"])
'''def bouncy_trip(rng, start, dir, stopper=None, i=100, origin="A1"):'''    </t>
  </si>
  <si>
    <t>like lambda arrow trip but makes a bouncy path through rng dataframe with start (a1 string), in arrow dir. Bounces off walls or stoppers with diagonal bounces going sideways if appropriate. If the range dataframe does not include A1 then set that string as the origin</t>
  </si>
  <si>
    <t>''def route_on_graph(df_graph, start_node, end_node=None):'''
import heapq
def route_on_graph(df_graph, start_node, end_node=None):
    # --- Standardize Column Names ---
    # Create a copy to avoid modifying the Excel object directly
    df = df_graph.copy()
    # Normalize headers to lowercase and strip spaces
    df.columns = df.columns.astype(str).str.lower().str.strip()
    # 1. Build Graph and track all unique nodes
    graph = {}
    all_nodes = set()
    for row in df.itertuples(index=False):
        u, v, w = row.start, row.end, row.cost
        all_nodes.add(u)
        all_nodes.add(v)
        if u not in graph:
            graph[u] = []
        graph[u].append((v, w))
    # 2. Dijkstra's Algorithm
    pq = [(0, start_node)]
    # Initialize all distances to infinity
    min_dists = {node: float('inf') for node in all_nodes}
    min_dists[start_node] = 0
    predecessors = {start_node: None}
    while pq:
        current_cost, current_node = heapq.heappop(pq)
        if current_cost &gt; min_dists[current_node]:
            continue
        # OPTIMIZATION: Stop early ONLY if we have a specific target
        if end_node is not None and current_node == end_node:
            break
        # Explore neighbors
        if current_node in graph:
            for neighbor, weight in graph[current_node]:
                distance = current_cost + weight
                if distance &lt; min_dists[neighbor]:
                    min_dists[neighbor] = distance
                    predecessors[neighbor] = current_node
                    heapq.heappush(pq, (distance, neighbor))
    # 3. Return Logic
    # Case A: Specific End Node -&gt; Return Tuple (Cost, Path List)
    if end_node is not None:
        final_cost = min_dists[end_node]
        if final_cost == float('inf'):
            return (float('inf'), [])
        # Reconstruct path
        route = []
        curr = end_node
        while curr is not None:
            route.append(curr)
            curr = predecessors.get(curr)
        route.reverse()
        return (final_cost, route)
    # Case B: No End Node -&gt; Return DataFrame (Node, Distance)
    else:
        results = []
        # sort nodes for cleaner output
        for node in sorted(list(all_nodes)):
            dist = min_dists[node]
            results.append({"Node": node, "Distance": dist})
        return pd.DataFrame(results)
'''def route_on_graph(df_graph, start_node, end_node=None):'''</t>
  </si>
  <si>
    <t>Dijkstra's algorithm on a graph described as a df with one row per node. df column headers must be exactly: "start" "end" "cost"   start and end are node names which can be anything hashable (e.g. "A1"), cost has to be non-negative numeric. Returns tuple with shortest route cost and route list.</t>
  </si>
  <si>
    <t xml:space="preserve">''def route_cost(cell_costs,start=None,end=None,dirs="↑↓←→↖↗↙↘",mid=None, origin="A1",count_start=False,count_end=True,print_route=False): '''
import re,math,heapq
import numpy as np
import pandas as pd
def a1_to_rc(s):
    t=s.upper().replace("$","")
    m=re.match(r"^([A-Z]+)(\d+)$",t)
    if not m: raise ValueError(f"Invalid A1 reference: {s}")
    cols,rows=m.groups()
    r=int(rows)
    c=0
    for ch in cols:
        c=c*26+(ord(ch)-64)
    return r,c
def rc_to_a1(r,c):
    letters=[]
    n=c
    while n&gt;0:
        n,rem=divmod(n-1,26)
        letters.append(chr(65+rem))
    return "".join(reversed(letters))+str(r)
ARROW_DELTAS={
    "↑":(-1,0),"↓":(1,0),"←":(0,-1),"→":(0,1),
    "↖":(-1,-1),"↗":(-1,1),"↙":(1,-1),"↘":(1,1)
}
def make_neighbors(dir_str):
    seen=set();d=[]
    for ch in dir_str:
        if ch in ARROW_DELTAS and ch not in seen:
            d.append(ARROW_DELTAS[ch]);seen.add(ch)
    return d
def dijkstra_grid(cg,nb,start_idx):
    rN,cN=cg.shape
    INF=math.inf
    dist=np.full((rN,cN),INF)
    prev=[[None]*cN for _ in range(rN)]
    sr,sc=start_idx
    dist[sr,sc]=0.0
    h=[(0.0,sr,sc)]
    while h:
        d,r,c=heapq.heappop(h)
        if d!=dist[r,c]: continue
        for dr,dc in nb:
            nr,nc=r+dr,c+dc
            if 0&lt;=nr&lt;rN and 0&lt;=nc&lt;cN:
                v=cg[nr,nc]
                if math.isnan(v) or v&lt;0: continue
                nd=d+float(v)
                if nd&lt;dist[nr,nc]:
                    dist[nr,nc]=nd
                    prev[nr][nc]=(r,c)
                    heapq.heappush(h,(nd,nr,nc))
    return dist,prev
def route_cost(cell_costs,start=None,end=None,dirs="↑↓←→↖↗↙↘",mid=None,origin="A1",count_start=False,count_end=True,print_route=False):
    if not isinstance(cell_costs,pd.DataFrame):
        raise TypeError("cell_costs must be a DataFrame from xl('A1:J10').")
    df=cell_costs
    cg=df.apply(pd.to_numeric,errors="coerce").to_numpy(dtype=float)
    rN,cN=cg.shape
    orow,ocol=a1_to_rc(origin)
    def in_bounds(sr,sc):
        ri=sr-orow;ci=sc-ocol
        return 0&lt;=ri&lt;rN and 0&lt;=ci&lt;cN
    def ref_to_idx(ref):
        if ref is None: return None
        r,c=a1_to_rc(ref)
        if not in_bounds(r,c):
            raise ValueError(f"Reference {ref} is outside cell_costs+origin.")
        return r-orow,c-ocol
    def idx_to_ref(ri,ci):
        return rc_to_a1(orow+ri,ocol+ci)
    def is_passable_idx(idx):
        ri,ci=idx
        v=cg[ri,ci]
        return (not math.isnan(v)) and v&gt;=0
    nb=make_neighbors(dirs)
    if not nb: raise ValueError("dirs did not contain any valid arrows.")
    has_start=start is not None
    has_end=end is not None
    has_mid=mid is not None
    s_idx=ref_to_idx(start) if has_start else None
    e_idx=ref_to_idx(end) if has_end else None
    m_idx=ref_to_idx(mid) if has_mid else None
    if has_mid and not is_passable_idx(m_idx):
        raise ValueError("mid must be passable.")
    if has_start and count_start and not is_passable_idx(s_idx):
        raise ValueError("start must be passable when count_start=True.")
    if has_end and count_end and not is_passable_idx(e_idx):
        raise ValueError("end must be passable when count_end=True.")
    def run_from(idx): return dijkstra_grid(cg,nb,idx)
    def cell_cost_idx(idx):
        ri,ci=idx
        return cg[ri,ci]
    def adjust(base,s_idx,e_idx):
        if math.isinf(base): return math.inf
        total=base
        if s_idx is not None and count_start:
            v=cell_cost_idx(s_idx)
            if not math.isnan(v): total+=v
        if e_idx is not None and not count_end:
            v=cell_cost_idx(e_idx)
            if not math.isnan(v): total-=v
        return total
    def reconstruct(prev,s_idx,e_idx):
        if e_idx is None: return []
        er,ec=e_idx
        if prev[er][ec] is None and (er,ec)!=s_idx: return []
        path=[];cur=(er,ec)
        while True:
            path.append(cur)
            if cur==s_idx: break
            cur=prev[cur[0]][cur[1]]
            if cur is None: break
        path.reverse()
        return path
    all_idx=[(r,c) for r in range(rN) for c in range(cN)]
    addr_labels=[idx_to_ref(r,c) for (r,c) in all_idx]
    if not has_mid and has_start and has_end:
        dist,prev=run_from(s_idx)
        base=dist[e_idx]
        total=adjust(base,s_idx,e_idx)
        if not print_route: return total
        path=reconstruct(prev,s_idx,e_idx)
        data=[{"addr":idx_to_ref(r,c),"row":orow+r,"col":ocol+c,"cell_cost":(None if math.isnan(cg[r,c]) else cg[r,c])} for (r,c) in path]
        return pd.DataFrame(data)
    if has_mid and has_start and has_end:
        dist_sm,prev_sm=run_from(s_idx)
        base1=dist_sm[m_idx]
        dist_me,prev_me=run_from(m_idx)
        base2=dist_me[e_idx]
        if math.isinf(base1) or math.isinf(base2):
            total=math.inf
            if not print_route: return total
            return pd.DataFrame(columns=["addr","row","col","cell_cost"])
        base_total=base1+base2
        total=adjust(base_total,s_idx,e_idx)
        if not print_route: return total
        p1=reconstruct(prev_sm,s_idx,m_idx)
        p2=reconstruct(prev_me,m_idx,e_idx)
        if p1 and p2 and p1[-1]==p2[0]:
            path=p1+p2[1:]
        else:
            path=p1+p2
        data=[{"addr":idx_to_ref(r,c),"row":orow+r,"col":ocol+c,"cell_cost":(None if math.isnan(cg[r,c]) else cg[r,c])} for (r,c) in path]
        return pd.DataFrame(data)
    if print_route:
        raise ValueError("print_route=True only allowed when start and end are both set.")
    if not has_mid and not has_start and not has_end:
        mat=np.full((len(all_idx),len(all_idx)),math.inf)
        for si,(sr,sc) in enumerate(all_idx):
            dist,_=run_from((sr,sc))
            for ei,(er,ec) in enumerate(all_idx):
                base=dist[er,ec]
                mat[si,ei]=adjust(base,(sr,sc),(er,ec))
        out=pd.DataFrame(mat,index=addr_labels,columns=addr_labels)
        out.replace(math.inf,np.nan,inplace=True)
        return out
    if not has_mid and has_start and not has_end:
        dist,_=run_from(s_idx)
        costs=[adjust(dist[er,ec],s_idx,(er,ec)) for (er,ec) in all_idx]
        ser=pd.Series(costs,index=addr_labels,name="cost")
        ser.replace(math.inf,np.nan,inplace=True)
        return ser.to_frame()
    if not has_mid and not has_start and has_end:
        dist,_=run_from(e_idx)
        costs=[adjust(dist[sr,sc],(sr,sc),e_idx) for (sr,sc) in all_idx]
        ser=pd.Series(costs,index=addr_labels,name="cost")
        ser.replace(math.inf,np.nan,inplace=True)
        return ser.to_frame()
    if has_mid and not has_start and not has_end:
        dist_mid,_=run_from(m_idx)
        mat=np.full((len(all_idx),len(all_idx)),math.inf)
        for si,(sr,sc) in enumerate(all_idx):
            dist_s,_=run_from((sr,sc))
            base1=dist_s[m_idx]
            for ei,(er,ec) in enumerate(all_idx):
                base2=dist_mid[er,ec]
                mat[si,ei]=adjust(base1+base2,(sr,sc),(er,ec))
        out=pd.DataFrame(mat,index=addr_labels,columns=addr_labels)
        out.replace(math.inf,np.nan,inplace=True)
        return out
    if has_mid and has_start and not has_end:
        dist_s,_=run_from(s_idx)
        dist_mid,_=run_from(m_idx)
        base1=dist_s[m_idx]
        costs=[]
        for (er,ec) in all_idx:
            base2=dist_mid[er,ec]
            costs.append(adjust(base1+base2,s_idx,(er,ec)))
        ser=pd.Series(costs,index=addr_labels,name="cost")
        ser.replace(math.inf,np.nan,inplace=True)
        return ser.to_frame()
    if has_mid and not has_start and has_end:
        dist_mid,_=run_from(m_idx)
        base2=dist_mid[e_idx]
        costs=[]
        for (sr,sc) in all_idx:
            dist_s,_=run_from((sr,sc))
            base1=dist_s[m_idx]
            costs.append(adjust(base1+base2,(sr,sc),e_idx))
        ser=pd.Series(costs,index=addr_labels,name="cost")
        ser.replace(math.inf,np.nan,inplace=True)
        return ser.to_frame()
    raise RuntimeError("Unhandled combination of start/end/mid.")
'''def route_cost(cell_costs,start=None,end=None,dirs="↑↓←→↖↗↙↘",mid=None, origin="A1",count_start=False,count_end=True,print_route=False): '''
</t>
  </si>
  <si>
    <t xml:space="preserve"> Python version of route_cost with customizable directions, midpoint, and turning off/on start end.
    cell_costs : DataFrame from xl().
                 Numeric &gt;=0 = passable with that cost; NaN/non-numeric/&lt;0 = impassable.
    start      : A1 reference of start cell, or None.
    end        : A1 reference of end cell, or None.
    dirs       : string of arrow chars controlling movement (default: 8 directions).
    mid        : optional A1 reference that path must go through.
    origin     : A1 reference of top-left cell of cell_costs in the sheet.
    count_start: include start cell's cost in route total?
    count_end  : include end cell's cost in route total?
    print_route: 
        - If start &amp; end (and optional mid) are set:
            False -&gt; return scalar cost
            True  -&gt; return path as DataFrame (addr,row,col,cell_cost)
        - If either start or end is None:
            Must be False. Function returns a DataFrame of costs.
    """</t>
  </si>
  <si>
    <t>Comment (255 Char)</t>
  </si>
  <si>
    <t>Description (Full)</t>
  </si>
  <si>
    <t>arrow(str)</t>
  </si>
  <si>
    <t>arrow_move(start_ad, arrow, [steps], [board_rng], [push_mode])</t>
  </si>
  <si>
    <t>arrow_trip(rng, start_ad, dir, [stopper])</t>
  </si>
  <si>
    <t>biggest(check, return)</t>
  </si>
  <si>
    <t>Finds the biggest number in "check" and returns the first matching value in "return" (an XLOOKUP on MAX).</t>
  </si>
  <si>
    <t>clamp(num_or_arr, [bottom], [top])</t>
  </si>
  <si>
    <t>Restricts a number (or array) to be no lower than bottom and/or no higher than top; each is optional (no limit by default). Returns the same shape, blanking out text cells.</t>
  </si>
  <si>
    <t>=LAMBDA(num_or_arr, [bottom], [top], LET(
   clamp_one, LAMBDA(x,
      IF(
         ISERROR(x),
         x,
         IF(
            OR(x = "", ISTEXT(x)),
            "",
            LET(
               hi, IF(ISOMITTED(top), x, MIN(top, x)),
               lo, IF(ISOMITTED(bottom), hi, MAX(bottom, hi)),
               lo
            )
         )
      )
   ),
   IF(
      AND(ROWS(num_or_arr) = 1, COLUMNS(num_or_arr) = 1),
      clamp_one(num_or_arr),
      MAP(num_or_arr, clamp_one)
   )
))</t>
  </si>
  <si>
    <t>Constrains a number or array of numbers to a minimum and/or maximum.
Arguments:
  num_or_arr - a number or an array to clamp.
  [bottom]   - lower bound (default: no lower limit).
  [top]      - upper bound (default: no upper limit).
Returns:
  The clamped value, or an array of the same shape. Text cells and "" are returned as "". Errors pass through unchanged.
Example:
  clamp(vals, 0, 100)</t>
  </si>
  <si>
    <t>count_substring(str, sub, [case_sensitive])</t>
  </si>
  <si>
    <t>Counts how many times sub appears in str. case_sensitive is 0 by default. Either argument may be an array (but not both) to map the count across it.</t>
  </si>
  <si>
    <t>=LAMBDA(input_text, sub, [case_sensitive], LET(
   cs, IF(ISOMITTED(case_sensitive), 0, case_sensitive),
   norm, LAMBDA(t, IF(cs = 1, t, LOWER(t))),
   count_one, LAMBDA(txt, subtxt, LET(
      t_norm, norm(txt),
      s_norm, norm(subtxt),
      IF(
         s_norm = "",
         0,
         (LEN(t_norm) - LEN(SUBSTITUTE(t_norm, s_norm, ""))) / LEN(s_norm)
      )
   )),
   input_is_array, ROWS(input_text) * COLUMNS(input_text) &gt; 1,
   sub_is_array, ROWS(sub) * COLUMNS(sub) &gt; 1,
   is_text_or_num, LAMBDA(v, IFERROR(ISNUMBER(v) + ISTEXT(v), 0)),
   IF(
      input_is_array * sub_is_array,
      VALUE("both text args are arrays"),
      IF(
         input_is_array,
         MAP(
            input_text,
            LAMBDA(t, IF(is_text_or_num(t), IFERROR(count_one(t, sub), 0), 0))
         ),
         IF(
            sub_is_array,
            MAP(
               sub,
               LAMBDA(s,
                  IF(
                     is_text_or_num(input_text),
                     IFERROR(count_one(input_text, s), 0),
                     0
                  )
               )
            ),
            IF(
               is_text_or_num(input_text),
               IFERROR(count_one(input_text, sub), 0),
               0
            )
         )
      )
   )
))</t>
  </si>
  <si>
    <t>Counts occurrences of one substring inside another string.
Arguments:
  str              - the text to search in.
  sub              - the substring to count.
  [case_sensitive] - 1 for case-sensitive, 0 to ignore case (default 0).
Returns:
  The count of non-overlapping occurrences. If str OR sub is an array (not both), returns an array of counts. Non-text cells count as 0.
Example:
  count_substring("banana", "a")  -&gt;  3</t>
  </si>
  <si>
    <t>ctotal(arr)</t>
  </si>
  <si>
    <t>Cumulative (running) total of an array. Returns an array of the same size where each value is the sum of itself and all values before it, in row-major order.</t>
  </si>
  <si>
    <t>=LAMBDA(arr, SCAN(0, arr, LAMBDA(a, b, a + b)))</t>
  </si>
  <si>
    <t>Running cumulative total of an array.
Arguments:
  arr - an array of numbers.
Returns:
  An array the same size as arr; each element is the sum of that element and all elements before it (row-major order).
Example:
  ctotal({1;2;3})  -&gt;  {1;3;6}</t>
  </si>
  <si>
    <t>cycles(outer_n, inner_n)</t>
  </si>
  <si>
    <t>Simulates two nested loops: a 2-column array with outer_n*inner_n rows. Column 1 counts 1..outer_n, repeating each value inner_n times; column 2 cycles 1..inner_n.</t>
  </si>
  <si>
    <t>=LAMBDA(outer_n, inner_n, LET(
   seq, SEQUENCE(outer_n * inner_n, 1, 0),
   HSTACK(INT(seq / inner_n) + 1, MOD(seq, inner_n) + 1)
))</t>
  </si>
  <si>
    <t>Generates the index pairs of two nested loops.
Arguments:
  outer_n - number of outer iterations.
  inner_n - number of inner iterations.
Returns:
  A 2-column array with outer_n*inner_n rows. Column 1 holds the outer index (each value repeated inner_n times); column 2 holds the inner index cycling 1..inner_n.
Example:
  cycles(3, 2)  -&gt;  {1,1; 1,2; 2,1; 2,2; 3,1; 3,2}</t>
  </si>
  <si>
    <t>die_pips(st)</t>
  </si>
  <si>
    <t>Converts die-face pip characters (⚀-⚅) to their numbers. Handles a concatenated string of dice or an array with one die per cell (concatenate first for multiple dice per cell).</t>
  </si>
  <si>
    <t>dist(start_ad, end_ad, [diag_allowed], [print_components])</t>
  </si>
  <si>
    <t>Distance from start_ad to end_ad (each numeric or A1). diag_allowed: 1 chessboard (default), 0 taxicab, -1 pythagorean. If print_components is 1 (not default) returns the component arrows and magnitudes instead.</t>
  </si>
  <si>
    <t>=LAMBDA(start_ad, end_ad, [diag_allowed], [print_components],
  LET(
    s, num_ad(start_ad),
    e, num_ad(end_ad),
    start_row, INT(s / 1000000),
    start_col, MOD(s, 1000000),
    end_row, INT(e / 1000000),
    end_col, MOD(e, 1000000),
    mode, IF(ISOMITTED(diag_allowed), 1, diag_allowed),
    show_components, IF(ISOMITTED(print_components), 0, print_components),
    row_diff, end_row - start_row,
    col_diff, end_col - start_col,
    abs_row, ABS(row_diff),
    abs_col, ABS(col_diff),
    quad, SWITCH(TRUE, AND(row_diff&lt;0,col_diff&lt;0),"↖", AND(row_diff&lt;0,col_diff&gt;0),"↗", AND(row_diff&gt;0,col_diff&lt;0),"↙", "↘"),
    v_arr, IF(row_diff&gt;0,"↓",IF(row_diff&lt;0,"↑","")),
    h_arr, IF(col_diff&gt;0,"→",IF(col_diff&lt;0,"←","")),
    IF(mode = -1,
      IF(show_components = 0, SQRT(row_diff^2 + col_diff^2),
        VSTACK(v_arr, abs_row, h_arr, abs_col, IF(OR(row_diff=0,col_diff=0),"",quad), SQRT(row_diff^2+col_diff^2))),
      IF(show_components = 0,
        IF(mode = 0, abs_row + abs_col, MAX(abs_row, abs_col)),
        IF(mode = 0,
          VSTACK(v_arr, abs_row, h_arr, abs_col),
          LET(dd, MIN(abs_row,abs_col), rr, abs_row-dd, cc, abs_col-dd,
            VSTACK(IF(dd&gt;0,quad,""), dd, IF(rr&gt;0,v_arr,""), rr, IF(cc&gt;0,h_arr,""), cc)))))
  )
)</t>
  </si>
  <si>
    <t>Distance between two cells, with selectable metric. Accepts numeric or A1 string addresses.
Arguments:
  start_ad           - first cell (numeric address or A1 string).
  end_ad             - second cell (numeric address or A1 string).
  [diag_allowed]     - metric: 1 = chessboard/Chebyshev (default), 0 = taxicab/Manhattan, -1 = Euclidean.
  [print_components] - 1 to return the directional arrows and component distances instead of the scalar (default 0).
Returns:
  The distance as a number, or the component breakdown when print_components = 1.
Example:
  dist("A1", "C3", 1) -&gt; 2</t>
  </si>
  <si>
    <t>exists(arr, value)</t>
  </si>
  <si>
    <t>Checks whether value is present anywhere in arr; returns 1 or 0.</t>
  </si>
  <si>
    <t>=LAMBDA(Arr, Val, IF(ISNUMBER(XMATCH(Val, TOCOL(Arr), 0)), 1, 0))</t>
  </si>
  <si>
    <t>Membership test: is a value present in an array.
Arguments:
  arr   - array to search (flattened before testing).
  value - the scalar value to look for.
Returns:
  1 if value occurs in arr, otherwise 0.
Example:
  exists(list, "x")  -&gt;  1</t>
  </si>
  <si>
    <t>freq_table(array, [min_freq])</t>
  </si>
  <si>
    <t>Turns an array into a frequency table sorted by frequency descending. min_freq filters out rows below that count. Ignores blanks and ""; errors if every row is filtered out.</t>
  </si>
  <si>
    <t>=LAMBDA(array, [min_freq], LET(
   mf, IF(ISOMITTED(min_freq), 1, min_freq),
   vec0, TOCOL(array, 1),
   vec, IFERROR(FILTER(vec0, vec0 &lt;&gt; ""), NA()),
   u, IFERROR(UNIQUE(vec), NA()),
   cnt, IFERROR(MAP(u, LAMBDA(x, SUM(--(vec = x)))), NA()),
   tab, IFERROR(FILTER(HSTACK(u, cnt), cnt &gt;= mf), NA()),
   IFERROR(SORT(tab, {2, 1}, {-1, 1}), NA())
))</t>
  </si>
  <si>
    <t>Builds a frequency table from an array.
Arguments:
  array      - the values to tally.
  [min_freq] - minimum frequency to keep a row (default 1).
Returns:
  A 2-column array of value and count, sorted by count descending. Blanks and "" are ignored. Errors if all rows fall below min_freq.
Example:
  freq_table(A1:A99)</t>
  </si>
  <si>
    <t>is_unique(arr)</t>
  </si>
  <si>
    <t>=LAMBDA(Arr, LET(
   flatArr, TOCOL(Arr, 1, 4),
   filtArr, FILTER(flatArr, flatArr &lt;&gt; ""),
   rowCount, ROWS(filtArr),
   matchMatrix, --(filtArr = TRANSPOSE(filtArr)),
   freq, MMULT(matchMatrix, SEQUENCE(rowCount, 1, 1, 0)),
   IF(MAX(freq) &gt; 1, 0, 1)
))</t>
  </si>
  <si>
    <t>knight_moves(start_ad, end_ad)</t>
  </si>
  <si>
    <t>Minimum number of chess knight moves between two cells on an unbounded board. start_ad and end_ad each accept a numeric address (1e6*row+col) or an A1 string.</t>
  </si>
  <si>
    <t>=LAMBDA(start_ad, end_ad, LET(
   a, num_ad(start_ad),
   b, num_ad(end_ad),
   row_1, INT(a / 1000000),
   col_1, MOD(a, 1000000),
   row_2, INT(b / 1000000),
   col_2, MOD(b, 1000000),
   adx, ABS(col_1 - col_2),
   ady, ABS(row_1 - row_2),
   dx, MAX(adx, ady),
   dy, MIN(adx, ady),
   base_est, MAX(QUOTIENT(dx + 1, 2), QUOTIENT(dx + dy + 2, 3)),
   raw, IF(MOD(base_est + dx + dy, 2) = 1, base_est + 1, base_est),
   IF(dx = 0, 0, IF(AND(dx = 1, dy = 0), 3, IF(AND(dx = 2, dy = 2), 4, raw)))
))</t>
  </si>
  <si>
    <t>Minimum number of chess knight moves between two cells on an unbounded board.
Arguments:
  start_ad - starting cell as a numeric address (1e6*row+col) OR an A1 string.
  end_ad   - target cell as a numeric address OR an A1 string.
Returns:
  The count of knight moves.
Example:
  knight_moves("A1", "B3")         -&gt; 1
  knight_moves(1000001, 8000008)   -&gt; 6   (A1 -&gt; H8)</t>
  </si>
  <si>
    <t>label_lookup(arr,row_label,column_label)</t>
  </si>
  <si>
    <t>Two-way lookup in a labelled 2D array: finds row_label in the first column and column_label in the first row and returns the value at their intersection.</t>
  </si>
  <si>
    <t>load_array(input_string,[col_delimiter],[row_delimiter])</t>
  </si>
  <si>
    <t>Rebuilds an array from a delimited string (inverse of save_array). Defaults match save_array: "|" separates columns and ";" separates rows.</t>
  </si>
  <si>
    <t>=LAMBDA(input_string, [col_delimiter], [row_delimiter],
   IF(
      input_string = "",
      "",
      LET(
         cd, IF(ISOMITTED(col_delimiter), "|", col_delimiter),
         rd, IF(ISOMITTED(row_delimiter), ";", row_delimiter),
         LET(
            arr, TEXTSPLIT(input_string, cd, rd, FALSE),
            MAP(arr, LAMBDA(val, IF(val = "", "", IFERROR(--val, val))))
         )
      )
   )
)</t>
  </si>
  <si>
    <t>Parses a delimited string back into a 2D array (inverse of save_array).
Arguments:
  input_string    - the delimited text to parse.
  [col_delimiter] - column separator (default "|").
  [row_delimiter] - row separator (default ";").
Returns:
  The reconstructed array.
Example:
  load_array("1|2;3|4")  -&gt;  {1,2;3,4}</t>
  </si>
  <si>
    <t>neighbors_count(arr, val, dist, [diag_allowed], [self_count])</t>
  </si>
  <si>
    <t>Returns an array the same size as arr where each value is the count of val within dist cells. diag_allowed and self_count are both 1 (on) by default.</t>
  </si>
  <si>
    <t>=LAMBDA(arr, val, dist, [diag_allowed], [self_count], LET(
   r, ROWS(arr),
   c, COLUMNS(arr),
   d, dist,
   diag, IF(ISOMITTED(diag_allowed), TRUE, diag_allowed),
   self, IF(ISOMITTED(self_count), TRUE, self_count),
   sz, 2 * d + 1,
   ro, MAKEARRAY(sz, sz, LAMBDA(a, b, a - (d + 1))),
   co, MAKEARRAY(sz, sz, LAMBDA(a, b, b - (d + 1))),
   MAKEARRAY(
      r,
      c,
      LAMBDA(i, j, LET(
         ri, i + ro,
         cj, j + co,
         in_bounds, (ri &gt;= 1) * (ri &lt;= r) * (cj &gt;= 1) * (cj &lt;= c),
         diag_mask, IF(diag, 1, (ABS(ro) + ABS(co) &lt;= d)),
         self_mask, IF(self, 1, 1 - ((ro = 0) * (co = 0))),
         vals, INDEX(arr, ri, cj),
         hits, IFERROR(--(vals = val), 0),
         SUM(hits * in_bounds * diag_mask * self_mask)
      ))
   )
))</t>
  </si>
  <si>
    <t>For every cell, counts how many nearby cells hold a given value.
Arguments:
  arr            - the grid of values.
  val            - the value to count around each cell.
  dist           - neighborhood radius in cells.
  [diag_allowed] - 1 to include diagonal neighbors (default 1).
  [self_count]   - 1 to include the cell itself in its own count (default 1).
Returns:
  An array the same size as arr, each cell holding its neighbor count.
Example:
  neighbors_count(grid, "o", 1)</t>
  </si>
  <si>
    <t>neighbors_list(center_ad, [size], [boundary_rng], [diag_allowed])</t>
  </si>
  <si>
    <t>Lists the A1 addresses around a center cell within size (default 1), bounded by boundary_rng (default whole sheet). center_ad accepts a numeric address or an A1 string. diag_allowed 1 = chessboard (default), 0 = Manhattan.</t>
  </si>
  <si>
    <t>=LAMBDA(center_ad, [size], [boundary_rng], [diag_allowed], LET(
   s, IF(ISOMITTED(size), 1, size),
   d, IF(ISOMITTED(diag_allowed), 1, diag_allowed),
   cen_num, num_ad(center_ad),
   cen_row, IFERROR(INT(cen_num / 1000000), NA()),
   cen_col, IFERROR(MOD(cen_num, 1000000), NA()),
   rmin, IF(ISOMITTED(boundary_rng), 1, MIN(ROW(boundary_rng))),
   rmax, IF(ISOMITTED(boundary_rng), 1048576, MAX(ROW(boundary_rng))),
   cmin, IF(ISOMITTED(boundary_rng), 1, MIN(COLUMN(boundary_rng))),
   cmax, IF(ISOMITTED(boundary_rng), 16384, MAX(COLUMN(boundary_rng))),
   ok, ISNUMBER(cen_row) * ISNUMBER(cen_col),
   IF(
      NOT(ok),
      NA(),
      LET(
         w, 2 * s + 1,
         ro, MAKEARRAY(w, w, LAMBDA(i, j, i - s - 1)),
         co, MAKEARRAY(w, w, LAMBDA(i, j, j - s - 1)),
         ri, cen_row + ro,
         ci, cen_col + co,
         m, (ri &gt;= rmin) * (ri &lt;= rmax) * (ci &gt;= cmin) * (ci &lt;= cmax)
            * ((ro &lt;&gt; 0) + (co &lt;&gt; 0))
            * IF(d, 1, ABS(ro) + ABS(co) &lt;= s),
         dist, IF(d, MAX(ABS(ro), ABS(co)), ABS(ro) + ABS(co)),
         ad, TOCOL(IF(m, ADDRESS(ri, ci, 4), "")),
         di, TOCOL(IF(m, dist, "")),
         k, ad &lt;&gt; "",
         lst, FILTER(ad, k),
         ord, FILTER(di, k),
         IF(ROWS(lst) = 0, NA(), SORTBY(lst, ord, 1))
      )
   )
))</t>
  </si>
  <si>
    <t>Lists the cell addresses around a center cell, ordered by distance (nearest first).
Arguments:
  center_ad      - center cell as a numeric address (1e6*row+col) OR an A1 string; coerced with num_ad.
  [size]         - neighborhood radius (default 1).
  [boundary_rng] - bounding range that trims off-board neighbors (default whole sheet).
  [diag_allowed] - 1 = include diagonals / chessboard range (default), 0 = Manhattan (orthogonal) limit.
Returns:
  A column of neighboring cell addresses as A1 strings (the center itself is excluded); #N/A if the center cannot be parsed.
Example:
  neighbors_list("C5", 1, , 0)
  neighbors_list(5000003)          ; numeric address for C5</t>
  </si>
  <si>
    <t>offset_letter(st, offset)</t>
  </si>
  <si>
    <t>Shifts each letter in a string by an integer offset with wraparound (e.g. "xyz" +2 = "zab"). Preserves case and non-letter characters; works on arrays.</t>
  </si>
  <si>
    <t>=LAMBDA(st, offset, LET(
   r, ROWS(st),
   c, COLUMNS(st),
   f, LAMBDA(s, o, LET(
      s_text, s &amp; "",
      n, LEN(s_text),
      chars, IF(n = 0, "", MID(s_text, SEQUENCE(n), 1)),
      shifted, IF(
         n = 0,
         "",
         MAP(
            chars,
            LAMBDA(ch, LET(
               code, CODE(ch),
               is_u, (code &gt;= 65) * (code &lt;= 90),
               is_l, (code &gt;= 97) * (code &lt;= 122),
               new_u, CHAR(65 + MOD(code - 65 + o, 26)),
               new_l, CHAR(97 + MOD(code - 97 + o, 26)),
               IF(is_u, new_u, IF(is_l, new_l, ch))
            ))
         )
      ),
      IF(n = 0, "", TEXTJOIN("", TRUE, shifted))
   )),
   MAKEARRAY(
      r,
      c,
      LAMBDA(i, j,
         f(
            INDEX(st, i, j),
            IF(ROWS(offset) * COLUMNS(offset) = 1, offset, INDEX(offset, i, j))
         )
      )
   )
))</t>
  </si>
  <si>
    <t>Caesar-shifts the letters of a string by a fixed offset.
Arguments:
  st     - the text (or array of text) to shift.
  offset - integer number of positions to advance each letter (wraps A-Z).
Returns:
  The shifted text, preserving case and leaving non-letters untouched. Works on arrays.
Example:
  offset_letter("xyz", 2)  -&gt;  "zab"</t>
  </si>
  <si>
    <t>only_letters(st)</t>
  </si>
  <si>
    <t>Keeps only the letters in a string (or array), dropping all other characters.</t>
  </si>
  <si>
    <t>=LAMBDA(arr, LET(
   f, LAMBDA(x, IFERROR(CONCAT(REGEXEXTRACT(x, "[a-z]", 1, 1)), "")),
   IF(ROWS(arr) * COLUMNS(arr) = 1, f(arr), MAP(arr, f))
))</t>
  </si>
  <si>
    <t>Strips everything except letters from text.
Arguments:
  st - a string or array of strings.
Returns:
  The input with all non-letter characters removed.
Example:
  only_letters("A12")  -&gt;  "A"</t>
  </si>
  <si>
    <t>only_numbers(st)</t>
  </si>
  <si>
    <t>Pulls numbers out of a string via regex "-?\d+(?:\.\d+)?". Can return several numbers from one string, so it does not map over arrays (use MAP when it is 1-to-1).</t>
  </si>
  <si>
    <t>=LAMBDA(txt, LET(
   matches, IFERROR(--REGEXEXTRACT(txt, "-?\d+(?:\.\d+)?", 1), ""),
   IF(ROWS(matches) * COLUMNS(matches) = 1, INDEX(matches, 1), matches)
))</t>
  </si>
  <si>
    <t>Extracts numeric values from a string.
Arguments:
  st - the text to pull numbers from.
Returns:
  The number(s) found, using the pattern -?\d+(?:\.\d+)?. A single string can yield several numbers, so this is not array-safe; wrap in MAP when applying one-to-one across an array.
Example:
  only_numbers("A12.5")  -&gt;  12.5</t>
  </si>
  <si>
    <t>rev(arr)</t>
  </si>
  <si>
    <t>Cleans and reverses an array (same as xtocol(arr, 0, , "←↑")).</t>
  </si>
  <si>
    <t>=LAMBDA(arr, xtocol(arr, 0, , arrow("L") &amp; arrow("U")))</t>
  </si>
  <si>
    <t>Reverses the order of an array.
Arguments:
  arr - the array to reverse.
Returns:
  The cleaned, fully reversed array (equivalent to xtocol(arr, 0, , "←↑")).
Example:
  rev({1;2;3})  -&gt;  {3;2;1}</t>
  </si>
  <si>
    <t>route_cost(cost_map, start_ref, [diag_allowed])</t>
  </si>
  <si>
    <t>Dijkstra over cost_map (numbers = cost, text = walls): least cost to reach each cell from start_ref. start_ref may be A1 text, a numeric address, or {row,col} coords. Diagonals on by default; end cell counts, start ignored.</t>
  </si>
  <si>
    <t>save_array(input_array,[col_delimiter],[row_delimiter])</t>
  </si>
  <si>
    <t>Flattens an array into a delimited text string (inverse of load_array). Defaults match load_array: "|" between columns and ";" between rows.</t>
  </si>
  <si>
    <t>=LAMBDA(input_array, [col_delimiter], [row_delimiter], LET(
   cd, IF(ISOMITTED(col_delimiter), "|", col_delimiter),
   rd, IF(ISOMITTED(row_delimiter), ";", row_delimiter),
   TEXTJOIN(
      rd,
      FALSE,
      BYROW(input_array, LAMBDA(row, TEXTJOIN(cd, FALSE, row)))
   )
))</t>
  </si>
  <si>
    <t>Serializes a 2D array into a single delimited string (inverse of load_array).
Arguments:
  input_array     - the array to serialize.
  [col_delimiter] - column separator (default "|").
  [row_delimiter] - row separator (default ";").
Returns:
  A text string encoding the array.
Example:
  save_array({1,2;3,4})  -&gt;  "1|2;3|4"</t>
  </si>
  <si>
    <t>selections(arr, n, [order_matters], [repeats_allowed], [countdown_mode], [clean_inputs])</t>
  </si>
  <si>
    <t>Permutations (order_matters=1) or combinations (=0) of size n from arr. countdown_mode stacks sizes n..1. clean_input (default 1) de-dupes/drops blanks; other flags default 0.</t>
  </si>
  <si>
    <t>Generates permutations or combinations drawn from an array.
Arguments:
  arr               - the pool of items to choose from.
  n                 - number of items per selection.
  [order_matters]   - 1 = permutations, 0 = combinations (default 0).
  [repeats_allowed] - 1 to allow an item to be reused within a selection (default 0).
  [countdown_mode]  - 1 to also include selections of size n-1, n-2, ... 1 (default 0).
  [clean_input]     - 1 to de-duplicate and drop blanks from arr first (default 1).
Returns:
  An array of the generated selections, one per row.
Example:
  selections(A1:A4, 2)</t>
  </si>
  <si>
    <t>set(rng, [as_row])</t>
  </si>
  <si>
    <t>Turns a range into a set: flattens, removes blanks and errors, uniques, and sorts. Returns a column by default, or a row if as_row = 1.</t>
  </si>
  <si>
    <t>=LAMBDA(data_rng, [as_row],
   IFERROR(
      LET(
         _flat, TOCOL(data_rng, 3),
         _clean, FILTER(_flat, _flat &lt;&gt; ""),
         _res, SORT(UNIQUE(_clean)),
         IF(IF(ISOMITTED(as_row), 0, as_row), TOROW(_res), _res)
      ),
      ""
   )
)</t>
  </si>
  <si>
    <t>Reduces a range to a clean, sorted set of unique values.
Arguments:
  rng      - the source range.
  [as_row] - 1 to return a horizontal row; default 0 returns a vertical column.
Returns:
  The unique, sorted values with blanks and errors removed.
Example:
  set(A1:A20)</t>
  </si>
  <si>
    <t>set_d(a, b, [as_row])</t>
  </si>
  <si>
    <t>Set difference: the values in set a that are not in set b.</t>
  </si>
  <si>
    <t>=LAMBDA(val_a, val_b, [as_row],
   IFERROR(
      LET(
         list_a, set(val_a),
         list_b, set(val_b),
         res, FILTER(list_a, ISNA(XMATCH(list_a, list_b))),
         IF(IF(ISOMITTED(as_row), 0, as_row), TOROW(res), res)
      ),
      ""
   )
)</t>
  </si>
  <si>
    <t>Set difference of two ranges (a minus b).
Arguments:
  a        - first range/set.
  b        - second range/set.
  [as_row] - 1 for a horizontal result; default 0 vertical.
Returns:
  The cleaned, sorted values that appear in a but not in b.
Example:
  set_d(A1:A5, B1:B5)</t>
  </si>
  <si>
    <t>set_i(a, b, [as_row])</t>
  </si>
  <si>
    <t>Set intersection: the values present in both set a and set b.</t>
  </si>
  <si>
    <t>=LAMBDA(val_a, val_b, [as_row],
   IFERROR(
      LET(
         list_a, set(val_a),
         list_b, set(val_b),
         res, FILTER(list_a, ISNUMBER(XMATCH(list_a, list_b))),
         IF(IF(ISOMITTED(as_row), 0, as_row), TOROW(res), res)
      ),
      ""
   )
)</t>
  </si>
  <si>
    <t>Set intersection of two ranges.
Arguments:
  a        - first range/set.
  b        - second range/set.
  [as_row] - 1 for a horizontal result; default 0 vertical.
Returns:
  The cleaned, sorted values common to both a and b.
Example:
  set_i(A1:A5, B1:B5)</t>
  </si>
  <si>
    <t>set_u(a, b, [as_row])</t>
  </si>
  <si>
    <t>Set union: all distinct values from set a and set b combined.</t>
  </si>
  <si>
    <t>=LAMBDA(val_a, val_b, [as_row],
   set(VSTACK(val_a, val_b), IF(ISOMITTED(as_row), 0, as_row))
)</t>
  </si>
  <si>
    <t>Set union of two ranges.
Arguments:
  a        - first range/set.
  b        - second range/set.
  [as_row] - 1 for a horizontal result; default 0 vertical.
Returns:
  The cleaned, sorted values found in either a or b.
Example:
  set_u(A1:A5, B1:B5)</t>
  </si>
  <si>
    <t>smallest(check, return)</t>
  </si>
  <si>
    <t>Finds the smallest number in "check" and returns the first matching value in "return" (an XLOOKUP on MIN).</t>
  </si>
  <si>
    <t>Splits a string into a vertical array (horizontal if as_row=1), keeping multi-char Unicode symbols whole. 1D input splits into the unused axis; 2D concatenates row-major first. Digits become numbers.</t>
  </si>
  <si>
    <t>=LAMBDA(str_or_array,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t>
  </si>
  <si>
    <t>str_rev(str)</t>
  </si>
  <si>
    <t>Reverses a string (character by character), respecting whole multi-character symbols.</t>
  </si>
  <si>
    <t>=LAMBDA(str,
   IF(
      ROWS(str) * COLUMNS(str) = 1,
      TEXTJOIN("", , MID(str, SEQUENCE(LEN(str), , LEN(str), -1), 1)),
      BYROW(
         str,
         LAMBDA(x, TEXTJOIN("", , MID(x, SEQUENCE(LEN(x), , LEN(x), -1), 1)))
      )
   )
)</t>
  </si>
  <si>
    <t>Reverses the characters of a string.
Arguments:
  str - the text to reverse.
Returns:
  The string reversed. Works on arrays of strings.
Example:
  str_rev("abc")  -&gt;  "cba"</t>
  </si>
  <si>
    <t>textbetween(str_or_arr, prefix, suffix)</t>
  </si>
  <si>
    <t>Returns the text between a prefix and a suffix. Trims the result and converts to a number when possible. Works on arrays, returning an array of the same size.</t>
  </si>
  <si>
    <t>=LAMBDA(str_or_arr, prefix, suffix, LET(
   extract_between, LAMBDA(item,
      IF(
         ISERROR(item),
         item,
         LET(
            item_text, item &amp; "",
            lower_item, LOWER(item_text),
            lower_prefix, LOWER(prefix &amp; ""),
            lower_suffix, LOWER(suffix &amp; ""),
            start_num, IF(
               OR(lower_prefix = "", lower_suffix = ""),
               0,
               IFERROR(SEARCH(lower_prefix, lower_item), 0)
            ),
            after_num, start_num + LEN(lower_prefix),
            end_num, IF(
               start_num = 0,
               0,
               IFERROR(SEARCH(lower_suffix, lower_item, after_num), 0)
            ),
            between_text, IF(
               OR(start_num = 0, end_num = 0),
               "",
               MID(item_text, after_num, end_num - after_num)
            ),
            cleaned_text, TRIM(between_text),
            IF(cleaned_text = "", "", IFERROR(--cleaned_text, cleaned_text))
         )
      )
   ),
   row_count, ROWS(str_or_arr),
   col_count, COLUMNS(str_or_arr),
   IF(
      row_count * col_count = 1,
      extract_between(str_or_arr),
      MAP(str_or_arr, extract_between)
   )
))</t>
  </si>
  <si>
    <t>Extracts the text lying between two markers.
Arguments:
  str_or_arr - the string (or array of strings) to search.
  prefix     - the marker before the wanted text.
  suffix     - the marker after the wanted text.
Returns:
  The trimmed text between prefix and suffix, converted to a number when possible. Arrays return an array of the same size.
Example:
  textbetween("[x]", "[", "]")  -&gt;  "x"</t>
  </si>
  <si>
    <t>transform_array(arr, dir)</t>
  </si>
  <si>
    <t>Rotates 90 degrees or flips an array, once or twice, using one or two of ↺↻↕↔. For two operations pass them concatenated, e.g. "↕↔" or "↺↺".</t>
  </si>
  <si>
    <t>update_arr( array, r, c, value)</t>
  </si>
  <si>
    <t>Returns a copy of the array with the cell at row r, column c replaced by value.</t>
  </si>
  <si>
    <t>=LAMBDA(array, r, c, value, LET(
   arr, array,
   MAKEARRAY(
      ROWS(arr),
      COLUMNS(arr),
      LAMBDA(i, j, IF((i = r) * (j = c), value, INDEX(arr, i, j)))
   )
))</t>
  </si>
  <si>
    <t>Returns an array with a single cell replaced.
Arguments:
  array - the source array.
  r     - row index of the cell to change.
  c     - column index of the cell to change.
  value - the new value for that cell.
Returns:
  A copy of array with (r, c) set to value.
Example:
  update_arr(grid, 2, 3, "x")</t>
  </si>
  <si>
    <t>xbyrow(arr, function)</t>
  </si>
  <si>
    <t>BYROW that allows array-returning functions: each row's result is flattened to a row (TOROW) and stacked; ragged #N/A padding is blanked (IFNA). Use for per-row transforms that expand each item into a row.</t>
  </si>
  <si>
    <t>=LAMBDA(arr, function,
  IFNA(z_xbyrow_ix(arr, function, 1, ROWS(arr)), "")
)</t>
  </si>
  <si>
    <t>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t>
  </si>
  <si>
    <t>xcountif(arr, criteria)</t>
  </si>
  <si>
    <t>Like COUNTIF but both arguments may be arrays. Uses FILTER internally and correctly returns 0 (not an error) when nothing matches.</t>
  </si>
  <si>
    <t>=LAMBDA(arr, criteria, LET(
   flat, TOCOL(arr, 0),
   count_fx, LAMBDA(x, IFERROR(ROWS(FILTER(flat, flat = x)), 0)),
   IF(
      ROWS(criteria) * COLUMNS(criteria) = 1,
      count_fx(criteria),
      MAP(criteria, count_fx)
   )
))</t>
  </si>
  <si>
    <t>COUNTIF that accepts arrays in either or both arguments.
Arguments:
  arr      - the values to count within.
  criteria - a value or array of criteria to match.
Returns:
  The match count(s); returns 0 rather than an error when a criterion matches nothing. An array criteria returns an array of counts.
Example:
  xcountif(grid, "o")</t>
  </si>
  <si>
    <t>xdec2bin(number, [places])</t>
  </si>
  <si>
    <t>Like DEC2BIN but handles up to 53 binary places instead of 10 (beyond 53 the value exceeds the exact-integer range of a double).</t>
  </si>
  <si>
    <t>=LAMBDA(number, [places], LET(
   n, ROUND(number, 0),
   p, IF(ISOMITTED(places), 0, places),
   IF(
      n &gt;= 0,
      BASE(n, 2, MAX(p, 1)),
      LET(
         bits, IF(p = 0, 64, p),
         IF(
            bits &gt; 53,
            "Error: Precision Limit",
            BASE(POWER(2, bits) + n, 2, bits)
         )
      )
   )
))</t>
  </si>
  <si>
    <t>Converts a decimal integer to a binary string, extended range.
Arguments:
  number   - the decimal integer to convert.
  [places] - minimum width, zero-padded (optional).
Returns:
  The binary representation as text, supporting up to 53 places (past 53 the value can no longer be stored exactly in a double).
Example:
  xdec2bin(5)  -&gt;  "101"</t>
  </si>
  <si>
    <t>Multi-criteria FILTER. ANDs up to 5 boolean masks. A column-vector mask filters rows; a row-vector mask filters columns - so you can filter BOTH directions in one call. Omitted masks default to 1. Returns "" if nothing matches.</t>
  </si>
  <si>
    <t>xmod(a, b)</t>
  </si>
  <si>
    <t>One-based modulo: like MOD but cycles 1..b instead of 0..b-1. Equal to MOD(a,b) except when that is 0, where it returns b.</t>
  </si>
  <si>
    <t>=LAMBDA(a, b, IF(MOD(a, b) = 0, b, MOD(a, b)))</t>
  </si>
  <si>
    <t>Modulo that returns the divisor instead of zero (1-based).
Arguments:
  a - the dividend.
  b - the divisor.
Returns:
  MOD(a, b), except returns b when MOD(a, b) would be 0. Useful for 1-based cycling.
Example:
  xmod(6, 3)  -&gt;  3</t>
  </si>
  <si>
    <t>xn(value_or_array)</t>
  </si>
  <si>
    <t>Converts numeric strings to numbers (like N). Non-numeric strings pass through unchanged, TRUE/FALSE become 1/0, blanks become "", "" stays "". Works on arrays.</t>
  </si>
  <si>
    <t>=LAMBDA(val_or_arr, LET(
   fn_convert, LAMBDA(x,
      IF(
         x = "",
         "",
         IF(ISNUMBER(x), x, IF(ISLOGICAL(x), N(x), IFERROR(VALUE(x), x)))
      )
   ),
   IF(
      ROWS(val_or_arr) * COLUMNS(val_or_arr) = 1,
      fn_convert(val_or_arr),
      MAP(val_or_arr, fn_convert)
   )
))</t>
  </si>
  <si>
    <t>Coerces values to numbers where sensible.
Arguments:
  value_or_array - a value or array to convert.
Returns:
  Numeric strings become numbers; TRUE/FALSE become 1/0; blanks and "" become ""; non-numeric text is left unchanged. Works on arrays.
Example:
  xn("42")  -&gt;  42</t>
  </si>
  <si>
    <t>xrank(value, array, [order])</t>
  </si>
  <si>
    <t>Like the built-in RANK but works on arrays.</t>
  </si>
  <si>
    <t>xsequence(start, stop, [step], [repeat_element], [repeat_array])</t>
  </si>
  <si>
    <t>Vertical sequence from start to stop inclusive, counting by step. Can repeat each element or repeat the whole array. Optional args default to 1. Decimal steps may cause floating-point drift.</t>
  </si>
  <si>
    <t>xtextsplit(str,[delim],[as_row])</t>
  </si>
  <si>
    <t>Like TEXTSPLIT but trims items, returns a vertical array (horizontal if as_row=1), and converts to numbers. If delim is omitted, the first non-alphanumeric char (incl. whitespace) is used.</t>
  </si>
  <si>
    <t>=LAMBDA(str, [delim], [as_row], LET(
   use_delim_arg, NOT(ISOMITTED(delim)),
   inferred_delim, IF(use_delim_arg, "", REGEXEXTRACT(str, "[^A-Za-z0-9]")),
   can_split, IF(use_delim_arg, TRUE, NOT(ISERROR(inferred_delim))),
   eff_delim, IF(use_delim_arg, delim, inferred_delim),
   base_split, IF(
      can_split,
      IFERROR(TOCOL(TRIM(TEXTSPLIT(str, eff_delim))), str),
      str
   ),
   split, base_split,
   one_entry, COUNTA(split) = 1,
   all_numbers, COUNTA(FILTER(split, ISNUMBER(split * 1))) = COUNTA(split),
   as_row_val, IF(ISOMITTED(as_row), 0, as_row),
   core_result, IF(one_entry, str, IF(all_numbers, split * 1, split)),
   IF(AND(as_row_val = 1, NOT(one_entry)), TOROW(core_result), core_result)
))</t>
  </si>
  <si>
    <t>TEXTSPLIT with trimming, reshaping, and numeric coercion.
Arguments:
  str      - the text to split.
  [delim]  - delimiter; if omitted, the first non-alphanumeric character (including whitespace) is used.
  [as_row] - 1 for a horizontal result; default 0 vertical.
Returns:
  The split pieces, trimmed and converted to numbers where applicable, as a vertical array by default.
Example:
  xtextsplit("a, b, c")  -&gt;  {"a";"b";"c"}</t>
  </si>
  <si>
    <t>xtocol(rng, [show_addr], [clean], [dir], [snake])</t>
  </si>
  <si>
    <t>Flattens a 2D range to a column. show_addr (default 1) adds an address column; clean (default 1) drops blanks/errors/""; dir sets scan order ("→↓" default); snake (default 0) zig-zags.</t>
  </si>
  <si>
    <t>z_route_worker(_s, _p, _f2, cost_map, _nr, _nc, _rd, _cd, _sq)</t>
  </si>
  <si>
    <t>Private recursive worker for route_cost - do not call directly. Runs one Dijkstra relaxation pass over the frontier and recurses until no cell's cost improves. Extra args carry route_cost's grid, size and move deltas.</t>
  </si>
  <si>
    <t>=LAMBDA(_s, _p, _f2, cost_map, _nr, _nc, _rd, _cd, _sq, LET(
   _tr, TOCOL(_rd + INDEX(_f2, 0, 1)),
   _tc, TOCOL(_cd + INDEX(_f2, 0, 2)),
   _db, TOCOL(
      INDEX(_p, INDEX(_f2, 0, 1), INDEX(_f2, 0, 2))
         + SEQUENCE(, COUNTA(_rd), 0, 0)
   ),
   _nf, IF(
      NOT((_tr &gt;= 1) * (_tr &lt;= _nr) * (_tc &gt;= 1) * (_tc &lt;= _nc)),
      {0, 0, 0},
      IF(
         NOT(ISNUMBER(INDEX(cost_map, _tr, _tc))),
         {0, 0, 0},
         IF(
            INDEX(cost_map, _tr, _tc) + _db &lt; INDEX(_p, _tr, _tc),
            HSTACK(_tr, _tc, _db + INDEX(cost_map, _tr, _tc)),
            {0, 0, 0}
         )
      )
   ),
   _sn, SORT(_nf, 3, 1),
   _ps, XMATCH(
      UNIQUE(INDEX(_sn, 0, 1) &amp; "|" &amp; INDEX(_sn, 0, 2)),
      INDEX(_sn, 0, 1) &amp; "|" &amp; INDEX(_sn, 0, 2)
   ),
   _fs, FILTER(
      INDEX(_sn, _ps, SEQUENCE(, 3)),
      INDEX(_sn, _ps, 1) &gt; 0,
      0
   ),
   _um, IFERROR(
      INDEX(
         _fs,
         XMATCH(_sq, INDEX(_fs, 0, 1) &amp; "|" &amp; INDEX(_fs, 0, 2)),
         3
      ),
      _p
   ),
   IF(SUM(_fs) = 0, _p, _s(_s, _um, _fs, cost_map, _nr, _nc, _rd, _cd, _sq))
))</t>
  </si>
  <si>
    <t>Private recursive worker for route_cost - do not call directly.
Performs one relaxation pass: for the current frontier cells (_f2) it checks each neighbor (via move deltas _rd/_cd), keeps the cheapest cost improvement per cell, writes them into the running cost matrix _p, and recurses on the newly-improved cells. Stops when no cell improves.
Arguments:
  _s       - self reference (for recursion).
  _p       - current cost matrix (same shape as cost_map).
  _f2      - frontier: rows of {row, col, cost} to expand.
  cost_map, _nr, _nc, _rd, _cd, _sq - route_cost's grid, size, move deltas and cell keys, passed through.
Returns:
  The final cost matrix once no further improvement is possible.</t>
  </si>
  <si>
    <t>z_xbyrow_ix(arr, function, first, last)</t>
  </si>
  <si>
    <t>Private recursive worker for xbyrow (don't call directly). Applies function to each row, flattens the result to a row with TOROW, and VSTACKs the pieces via divide-and-conquer.</t>
  </si>
  <si>
    <t>=LAMBDA(arr, function, first, last,
  IF(first = last,
     TOROW(
       IF(COLUMNS(arr) = 1,
          function(@CHOOSEROWS(arr, first)),
          function(CHOOSEROWS(arr, first)))),
     LET(
       mid_row, INT((first + last) / 2),
       VSTACK(
         z_xbyrow_ix(arr, function, first, mid_row),
         z_xbyrow_ix(arr, function, mid_row + 1, last)
       )
     )
  )
)</t>
  </si>
  <si>
    <t>Private recursive worker for xbyrow - do not call directly.
Splits the row index range [first, last] in half, recurses on each half, and VSTACKs the pieces (divide-and-conquer). At a single row it applies function to that row (dereferencing a lone cell with @) and flattens the result to a row with TOROW.
Arguments:
  arr      - the full array (passed through unchanged).
  function - the LAMBDA to apply to each row.
  first    - first row index of the current window.
  last     - last row index of the current window.
Returns:
  The stacked, one-row-per-input results for rows first..last. Called by xbyrow as z_xbyrow_ix(arr, function, 1, ROWS(arr)).</t>
  </si>
  <si>
    <t>Lambda Test Summary</t>
  </si>
  <si>
    <t>PASS/FAIL counts per lambda (updates after fix_test_formulas recalculates).</t>
  </si>
  <si>
    <t>Lambda</t>
  </si>
  <si>
    <t>Pass</t>
  </si>
  <si>
    <t>Fail</t>
  </si>
  <si>
    <t>Total</t>
  </si>
  <si>
    <t>Status</t>
  </si>
  <si>
    <t>TOTAL</t>
  </si>
  <si>
    <t>grid D7:F9</t>
  </si>
  <si>
    <t>addr array</t>
  </si>
  <si>
    <t>D7</t>
  </si>
  <si>
    <t>F9</t>
  </si>
  <si>
    <t>numeric 8000005 (E8) -&gt; 50</t>
  </si>
  <si>
    <t>addr array {D7;F9} -&gt; {10;90}</t>
  </si>
  <si>
    <t>arrow(str) - normalise a direction keyword/glyph to a standard arrow (EXACT, case-sensitive lookup)</t>
  </si>
  <si>
    <t>U -&gt; up</t>
  </si>
  <si>
    <t>DL -&gt; down-left</t>
  </si>
  <si>
    <t>NE -&gt; up-right</t>
  </si>
  <si>
    <t>North -&gt; up</t>
  </si>
  <si>
    <t>glyph ⇧ -&gt; up</t>
  </si>
  <si>
    <t>glyph 🖢 -&gt; up</t>
  </si>
  <si>
    <t>arrow_move(start_ad,arrow,[steps],[board_rng],[push_mode]) - returns NUMERIC address. push_mode flag: 1 stop-at-edge(def), 0 stay-at-start, -1 'oob'</t>
  </si>
  <si>
    <t>A1 -&gt; right 3</t>
  </si>
  <si>
    <t>A1</t>
  </si>
  <si>
    <t>A1 -&gt; down 2</t>
  </si>
  <si>
    <t>A3 up 5, push=1 stop@edge</t>
  </si>
  <si>
    <t>A3</t>
  </si>
  <si>
    <t>A3 up 5, push=0 stay</t>
  </si>
  <si>
    <t>A3 up 5, push=-1 -&gt; 'oob'</t>
  </si>
  <si>
    <t>oob</t>
  </si>
  <si>
    <t>arrow_trip(rng,start_ad,dir,[stopper]) - path of NUMERIC addresses + values until edge or (inclusive) stopper</t>
  </si>
  <si>
    <t>Exp addr</t>
  </si>
  <si>
    <t>val</t>
  </si>
  <si>
    <t>Act addr</t>
  </si>
  <si>
    <t>board D7:H7</t>
  </si>
  <si>
    <t>a</t>
  </si>
  <si>
    <t>b</t>
  </si>
  <si>
    <t>d</t>
  </si>
  <si>
    <t>e</t>
  </si>
  <si>
    <t>no stopper -&gt; full trip</t>
  </si>
  <si>
    <t>stopper 'X' (stops incl.)</t>
  </si>
  <si>
    <t>stopper 'Z' absent -&gt; full</t>
  </si>
  <si>
    <t>biggest(check,return) - value from `return` paired with MAX(check); ties -&gt; first</t>
  </si>
  <si>
    <t>max{30;70;50}-&gt;b</t>
  </si>
  <si>
    <t>c</t>
  </si>
  <si>
    <t>tie max{5;9;9;2}-&gt;q (first)</t>
  </si>
  <si>
    <t>p</t>
  </si>
  <si>
    <t>q</t>
  </si>
  <si>
    <t>r</t>
  </si>
  <si>
    <t>s</t>
  </si>
  <si>
    <t>clamp(num_or_arr,[bottom],[top]) - text/blank -&gt; '' , errors pass through; array-aware</t>
  </si>
  <si>
    <t>{5;-3;120} lo0 hi100</t>
  </si>
  <si>
    <t>scalar 150, only top=100</t>
  </si>
  <si>
    <t>only bottom=0 on -5</t>
  </si>
  <si>
    <t>mix num/text/blank {5;'x';(blank);8}</t>
  </si>
  <si>
    <t>x</t>
  </si>
  <si>
    <t>scalar error passthrough</t>
  </si>
  <si>
    <t>count_substring(str, sub, [case_sensitive]) - non-overlapping count; array in str OR sub (not both); non-text-&gt;0</t>
  </si>
  <si>
    <t>banana / a</t>
  </si>
  <si>
    <t>banana</t>
  </si>
  <si>
    <t>banana / na</t>
  </si>
  <si>
    <t>na</t>
  </si>
  <si>
    <t>AaAa / a  case=1</t>
  </si>
  <si>
    <t>AaAa</t>
  </si>
  <si>
    <t>AaAa / a  default(ci)</t>
  </si>
  <si>
    <t>sub is array {a;n}</t>
  </si>
  <si>
    <t>n</t>
  </si>
  <si>
    <t>str is array</t>
  </si>
  <si>
    <t>apple</t>
  </si>
  <si>
    <t>ctotal(arr) - running cumulative total (SCAN). A blank cell counts as 0 (does NOT break it); text/error would.</t>
  </si>
  <si>
    <t>{1;2;3}</t>
  </si>
  <si>
    <t>{5;-2;10}</t>
  </si>
  <si>
    <t>blank in middle {1;(blank);3}</t>
  </si>
  <si>
    <t>row {1,2,3,4}</t>
  </si>
  <si>
    <t>cycles(outer_n,inner_n) - nested-loop index pairs (2 columns)</t>
  </si>
  <si>
    <t>3 x 2</t>
  </si>
  <si>
    <t>2 x 3</t>
  </si>
  <si>
    <t>die_pips(st) - die glyphs to pip values; multiple dice in one string -&gt; column; array-aware</t>
  </si>
  <si>
    <t>die 5</t>
  </si>
  <si>
    <t>⚄</t>
  </si>
  <si>
    <t>die 2</t>
  </si>
  <si>
    <t>⚁</t>
  </si>
  <si>
    <t>two dice in one cell</t>
  </si>
  <si>
    <t>⚀⚅</t>
  </si>
  <si>
    <t>array col of dice</t>
  </si>
  <si>
    <t>⚂</t>
  </si>
  <si>
    <t>dist(start,end,[diag],[print_components]) - flags: diag 1=Chebyshev(def) 0=taxicab -1=Euclidean; print_components=1 breaks it into arrows+legs</t>
  </si>
  <si>
    <t>A1-&gt;C3 Chebyshev</t>
  </si>
  <si>
    <t>C3</t>
  </si>
  <si>
    <t>A1-&gt;C3 taxicab (diag 0)</t>
  </si>
  <si>
    <t>A1-&gt;C3 Euclidean (diag -1)</t>
  </si>
  <si>
    <t>A1-&gt;D2 Chebyshev</t>
  </si>
  <si>
    <t>D2</t>
  </si>
  <si>
    <t>components: A1-&gt;C3 cheby (flag=1)</t>
  </si>
  <si>
    <t>components: A1-&gt;C4 cheby (has legs)</t>
  </si>
  <si>
    <t>C4</t>
  </si>
  <si>
    <t>components: A1-&gt;C3 taxicab (flag=1)</t>
  </si>
  <si>
    <t>exists(arr,value) - membership 1/0. value can be an ARRAY (returns an array of 1/0, same shape as value).</t>
  </si>
  <si>
    <t>2 in {1;2;3}</t>
  </si>
  <si>
    <t>'x' in {a;b;c}</t>
  </si>
  <si>
    <t>value array {2;9}</t>
  </si>
  <si>
    <t>value array {a;z} in {a;b;c}</t>
  </si>
  <si>
    <t>z</t>
  </si>
  <si>
    <t>freq_table(array,[min_freq]) - value|count sorted by count desc. Blanks IGNORED; an ERROR in the input makes it return #N/A.</t>
  </si>
  <si>
    <t>{1;1;2}</t>
  </si>
  <si>
    <t>{a;a;a;b;b;c}</t>
  </si>
  <si>
    <t>blank ignored {1;1;(blank);2}</t>
  </si>
  <si>
    <t>min_freq=2 on {1;1;2;3;3;3}</t>
  </si>
  <si>
    <t>ERROR breaks it -&gt; #N/A</t>
  </si>
  <si>
    <t>is_unique(arr) - TRUE(1) if all distinct. Case-insensitive; blanks ignored.</t>
  </si>
  <si>
    <t>{1;2;2}</t>
  </si>
  <si>
    <t>{a;A} case-insensitive -&gt; 0</t>
  </si>
  <si>
    <t>blanks ignored {1;(blank);2;3}</t>
  </si>
  <si>
    <t>knight_moves(start_ad,end_ad) - min knight moves on an unbounded board. Each cell accepts a NUMERIC address OR an A1 string.</t>
  </si>
  <si>
    <t>'A1'-&gt;'B3'</t>
  </si>
  <si>
    <t>B3</t>
  </si>
  <si>
    <t>'A1'-&gt;'C3' (tricky, 4)</t>
  </si>
  <si>
    <t>'A1'-&gt;'A1' (0)</t>
  </si>
  <si>
    <t>'A1'-&gt;'B1' (adjacent, 3)</t>
  </si>
  <si>
    <t>B1</t>
  </si>
  <si>
    <t>'A1'-&gt;'H8' (6)</t>
  </si>
  <si>
    <t>H8</t>
  </si>
  <si>
    <t>NUMERIC 1000001-&gt;8000008 (=A1-&gt;H8)</t>
  </si>
  <si>
    <t>MIXED 1000001-&gt;'C3'</t>
  </si>
  <si>
    <t>label_lookup(arr,row_label,column_label) - value at intersection of matching row/column headers</t>
  </si>
  <si>
    <t>labelled grid D7:G9</t>
  </si>
  <si>
    <t>Mon</t>
  </si>
  <si>
    <t>Tue</t>
  </si>
  <si>
    <t>Wed</t>
  </si>
  <si>
    <t>B / Tue -&gt; 5</t>
  </si>
  <si>
    <t>A / Wed -&gt; 3</t>
  </si>
  <si>
    <t>B / Mon -&gt; 4</t>
  </si>
  <si>
    <t>load_array(string,[col_delim],[row_delim]) - parse delimited text to 2D array</t>
  </si>
  <si>
    <t>1|2;3|4</t>
  </si>
  <si>
    <t>a|b;c|d</t>
  </si>
  <si>
    <t>custom , /</t>
  </si>
  <si>
    <t>1,2/3,4</t>
  </si>
  <si>
    <t>,</t>
  </si>
  <si>
    <t>/</t>
  </si>
  <si>
    <t>neighbors_count(arr,val,dist,[diag],[self]) - count of val near each cell. Flags: diag 1=Moore(def)/0=orthogonal ; self 1=include(def)/0=exclude</t>
  </si>
  <si>
    <t>grid (val=1, dist=1)</t>
  </si>
  <si>
    <t>input grid D7:F9</t>
  </si>
  <si>
    <t>default (diag+self)</t>
  </si>
  <si>
    <t>self=0 (exclude center)</t>
  </si>
  <si>
    <t>diag=0 (orthogonal)</t>
  </si>
  <si>
    <t>neighbors_list(center_ad,[size],[boundary],[diag]) - addresses around a cell (nearest first). center_ad accepts a NUMERIC address OR an A1 string. diag flag 0 = orthogonal only</t>
  </si>
  <si>
    <t>string 'B2', diag 0 (orthogonal)</t>
  </si>
  <si>
    <t>B2</t>
  </si>
  <si>
    <t>A2</t>
  </si>
  <si>
    <t>C2</t>
  </si>
  <si>
    <t>string 'B2' (8 neighbours)</t>
  </si>
  <si>
    <t>C1</t>
  </si>
  <si>
    <t>NUMERIC 2000002 (=B2)</t>
  </si>
  <si>
    <t>NUMERIC 2000002, diag 0</t>
  </si>
  <si>
    <t>NUMERIC 3000003 (=C3), 8 neighbours</t>
  </si>
  <si>
    <t>D3</t>
  </si>
  <si>
    <t>B4</t>
  </si>
  <si>
    <t>D4</t>
  </si>
  <si>
    <t>D3 -&gt; 3000004</t>
  </si>
  <si>
    <t>already numeric passes</t>
  </si>
  <si>
    <t>non-address text 'hi'</t>
  </si>
  <si>
    <t>hi</t>
  </si>
  <si>
    <t>$B$2 (strip $)</t>
  </si>
  <si>
    <t>$B$2</t>
  </si>
  <si>
    <t>array {A1;B2}</t>
  </si>
  <si>
    <t>offset_letter(st, offset) - Caesar shift; preserves case, non-letters untouched; array-aware</t>
  </si>
  <si>
    <t>xyz +2 (wrap)</t>
  </si>
  <si>
    <t>xyz</t>
  </si>
  <si>
    <t>zab</t>
  </si>
  <si>
    <t>abc +1</t>
  </si>
  <si>
    <t>abc</t>
  </si>
  <si>
    <t>bcd</t>
  </si>
  <si>
    <t>Hello +1 (case kept)</t>
  </si>
  <si>
    <t>Hello</t>
  </si>
  <si>
    <t>Ifmmp</t>
  </si>
  <si>
    <t>a1b +1 (digit kept)</t>
  </si>
  <si>
    <t>a1b</t>
  </si>
  <si>
    <t>b1c</t>
  </si>
  <si>
    <t>bcd -1 (neg)</t>
  </si>
  <si>
    <t>array col + scalar offset</t>
  </si>
  <si>
    <t>XYZ</t>
  </si>
  <si>
    <t>YZA</t>
  </si>
  <si>
    <t>only_letters(st) - keeps letters only (case-insensitive; original case preserved); array-aware</t>
  </si>
  <si>
    <t>aB3c! -&gt; aBc</t>
  </si>
  <si>
    <t>aB3c!</t>
  </si>
  <si>
    <t>aBc</t>
  </si>
  <si>
    <t>Hello -&gt; Hello</t>
  </si>
  <si>
    <t>XYz9 -&gt; XYz</t>
  </si>
  <si>
    <t>XYz9</t>
  </si>
  <si>
    <t>XYz</t>
  </si>
  <si>
    <t>no letters '123!'</t>
  </si>
  <si>
    <t>123!</t>
  </si>
  <si>
    <t>array col</t>
  </si>
  <si>
    <t>ab</t>
  </si>
  <si>
    <t>2C3d</t>
  </si>
  <si>
    <t>Cd</t>
  </si>
  <si>
    <t>only_numbers(st) - pulls -?\d+(\.\d+)? from text; one string can yield several numbers (wrap TOCOL for the column)</t>
  </si>
  <si>
    <t>X10 -&gt; 10</t>
  </si>
  <si>
    <t>X10</t>
  </si>
  <si>
    <t>$3.5k -&gt; 3.5</t>
  </si>
  <si>
    <t>$3.5k</t>
  </si>
  <si>
    <t>abc -&gt; '' (none)</t>
  </si>
  <si>
    <t>a1b2c3 (many)</t>
  </si>
  <si>
    <t>a1b2c3</t>
  </si>
  <si>
    <t>temp -5 to 12</t>
  </si>
  <si>
    <t>rev(arr) - cleans (drops blanks/errors/'') then fully reverses</t>
  </si>
  <si>
    <t>{a;b;c}</t>
  </si>
  <si>
    <t>blank dropped {1;(blank);3}</t>
  </si>
  <si>
    <t>rotate_arrow(arrow, steps, [dir]) - rotate 45deg per step; dir="ccw" reverses (default clockwise)</t>
  </si>
  <si>
    <t>-&gt; +1 cw</t>
  </si>
  <si>
    <t>up +2 cw</t>
  </si>
  <si>
    <t>up +1 ccw</t>
  </si>
  <si>
    <t>ccw</t>
  </si>
  <si>
    <t>up +4 (opposite)</t>
  </si>
  <si>
    <t>-&gt; +1 ccw</t>
  </si>
  <si>
    <t>route_cost(cost_map,start,[diag]) - least-cost (Dijkstra) to every cell. start: A1 text, a NUMERIC address, or {row,col} coords. diag 1=diagonals(def)/0=orthogonal</t>
  </si>
  <si>
    <t>cost_map D7:E8 (all 1)</t>
  </si>
  <si>
    <t>coords {1,1}, diag 0</t>
  </si>
  <si>
    <t>string 'D7', diag 0</t>
  </si>
  <si>
    <t>NUMERIC 7000004 (=D7), diag 0</t>
  </si>
  <si>
    <t>coords {1,1}, diag 1</t>
  </si>
  <si>
    <t>save_array(array,[col_delim],[row_delim]) - serialize a 2D array to text</t>
  </si>
  <si>
    <t>2x2 default</t>
  </si>
  <si>
    <t>row {a,b}</t>
  </si>
  <si>
    <t>a|b</t>
  </si>
  <si>
    <t>selections(arr,n,[order_matters],[repeats],[countdown],[clean]) - permutations/combinations</t>
  </si>
  <si>
    <t>{a;b;c} choose 2 (combos)</t>
  </si>
  <si>
    <t>{1;2;3;4} choose 2</t>
  </si>
  <si>
    <t>{a;b;c} choose 2 PERMUTATIONS (order=1)</t>
  </si>
  <si>
    <t>{a;b} choose 2 with REPEATS</t>
  </si>
  <si>
    <t>set(rng,[as_row]) - unique, sorted, cleaned. Blanks removed. as_row=1 -&gt; horizontal</t>
  </si>
  <si>
    <t>{3;1;2;1}</t>
  </si>
  <si>
    <t>{c;a;b;a}</t>
  </si>
  <si>
    <t>blanks removed {3;(blank);1;2}</t>
  </si>
  <si>
    <t>as_row=1 {3;1;2}</t>
  </si>
  <si>
    <t>set_d(a,b,[as_row]) - sorted difference a minus b</t>
  </si>
  <si>
    <t>{1;2;3} - {2}</t>
  </si>
  <si>
    <t>{a;b;c;d} - {b;d}</t>
  </si>
  <si>
    <t>set_i(a,b,[as_row]) - sorted intersection</t>
  </si>
  <si>
    <t>{1;2;3} &amp; {2;3;4}</t>
  </si>
  <si>
    <t>{a;b;c} &amp; {b;c}</t>
  </si>
  <si>
    <t>no overlap -&gt; ''</t>
  </si>
  <si>
    <t>set_u(a,b,[as_row]) - sorted union of two ranges</t>
  </si>
  <si>
    <t>{1;2} U {2;3}</t>
  </si>
  <si>
    <t>{a;b} U {b;c;d}</t>
  </si>
  <si>
    <t>as_row {1;3} U {2}</t>
  </si>
  <si>
    <t>shift_arr(arr,dir,[steps],[fill]) - shift contents; omit fill to wrap around</t>
  </si>
  <si>
    <t>col {1;2;3} D wrap</t>
  </si>
  <si>
    <t>col {1;2;3} U wrap</t>
  </si>
  <si>
    <t>2x2 R wrap</t>
  </si>
  <si>
    <t>smallest(check,return) - value from `return` paired with MIN(check); ties -&gt; first</t>
  </si>
  <si>
    <t>min{30;70;50}-&gt;a</t>
  </si>
  <si>
    <t>min{5;9;2;2}-&gt;r (first)</t>
  </si>
  <si>
    <t>str2arr(str,[as_row]) - explode to characters (digits become numbers); default column, as_row=1 -&gt; row</t>
  </si>
  <si>
    <t>abc -&gt; column</t>
  </si>
  <si>
    <t>x1y (digit-&gt;num)</t>
  </si>
  <si>
    <t>x1y</t>
  </si>
  <si>
    <t>y</t>
  </si>
  <si>
    <t>abc as_row=1</t>
  </si>
  <si>
    <t>3000004 -&gt; D3</t>
  </si>
  <si>
    <t>D3 string passes</t>
  </si>
  <si>
    <t>2000000 (col 0) unchanged</t>
  </si>
  <si>
    <t>array {1000001;2000002}</t>
  </si>
  <si>
    <t>str_rev(str) - reverses characters; array-aware</t>
  </si>
  <si>
    <t>cba</t>
  </si>
  <si>
    <t>hello</t>
  </si>
  <si>
    <t>olleh</t>
  </si>
  <si>
    <t>A1b (mixed)</t>
  </si>
  <si>
    <t>A1b</t>
  </si>
  <si>
    <t>b1A</t>
  </si>
  <si>
    <t>xy</t>
  </si>
  <si>
    <t>yx</t>
  </si>
  <si>
    <t>textbetween(str, prefix, suffix) - text between markers (case-insensitive), numeric-coerced; array-aware</t>
  </si>
  <si>
    <t>[x] -&gt; x</t>
  </si>
  <si>
    <t>[x]</t>
  </si>
  <si>
    <t>[</t>
  </si>
  <si>
    <t>]</t>
  </si>
  <si>
    <t>&lt;&lt;hi&gt;&gt; -&gt; hi</t>
  </si>
  <si>
    <t>&lt;&lt;hi&gt;&gt;</t>
  </si>
  <si>
    <t>&lt;&lt;</t>
  </si>
  <si>
    <t>&gt;&gt;</t>
  </si>
  <si>
    <t>a=5; -&gt; 5 (num)</t>
  </si>
  <si>
    <t>a=5;</t>
  </si>
  <si>
    <t>=</t>
  </si>
  <si>
    <t>;</t>
  </si>
  <si>
    <t>not found -&gt; ''</t>
  </si>
  <si>
    <t>[a]</t>
  </si>
  <si>
    <t>[bc]</t>
  </si>
  <si>
    <t>bc</t>
  </si>
  <si>
    <t>transform_array(arr,dir) - rotate/flip a 2D array; concatenate two ops for a double transform</t>
  </si>
  <si>
    <t>2x2 flipH ↔</t>
  </si>
  <si>
    <t>2x2 flipV ↕</t>
  </si>
  <si>
    <t>2x2 rotCW ↻</t>
  </si>
  <si>
    <t>2x2 rotCCW ↺</t>
  </si>
  <si>
    <t>2x2 double ↕↔ (180)</t>
  </si>
  <si>
    <t>↕↔</t>
  </si>
  <si>
    <t>2x3 rotCW ↻</t>
  </si>
  <si>
    <t>update_arr(array,r,c,value) - copy of array with one cell replaced</t>
  </si>
  <si>
    <t>2x2 set (2,1)=9</t>
  </si>
  <si>
    <t>row set (1,3)=0</t>
  </si>
  <si>
    <t>xbyrow(arr,function) - BYROW allowing an array per row. `function` may be a LAMBDA, a bare built-in (min), or a defined lambda name (neighbors_list).</t>
  </si>
  <si>
    <t>{1;2;3}, LAMBDA x*10</t>
  </si>
  <si>
    <t>{1;2;3}, SEQUENCE(1,2,x)</t>
  </si>
  <si>
    <t>bare MIN per row</t>
  </si>
  <si>
    <t>bare neighbors_list per addr</t>
  </si>
  <si>
    <t>B5</t>
  </si>
  <si>
    <t>A4</t>
  </si>
  <si>
    <t>A5</t>
  </si>
  <si>
    <t>C5</t>
  </si>
  <si>
    <t>A6</t>
  </si>
  <si>
    <t>B6</t>
  </si>
  <si>
    <t>C6</t>
  </si>
  <si>
    <t>xcountif(arr,criteria) - count matches; criteria may be an array. Blanks count as 0; an ERROR in arr makes it return 0.</t>
  </si>
  <si>
    <t>{1;2;2;3} crit 2</t>
  </si>
  <si>
    <t>{a;b;a} crit 'a'</t>
  </si>
  <si>
    <t>crit array {2;3}</t>
  </si>
  <si>
    <t>blanks count as 0: crit 0 on {1;2;(blank);0}</t>
  </si>
  <si>
    <t>ERROR in arr -&gt; 0</t>
  </si>
  <si>
    <t>xdec2bin(number, [places]) - decimal to binary text (extended range); negatives use two's complement</t>
  </si>
  <si>
    <t>5 -&gt; 101</t>
  </si>
  <si>
    <t>101</t>
  </si>
  <si>
    <t>5, places 8</t>
  </si>
  <si>
    <t>00000101</t>
  </si>
  <si>
    <t>0 -&gt; 0  (bugfix)</t>
  </si>
  <si>
    <t>0</t>
  </si>
  <si>
    <t>0, places 4</t>
  </si>
  <si>
    <t>0000</t>
  </si>
  <si>
    <t>10 -&gt; 1010</t>
  </si>
  <si>
    <t>1010</t>
  </si>
  <si>
    <t>-1, places 4 (2s-comp)</t>
  </si>
  <si>
    <t>1111</t>
  </si>
  <si>
    <t>xmod(a, b) - MOD but returns b instead of 0 (1-based cycling)</t>
  </si>
  <si>
    <t>6 mod 3</t>
  </si>
  <si>
    <t>7 mod 3</t>
  </si>
  <si>
    <t>5 mod 5</t>
  </si>
  <si>
    <t>10 mod 4</t>
  </si>
  <si>
    <t>12 mod 6</t>
  </si>
  <si>
    <t>1 mod 4</t>
  </si>
  <si>
    <t>xn(value_or_array) - numeric strings-&gt;numbers, TRUE/FALSE-&gt;1/0, blanks/''-&gt;'' , other text unchanged; array-aware</t>
  </si>
  <si>
    <t>'42' (text) -&gt; 42</t>
  </si>
  <si>
    <t>42</t>
  </si>
  <si>
    <t>TRUE -&gt; 1</t>
  </si>
  <si>
    <t>abc -&gt; abc</t>
  </si>
  <si>
    <t>'' -&gt; ''</t>
  </si>
  <si>
    <t>array {'1';'2';'x'}</t>
  </si>
  <si>
    <t>xrank(value, array, [order]) - 1-based rank; order 0=desc default,1=asc. TOCOL guard handles horizontal arrays</t>
  </si>
  <si>
    <t>50 in col{10,50,30} desc</t>
  </si>
  <si>
    <t>30 in col desc</t>
  </si>
  <si>
    <t>10 in col asc(order 1)</t>
  </si>
  <si>
    <t>50 in ROW{10,50,30} desc (orientation)</t>
  </si>
  <si>
    <t>dup 20 in {10,20,20,30} desc</t>
  </si>
  <si>
    <t>xsequence(start,stop,[step],[repeat_element],[repeat_array])</t>
  </si>
  <si>
    <t>1..5</t>
  </si>
  <si>
    <t>2..6 step2</t>
  </si>
  <si>
    <t>1..3 repeat each 2</t>
  </si>
  <si>
    <t>1..3 repeat whole 2</t>
  </si>
  <si>
    <t>5..1 (desc default step)</t>
  </si>
  <si>
    <t>xtextsplit(str,[delim],[as_row]) - split (delim inferred if omitted), trim, numeric-coerce; single token returns the string</t>
  </si>
  <si>
    <t>'a,b,c' infer</t>
  </si>
  <si>
    <t>a,b,c</t>
  </si>
  <si>
    <t>'1 2 3' infer -&gt; nums</t>
  </si>
  <si>
    <t>1 2 3</t>
  </si>
  <si>
    <t>'a-b-c' delim -</t>
  </si>
  <si>
    <t>a-b-c</t>
  </si>
  <si>
    <t>-</t>
  </si>
  <si>
    <t>as_row 'a,b,c'</t>
  </si>
  <si>
    <t>single 'abc' -&gt; 'abc'</t>
  </si>
  <si>
    <t>xtocol(rng,[show_addr],[clean],[dir],[snake]) - flatten to a column with scan/clean options</t>
  </si>
  <si>
    <t>2x2 row-major (show_addr 0)</t>
  </si>
  <si>
    <t>2x2 col-major ↓→</t>
  </si>
  <si>
    <t>clean drops blank {1,(blank),3}</t>
  </si>
  <si>
    <t>2x2 snake →↓</t>
  </si>
  <si>
    <t>ZZ -&gt; "" (not in table)</t>
  </si>
  <si>
    <t>ZZ</t>
  </si>
  <si>
    <t>Converts a direction string to a standard arrow. Accepts letter codes ("U","DL"), compass points ("NE"), and non-standard arrows (⇧, ➶). Returns one of ↑↓←→↖↗↙↘↺↻↕↔⤡⤢, or "" if not recognized.</t>
  </si>
  <si>
    <t>=LAMBDA(str, IFNA(XLOOKUP(TRUE, EXACT(str, Prep!$V$13:$ALY$13), Prep!$V$14:$ALY$14), ""))</t>
  </si>
  <si>
    <t>Converts a direction keyword or symbol into the standard arrow character.
Arguments:
  str - direction as text: a letter code ("U", "DL"), a compass point ("NE"), or a non-standard arrow glyph (⇧, 🖢, ➶).
Returns:
  The matching standard arrow, one of: ↑ ↓ ← → ↖ ↗ ↙ ↘ ↺ ↻ ↕ ↔ ⤡ ⤢. Returns "" if str is not found in the table.
Notes:
  Exact lookup against the Prep!V13:ALY14 table; used to normalise direction inputs for the other grid lambdas. The IFNA wrapper turns an unmatched lookup into "" instead of #N/A.</t>
  </si>
  <si>
    <t>start outside board -&gt; "X"</t>
  </si>
  <si>
    <t>bad dir -&gt; ""</t>
  </si>
  <si>
    <t>all-text check -&gt; ""</t>
  </si>
  <si>
    <t>v</t>
  </si>
  <si>
    <t>no die glyph -&gt; ""</t>
  </si>
  <si>
    <t>missing row label -&gt; ""</t>
  </si>
  <si>
    <t>unknown arrow -&gt; ""</t>
  </si>
  <si>
    <t>start out of bounds -&gt; "X"</t>
  </si>
  <si>
    <t>bad op -&gt; #VALUE!</t>
  </si>
  <si>
    <t>#VALUE!</t>
  </si>
  <si>
    <t>value not in array -&gt; ""</t>
  </si>
  <si>
    <t>wrong-dir step -&gt; #VALUE!</t>
  </si>
  <si>
    <t>bad dir -&gt; #VALUE!</t>
  </si>
  <si>
    <t>=LAMBDA(check, return, IFNA(XLOOKUP(MAX(check), check, return), ""))</t>
  </si>
  <si>
    <t>Returns the value paired with the maximum of a checked array.
Arguments:
  check  - array of numbers to take the maximum of.
  return - array (parallel to check) to return the matching value from.
Returns:
  The element of return aligned with the first occurrence of MAX(check), or "" if no match is found (e.g. an empty or all-text check).
Example:
  biggest(scores, names)  -&gt;  the name with the highest score</t>
  </si>
  <si>
    <t>=LAMBDA(st, LET(
   toVals, LAMBDA(txt, LET(
      seq, SEQUENCE(LEN(txt)),
      chars, MID(txt, seq, 1),
      codes, UNICODE(chars),
      isDie, (codes &gt;= 9856) * (codes &lt;= 9861),
      vals, FILTER(codes - 9855, isDie, ""),
      IF(ROWS(vals) * COLUMNS(vals) = 1, INDEX(vals, 1), vals)
   )),
   IF(
      ROWS(st) * COLUMNS(st) = 1,
      toVals(st),
      MAP(st, LAMBDA(cell, toVals(cell)))
   )
))</t>
  </si>
  <si>
    <t>Converts die-face pip glyphs to their numeric values.
Arguments:
  st - one or more die-face characters (⚀ ⚁ ⚂ ⚃ ⚄ ⚅), either concatenated in a string or as an array with one die per cell.
Returns:
  The pip value(s) as numbers. Cells with no die glyph return "" (blank), so it can be applied to mixed arrays. For multiple dice within a single cell, concatenate them into one string first.
Example:
  die_pips("⚄")  -&gt;  5</t>
  </si>
  <si>
    <t>=LAMBDA(arr, row_label, column_label,
   IFNA(
      INDEX(
         arr,
         XMATCH(row_label, INDEX(arr, , 1), 0),
         XMATCH(column_label, INDEX(arr, 1, ), 0)
      ),
      ""
   )
)</t>
  </si>
  <si>
    <t>Looks up a value in a labelled 2D table by row and column headers.
Arguments:
  arr          - a 2D array whose first column and first row hold the labels.
  row_label    - label to match in the first column.
  column_label - label to match in the first row.
Returns:
  The value at the intersection of the first matching row_label and column_label, or "" if either label is not found.
Example:
  label_lookup(tbl, "Mon", "Cost")</t>
  </si>
  <si>
    <t>=LAMBDA(cost_map, start_ref, [diag_allowed], LET(
   _nr, ROWS(cost_map),
   _nc, COLUMNS(cost_map),
   _c, IF(
      ROWS(start_ref) * COLUMNS(start_ref) = 1,
      LET(
         _n, num_ad(start_ref),
         HSTACK(
            INT(_n / 1000000) - MIN(ROW(cost_map)) + 1,
            MOD(_n, 1000000) - MIN(COLUMN(cost_map)) + 1
         )
      ),
      start_ref
   ),
   _rr, INDEX(_c, 1),
   _rc, INDEX(_c, 2),
   IF(
      OR(_rr &lt; 1, _rr &gt; _nr, _rc &lt; 1, _rc &gt; _nc),
      "X",
      LET(
         _dg, IF(ISOMITTED(diag_allowed), 1, diag_allowed),
         _rd, IF(_dg, {-1, 1, 0, 0, -1, -1, 1, 1}, {-1, 1, 0, 0}),
         _cd, IF(_dg, {0, 0, -1, 1, -1, 1, -1, 1}, {0, 0, -1, 1}),
         _sq, (INT(SEQUENCE(_nr, _nc, 0, 1) / _nc) + 1) &amp; "|"
            &amp; (MOD(SEQUENCE(_nr, _nc, 0, 1), _nc) + 1),
         _im, IF(
            (INT(SEQUENCE(_nr, _nc, 0, 1) / _nc) + 1) = _rr,
            IF((MOD(SEQUENCE(_nr, _nc, 0, 1), _nc) + 1) = _rc, 0, "X"),
            "X"
         ),
         z_route_worker(z_route_worker, _im, HSTACK(_rr, _rc, 0), cost_map, _nr, _nc, _rd, _cd, _sq)
      )
   )
))</t>
  </si>
  <si>
    <t>Least-cost distance from a start cell to every reachable cell (Dijkstra).
Arguments:
  cost_map       - a grid where numbers are entry costs and text cells are impassable walls.
  start_ref      - starting cell as A1 text, a numeric address (1e6*row+col), or a {row, col} coordinate pair (relative to the top-left of cost_map).
  [diag_allowed] - 1 to allow diagonal moves (default 1).
Returns:
  An array the same size as cost_map giving the minimum total cost to reach each cell. The destination cell's cost is included; the start cell's cost is ignored. Unreachable cells are left blank/impassable. A start point outside cost_map returns "X".
Note: the recursion is done by the private helper z_route_worker.</t>
  </si>
  <si>
    <t>=LAMBDA(check, return, IFNA(XLOOKUP(MIN(check), check, return), ""))</t>
  </si>
  <si>
    <t>Returns the value paired with the minimum of a checked array.
Arguments:
  check  - array of numbers to take the minimum of.
  return - array (parallel to check) to return the matching value from.
Returns:
  The element of return aligned with the first occurrence of MIN(check), or "" if no match is found (e.g. an empty or all-text check).
Example:
  smallest(scores, names)  -&gt;  the name with the lowest score</t>
  </si>
  <si>
    <t>=LAMBDA(arr, dir, LET(
   base, arr,
   is_scalar, AND(ROWS(base) = 1, COLUMNS(base) = 1),
   op_count, LEN(dir),
   apply_one, LAMBDA(cur, op, LET(
      row_count, ROWS(cur),
      col_count, COLUMNS(cur),
      IF(
         op = "↻",
         MAKEARRAY(
            col_count,
            row_count,
            LAMBDA(i, j, INDEX(cur, row_count - j + 1, i))
         ),
         IF(
            op = "↺",
            MAKEARRAY(
               col_count,
               row_count,
               LAMBDA(i, j, INDEX(cur, j, col_count - i + 1))
            ),
            IF(
               op = "↕",
               MAKEARRAY(
                  row_count,
                  col_count,
                  LAMBDA(i, j, INDEX(cur, row_count - i + 1, j))
               ),
               IF(
                  op = "↔",
                  MAKEARRAY(
                     row_count,
                     col_count,
                     LAMBDA(i, j, INDEX(cur, i, col_count - j + 1))
                  ),
                  #VALUE!
               )
            )
         )
      )
   )),
   IF(
      is_scalar,
      base,
      IF(
         op_count = 0,
         base,
         IF(
            op_count &gt; 2,
            #VALUE!,
            REDUCE(
               base,
               SEQUENCE(op_count),
               LAMBDA(cur, k, apply_one(cur, MID(dir, k, 1)))
            )
         )
      )
   )
))</t>
  </si>
  <si>
    <t>Rotates or flips a 2D array.
Arguments:
  arr - the array to transform.
  dir - one or two operation arrows: ↺ (rotate CCW), ↻ (rotate CW), ↕ (flip vertical), ↔ (flip horizontal). Concatenate two for a double operation ("↕↔", "↺↺").
Returns:
  The transformed array, or #VALUE! if dir contains an unrecognized operation or more than two operations.
Example:
  transform_array(board, "↻")</t>
  </si>
  <si>
    <t>=LAMBDA(value, array, [order], LET(
   rank_style_order, IF(ISOMITTED(order), 0, order),
   sort_style_order, IF(rank_style_order = 0, -1, 1),
   IFNA(XMATCH(value, SORT(TOCOL(array), 1, sort_style_order)), "")
))</t>
  </si>
  <si>
    <t>Rank of a value within an array.
Arguments:
  value   - the value to rank.
  array   - the set of values to rank within.
  [order] - 0 = descending (default), 1 = ascending.
Returns:
  The 1-based rank of value among array, or "" if value is not found in array.
Example:
  xrank(50, scores)</t>
  </si>
  <si>
    <t>=LAMBDA(rng, [show_addr], [clean], [dir], [snake], LET(
 _show, IF(ISOMITTED(show_addr), 1, show_addr),
 _clean, IF(ISOMITTED(clean), 1, clean),
 _in_dir, IF(ISOMITTED(dir), "→↓", dir),
 _snake, IF(ISOMITTED(snake), 0, snake),
 _len, LEN(_in_dir),
 _d, IF(
  _len = 2,
  _in_dir,
  IF(
   _len &lt;&gt; 1,
   #VALUE!,
   LET(
    char_one, _in_dir,
    is_vert, OR(char_one = "↑", char_one = "↓"),
    is_horz, OR(char_one = "←", char_one = "→"),
    IF(is_vert, char_one &amp; "→", IF(is_horz, char_one &amp; "↓", #VALUE!))
   )
  )
 ),
 first_char, LEFT(_d, 1),
 second_char, RIGHT(_d, 1),
 has_vert, OR(
  first_char = "↑",
  first_char = "↓",
  second_char = "↑",
  second_char = "↓"
 ),
 has_horz, OR(
  first_char = "←",
  first_char = "→",
  second_char = "←",
  second_char = "→"
 ),
 is_valid, AND(LEN(_d) = 2, has_vert, has_horz),
 IF(
  NOT(is_valid),
  #VALUE!,
  LET(
   op_h, IF(OR(first_char = "←", second_char = "←"), "↔", ""),
   op_v, IF(OR(first_char = "↑", second_char = "↑"), "↕", ""),
   need_transpose, OR(first_char = "↑", first_char = "↓"),
   ProcessGrid, LAMBDA(grid, LET(
    flipped, transform_array(grid, op_h &amp; op_v),
    oriented, IF(need_transpose, TRANSPOSE(flipped), flipped),
    rows_cnt, ROWS(oriented),
    cols_cnt, COLUMNS(oriented),
    IF(
     _snake,
     MAKEARRAY(
      rows_cnt,
      cols_cnt,
      LAMBDA(r_idx, c_idx,
       INDEX(
        oriented,
        r_idx,
        IF(ISODD(r_idx), c_idx, cols_cnt - c_idx + 1)
       )
      )
     ),
     oriented
    )
   )),
   val_grid, rng,
   addr_grid, ADDRESS(ROW(val_grid), COLUMN(val_grid), 4),
   flat_vals, TOCOL(ProcessGrid(val_grid)),
   flat_addrs, TOCOL(ProcessGrid(addr_grid)),
   base, IF(_show, HSTACK(flat_addrs, flat_vals), flat_vals),
   mask, IF(
    ISERROR(flat_vals),
    FALSE,
    (flat_vals &lt;&gt; "") * (NOT(ISBLANK(flat_vals)))
   ),
   IF(_clean, FILTER(base, mask), base)
  )
 )
))</t>
  </si>
  <si>
    <t>Flattens a 2D range into a single column, with scan and cleaning options.
Arguments:
  rng          - the range to flatten.
  [show_addr]  - 1 to also return a cell-address column (default 1).
  [clean]      - 1 to drop blanks, errors, and "" (default 1).
  [dir]        - scan order as arrows; "→↓" (default) is row-major (right, then down).
  [snake]      - 1 to snake back and forth across rows/columns (default 0).
Returns:
  The flattened values as a column (address + value when show_addr = 1). Returns #VALUE! if dir is not a valid one- or two-arrow scan direction.
Example:
  xtocol(A1:B5)</t>
  </si>
  <si>
    <t>VBA Unit Tests</t>
  </si>
  <si>
    <t>Group</t>
  </si>
  <si>
    <t>Result</t>
  </si>
  <si>
    <t>UNICODE_SPLIT</t>
  </si>
  <si>
    <t>abc -&gt; 3 rows</t>
  </si>
  <si>
    <t>3x1[a|b|c]</t>
  </si>
  <si>
    <t>PASS</t>
  </si>
  <si>
    <t>ab -&gt; 2 rows</t>
  </si>
  <si>
    <t>2x1[a|b]</t>
  </si>
  <si>
    <t>empty -&gt; ''</t>
  </si>
  <si>
    <t/>
  </si>
  <si>
    <t>get_color</t>
  </si>
  <si>
    <t>solid red</t>
  </si>
  <si>
    <t>#FF0000</t>
  </si>
  <si>
    <t>unfilled -&gt; white</t>
  </si>
  <si>
    <t>#FFFFFF</t>
  </si>
  <si>
    <t>solid black</t>
  </si>
  <si>
    <t>#000000</t>
  </si>
  <si>
    <t>sheet_names</t>
  </si>
  <si>
    <t>count matches workbook</t>
  </si>
  <si>
    <t>TRUE</t>
  </si>
  <si>
    <t>vertical (1 column)</t>
  </si>
  <si>
    <t>first element = sheet 1</t>
  </si>
  <si>
    <t>sheet_data</t>
  </si>
  <si>
    <t>stacked 2 sheets x B2:C3</t>
  </si>
  <si>
    <t>5x4[Sheet|Row|B|C|zz_fx1|2|1|2|zz_fx1|3|3|4|zz_fx2|2|5|6|zz_fx2|3|7|8]</t>
  </si>
  <si>
    <t>invalid sheet name -&gt; error</t>
  </si>
  <si>
    <t>C:\Users\easht\OneDrive\Documents\Excel Fun\MEWC\Cases\Knife Thrower</t>
  </si>
  <si>
    <t>Knife-Thrower-Mikoja-Rakotoalisoa-Case-and-Answers-wefug22.xlsx</t>
  </si>
  <si>
    <t>debug.xlsm</t>
  </si>
  <si>
    <t>get_color: A1 red / A2 unfilled / A3 black</t>
  </si>
  <si>
    <t>m</t>
  </si>
  <si>
    <t>cm</t>
  </si>
  <si>
    <t>km</t>
  </si>
  <si>
    <t>xconvert conversion table (From | Factor | To)</t>
  </si>
  <si>
    <t>no-diag open (A2:C4)</t>
  </si>
  <si>
    <t>with-diag open (E2:G4)</t>
  </si>
  <si>
    <t>no-diag + wall at B7:B8 (A7:C9)</t>
  </si>
  <si>
    <t>write_background_color: A1 was red, A2 was black</t>
  </si>
  <si>
    <t>fill_color: A1="X"/red (source, selected); A2 red (filled); A3 blue (untouched); B1 red formula (untouched)</t>
  </si>
  <si>
    <t>flood_fill: A1:B3 is the color-boundary case; D1:D2 is the border-boundary case</t>
  </si>
  <si>
    <t>Unique Values</t>
  </si>
  <si>
    <t>Counts</t>
  </si>
  <si>
    <t>aab</t>
  </si>
  <si>
    <t>Address</t>
  </si>
  <si>
    <t>ok</t>
  </si>
  <si>
    <t>=XLOOKUP(A2,Case!C1:C369,Case!H1:H369)</t>
  </si>
  <si>
    <t>=SUM(A1)</t>
  </si>
  <si>
    <t>GetReturnColumnNumber: C1 has a realistic XLOOKUP formula; C2 has too few colons</t>
  </si>
  <si>
    <t>Game</t>
  </si>
  <si>
    <t>Answer</t>
  </si>
  <si>
    <t>foo</t>
  </si>
  <si>
    <t>xconvert</t>
  </si>
  <si>
    <t>direct m-&gt;cm (2)</t>
  </si>
  <si>
    <t>200</t>
  </si>
  <si>
    <t>reverse cm-&gt;m (200)</t>
  </si>
  <si>
    <t>same unit m-&gt;m (5)</t>
  </si>
  <si>
    <t>multi-hop km-&gt;cm (2)</t>
  </si>
  <si>
    <t>200000</t>
  </si>
  <si>
    <t>no path -&gt; error</t>
  </si>
  <si>
    <t>malformed 2-col -&gt; #VALUE!</t>
  </si>
  <si>
    <t>maze_solver</t>
  </si>
  <si>
    <t>no-diag open 3x3</t>
  </si>
  <si>
    <t>3x3[0|1|2|1|2|3|2|3|4]</t>
  </si>
  <si>
    <t>with-diag open 3x3</t>
  </si>
  <si>
    <t>3x3[0|1|2|1|1|2|2|2|2]</t>
  </si>
  <si>
    <t>no-diag wall</t>
  </si>
  <si>
    <t>3x3[0|&lt;empty&gt;|6|1|&lt;empty&gt;|5|2|3|4]</t>
  </si>
  <si>
    <t>select_sheets</t>
  </si>
  <si>
    <t>first sheet active</t>
  </si>
  <si>
    <t>last sheet active</t>
  </si>
  <si>
    <t>write_background_color</t>
  </si>
  <si>
    <t>red -&gt; #FF0000</t>
  </si>
  <si>
    <t>black -&gt; #000000</t>
  </si>
  <si>
    <t>fill_color</t>
  </si>
  <si>
    <t>same-color blank filled with source value</t>
  </si>
  <si>
    <t>different-color blank left untouched</t>
  </si>
  <si>
    <t>&lt;empty&gt;</t>
  </si>
  <si>
    <t>formula cell not overwritten</t>
  </si>
  <si>
    <t>flood_fill</t>
  </si>
  <si>
    <t>flood-fills a same-color blank neighbor</t>
  </si>
  <si>
    <t>flood-fills through a chain of same-color blanks</t>
  </si>
  <si>
    <t>stops at a color-mismatched neighbor</t>
  </si>
  <si>
    <t>stops at a border even with matching color</t>
  </si>
  <si>
    <t>frequency_table</t>
  </si>
  <si>
    <t>creates a new Freqs* sheet</t>
  </si>
  <si>
    <t>new sheet name starts with Freqs</t>
  </si>
  <si>
    <t>header A1</t>
  </si>
  <si>
    <t>header B1</t>
  </si>
  <si>
    <t>row2 (sorted desc) value</t>
  </si>
  <si>
    <t>row2 count</t>
  </si>
  <si>
    <t>row3 value</t>
  </si>
  <si>
    <t>row3 count</t>
  </si>
  <si>
    <t>frequency_table_by_char</t>
  </si>
  <si>
    <t>creates a new FreqsChar* sheet</t>
  </si>
  <si>
    <t>new sheet name starts with FreqsChar</t>
  </si>
  <si>
    <t>row2 char (sorted desc)</t>
  </si>
  <si>
    <t>row2 unicode (AscW of 'a')</t>
  </si>
  <si>
    <t>97</t>
  </si>
  <si>
    <t>row3 char</t>
  </si>
  <si>
    <t>row3 unicode (AscW of 'b')</t>
  </si>
  <si>
    <t>98</t>
  </si>
  <si>
    <t>tall_board</t>
  </si>
  <si>
    <t>creates a new tall_board* sheet</t>
  </si>
  <si>
    <t>new sheet name starts with tall_board</t>
  </si>
  <si>
    <t>row2 Address</t>
  </si>
  <si>
    <t>row2 Value</t>
  </si>
  <si>
    <t>row2 Background Color</t>
  </si>
  <si>
    <t>ColNumToLetter</t>
  </si>
  <si>
    <t>column 1 -&gt; A</t>
  </si>
  <si>
    <t>column 26 -&gt; Z</t>
  </si>
  <si>
    <t>column 27 -&gt; AA</t>
  </si>
  <si>
    <t>AA</t>
  </si>
  <si>
    <t>column 28 -&gt; AB</t>
  </si>
  <si>
    <t>AB</t>
  </si>
  <si>
    <t>SheetExists</t>
  </si>
  <si>
    <t>existing sheet -&gt; True</t>
  </si>
  <si>
    <t>nonexistent sheet -&gt; False</t>
  </si>
  <si>
    <t>SanitizeRow</t>
  </si>
  <si>
    <t>2D row: error element -&gt; ''</t>
  </si>
  <si>
    <t>1x3[ok||5]</t>
  </si>
  <si>
    <t>scalar error -&gt; ''</t>
  </si>
  <si>
    <t>CountErrorCells</t>
  </si>
  <si>
    <t>counts the 2 error cells in UsedRange</t>
  </si>
  <si>
    <t>GetLastUsedRow/Col</t>
  </si>
  <si>
    <t>last used row = 5</t>
  </si>
  <si>
    <t>last used col = D (4)</t>
  </si>
  <si>
    <t>find_yellow</t>
  </si>
  <si>
    <t>finds the yellow cell's row in column B</t>
  </si>
  <si>
    <t>GetReturnColumnNumber</t>
  </si>
  <si>
    <t>XLOOKUP formula (real target is H) -&gt; currently always F (bug)</t>
  </si>
  <si>
    <t>formula with &lt;2 colons -&gt; 0</t>
  </si>
  <si>
    <t>make_level_data_table</t>
  </si>
  <si>
    <t>creates a new _Tn sheet</t>
  </si>
  <si>
    <t>new sheet name starts with _T</t>
  </si>
  <si>
    <t>header A1 copied</t>
  </si>
  <si>
    <t>header B1 copied</t>
  </si>
  <si>
    <t>A2 = first game number</t>
  </si>
  <si>
    <t>B4 yellow fill (drop target formula here)</t>
  </si>
  <si>
    <t>#FFFF00</t>
  </si>
  <si>
    <t>A5 = game numbers list starts here</t>
  </si>
  <si>
    <t>B2 XLOOKUP formula spills the matching row</t>
  </si>
  <si>
    <t>=XLOOKUP(A2,zz_tmsrc!$A$2,zz_tmsrc!$B$2)</t>
  </si>
  <si>
    <t>3 / 3 PASS</t>
  </si>
  <si>
    <t>2 / 2 PASS</t>
  </si>
  <si>
    <t>6 / 6 PASS</t>
  </si>
  <si>
    <t>4 / 4 PASS</t>
  </si>
  <si>
    <t>8 / 8 PASS</t>
  </si>
  <si>
    <t>1 / 1 PASS</t>
  </si>
  <si>
    <t>A1 string "D3"</t>
  </si>
  <si>
    <t>numeric 3000004 passes</t>
  </si>
  <si>
    <t>$D$3 absolute stripped</t>
  </si>
  <si>
    <t>$D$3</t>
  </si>
  <si>
    <t>as_row=1 -&gt; horizontal</t>
  </si>
  <si>
    <t>junk text -&gt; #VALUE!</t>
  </si>
  <si>
    <t>row 0 out of range</t>
  </si>
  <si>
    <t>max bounds XFD1048576</t>
  </si>
  <si>
    <t>XFD1048576</t>
  </si>
  <si>
    <t>numeric default (3,4)</t>
  </si>
  <si>
    <t>str=1 -&gt; A1 string</t>
  </si>
  <si>
    <t>row 0 -&gt; #VALUE!</t>
  </si>
  <si>
    <t>col past XFD -&gt; #VALUE!</t>
  </si>
  <si>
    <t>non-integer row -&gt; #VALUE!</t>
  </si>
  <si>
    <t>max bounds as string</t>
  </si>
  <si>
    <t>round-trips with ref_to_rc</t>
  </si>
  <si>
    <t>=LAMBDA(row_n, col_n, [str],
  LET(
    want_str, IF(ISOMITTED(str), 0, str),
    ok, IFERROR(AND(ISNUMBER(row_n), ISNUMBER(col_n),
                    row_n = INT(row_n), col_n = INT(col_n),
                    row_n &gt;= 1, row_n &lt;= 1048576,
                    col_n &gt;= 1, col_n &lt;= 16384), FALSE),
    IF(NOT(ok), #VALUE!,
       IF(want_str,
          str_ad(1000000 * row_n + col_n),
          1000000 * row_n + col_n))
  )
)</t>
  </si>
  <si>
    <t>empty sheet row = 0</t>
  </si>
  <si>
    <t>empty sheet col = 0</t>
  </si>
  <si>
    <t>row from inactive sheet = 5</t>
  </si>
  <si>
    <t>col from inactive sheet = 4</t>
  </si>
  <si>
    <t>z_ad_box(ref)</t>
  </si>
  <si>
    <t>z_is_ad(ref)</t>
  </si>
  <si>
    <t>=LAMBDA(ref, NOT(ISERROR(z_ad_box(ref))))</t>
  </si>
  <si>
    <t>is_lambda_test_sheet</t>
  </si>
  <si>
    <t>a lambda sheet is one</t>
  </si>
  <si>
    <t>Prep is not</t>
  </si>
  <si>
    <t>Lamb is not</t>
  </si>
  <si>
    <t>lambda_tests is not</t>
  </si>
  <si>
    <t>vba_tests is not</t>
  </si>
  <si>
    <t>zz_ fixture is not</t>
  </si>
  <si>
    <t>zz_ match is case-insensitive</t>
  </si>
  <si>
    <t>z_ helper name is one</t>
  </si>
  <si>
    <t>ad_to_cont(ad_or_rng, arr) - non-volatile INDIRECT: contents of arr at an address or range. Empty cells return "" (never 0). No overlap or a non-address returns "". Fixture: D7:F9 holds 10..90.</t>
  </si>
  <si>
    <t>A1 "E8" -&gt; 50</t>
  </si>
  <si>
    <t>A1 range "D7:E8" -&gt; 2x2</t>
  </si>
  <si>
    <t>numeric range "7000004:8000005" -&gt; 2x2</t>
  </si>
  <si>
    <t>out of bounds "Z99" -&gt; ""</t>
  </si>
  <si>
    <t>empty cell -&gt; "" (not 0)</t>
  </si>
  <si>
    <t>real zero preserved -&gt; 0</t>
  </si>
  <si>
    <t>ad_to_rc(ad, [as_row]) - split one address (numeric or A1 string) into its row and column. Vertical {row;col} by default, horizontal when as_row=1. A range, an array, or a non-address returns #VALUE!.</t>
  </si>
  <si>
    <t>cont_to_ad(cont, arr, [str]) - reverse lookup: value -&gt; address. Numeric by default, A1 when str=1; multiple matches joined by ";" in row-major order; not found returns "". Fixture: D7:F8.</t>
  </si>
  <si>
    <t>single match 9 -&gt; 7000006 (F7)</t>
  </si>
  <si>
    <t>multi 7 -&gt; "7000005;8000004"</t>
  </si>
  <si>
    <t>7000005;8000004</t>
  </si>
  <si>
    <t>str form: 9 -&gt; "F7"</t>
  </si>
  <si>
    <t>F7</t>
  </si>
  <si>
    <t>not found 100 -&gt; ""</t>
  </si>
  <si>
    <t>array {9;1} -&gt; {7000006;8000006}</t>
  </si>
  <si>
    <t>expand_rng(ad_or_rng,[r_down],[c_right],[r_up],[c_left]) - grow an address/range into a bigger rectangle, returned as a range string in the input's format. Clamps at row 1 / col 1. Array input -&gt; #VALUE!.</t>
  </si>
  <si>
    <t>grow "J10:K11" 1,2,0,4 -&gt; "F10:M12"</t>
  </si>
  <si>
    <t>grow "J10:K11" 1,2,0,4</t>
  </si>
  <si>
    <t>F10:M12</t>
  </si>
  <si>
    <t>grow "B3" up 10 -&gt; "B1:B3" (clamp)</t>
  </si>
  <si>
    <t>grow "B3" up 10</t>
  </si>
  <si>
    <t>B1:B3</t>
  </si>
  <si>
    <t>grow "B3" left 10 -&gt; "A3:B3" (clamp)</t>
  </si>
  <si>
    <t>grow "B3" left 10</t>
  </si>
  <si>
    <t>A3:B3</t>
  </si>
  <si>
    <t>numeric range down 1 -&gt; "1000001:2000002"</t>
  </si>
  <si>
    <t>numeric range down 1</t>
  </si>
  <si>
    <t>1000001:2000002</t>
  </si>
  <si>
    <t>single numeric, no grow -&gt; "3000004:3000004"</t>
  </si>
  <si>
    <t>single numeric, no grow</t>
  </si>
  <si>
    <t>3000004:3000004</t>
  </si>
  <si>
    <t>array input -&gt; #VALUE!</t>
  </si>
  <si>
    <t>negative/non-int arg -&gt; #VALUE!</t>
  </si>
  <si>
    <t>num_ad(ad_or_rng) - any address/range -&gt; numeric address(es). String address -&gt; number; range -&gt; array; empty -&gt; ""; else passthrough.</t>
  </si>
  <si>
    <t>range "A1:B2" -&gt; 2x2 numeric</t>
  </si>
  <si>
    <t>A1:B2</t>
  </si>
  <si>
    <t>numeric range "1000001:1000002" -&gt; {1000001,1000002}</t>
  </si>
  <si>
    <t>1000001:1000002</t>
  </si>
  <si>
    <t>empty -&gt; "" (not 0)</t>
  </si>
  <si>
    <t>rc_to_ad(row_n, col_n, [str]) - build an address from a row and column. Numeric address by default, A1 string when str=1. Out-of-range or non-integer inputs return #VALUE!.</t>
  </si>
  <si>
    <t>str_ad(ad_or_rng) - any address/range -&gt; A1 string address(es). Numeric address -&gt; "D3"; range -&gt; array of A1 strings; empty -&gt; ""; else passthrough.</t>
  </si>
  <si>
    <t>numeric range "1000001:2000002" -&gt; A1 2x2</t>
  </si>
  <si>
    <t>A1 range "B2:C2" -&gt; {"B2","C2"}</t>
  </si>
  <si>
    <t>B2:C2</t>
  </si>
  <si>
    <t>ad_to_cont(ad_or_rng, arr)</t>
  </si>
  <si>
    <t>Non-volatile INDIRECT: the contents of arr at an address or range. A single address gives one value; a range gives the array of contents where it overlaps arr; an array of addresses gives their contents element-wise. Empty cells return "" (never 0). No overlap, or a non-address, returns "".</t>
  </si>
  <si>
    <t>Non-volatile alternative to INDIRECT: reads values out of arr by address. The lookup half of the old addr_lookup, split off so the direction is never ambiguous.
arr need not start at A1, and may be on another sheet (e.g. data!A4:F5). Addresses are absolute sheet coordinates, resolved against arr's own top-left corner, so the "C3" you would type on the sheet is the "C3" this reads.
Behaviour by input:
  single address inside arr      -&gt; the value there
  range overlapping arr          -&gt; an array of the overlapping contents
  address/range not touching arr -&gt; ""
  any other single value         -&gt; ""
  an array of addresses          -&gt; element-wise contents; any element that is not a single address (a range, junk) -&gt; ""
Empty cells come back as "" rather than 0 - fake coerced zeros corrupt later aggregates. Address parsing is shared with the library via z_ad_box.
Arguments:
  ad_or_rng - a numeric address, A1 string, A1 range, numeric range, or an array of single addresses.
  arr       - the source range to read from.
Returns:
  A single value, a rectangle of values, or an element-wise array of values; "" wherever there is no valid, overlapping address.
Example:
  ad_to_cont("C3", B2:Z10)      -&gt;  the value at C3
  ad_to_cont("C3:D4", B2:Z10)   -&gt;  the 2x2 block C3:D4
  ad_to_cont(3000004, grid)     -&gt;  the value at C3... (numeric form)</t>
  </si>
  <si>
    <t>ad_to_rc(ad, [as_row])</t>
  </si>
  <si>
    <t>Split a single address (numeric or A1 string) into its row and column numbers. Returns {row; col} vertically by default, or {row, col} horizontally when as_row = 1. A range, an array, or any non-address returns #VALUE!.</t>
  </si>
  <si>
    <t>=LAMBDA(ad, [as_row],
  LET(
    wide, IF(ISOMITTED(as_row), 0, as_row),
    single, ROWS(ad) * COLUMNS(ad) = 1,
    box, IFERROR(z_ad_box(ad), 0),
    ok, IFERROR(AND(single, COUNT(box) = 4, INDEX(box, 1) = INDEX(box, 3), INDEX(box, 2) = INDEX(box, 4)), FALSE),
    IF(NOT(ok), #VALUE!,
       IF(wide, HSTACK(INDEX(box, 1), INDEX(box, 2)),
                VSTACK(INDEX(box, 1), INDEX(box, 2))))
  )
)</t>
  </si>
  <si>
    <t>Split one cell address into its row and column numbers. The inverse of rc_to_ad.
The address is autodetected: pass a numeric address (3000004) or an A1 string ("D3"). Parsing is shared with the rest of the library via z_ad_box, so "$D$3", "Sheet1!D3" and lower case all work.
Single cells only. A range (of either type), a multi-cell array, or any value that is not a valid single address returns #VALUE! - z_ad_box gives a box whose top = bottom and left = right exactly when the input is a single cell, and that is what this checks.
Arguments:
  ad       - a single cell address, numeric or A1 string.
  [as_row] - 0 (default) returns a 2-row vertical array; 1 returns a 2-column horizontal array.
Returns:
  The row and column as two numbers, in that order - vertical by default, horizontal when as_row = 1. #VALUE! for a range, an array, or a non-address.
Example:
  ad_to_rc("D3")      -&gt;  {3; 4}
  ad_to_rc(3000004)   -&gt;  {3; 4}
  ad_to_rc("D3", 1)   -&gt;  {3, 4}
  ad_to_rc("A1:B4")   -&gt;  #VALUE!
  ad_to_rc("hi")      -&gt;  #VALUE!</t>
  </si>
  <si>
    <t>cont_to_ad(cont, arr, [str])</t>
  </si>
  <si>
    <t>Reverse lookup: find a value in arr and return its address. Numeric address by default, A1 string when str = 1. A value appearing several times returns all its addresses in row-major order joined by ";". A value not found returns "". An array of values is evaluated element-wise.</t>
  </si>
  <si>
    <t>=LAMBDA(cont, arr, [str],
  LET(
    want_str, IF(ISOMITTED(str), 0, str),
    s_row, ROW(INDEX(arr, 1, 1)),
    s_col, COLUMN(INDEX(arr, 1, 1)),
    a_rows, ROWS(arr),
    a_cols, COLUMNS(arr),
    ncell, a_rows * a_cols,
    flat, TOROW(arr),
    idx, SEQUENCE(1, ncell),
    abs_row, s_row + INT((idx - 1) / a_cols),
    abs_col, s_col + MOD(idx - 1, a_cols),
    addr, IF(want_str, ADDRESS(abs_row, abs_col, 4), 1000000 * abs_row + abs_col),
    one_val, LAMBDA(target,
      LET(hit, flat = target, hit_count, SUM(--hit),
        IF(hit_count = 0, "",
          IF(hit_count = 1, INDEX(FILTER(addr, hit), 1),
            TEXTJOIN(";", TRUE, FILTER(addr, hit)))))),
    IF(ROWS(cont) * COLUMNS(cont) &gt; 1, MAP(cont, one_val), one_val(cont))
  )
)</t>
  </si>
  <si>
    <t>Reverse lookup: value to address. The other half of the old addr_lookup, split off so the direction is never ambiguous.
arr need not start at A1, and may be on another sheet. Addresses returned are absolute sheet coordinates matching arr's real position. Scanning is row-major (left to right, then down), so the first match is the top-left-most occurrence.
Matching follows Excel's = operator, i.e. the same rules as XMATCH: case-insensitive for text, and type-strict between text and numbers (searching 5 does not match the text "5").
A value found once returns a single address (a number, or an A1 string when str = 1). A value found more than once returns every address in row-major order, joined by ";" into one string ("1000001;2000003" or "A1;C2") - a delimited string rather than a spilled array, so the result stays a single value even inside an array. A value not found returns "".
Arguments:
  cont  - the value to find, or an array of values.
  arr   - the range to search.
  [str] - 0 (default) returns numeric addresses; 1 returns A1 strings.
Returns:
  The address of the match, a ";"-joined list of addresses for multiple matches, or "" when not found; element-wise over an array of values.
Example:
  cont_to_ad(50, B2:Z10)        -&gt;  the numeric address of the first 50
  cont_to_ad(50, B2:Z10, 1)     -&gt;  the A1 address of the first 50
  cont_to_ad("x", grid)         -&gt;  "1000001;3000004"  (two matches)</t>
  </si>
  <si>
    <t>expand_rng(ad_or_rng, [r_down], [c_right], [r_up], [c_left])</t>
  </si>
  <si>
    <t>Grow an address or range into a bigger rectangle and return it as a range string. Expands r_down rows down, c_right cols right, r_up rows up, c_left cols left (all 0 by default, non-negative integers). Clamps at row 1 / col 1. Output format mirrors the input (A1 or numeric). An array input, or a bad optional, returns #VALUE!.</t>
  </si>
  <si>
    <t>Grow an address or range into a bigger rectangle, working purely on coordinates - it never reads or cares about the cell contents.
Starting from the box of ad_or_rng, it extends the bottom edge down by r_down, the right edge right by c_right, the top edge up by r_up, and the left edge left by c_left. Any edge pushed past the sheet is clamped to row 1 or column 1.
The result is always a range string of the form "top-left:bottom-right", and its format mirrors the input: an A1 input gives an A1 range ("F10:M12"); a numeric input gives a numeric range ("1000001:4000002"). Even a single cell with no expansion comes back as a (degenerate) range string, so downstream callers like ad_to_cont always receive a consistent range form.
ad_or_rng must be a single value of any of the four supported address/range types; an array returns #VALUE!. Each optional must be a non-negative integer, or the result is #VALUE!.
Arguments:
  ad_or_rng - a single numeric address, A1 string, A1 range, or numeric range.
  [r_down]  - rows to add below   (default 0).
  [c_right] - columns to add right (default 0).
  [r_up]    - rows to add above    (default 0).
  [c_left]  - columns to add left  (default 0).
Returns:
  A range string covering the expanded rectangle, in the input's format. #VALUE! for an array input or a negative/non-integer optional.
Example:
  expand_rng("J10:K11", 1, 2, 0, 4)  -&gt;  "F10:M12"
  expand_rng("B3", 0, 0, 10, 0)       -&gt;  "B1:B3"
  expand_rng("B3", 0, 0, 0, 10)       -&gt;  "A3:B3"</t>
  </si>
  <si>
    <t>Checks whether all values in the array are unique; returns TRUE/FALSE. Case-insensitive, so {"A","a"} is not unique. Combine with str_to_arr to test character by character.</t>
  </si>
  <si>
    <t>Tests whether every value in an array is distinct.
Arguments:
  arr - the array to test.
Returns:
  TRUE if all values are unique, FALSE otherwise. Comparison is case-insensitive ({"A","a"} is not unique).
Notes:
  Combine with str_to_arr to check a string character by character.</t>
  </si>
  <si>
    <t>num_ad(ad_or_rng)</t>
  </si>
  <si>
    <t>rc_to_ad(row_n, col_n, [str])</t>
  </si>
  <si>
    <t>Build an address from a row and column number. Returns the numeric address (1e6*row+col) by default, or an A1 string ("D3") when str = 1. Out-of-range or non-integer inputs return #VALUE!.</t>
  </si>
  <si>
    <t>Build an address from a row and column number. The inverse of ad_to_rc.
Numeric output is the project's standard packed address (1e6 * row + col). The string form is produced via str_ad, so it matches the relative A1 style used everywhere else in the library.
Arguments:
  row_n - row number, 1 to 1048576.
  col_n - column number, 1 to 16384.
  [str] - 0 (default) returns the numeric address; 1 returns an A1 string.
Returns:
  The address in the requested form. Returns #VALUE! if either coordinate is non-numeric, non-integer, or outside the sheet.
Example:
  rc_to_ad(3, 4)     -&gt;  3000004
  rc_to_ad(3, 4, 1)  -&gt;  "D3"
  rc_to_ad(0, 4)     -&gt;  #VALUE!</t>
  </si>
  <si>
    <t>str_ad(ad_or_rng)</t>
  </si>
  <si>
    <t>Convert any address or range to an A1 string address or an array of them. A numeric address becomes its A1 string; a range (A1 or numeric) expands to an array of A1 strings top-left to bottom-right; empty becomes ""; anything else passes through. Element-wise over an array (ranges inside an array pass through).</t>
  </si>
  <si>
    <t>Convert any address or range to A1 string form - the mirror of num_ad, matching the relative A1 style used across the library.
Behaviour by input:
  valid numeric address (3000004)        -&gt; the A1 string ("D3")
  valid A1 range ("A1:B4")               -&gt; an array of A1 strings, top-left first, bottom-right last
  valid numeric range ("1000001:4000002")-&gt; the same array of A1 strings
  empty                                  -&gt; "" (never coerced to 0)
  any other single value                 -&gt; passed through unchanged (a string address is already A1, so it is returned as is)
  an array                               -&gt; element-wise; numeric addresses convert, everything else (including ranges) passes through
A single address returns a scalar. Ranges expand only when passed as a single value; inside an array they pass through, since expanding one element into many would need a ragged result Excel cannot make. Strings are produced with ADDRESS(..., 4) for relative style. Parsing is shared with num_ad and the rest of the library via z_numval / z_ad_box.
Arguments:
  ad_or_rng - a numeric address, A1 string, A1 range, numeric range, or an array of these.
Returns:
  An A1 string for a single address, an array of A1 strings for a single range, "" for empty, the input unchanged otherwise; element-wise over an array.
Example:
  str_ad(3000004)             -&gt;  "D3"
  str_ad("1000001:2000002")   -&gt;  {"A1", "B1"; "A2", "B2"}
  str_ad("D3")                -&gt;  "D3"
  str_ad("hi")                -&gt;  "hi"</t>
  </si>
  <si>
    <t>str_to_arr(str_or_array, [as_row])</t>
  </si>
  <si>
    <t>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t>
  </si>
  <si>
    <t>z_a1n(a1_str)</t>
  </si>
  <si>
    <t>Helper: one A1 string ("D3", "$D$3", "Sheet1!D3") to its numeric address (1e6*row+col). Returns #VALUE! for anything that is not a single valid A1 cell reference - including numbers, ranges, and junk text.</t>
  </si>
  <si>
    <t>=LAMBDA(a1_str,
  IFERROR(
    LET(
      s, UPPER(SUBSTITUTE(IFERROR(TEXTAFTER(a1_str, "!"), a1_str), "$", "")),
      IF(NOT(REGEXTEST(s, "^[A-Z]{1,3}[0-9]+$")), #VALUE!,
        LET(
          letters, REGEXEXTRACT(s, "[A-Z]+"),
          row_num, VALUE(REGEXEXTRACT(s, "[0-9]+")),
          nlet, LEN(letters),
          seq, SEQUENCE(nlet),
          col, SUM((CODE(MID(letters, seq, 1)) - 64) * 26 ^ (nlet - seq)),
          IF(OR(col &gt; 16384, row_num &gt; 1048576, row_num &lt; 1), #VALUE!, 1000000 * row_num + col)))
    ), #VALUE!)
)</t>
  </si>
  <si>
    <t>Private leaf helper - the single place that knows how to turn an A1 string into the project's packed numeric address (1e6 * row + col).
Kept separate from num_ad so that z_ad_box (and through it num_ad itself) can parse A1 strings without any lambda calling back into num_ad, which would be a circular reference.
Strips a "$" absolute marker and a "Sheet!" prefix, and is case-insensitive. Rejects a reference whose column exceeds XFD (16384) or whose row exceeds 1048576.
Arguments:
  a1_str - a single A1 cell reference as text.
Returns:
  The numeric address, or #VALUE! if a1_str is not a single valid A1 reference (a number, a range with ":", or junk all return #VALUE!).
Example:
  z_a1n("D3")        -&gt;  3000004
  z_a1n("$D$3")      -&gt;  3000004
  z_a1n("A1:B4")     -&gt;  #VALUE!
  z_a1n(3000004)     -&gt;  #VALUE!</t>
  </si>
  <si>
    <t>Helper: bounding box of any address or range, as {top; left; bottom; right} absolute row/column numbers. Accepts all four types - numeric address, A1 string, A1 range ("B2:D4"), numeric range ("1000001:4000002"). Returns #VALUE! for anything else.</t>
  </si>
  <si>
    <t>=LAMBDA(ref,
  IFERROR(
    IF(AND(ISTEXT(ref), ISNUMBER(SEARCH(":", ref))),
      LET(
        clean, UPPER(SUBSTITUTE(ref, "$", "")),
        part_a, TEXTBEFORE(clean, ":"), part_b, TEXTAFTER(clean, ":"),
        addr_a, IFERROR(z_a1n(part_a), -1), addr_b, IFERROR(z_a1n(part_b), -1),
        num_a, IFERROR(z_numval(part_a), -1), num_b, IFERROR(z_numval(part_b), -1),
        IF(AND(addr_a &gt; 0, addr_b &gt; 0),
          VSTACK(MIN(INT(addr_a / 1000000), INT(addr_b / 1000000)), MIN(MOD(addr_a, 1000000), MOD(addr_b, 1000000)),
                 MAX(INT(addr_a / 1000000), INT(addr_b / 1000000)), MAX(MOD(addr_a, 1000000), MOD(addr_b, 1000000))),
          IF(AND(num_a &gt; 0, num_b &gt; 0, INT(num_a / 1000000) &lt;= INT(num_b / 1000000), MOD(num_a, 1000000) &lt;= MOD(num_b, 1000000)),
            VSTACK(INT(num_a / 1000000), MOD(num_a, 1000000), INT(num_b / 1000000), MOD(num_b, 1000000)),
            #VALUE!))),
      LET(
        packed, IF(ISNUMBER(ref), z_numval(ref), z_a1n(ref)),
        row_num, INT(packed / 1000000), col_num, MOD(packed, 1000000),
        VSTACK(row_num, col_num, row_num, col_num))
    ), #VALUE!)
)</t>
  </si>
  <si>
    <t>Private helper - the one parser the whole address library shares, so callers do not each re-implement address/range validation. num_ad, str_ad, ad_to_rc, ad_to_cont and expand_rng all build on it.
Handles every supported form:
  numeric address (3000004)              -&gt; degenerate box, top = bottom
  A1 string ("D3")                       -&gt; degenerate box
  A1 range ("B2:D4", reversed ok)        -&gt; normalised box, top &lt;= bottom
  numeric range ("1000001:4000002")      -&gt; box, but ONLY if first &lt;= second
A1 ranges are normalised with MIN/MAX so "D4:B2" and "B2:D4" give the same box. Numeric ranges are held to the stricter rule from the spec: the first address's row and column must each be &lt;= the second's, otherwise it is not a valid numeric range.
A single cell is the degenerate box where top = bottom and left = right - that is how a caller tells a cell from a range. Parsing is delegated to z_a1n and z_numval, never to num_ad, so there is no circular reference.
Arguments:
  ref - a numeric address, an A1 string, an A1 range, or a numeric range.
Returns:
  A 4-row vertical array {top; left; bottom; right} of absolute row/column numbers, or #VALUE! if ref is not one of the four supported forms.
Example:
  z_ad_box("D3")                -&gt;  {3; 4; 3; 4}
  z_ad_box("B2:D4")             -&gt;  {2; 2; 4; 4}
  z_ad_box("1000001:4000002")   -&gt;  {1; 1; 4; 2}
  z_ad_box("hi")                -&gt;  #VALUE!</t>
  </si>
  <si>
    <t>Helper: TRUE if ref is a valid address or range of any of the four types (numeric address, A1 string, A1 range, numeric range). FALSE for plain data values.</t>
  </si>
  <si>
    <t>Private helper. Answers "is this an address/range, or is it data?" - the yes/no needed whenever a lambda has to tell a coordinate from a value.
Thin wrapper over z_ad_box, so the two can never disagree about what counts as valid. Use z_is_ad when you only need the boolean; use z_ad_box when you also need the bounds, so the parse is done once.
Validity is about form, not about any particular sheet: an address well outside your data is still a valid address. A number only reads as an address if it decodes to a real cell, so ordinary small values (1, 42, 5000) are correctly seen as data.
Arguments:
  ref - the value to test. Pass a single value, not an array.
Returns:
  TRUE or FALSE.
Example:
  z_is_ad("D3")                -&gt;  TRUE
  z_is_ad(3000004)             -&gt;  TRUE
  z_is_ad("B2:D4")             -&gt;  TRUE
  z_is_ad("1000001:4000002")   -&gt;  TRUE
  z_is_ad("hi")                -&gt;  FALSE
  z_is_ad(42)                  -&gt;  FALSE</t>
  </si>
  <si>
    <t>z_numval(val)</t>
  </si>
  <si>
    <t>Helper: validate val as a numeric address. Returns the number when val (a number, or a digit string like "1000001") is a positive integer with row in 1..1048576 and column in 1..16384; otherwise #VALUE!.</t>
  </si>
  <si>
    <t>=LAMBDA(val,
  IFERROR(
    LET(num, val * 1,
      IF(AND(num = INT(num), num &gt; 0,
             MOD(num, 1000000) &gt;= 1, MOD(num, 1000000) &lt;= 16384,
             INT(num / 1000000) &gt;= 1, INT(num / 1000000) &lt;= 1048576),
         num, #VALUE!)),
    #VALUE!)
)</t>
  </si>
  <si>
    <t>Private leaf helper - the single definition of "is this number a valid numeric address", using the exact rule: a positive integer where MOD(x, 1e6) is 1..16384 (the column) and INT(x / 1e6) is 1..1048576 (the row).
Accepts either a real number or a digit string ("1000001"), because the halves of a numeric range ("1000001:4000002") arrive as strings after splitting on ":". Coercion is a bare val * 1, so genuine text ("A1", "hi") errors out to #VALUE!.
Arguments:
  val - a number or a numeric string to validate.
Returns:
  The number itself when it is a valid numeric address, else #VALUE!.
Example:
  z_numval(3000004)    -&gt;  3000004
  z_numval("1000001")  -&gt;  1000001
  z_numval(42)         -&gt;  #VALUE!
  z_numval("A1")       -&gt;  #VALUE!</t>
  </si>
  <si>
    <t>79 / 79 PASS</t>
  </si>
  <si>
    <t>=LAMBDA(ad_or_rng, arr,
  LET(
    s_row, ROW(INDEX(arr, 1, 1)),
    s_col, COLUMN(INDEX(arr, 1, 1)),
    a_rows, ROWS(arr),
    a_cols, COLUMNS(arr),
    cell_at, LAMBDA(one, IFERROR(
      LET(box, z_ad_box(one),
        IF(OR(INDEX(box, 1) &lt;&gt; INDEX(box, 3), INDEX(box, 2) &lt;&gt; INDEX(box, 4)), "",
          LET(rel_r, INDEX(box, 1) - s_row + 1, rel_c, INDEX(box, 2) - s_col + 1,
            IF(OR(rel_r &lt; 1, rel_r &gt; a_rows, rel_c &lt; 1, rel_c &gt; a_cols), "",
              LET(cval, INDEX(arr, rel_r, rel_c), IF(cval = "", "", cval)))))), "")),
    box0, IFERROR(z_ad_box(ad_or_rng), 0),
    is_rng, IFERROR(AND(COUNT(box0) = 4, OR(INDEX(box0, 1) &lt;&gt; INDEX(box0, 3), INDEX(box0, 2) &lt;&gt; INDEX(box0, 4))), FALSE),
    IF(ROWS(ad_or_rng) * COLUMNS(ad_or_rng) &gt; 1, MAP(ad_or_rng, cell_at),
      IF(is_rng,
        LET(top, SUM(INDEX(box0, 1)), lft, SUM(INDEX(box0, 2)), bot, SUM(INDEX(box0, 3)), rgt, SUM(INDEX(box0, 4)),
            i_top, MAX(s_row, top), i_lft, MAX(s_col, lft),
            i_bot, MIN(s_row + a_rows - 1, bot), i_rgt, MIN(s_col + a_cols - 1, rgt),
            IF(OR(i_top &gt; i_bot, i_lft &gt; i_rgt), "",
              LET(block, TAKE(DROP(arr, i_top - s_row, i_lft - s_col), i_bot - i_top + 1, i_rgt - i_lft + 1),
                  IF(block = "", "", block)))),
        cell_at(ad_or_rng)))
  )
)</t>
  </si>
  <si>
    <t>=LAMBDA(ad_or_rng, [r_down], [c_right], [r_up], [c_left],
  LET(
    grow_down, IF(ISOMITTED(r_down), 0, r_down),
    grow_right, IF(ISOMITTED(c_right), 0, c_right),
    grow_up, IF(ISOMITTED(r_up), 0, r_up),
    grow_left, IF(ISOMITTED(c_left), 0, c_left),
    single, ROWS(ad_or_rng) * COLUMNS(ad_or_rng) = 1,
    ok_int, LAMBDA(x, IFERROR(AND(ISNUMBER(x), x = INT(x), x &gt;= 0), FALSE)),
    args_ok, AND(ok_int(grow_down), ok_int(grow_right), ok_int(grow_up), ok_int(grow_left)),
    box, IFERROR(z_ad_box(ad_or_rng), 0),
    IF(OR(NOT(single), NOT(args_ok), COUNT(box) &lt;&gt; 4), #VALUE!,
      LET(
        top, MAX(1, SUM(INDEX(box, 1)) - grow_up),
        lft, MAX(1, SUM(INDEX(box, 2)) - grow_left),
        bot, MIN(1048576, SUM(INDEX(box, 3)) + grow_down),
        rgt, MIN(16384, SUM(INDEX(box, 4)) + grow_right),
        num_fmt, OR(ISNUMBER(ad_or_rng), AND(ISTEXT(ad_or_rng), NOT(REGEXTEST(ad_or_rng, "[A-Za-z]")))),
        corner_tl, IF(num_fmt, 1000000 * top + lft, ADDRESS(top, lft, 4)),
        corner_br, IF(num_fmt, 1000000 * bot + rgt, ADDRESS(bot, rgt, 4)),
        corner_tl &amp; ":" &amp; corner_br))
  )
)</t>
  </si>
  <si>
    <t>=LAMBDA(ad_or_rng,
  LET(
    to_str_1, LAMBDA(one, IF(one = "", "",
      IFERROR(LET(num, z_numval(one), ADDRESS(INT(num / 1000000), MOD(num, 1000000), 4)), one))),
    IF(ROWS(ad_or_rng) * COLUMNS(ad_or_rng) &gt; 1,
      MAP(ad_or_rng, to_str_1),
      LET(
        has_colon, AND(ISTEXT(ad_or_rng), ISNUMBER(SEARCH(":", ad_or_rng))),
        box, IFERROR(z_ad_box(ad_or_rng), 0),
        IF(AND(has_colon, COUNT(box) = 4),
          LET(top, SUM(INDEX(box, 1)), lft, SUM(INDEX(box, 2)), bot, SUM(INDEX(box, 3)), rgt, SUM(INDEX(box, 4)),
              MAKEARRAY(bot - top + 1, rgt - lft + 1, LAMBDA(dr, dc, ADDRESS(top + dr - 1, lft + dc - 1, 4)))),
          to_str_1(ad_or_rng))))
  )
)</t>
  </si>
  <si>
    <t>make_change(coins, price)</t>
  </si>
  <si>
    <t>scan2(start_a, start_b, arr, lambda_a, lambda_b)</t>
  </si>
  <si>
    <t>Like SCAN but carries TWO accumulators. For each item of arr it updates a and b together; lambda_a and lambda_b each receive (a, b, item) and return the next a and next b. Returns a 2-column array of the running (a, b) after each item.</t>
  </si>
  <si>
    <t>=LAMBDA(start_a, start_b, arr, lambda_a, lambda_b, LET(
   vec, TOCOL(arr),
   seeded, REDUCE(HSTACK(start_a, start_b), vec, LAMBDA(acc, item, LET(
      cur_a, INDEX(acc, ROWS(acc), 1),
      cur_b, INDEX(acc, ROWS(acc), 2),
      VSTACK(acc, HSTACK(lambda_a(cur_a, cur_b, item), lambda_b(cur_a, cur_b, item)))
   ))),
   DROP(seeded, 1)
))</t>
  </si>
  <si>
    <t>A two-accumulator SCAN. Ordinary SCAN can only carry one scalar accumulator, so carrying two values forces you to concatenate them into one; scan2 threads two independent accumulators for you.
Arguments:
  start_a  - initial value of the first accumulator.
  start_b  - initial value of the second accumulator.
  arr      - the items to iterate over (flattened top-to-bottom, like TOCOL).
  lambda_a - LAMBDA(a, b, item) returning the next value of accumulator a. It sees the CURRENT a and b and the current item.
  lambda_b - LAMBDA(a, b, item) returning the next value of accumulator b (also sees the current a and b).
Returns:
  A 2-column array with one row per item of arr: column 1 is the running a, column 2 is the running b, each taken AFTER that item is processed (matching SCAN's per-item semantics). Take the last row for the final pair.
Both new values are computed from the PRE-update a and b, so lambda_a and lambda_b can reference each other's previous value. Accumulators should be scalars (numbers or text), like SCAN.
Example - running sum in a, running max in b, over {3;1;4;1;5}:
  scan2(0, -1E+308, {3;1;4;1;5}, LAMBDA(a,b,x, a + x), LAMBDA(a,b,x, MAX(b, x)))
  -&gt; {3,3; 4,3; 8,4; 9,4; 14,5}
Note: builds the result by appending rows (order n^2), so it suits small/medium arrays. See scan3 for three accumulators.</t>
  </si>
  <si>
    <t>scan3(start_a, start_b, start_c, arr, lambda_a, lambda_b, lambda_c)</t>
  </si>
  <si>
    <t>Like SCAN but carries THREE accumulators. For each item of arr it updates a, b and c together; lambda_a/lambda_b/lambda_c each receive (a, b, c, item) and return the next value of that accumulator. Returns a 3-column array of the running (a, b, c) after each item.</t>
  </si>
  <si>
    <t>=LAMBDA(start_a, start_b, start_c, arr, lambda_a, lambda_b, lambda_c, LET(
   vec, TOCOL(arr),
   seeded, REDUCE(HSTACK(start_a, start_b, start_c), vec, LAMBDA(acc, item, LET(
      cur_a, INDEX(acc, ROWS(acc), 1),
      cur_b, INDEX(acc, ROWS(acc), 2),
      cur_c, INDEX(acc, ROWS(acc), 3),
      VSTACK(acc, HSTACK(
         lambda_a(cur_a, cur_b, cur_c, item),
         lambda_b(cur_a, cur_b, cur_c, item),
         lambda_c(cur_a, cur_b, cur_c, item)
      ))
   ))),
   DROP(seeded, 1)
))</t>
  </si>
  <si>
    <t>A three-accumulator SCAN. Threads three independent accumulators through arr so you don't have to pack them into one.
Arguments:
  start_a, start_b, start_c - initial values of the three accumulators.
  arr      - the items to iterate over (flattened top-to-bottom, like TOCOL).
  lambda_a - LAMBDA(a, b, c, item) returning the next a (sees current a, b, c and the item).
  lambda_b - LAMBDA(a, b, c, item) returning the next b.
  lambda_c - LAMBDA(a, b, c, item) returning the next c.
Returns:
  A 3-column array with one row per item of arr: columns 1/2/3 are the running a/b/c AFTER that item is processed (matching SCAN's per-item semantics). Take the last row for the final triple.
All three new values are computed from the PRE-update a, b and c, so the update lambdas can reference each other's previous values. Accumulators should be scalars (numbers or text), like SCAN.
Example - running sum, running product, running count over {2;3;4}:
  scan3(0, 1, 0, {2;3;4}, LAMBDA(a,b,c,x, a+x), LAMBDA(a,b,c,x, b*x), LAMBDA(a,b,c,x, c+1))
  -&gt; {2,2,1; 5,6,2; 9,24,3}
Note: builds the result by appending rows (order n^2), so it suits small/medium arrays. See scan2 for two accumulators.</t>
  </si>
  <si>
    <t>{1;0.5;0.25;0.05} @ 4.34 -&gt; 4,0,1,1</t>
  </si>
  <si>
    <t>{2;1;0.5} @ 5 -&gt; 2,1,0</t>
  </si>
  <si>
    <t>price below smallest coin -&gt; all zeros</t>
  </si>
  <si>
    <t>barbell plates {50;40;30;20;10;5;2.5} @ 117.5 -&gt; 2,0,0,0,1,1,1 (heaviest-first)</t>
  </si>
  <si>
    <t>scan2(start_a, start_b, arr, lambda_a, lambda_b) - two-accumulator SCAN; running (a,b) per item as 2 columns</t>
  </si>
  <si>
    <t>Expected (a,b)</t>
  </si>
  <si>
    <t>running sum &amp; running max over {3;1;4;1;5}, start 0,0</t>
  </si>
  <si>
    <t>running sum &amp; running count over {10;20;30}, start 0,0</t>
  </si>
  <si>
    <t>cross-ref Fibonacci: a'=b, b'=a+b, start 0,1</t>
  </si>
  <si>
    <t>scan3(start_a, start_b, start_c, arr, lambda_a, lambda_b, lambda_c) - three-accumulator SCAN; running (a,b,c) per item as 3 columns</t>
  </si>
  <si>
    <t>Expected (a,b,c)</t>
  </si>
  <si>
    <t>sum, product, count over {2;3;4}, start 0,1,0</t>
  </si>
  <si>
    <t>sum, max, min over {5;2;8}, start 0,0,1E9</t>
  </si>
  <si>
    <t>A1 -&gt; right 3 (numeric dir 1)</t>
  </si>
  <si>
    <t>A1 -&gt; down 2 (numeric 1000000)</t>
  </si>
  <si>
    <t>A1 -&gt; right 3 (letter R)</t>
  </si>
  <si>
    <t>numeric dir 1 -&gt; full trip</t>
  </si>
  <si>
    <t>letter "R" -&gt; full trip</t>
  </si>
  <si>
    <t>make_change(coins, price) - greedy: take as many of the biggest denomination as fit without going over, then the next; array shaped like coins</t>
  </si>
  <si>
    <t>{0.25;0.10} @ 0.30 -&gt; 1,0 (greedy: prefer the higher denomination)</t>
  </si>
  <si>
    <t>{5;3} @ 6 -&gt; 1,0 (greedy takes one 5; leftover 1 &lt; 3)</t>
  </si>
  <si>
    <t>arrow -&gt; -&gt; 1</t>
  </si>
  <si>
    <t>array {D3, up} -&gt; {3000004,-1000000}</t>
  </si>
  <si>
    <t>numeric 1 (-&gt;) +2 cw -&gt; down</t>
  </si>
  <si>
    <t>-&gt; +1 cw, as_num=1 -&gt; 1000001</t>
  </si>
  <si>
    <t>-&gt; +1 ccw (clockwise=0) -&gt; up-right</t>
  </si>
  <si>
    <t>letter "R" +1 cw -&gt; down-right</t>
  </si>
  <si>
    <t>col {1;2;3} D, fill 0, steps 1 (new arg order)</t>
  </si>
  <si>
    <t>col {1;2;3} down, numeric 1000000 (wrap)</t>
  </si>
  <si>
    <t>col {1;2;3} D, fill 9, steps 2 (letter + new order)</t>
  </si>
  <si>
    <t>Moves a start address (numeric or A1) 'steps' (default 1) in an arrow direction (arrow glyph, its numeric equivalent, or a letter code like "R"/"UL"), bounded by board_rng (default whole sheet). Returns a NUMERIC address. Out of bounds, push_mode: 1 stop at edge (default), 0 stay, -1 'oob'.</t>
  </si>
  <si>
    <t>=LAMBDA(start_ad, arrow, [steps], [board_rng], [push_mode],
  LET(
    step_n, IF(ISOMITTED(steps), 1, steps),
    mode, IF(ISOMITTED(push_mode), 1, push_mode),
    start_num, num_ad(start_ad),
    start_row, INT(start_num / 1000000),
    start_col, MOD(start_num, 1000000),
    arr_norm, z_dir_to_arrow(arrow),
    d_row, SWITCH(arr_norm, "←", 0, "↖", -1, "↗", -1, "→", 0, "↙", 1, "↓", 1, "↘", 1, "↑", -1),
    d_col, SWITCH(arr_norm, "←", -1, "↖", -1, "↗", 1, "→", 1, "↙", -1, "↓", 0, "↘", 1, "↑", 0),
    row_min, IF(ISOMITTED(board_rng), 1, MIN(ROW(board_rng))),
    row_max, IF(ISOMITTED(board_rng), 1048576, MAX(ROW(board_rng))),
    col_min, IF(ISOMITTED(board_rng), 1, MIN(COLUMN(board_rng))),
    col_max, IF(ISOMITTED(board_rng), 16384, MAX(COLUMN(board_rng))),
    try_row, start_row + d_row * step_n,
    try_col, start_col + d_col * step_n,
    push_row, MIN(MAX(try_row, row_min), row_max),
    push_col, MIN(MAX(try_col, col_min), col_max),
    oob, OR(try_row &lt;&gt; push_row, try_col &lt;&gt; push_col),
    IF(oob,
      SWITCH(mode,
        1, 1000000 * push_row + push_col,
        0, 1000000 * start_row + start_col,
        -1, "oob",
        1000000 * push_row + push_col),
      1000000 * try_row + try_col)
  )
)</t>
  </si>
  <si>
    <t>Moves an address a number of steps in an arrow direction, constrained to a board. Computes in numeric-address space and RETURNS A NUMERIC address (use str_ad for the final A1 answer).
Arguments:
  start_ad    - starting cell as a numeric address or an A1 string (coerced with num_ad).
  arrow       - direction as a standard arrow (↑↓←→↖↗↙↘), its numeric equivalent (1, -1000000, ...), or a letter code (U D L R UL UR DL DR).
  [steps]     - number of steps (default 1).
  [board_rng] - bounding range (default whole sheet).
  [push_mode] - out-of-bounds behavior: 1 = stop at edge (default), 0 = stay at start, -1 = return "oob".
Returns:
  The destination as a numeric address (or "oob" under push_mode -1).
Example:
  arrow_move("A1", "→", 3) -&gt; 1000004   (str_ad -&gt; "D1")</t>
  </si>
  <si>
    <t>Walks from start_ad (numeric or A1) in a straight arrow direction (arrow glyph, its numeric equivalent, or a letter code like "R"/"UL") across rng until the edge (or the optional stopper value). Returns a 2-column array of NUMERIC addresses and their values, including the start cell.</t>
  </si>
  <si>
    <t>=LAMBDA(rng, start_ad, dir, [stopper],
  LET(
    start_num, num_ad(start_ad),
    start_row, INT(start_num / 1000000),
    start_col, MOD(start_num, 1000000),
    top_row, ROW(INDEX(rng, 1, 1)),
    left_col, COLUMN(INDEX(rng, 1, 1)),
    height, ROWS(rng),
    width, COLUMNS(rng),
    bottom_row, top_row + height - 1,
    right_col, left_col + width - 1,
    inside, AND(start_row &gt;= top_row, start_row &lt;= bottom_row, start_col &gt;= left_col, start_col &lt;= right_col),
    IFNA(IF(NOT(inside), "X",
      LET(
        arrow_list, {"↑"; "↓"; "←"; "→"; "↖"; "↗"; "↘"; "↙"},
        row_steps, {-1; 1; 0; 0; -1; -1; 1; 1},
        col_steps, {0; 0; -1; 1; -1; 1; 1; -1},
        dir_index, XMATCH(z_dir_to_arrow(dir), arrow_list),
        row_delta, INDEX(row_steps, dir_index),
        col_delta, INDEX(col_steps, dir_index),
        row_limit, IF(row_delta &gt; 0, bottom_row - start_row, IF(row_delta &lt; 0, start_row - top_row, 1000000)),
        col_limit, IF(col_delta &gt; 0, right_col - start_col, IF(col_delta &lt; 0, start_col - left_col, 1000000)),
        max_steps, MIN(row_limit, col_limit),
        steps, SEQUENCE(max_steps + 1, , 0),
        trip_rows, start_row + steps * row_delta,
        trip_cols, start_col + steps * col_delta,
        num_list, 1000000 * trip_rows + trip_cols,
        val_list, MAP(num_list, LAMBDA(a, LET(v, ad_to_cont(a, rng), IF(OR(v = "", ISBLANK(v)), "", v)))),
        use_stop, NOT(ISOMITTED(stopper)),
        stop_pos, IF(use_stop, XMATCH(stopper, val_list, 0), NA()),
        keep_rows, IF(use_stop, IF(ISERROR(stop_pos), max_steps + 1, stop_pos), max_steps + 1),
        out_addrs, CHOOSEROWS(num_list, SEQUENCE(keep_rows)),
        out_vals, CHOOSEROWS(val_list, SEQUENCE(keep_rows)),
        HSTACK(out_addrs, out_vals)
      )
    ), "")
  )
)</t>
  </si>
  <si>
    <t>Traces a straight path from a start cell in one arrow direction until the board edge or an optional stopping value.
Arguments:
  rng       - the board range to travel across.
  start_ad  - starting cell as a numeric address or A1 string (coerced with num_ad).
  dir       - direction as a standard arrow (↑↓←→↖↗↙↘), its numeric equivalent (1, -1000000, ...), or a letter code (U D L R UL UR DL DR).
  [stopper] - a value that halts the trip when encountered (inclusive).
Returns:
  A 2-column array: NUMERIC addresses in column 1 and their values in column 2, starting at the start cell. Returns "X" if the start is outside rng, or "" if dir is not a recognized arrow.</t>
  </si>
  <si>
    <t>Greedy change: takes as many of the largest denomination as fit without exceeding price, then the next largest, and so on. coins is a vertical array of denominations; returns a matching array of counts. Prefers higher denominations even when a lower-denomination mix would land closer to the price.</t>
  </si>
  <si>
    <t>=LAMBDA(coins, price, LET(
   cvec, TOCOL(coins),
   ncoins, ROWS(cvec),
   scale, 1000000,
   cnum, IFERROR(cvec * 1, 0),
   pnum, IFERROR(price * 1, 0),
   ds, IF(cnum &gt; 0, ROUND(cnum * scale, 0), 0),
   ps, MAX(ROUND(pnum * scale, 0), 0),
   idx, SEQUENCE(ncoins),
   ord, SORTBY(idx, ds, -1),
   sorted_ds, SORTBY(ds, ds, -1),
   rem_after, SCAN(ps, sorted_ds, LAMBDA(rem, coin, IF(coin &lt; 1, rem, MOD(rem, coin)))),
   rem_before, TAKE(VSTACK(ps, rem_after), ncoins),
   count_sorted, IF(sorted_ds &lt; 1, 0, INT(rem_before / sorted_ds)),
   count_orig, SORTBY(count_sorted, ord),
   IF(ROWS(coins) &gt;= COLUMNS(coins), count_orig, TRANSPOSE(count_orig))
))</t>
  </si>
  <si>
    <t>Makes change for a price by taking as many of the biggest coin as possible without going over, then the next biggest, and so on.
Arguments:
  coins - a vertical array of the coin denominations available (e.g. {1; 0.5; 0.25; 0.05}). Non-positive or non-numeric entries are treated as unusable and get a count of 0.
  price - the target amount. The result never exceeds it.
Returns:
  An array the same shape as coins giving how many of each denomination to use. It is a largest-first greedy: it does not minimise the number of coins or get as close to the price as theoretically possible - it just prefers higher denominations.
  Because of that it can leave more on the table than a different mix would - e.g. make_change({0.25; 0.10}, 0.30) returns {1; 0} (0.25), not {0; 3} (0.30), because one quarter uses the higher denomination even though three dimes would hit 0.30 exactly.
  The input order of coins does not matter - denominations are ranked by value internally and the counts are returned in the original positions.
Example:
  make_change({1; 0.5; 0.25; 0.05}, 4.34)  -&gt;  {4; 0; 1; 1}   (4.30)
  make_change({0.25; 0.10}, 0.30)          -&gt;  {1; 0}         (0.25)
Note: denominations and price are scaled to integers (six decimal places) so the greedy arithmetic is exact; no dynamic programming or helper lambdas are involved.</t>
  </si>
  <si>
    <t>Convert any address or range to a numeric address (1e6*row+col) or an array of them. A string address becomes its number; a standard direction arrow becomes its numeric delta (→ 1, ↑ -1000000, ...); a range (A1 or numeric) expands to an array of numeric addresses top-left to bottom-right; empty becomes ""; anything else passes through. Element-wise over an array (ranges inside an array pass through).</t>
  </si>
  <si>
    <t>=LAMBDA(ad_or_rng,
  LET(
    to_num_1, LAMBDA(one, IF(one = "", "", LET(av, z_arrow_to_num(one), IF(ISNUMBER(av), av, IFERROR(z_a1n(one), one))))),
    IF(ROWS(ad_or_rng) * COLUMNS(ad_or_rng) &gt; 1,
      MAP(ad_or_rng, to_num_1),
      LET(
        has_colon, AND(ISTEXT(ad_or_rng), ISNUMBER(SEARCH(":", ad_or_rng))),
        box, IFERROR(z_ad_box(ad_or_rng), 0),
        IF(AND(has_colon, COUNT(box) = 4),
          LET(top, SUM(INDEX(box, 1)), lft, SUM(INDEX(box, 2)), bot, SUM(INDEX(box, 3)), rgt, SUM(INDEX(box, 4)),
              MAKEARRAY(bot - top + 1, rgt - lft + 1, LAMBDA(dr, dc, 1000000 * (top + dr - 1) + (lft + dc - 1)))),
          to_num_1(ad_or_rng))))
  )
)</t>
  </si>
  <si>
    <t>Convert any address or range to numeric form - the mirror of str_ad, and the standard way to coerce mixed address input to numbers.
Behaviour by input:
  standard direction arrow ("→", "↘")    -&gt; its numeric delta (1, 1000001) - the value you add to an address to move that way
  valid string address ("D3")            -&gt; the numeric address (3000004)
  valid A1 range ("A1:B4")               -&gt; an array of numeric addresses, top-left first, bottom-right last
  valid numeric range ("1000001:4000002")-&gt; the same array
  empty                                  -&gt; "" (never coerced to 0)
  any other single value                 -&gt; passed through unchanged
  an array                               -&gt; element-wise; string addresses convert, everything else (including ranges) passes through
A single string/numeric address returns a scalar, so the many callers that convert one address still get a plain number. Ranges only expand when passed as a single value; inside an array they pass through, because expanding one element into many would need a ragged result Excel cannot make.
Empty cells become "" rather than 0 - fake coerced zeros corrupt later aggregates. Parsing is shared with str_ad and the rest of the library via z_a1n / z_ad_box.
Arguments:
  ad_or_rng - a numeric address, A1 string, A1 range, numeric range, or an array of these.
Returns:
  A number for a single address, an array of numbers for a single range, "" for empty, the input unchanged otherwise; element-wise over an array.
Example:
  num_ad("D3")                -&gt;  3000004
  num_ad("A1:B2")             -&gt;  {1000001, 1000002; 2000001, 2000002}
  num_ad(3000004)             -&gt;  3000004
  num_ad("→")                 -&gt;  1
  num_ad({"D3", "↑"})         -&gt;  {3000004, -1000000}
  num_ad("hi")                -&gt;  "hi"</t>
  </si>
  <si>
    <t>rotate_arrow(arrow, steps, [clockwise], [as_num])</t>
  </si>
  <si>
    <t>Rotates an arrow by 45 degrees times steps. arrow may be a standard arrow, its numeric equivalent, or a letter code (U D L R UL UR DL DR). clockwise = 1 (default) rotates clockwise, 0 counter-clockwise. as_num = 0 (default) returns an arrow, 1 returns the numeric equivalent.</t>
  </si>
  <si>
    <t>=LAMBDA(arrow, steps, [clockwise], [as_num], LET(
   arrows, "↑↗→↘↓↙←↖",
   arrow_list, MID(arrows, SEQUENCE(8), 1),
   idx, XMATCH(z_dir_to_arrow(arrow), arrow_list),
   turn, IF(ISOMITTED(clockwise), steps, IF(OR(clockwise = 0, clockwise = "ccw"), -steps, steps)),
   pos, MOD(idx - 1 + turn, 8) + 1,
   out, IFNA(MID(arrows, pos, 1), ""),
   IF(IF(ISOMITTED(as_num), 0, as_num) = 1, z_arrow_to_num(out), out)
))</t>
  </si>
  <si>
    <t>Rotates an arrow around the eight compass directions.
Arguments:
  arrow       - the arrow to rotate: a standard arrow (↑↗→↘↓↙←↖), its numeric equivalent (1, -1000000, ...), or a letter code (U D L R UL UR DL DR).
  steps       - number of 45-degree turns.
  [clockwise] - 1 = clockwise (default), 0 = counter-clockwise (the string "ccw" also means counter-clockwise).
  [as_num]    - 0 = return the arrow glyph (default), 1 = return its numeric equivalent.
Returns:
  The rotated arrow (or, with as_num = 1, its numeric equivalent), or "" if arrow is not one of the eight directions.
Example:
  rotate_arrow("→", 1)         -&gt;  "↘"
  rotate_arrow("→", 1, 0)      -&gt;  "↗"
  rotate_arrow("→", 1, 1, 1)   -&gt;  1000001   (the number for ↘)
  rotate_arrow(1, 2)           -&gt;  "↓"       (1 is →, two turns clockwise)</t>
  </si>
  <si>
    <t>shift_arr(arr, dir, [fill], [steps])</t>
  </si>
  <si>
    <t>Shifts a 1D or 2D array by "steps" (default 1) in the dir direction (arrow glyph, its numeric equivalent, or a letter code like "R"/"UL"). With no fill, items wrap around; if fill is a value, it fills the vacated cells instead.</t>
  </si>
  <si>
    <t>=LAMBDA(arr, dir, [fill], [steps], LET(
   s, IF(ISOMITTED(steps), 1, steps),
   wrap_mode, IF(ISOMITTED(fill), TRUE, fill = "wrap"),
   num_rows, ROWS(arr),
   num_cols, COLUMNS(arr),
   dir_norm, z_dir_to_arrow(dir),
   dir_list, {"U", "D", "L", "R", "UL", "UR", "DL", "DR", "↑", "↓", "←", "→", "↖", "↗", "↙", "↘", "⇑", "⇓", "⇐", "⇒", "⇖", "⇗", "⇙", "⇘"},
   delta_r, CHOOSE(
      XMATCH(dir_norm, dir_list),
      -1,
      1,
      0,
      0,
      -1,
      -1,
      1,
      1,
      -1,
      1,
      0,
      0,
      -1,
      -1,
      1,
      1,
      -1,
      1,
      0,
      0,
      -1,
      -1,
      1,
      1
   ),
   delta_c, CHOOSE(
      XMATCH(dir_norm, dir_list),
      0,
      0,
      -1,
      1,
      -1,
      1,
      -1,
      1,
      0,
      0,
      -1,
      1,
      -1,
      1,
      -1,
      1,
      0,
      0,
      -1,
      1,
      -1,
      1,
      -1,
      1
   ),
   d_row, delta_r * s,
   d_col, delta_c * s,
   result, IF(
      wrap_mode,
      MAKEARRAY(
         num_rows,
         num_cols,
         LAMBDA(i, j,
            INDEX(
               arr,
               MOD(i - 1 - d_row + num_rows, num_rows) + 1,
               MOD(j - 1 - d_col + num_cols, num_cols) + 1
            )
         )
      ),
      MAKEARRAY(
         num_rows,
         num_cols,
         LAMBDA(i, j, LET(
            src_r, i - d_row,
            src_c, j - d_col,
            IF(
               AND(src_r &gt;= 1, src_r &lt;= num_rows, src_c &gt;= 1, src_c &lt;= num_cols),
               INDEX(arr, src_r, src_c),
               fill
            )
         ))
      )
   ),
   IFNA(result, "")
))</t>
  </si>
  <si>
    <t>Shifts the contents of an array in a direction.
Arguments:
  arr     - the array to shift (1D or 2D).
  dir     - direction: a letter code (U D L R UL UR DL DR), a standard arrow (↑↓←→↖↗↙↘), or the numeric equivalent (1, -1000000, ...).
  [fill]  - value to place in vacated cells; if omitted, contents wrap around.
  [steps] - number of cells to shift (default 1).
Returns:
  The shifted array, same shape as arr, or "" if dir is not a recognized direction.
Note: the argument order is (arr, dir, [fill], [steps]) - fill comes before steps.
Example:
  shift_arr(grid, "R")            wrap one cell right
  shift_arr(grid, "R", 0, 2)      shift right 2, filling vacated cells with 0</t>
  </si>
  <si>
    <t>z_arrow_to_num(x)</t>
  </si>
  <si>
    <t>Helper: if x is one of the 8 standard direction arrows, return its numeric-address delta (up -1000000, down 1000000, left -1, right 1, and the four diagonals); anything else (numbers, other text) passes through unchanged.</t>
  </si>
  <si>
    <t>=LAMBDA(x, LET(
   arrows, "↑↓←→↖↗↙↘",
   nums, {-1000000; 1000000; -1; 1; -1000001; -999999; 999999; 1000001},
   i, IFERROR(XMATCH(x, MID(arrows, SEQUENCE(8), 1)), 0),
   IF(AND(ISTEXT(x), i &gt;= 1), INDEX(nums, i), x)
))</t>
  </si>
  <si>
    <t>Maps a standard direction arrow to the numeric-address delta you add to a packed address (1e6*row+col) to move one cell that way.
Arguments:
  x - any value. If it is one of the 8 standard arrows the delta is returned; otherwise x is returned unchanged.
Mapping:
  up -1000000, down 1000000, left -1, right 1, up-left -1000001, up-right -999999, down-left 999999, down-right 1000001.
Returns:
  The numeric delta for a standard arrow, else x unchanged. Used to let arrow-taking lambdas accept either an arrow or its number, and by num_ad to convert arrows.
Example:
  z_arrow_to_num("→")   -&gt;  1
  z_arrow_to_num("↘")   -&gt;  1000001
  z_arrow_to_num("hi")  -&gt;  "hi"</t>
  </si>
  <si>
    <t>z_dir_to_arrow(x)</t>
  </si>
  <si>
    <t>Helper: normalize a direction to a standard arrow glyph. Accepts a numeric-address delta (1, -1000000, ...) or a letter code (U D L R UL UR DL DR) and returns the matching arrow; an arrow or anything unrecognized passes through unchanged.</t>
  </si>
  <si>
    <t>=LAMBDA(x, LET(
   arrows, "↑↓←→↖↗↙↘",
   nums, {-1000000; 1000000; -1; 1; -1000001; -999999; 999999; 1000001},
   codes, {"U"; "D"; "L"; "R"; "UL"; "UR"; "DL"; "DR"},
   i_num, IFERROR(XMATCH(x, nums), 0),
   i_code, IFERROR(XMATCH(x, codes), 0),
   IF(AND(ISNUMBER(x), i_num &gt;= 1), MID(arrows, i_num, 1),
      IF(AND(ISTEXT(x), i_code &gt;= 1), MID(arrows, i_code, 1), x))
))</t>
  </si>
  <si>
    <t>Normalizes any accepted direction spec to the standard arrow glyph, so the direction-taking lambdas (arrow_move, arrow_trip, rotate_arrow, shift_arr) can accept an arrow, its numeric-address delta, or a letter code interchangeably.
Arguments:
  x - any value. Converted to a standard arrow when it is one of the 8 numeric deltas or one of the letter codes U/D/L/R/UL/UR/DL/DR; otherwise returned unchanged (an arrow glyph passes through, as does anything unrecognized).
Mapping (letter code / number -&gt; arrow):
  U/-1000000 up, D/1000000 down, L/-1 left, R/1 right, UL/-1000001, UR/-999999, DL/999999, DR/1000001.
Returns:
  The standard arrow for a known number or code, else x unchanged. Letter codes are matched case-insensitively.
Example:
  z_dir_to_arrow("R")        -&gt;  "→"
  z_dir_to_arrow(1)          -&gt;  "→"
  z_dir_to_arrow("UL")       -&gt;  "↖"
  z_dir_to_arrow("↓")        -&gt;  "↓"</t>
  </si>
  <si>
    <t>Inputs (board)</t>
  </si>
  <si>
    <t>3-4-5 directional distances from center (cost by dir)</t>
  </si>
  <si>
    <t>start outside board -&gt; X</t>
  </si>
  <si>
    <t>ROWS() sees full size (regression)</t>
  </si>
  <si>
    <t>max_steps too small -&gt; MORE STEPS</t>
  </si>
  <si>
    <t>MORE STEPS</t>
  </si>
  <si>
    <t>=LAMBDA(arr, n, [order_matters], [repeats_allowed], [countdown_n], [clean_input],
 IF(
  n &lt; 1,
  NA(),
  LET(
   ci_, IF(ISOMITTED(clean_input), 1, clean_input),
   flat_, IF(
    ci_ = 1,
    LET(r_, TOCOL(arr, 3), UNIQUE(FILTER(r_, r_ &lt;&gt; ""))),
    TOCOL(arr)
   ),
   m_, ROWS(flat_),
   om_, IF(ISOMITTED(order_matters), 0, order_matters),
   rep_, IF(ISOMITTED(repeats_allowed), 0, repeats_allowed),
   cd_, IF(ISOMITTED(countdown_n), 0, countdown_n),
   chars_, UNICHAR(SEQUENCE(, m_, 20001)),
   one_k_, LAMBDA(k_,
    IF(
     k_ &lt; 1,
     NA(),
     LET(
      seq_, SEQUENCE(, k_),
      built_, REDUCE(
       "",
       seq_,
       LAMBDA(acc_, step_,
        TOCOL(
         IFS(
          IF(
           om_ = 1,
           IF(rep_ = 1, 1, ISERR(FIND(chars_, acc_))),
           IF(
            rep_ = 1,
            RIGHT(acc_) &lt;= chars_,
            RIGHT(acc_) &lt; chars_
           )
          ),
          acc_ &amp; chars_
         ),
         3
        )
       )
      ),
      IFERROR(
       MAP(UNICODE(MID(built_, seq_, 1)) - 20000, LAMBDA(pos_, INDEX(flat_, pos_))),
       NA()
      )
     )
    )
   ),
   pad_, LAMBDA(x_, EXPAND(x_, ROWS(x_), n, "")),
   IF(
    cd_ = 0,
    pad_(one_k_(n)),
    LET(
     max_k_, IF(rep_ = 1, n, MIN(n, m_)),
     seed_, pad_(one_k_(max_k_)),
     IF(
      max_k_ = 1,
      seed_,
      REDUCE(
       seed_,
       SEQUENCE(max_k_ - 1, 1, max_k_ - 1, -1),
       LAMBDA(acc_, k_, VSTACK(acc_, pad_(one_k_(k_))))
      )
     )
    )
   )
  )
 )
)</t>
  </si>
  <si>
    <t>=LAMBDA(start, stop, [step], [repeat_element], [repeat_array], LET(
   s, start,
   t, stop,
   stp, IF(ISOMITTED(step), IF(t &gt;= s, 1, -1), step),
   re, IF(ISOMITTED(repeat_element), 1, repeat_element),
   ra, IF(ISOMITTED(repeat_array), 1, repeat_array),
   d, t - s,
   ok_dir, OR(d = 0, SIGN(stp) = SIGN(d)),
   ok_div, MOD(ABS(d), ABS(stp)) = 0,
   n, QUOTIENT(ABS(d), ABS(stp)) + 1,
   out, s + stp * INT(MOD(SEQUENCE(n * re * ra) - 1, n * re) / re),
   IF(AND(stp &lt;&gt; 0, ok_dir, ok_div), out, #VALUE!)
))</t>
  </si>
  <si>
    <t>Flexible numeric sequence with repetition options.
Arguments:
  start            - first value.
  stop             - last value (inclusive).
  [step]           - increment (default 1).
  [repeat_element] - times to repeat each element in place (default 1).
  [repeat_array]   - times to repeat the whole sequence (default 1).
Returns:
  A vertical array from start to stop, or #VALUE! if step is 0, points the wrong way, or does not divide the span evenly. Decimal steps may introduce floating-point error.
  The result is a real value array, so it reports its true size to ROWS/COLUMNS and nests correctly inside other functions (e.g. ROWS(xsequence(1, 10)) = 10). It is built by arithmetic on SEQUENCE rather than INDEX, because an INDEX-built array is seen as a single reference by dimension functions.
Example:
  xsequence(1, 5)  -&gt;  {1;2;3;4;5}</t>
  </si>
  <si>
    <t>ftd_maze_cost(board,start_ref,ftd_lambda,[max_steps]) - directed maze costs; ftd_lambda(from,to,dir) cost or NA()/text illegal</t>
  </si>
  <si>
    <t>maze 8-dir; wall (#) unreachable = blank</t>
  </si>
  <si>
    <t>ftd_maze_cost(board, start_ref, ftd_lambda, [max_steps])</t>
  </si>
  <si>
    <t>Directed maze costs. ftd_lambda(from,to,dir) returns a nonnegative edge cost or NA()/text for an illegal move. Returns least cost to every cell; start is 0.</t>
  </si>
  <si>
    <t>=LAMBDA(board, start_ref, ftd_lambda, [max_steps],
  LET(
    row_count, ROWS(board),
    col_count, COLUMNS(board),
    infinity, 1E99,
    dir_list, {"↑"; "↓"; "←"; "→"; "↖"; "↗"; "↙"; "↘"},
    row_delta, {-1; 1; 0; 0; -1; -1; 1; 1},
    col_delta, {0; 0; -1; 1; -1; 1; -1; 1},
    step_count, MAX(1, INT(IF(ISOMITTED(max_steps), MAX(row_count, col_count) - 1, max_steps))),
    start_coords, IF(
      ROWS(start_ref) * COLUMNS(start_ref) = 1,
      LET(
        start_num, num_ad(start_ref),
        HSTACK(
          INT(start_num / 1000000) - MIN(ROW(board)) + 1,
          MOD(start_num, 1000000) - MIN(COLUMN(board)) + 1
        )
      ),
      start_ref
    ),
    start_row, INDEX(start_coords, 1),
    start_col, INDEX(start_coords, 2),
    initial_costs, MAKEARRAY(
      row_count,
      col_count,
      LAMBDA(row_ix, col_ix, IF(AND(row_ix = start_row, col_ix = start_col), 0, infinity))
    ),
    cell_keys, MAKEARRAY(row_count, col_count, LAMBDA(row_ix, col_ix, row_ix &amp; "|" &amp; col_ix)),
    IF(
      OR(start_row &lt; 1, start_row &gt; row_count, start_col &lt; 1, start_col &gt; col_count),
      "X",
      LET(
        result, z_ftd_maze_cost_worker(
          z_ftd_maze_cost_worker,
          initial_costs,
          HSTACK(start_row, start_col, 0),
          board,
          ftd_lambda,
          dir_list,
          row_delta,
          col_delta,
          cell_keys,
          infinity,
          step_count
        ),
        IF(result = "MORE STEPS", result, IF(result &gt;= infinity / 2, "", result))
      )
    )
  )
)</t>
  </si>
  <si>
    <t>Least-cost distance from a start cell to every reachable cell when move legality or cost can depend on direction and on both cells.
Arguments:
  board       - rectangular map or helper array. Cell values are passed to ftd_lambda.
  start_ref   - starting cell as A1 text, a numeric address (1e6*row+col), or a {row, col} coordinate pair relative to board.
  ftd_lambda  - LAMBDA(from_cell, to_cell, dir). Return a nonnegative move cost for a legal move; return NA(), text, or a negative value for an illegal move. Other Excel errors remain visible. It may be written inline or supplied as the name of a defined LAMBDA.
  [max_steps] - maximum edges allowed in a route. Defaults to the larger board dimension minus one. If that is insufficient for a winding route, the function returns "MORE STEPS"; rerun with a larger value.
Returns:
  An array the same size as board containing the least cost from the start to every reachable cell. The start is 0. Unreachable cells are blank. An out-of-range start returns "X". If another relaxation can still improve a cost after max_steps, returns "MORE STEPS" instead of an incomplete distance map.
The solver considers all eight adjacent directions. ftd_lambda decides which directions and cells are legal. It uses a label-correcting frontier through two private helpers, examines only outgoing moves from cells whose costs improved in the previous pass, and stops as soon as no cell improves. It requires no circular references or iterative-calculation setting. The complete route state must be the current cell; rules involving previous direction, collected keys, or other path history require an expanded state.
Examples:
  =ftd_maze_cost(A1:C3,"B2",LAMBDA(from_cell,to_cell,dir,XLOOKUP(dir,{"↑","↓","←","→","↖","↗","↙","↘"},{3,3,4,4,5,5,5,5},NA())))
  If deep_sea_rule is a defined name whose definition is =LAMBDA(from_cell,to_cell,dir,...), use:
  =ftd_maze_cost(A1:C3,"B2",deep_sea_rule)
  Do not add parentheses after deep_sea_rule; ftd_maze_cost supplies its three arguments internally.</t>
  </si>
  <si>
    <t>xtextjoin(arr, [delim], [str_arr_set])</t>
  </si>
  <si>
    <t>TEXTJOIN that can also split back into an array or set, and beats the arg-count and 32k-char limits. delim (default ";") both joins output and splits input. Blanks, errors and "" are ignored; explicit zeros are kept. str_arr_set: 1=string (default), 2=array, 3=sorted-unique set.</t>
  </si>
  <si>
    <t>=LAMBDA(arr, [delim], [str_arr_set],
  LET(
    sep, IF(ISOMITTED(delim), ";", delim),
    mode, IF(ISOMITTED(str_arr_set), 1, str_arr_set),
    row_strings, BYROW(arr, LAMBDA(one_row,
      TEXTJOIN(sep, TRUE, IFERROR(one_row &amp; "", "")))),
    has_any, SUM(--(row_strings &lt;&gt; "")) &gt; 0,
    IF(
      NOT(has_any),
      "",
      LET(
        used_rows, FILTER(row_strings, row_strings &lt;&gt; ""),
        stacked, REDUCE("", used_rows, LAMBDA(acc, one_str,
          VSTACK(acc, TEXTSPLIT(one_str, , sep, TRUE)))),
        tokens, DROP(stacked, 1),
        token_count, ROWS(tokens),
        IF(
          mode = 2,
          tokens,
          IF(
            mode = 3,
            SORT(UNIQUE(tokens)),
            IF(
              SUM(LEN(tokens)) + (token_count - 1) * LEN(sep) &gt; 32767,
              "TOO LONG",
              TEXTJOIN(sep, TRUE, tokens)
            )
          )
        )
      )
    )
  )
)</t>
  </si>
  <si>
    <t>A TEXTJOIN that reads a whole array (bypassing TEXTJOIN's ~252 argument limit) and can hand the result back as a joined string, a vertical array, or a sorted unique set. It is built to survive outputs larger than one cell can hold.
arr may be a single string or a 1D/2D array of strings; a 2D array is read in row-major order (left to right, top to bottom). Cells may hold single items, delim-separated lists, blanks, "", or errors. Blanks, "", and errors are ignored. Numbers become text; an explicit 0 is kept, but a blank cell never becomes a fake 0 (values are read with concatenation, which treats a blank as "" and a real zero as "0").
Arguments:
  arr           - the value(s) to join/split.
  [delim]       - delimiter used for BOTH the joined output and for splitting the input. Default ";".
  [str_arr_set] - output style: 1 = string (default), 2 = array, 3 = set.
Modes:
  1 string - one string, like TEXTJOIN but with no argument-count limit. If the result would exceed a cell's 32,767-character limit it returns "TOO LONG".
  2 array  - a vertical array of the items, as if the whole thing were joined and split again, but built one input row at a time so the total may exceed 32,767 characters.
  3 set    - the array output with UNIQUE then SORT applied.
To stay within Excel's limits on big inputs, each input row is joined and re-split on its own and the pieces are stacked, so no single intermediate string has to hold the whole output. Each individual input row must still fit in 32,767 characters.
Returns:
  A single string (mode 1), a vertical array (mode 2), or a sorted set (mode 3). Empty input returns "".
Examples:
  xtextjoin({"a;b";"c";"";"d;e"})               -&gt;  "a;b;c;d;e"
  xtextjoin({"a;b";"c";"d;e"}, ";", 2)          -&gt;  {"a";"b";"c";"d";"e"}
  xtextjoin({"b;a";"a;c"}, ";", 3)              -&gt;  {"a";"b";"c"}</t>
  </si>
  <si>
    <t>z_ftd_maze_cost_candidates(costs, frontier, board, ftd_lambda, dir_list, row_delta, col_delta, infinity)</t>
  </si>
  <si>
    <t>Private helper for ftd_maze_cost; do not call directly. Returns all valid cost improvements reachable from the current frontier.</t>
  </si>
  <si>
    <t>=LAMBDA(costs, frontier, board, ftd_lambda, dir_list, row_delta, col_delta, infinity,
  LET(
    row_count, ROWS(board),
    col_count, COLUMNS(board),
    dir_count, ROWS(dir_list),
    source_count, ROWS(frontier),
    source_rows, INDEX(frontier, 0, 1),
    source_cols, INDEX(frontier, 0, 2),
    source_costs, INDEX(frontier, 0, 3),
    target_rows, TOCOL(source_rows + TRANSPOSE(row_delta)),
    target_cols, TOCOL(source_cols + TRANSPOSE(col_delta)),
    base_costs, TOCOL(source_costs + SEQUENCE(, dir_count, 0, 0)),
    valid_targets, (target_rows &gt;= 1) * (target_rows &lt;= row_count) * (target_cols &gt;= 1) * (target_cols &lt;= col_count),
    safe_rows, MAP(target_rows, LAMBDA(row_ix, MIN(row_count, MAX(1, row_ix)))),
    safe_cols, MAP(target_cols, LAMBDA(col_ix, MIN(col_count, MAX(1, col_ix)))),
    from_cells, TOCOL(MAKEARRAY(
      source_count,
      dir_count,
      LAMBDA(row_ix, dir_ix, INDEX(board, INDEX(source_rows, row_ix), INDEX(source_cols, row_ix)))
    )),
    to_cells, MAP(safe_rows, safe_cols, LAMBDA(row_ix, col_ix, INDEX(board, row_ix, col_ix))),
    dir_values, TOCOL(MAKEARRAY(
      source_count,
      dir_count,
      LAMBDA(row_ix, dir_ix, INDEX(dir_list, dir_ix))
    )),
    edge_costs, MAP(
      from_cells,
      to_cells,
      dir_values,
      LAMBDA(from_cell, to_cell, dir, IFNA(ftd_lambda(from_cell, to_cell, dir), infinity))
    ),
    clean_edges, MAP(
      edge_costs,
      LAMBDA(edge, IF(NOT(ISNUMBER(edge)), infinity, IF(edge &lt; 0, infinity, edge)))
    ),
    candidate_costs, MAP(base_costs, clean_edges, LAMBDA(base_cost, edge, MIN(infinity, base_cost + edge))),
    IF(
      valid_targets * (candidate_costs &lt; INDEX(costs, safe_rows, safe_cols)),
      HSTACK(target_rows, target_cols, candidate_costs),
      {0, 0, 0}
    )
  )
)</t>
  </si>
  <si>
    <t>Private candidate-generation helper for ftd_maze_cost.
For every cell in the current frontier, it constructs all eight adjacent moves, calls ftd_lambda(from_cell, to_cell, dir), and returns {row, column, cost} for moves that improve the destination's current cost. Out-of-bounds moves, #N/A, text, and negative move costs are treated as illegal. Other Excel errors remain visible.
Arguments:
  costs       - current least-known cost array.
  frontier    - rows of {row, column, cost} whose outgoing moves must be examined.
  board       - map/helper array passed to ftd_lambda.
  ftd_lambda  - LAMBDA(from_cell, to_cell, dir) returning a legal nonnegative edge cost or NA()/text/negative for an illegal edge.
  dir_list    - the eight direction arrows.
  row_delta   - row offset corresponding to each direction.
  col_delta   - column offset corresponding to each direction.
  infinity    - numeric sentinel used for unreachable cells and illegal moves.
Returns:
  Rows of {destination row, destination column, proposed cost}. Non-improving and illegal candidates are represented by zero rows for the worker to discard.</t>
  </si>
  <si>
    <t>z_ftd_maze_cost_worker(self, costs, frontier, board, ftd_lambda, dir_list, row_delta, col_delta, cell_keys, infinity, steps_left)</t>
  </si>
  <si>
    <t>Private recursive worker for ftd_maze_cost; do not call directly. Relaxes only outgoing edges from cells whose costs improved in the prior pass.</t>
  </si>
  <si>
    <t>=LAMBDA(self, costs, frontier, board, ftd_lambda, dir_list, row_delta, col_delta, cell_keys, infinity, steps_left,
  LET(
    improvements, z_ftd_maze_cost_candidates(
      costs,
      frontier,
      board,
      ftd_lambda,
      dir_list,
      row_delta,
      col_delta,
      infinity
    ),
    sorted_improvements, SORT(improvements, 3, 1),
    first_matches, XMATCH(
      UNIQUE(INDEX(sorted_improvements, 0, 1) &amp; "|" &amp; INDEX(sorted_improvements, 0, 2)),
      INDEX(sorted_improvements, 0, 1) &amp; "|" &amp; INDEX(sorted_improvements, 0, 2)
    ),
    next_frontier, FILTER(
      INDEX(sorted_improvements, first_matches, SEQUENCE(, 3)),
      INDEX(sorted_improvements, first_matches, 1) &gt; 0,
      0
    ),
    updated_costs, IFNA(
      INDEX(
        next_frontier,
        XMATCH(cell_keys, INDEX(next_frontier, 0, 1) &amp; "|" &amp; INDEX(next_frontier, 0, 2)),
        3
      ),
      costs
    ),
    IF(
      SUM(next_frontier) = 0,
      costs,
      IF(
        steps_left = 0,
        "MORE STEPS",
        self(
          self,
          updated_costs,
          next_frontier,
          board,
          ftd_lambda,
          dir_list,
          row_delta,
          col_delta,
          cell_keys,
          infinity,
          steps_left - 1
        )
      )
    )
  )
)</t>
  </si>
  <si>
    <t>Private recursive frontier worker for ftd_maze_cost.
It asks z_ftd_maze_cost_candidates for all cost improvements reachable from the current frontier, keeps the cheapest proposal for each destination, writes those proposals into the cost array, and recurses using only the newly improved cells. It stops when no destination improves. If an additional improvement exists after max_steps passes, it returns "MORE STEPS" instead of an incomplete map.
Arguments:
  self        - reference to this Lambda for recursion.
  costs       - current least-known cost array.
  frontier    - rows of {row, column, cost} improved in the prior pass.
  board       - map/helper array passed to ftd_lambda.
  ftd_lambda  - LAMBDA(from_cell, to_cell, dir) returning a legal nonnegative edge cost or NA()/text/negative for an illegal edge.
  dir_list    - the eight direction arrows.
  row_delta   - row offset corresponding to each direction.
  col_delta   - column offset corresponding to each direction.
  cell_keys   - board-shaped array of row|column keys used to update the cost array.
  infinity    - numeric sentinel used for unreachable cells and illegal moves.
  steps_left  - remaining edge-relaxation passes allowed before returning "MORE STEPS".
Returns:
  The completed least-cost array, or "MORE STEPS" when the supplied limit is insufficient.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</si>
</sst>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000000000000000000000"/>
    <numFmt numFmtId="165" formatCode="0.000000000000"/>
    <numFmt numFmtId="166" formatCode="0.00000000000000000000"/>
    <numFmt numFmtId="167" formatCode="0.000000000000000000000"/>
    <numFmt numFmtId="168" formatCode="#,##0_);\(#,##0\);\-_)"/>
  </numFmts>
  <fonts count="22" x14ac:knownFonts="1">
    <font>
      <sz val="16"/>
      <color theme="1"/>
      <name val="Aptos Narrow"/>
      <family val="2"/>
      <scheme val="minor"/>
    </font>
    <font>
      <sz val="14"/>
      <color theme="1"/>
      <name val="Aptos Narrow"/>
      <family val="2"/>
      <scheme val="minor"/>
    </font>
    <font>
      <sz val="11"/>
      <color theme="1"/>
      <name val="Aptos Narrow"/>
      <family val="2"/>
      <scheme val="minor"/>
    </font>
    <font>
      <b/>
      <sz val="14"/>
      <color theme="1"/>
      <name val="Aptos Narrow"/>
      <family val="2"/>
      <scheme val="minor"/>
    </font>
    <font>
      <u/>
      <sz val="11"/>
      <color theme="10"/>
      <name val="Aptos Narrow"/>
      <family val="2"/>
      <scheme val="minor"/>
    </font>
    <font>
      <u/>
      <sz val="16"/>
      <color theme="10"/>
      <name val="Aptos Narrow"/>
      <family val="2"/>
      <scheme val="minor"/>
    </font>
    <font>
      <u/>
      <sz val="14"/>
      <color theme="10"/>
      <name val="Aptos Narrow"/>
      <family val="2"/>
      <scheme val="minor"/>
    </font>
    <font>
      <b/>
      <sz val="11"/>
      <color theme="0"/>
      <name val="Roboto"/>
    </font>
    <font>
      <b/>
      <sz val="16"/>
      <color theme="1"/>
      <name val="Aptos Narrow"/>
      <family val="2"/>
      <scheme val="minor"/>
    </font>
    <font>
      <b/>
      <i/>
      <sz val="14"/>
      <color theme="0"/>
      <name val="Roboto"/>
    </font>
    <font>
      <sz val="10"/>
      <color theme="1"/>
      <name val="Arial"/>
      <family val="2"/>
    </font>
    <font>
      <b/>
      <sz val="10"/>
      <color theme="0" tint="-4.9989318521683403E-2"/>
      <name val="Arial"/>
      <family val="2"/>
    </font>
    <font>
      <sz val="14"/>
      <name val="Aptos Narrow"/>
      <family val="2"/>
      <scheme val="minor"/>
    </font>
    <font>
      <sz val="14"/>
      <color rgb="FFFF0000"/>
      <name val="Aptos Narrow"/>
      <family val="2"/>
      <scheme val="minor"/>
    </font>
    <font>
      <sz val="10"/>
      <color theme="1"/>
      <name val="Aptos Narrow"/>
      <family val="2"/>
      <scheme val="minor"/>
    </font>
    <font>
      <sz val="14"/>
      <color theme="0"/>
      <name val="Aptos Narrow"/>
      <family val="2"/>
      <scheme val="minor"/>
    </font>
    <font>
      <b/>
      <sz val="12"/>
      <name val="Aptos Narrow"/>
      <family val="2"/>
    </font>
    <font>
      <sz val="12"/>
      <name val="Aptos Narrow"/>
      <family val="2"/>
    </font>
    <font>
      <sz val="16"/>
      <color rgb="FF000000"/>
      <name val="Aptos Narrow"/>
      <family val="2"/>
    </font>
    <font>
      <sz val="12"/>
      <name val="Aptos Narrow"/>
      <family val="2"/>
    </font>
    <font>
      <b/>
      <sz val="14"/>
      <name val="Aptos Narrow"/>
      <family val="2"/>
    </font>
    <font>
      <sz val="14"/>
      <name val="Aptos Narrow"/>
      <family val="2"/>
    </font>
  </fonts>
  <fills count="17">
    <fill>
      <patternFill patternType="none"/>
    </fill>
    <fill>
      <patternFill patternType="gray125"/>
    </fill>
    <fill>
      <patternFill patternType="solid">
        <fgColor theme="0" tint="-4.9989318521683403E-2"/>
        <bgColor indexed="64"/>
      </patternFill>
    </fill>
    <fill>
      <patternFill patternType="solid">
        <fgColor theme="9" tint="-0.499984740745262"/>
        <bgColor indexed="64"/>
      </patternFill>
    </fill>
    <fill>
      <patternFill patternType="solid">
        <fgColor theme="3" tint="-0.499984740745262"/>
        <bgColor indexed="64"/>
      </patternFill>
    </fill>
    <fill>
      <patternFill patternType="solid">
        <fgColor rgb="FFE2EFDA"/>
      </patternFill>
    </fill>
    <fill>
      <patternFill patternType="solid">
        <fgColor rgb="FFFFF2CC"/>
      </patternFill>
    </fill>
    <fill>
      <patternFill patternType="solid">
        <fgColor rgb="FFFCE4D6"/>
      </patternFill>
    </fill>
    <fill>
      <patternFill patternType="solid">
        <fgColor rgb="FFDDEBF7"/>
      </patternFill>
    </fill>
    <fill>
      <patternFill patternType="solid">
        <fgColor rgb="FFF2F2F2"/>
      </patternFill>
    </fill>
    <fill>
      <patternFill patternType="solid">
        <fgColor rgb="FFC6EFCE"/>
        <bgColor indexed="64"/>
      </patternFill>
    </fill>
    <fill>
      <patternFill patternType="solid">
        <fgColor rgb="FFFF0000"/>
        <bgColor indexed="64"/>
      </patternFill>
    </fill>
    <fill>
      <patternFill patternType="solid">
        <fgColor rgb="FF000000"/>
        <bgColor indexed="64"/>
      </patternFill>
    </fill>
    <fill>
      <patternFill patternType="solid">
        <fgColor rgb="FFFFFFFF"/>
        <bgColor indexed="64"/>
      </patternFill>
    </fill>
    <fill>
      <patternFill patternType="solid">
        <fgColor rgb="FF0000FF"/>
        <bgColor indexed="64"/>
      </patternFill>
    </fill>
    <fill>
      <patternFill patternType="solid">
        <fgColor rgb="FF00FF00"/>
        <bgColor indexed="64"/>
      </patternFill>
    </fill>
    <fill>
      <patternFill patternType="solid">
        <fgColor rgb="FFFFFF00"/>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diagonal/>
    </border>
    <border>
      <left style="medium">
        <color theme="1"/>
      </left>
      <right style="medium">
        <color theme="1"/>
      </right>
      <top style="medium">
        <color theme="1"/>
      </top>
      <bottom style="medium">
        <color theme="1"/>
      </bottom>
      <diagonal/>
    </border>
    <border>
      <left style="thin">
        <color rgb="FF9BA7B0"/>
      </left>
      <right style="thin">
        <color rgb="FF9BA7B0"/>
      </right>
      <top style="thin">
        <color rgb="FF9BA7B0"/>
      </top>
      <bottom style="thin">
        <color rgb="FF9BA7B0"/>
      </bottom>
      <diagonal/>
    </border>
    <border>
      <left/>
      <right/>
      <top style="thin">
        <color rgb="FF9BA7B0"/>
      </top>
      <bottom style="thin">
        <color rgb="FF9BA7B0"/>
      </bottom>
      <diagonal/>
    </border>
    <border>
      <left/>
      <right style="thin">
        <color rgb="FF9BA7B0"/>
      </right>
      <top style="thin">
        <color rgb="FF9BA7B0"/>
      </top>
      <bottom style="thin">
        <color rgb="FF9BA7B0"/>
      </bottom>
      <diagonal/>
    </border>
  </borders>
  <cellStyleXfs count="6">
    <xf numFmtId="0" fontId="0" fillId="0" borderId="0"/>
    <xf numFmtId="0" fontId="2" fillId="0" borderId="0"/>
    <xf numFmtId="0" fontId="4" fillId="0" borderId="0"/>
    <xf numFmtId="0" fontId="5" fillId="0" borderId="0"/>
    <xf numFmtId="168" fontId="10" fillId="0" borderId="0"/>
    <xf numFmtId="168" fontId="11" fillId="4" borderId="16">
      <alignment horizontal="centerContinuous"/>
    </xf>
  </cellStyleXfs>
  <cellXfs count="102">
    <xf numFmtId="0" fontId="0" fillId="0" borderId="0" xfId="0"/>
    <xf numFmtId="0" fontId="1" fillId="0" borderId="1" xfId="0" applyFont="1" applyBorder="1" applyAlignment="1">
      <alignment horizontal="left"/>
    </xf>
    <xf numFmtId="0" fontId="1" fillId="0" borderId="0" xfId="0" applyFont="1" applyAlignment="1">
      <alignment horizontal="left"/>
    </xf>
    <xf numFmtId="0" fontId="1" fillId="0" borderId="1" xfId="1" applyFont="1" applyBorder="1" applyAlignment="1">
      <alignment horizontal="left"/>
    </xf>
    <xf numFmtId="0" fontId="1" fillId="0" borderId="0" xfId="1" applyFont="1" applyAlignment="1">
      <alignment horizontal="left"/>
    </xf>
    <xf numFmtId="0" fontId="1" fillId="0" borderId="1" xfId="1" applyFont="1" applyBorder="1" applyAlignment="1">
      <alignment horizontal="center"/>
    </xf>
    <xf numFmtId="0" fontId="1" fillId="0" borderId="1" xfId="1" quotePrefix="1" applyFont="1" applyBorder="1" applyAlignment="1">
      <alignment horizontal="center"/>
    </xf>
    <xf numFmtId="14" fontId="1" fillId="0" borderId="1" xfId="1" applyNumberFormat="1" applyFont="1" applyBorder="1" applyAlignment="1">
      <alignment horizontal="center"/>
    </xf>
    <xf numFmtId="0" fontId="1" fillId="0" borderId="0" xfId="0" quotePrefix="1" applyFont="1" applyAlignment="1">
      <alignment horizontal="left"/>
    </xf>
    <xf numFmtId="0" fontId="1" fillId="0" borderId="7" xfId="0" applyFont="1" applyBorder="1" applyAlignment="1">
      <alignment horizontal="left"/>
    </xf>
    <xf numFmtId="0" fontId="1" fillId="0" borderId="6" xfId="0" applyFont="1" applyBorder="1" applyAlignment="1">
      <alignment horizontal="left"/>
    </xf>
    <xf numFmtId="0" fontId="1" fillId="0" borderId="9" xfId="0" applyFont="1" applyBorder="1" applyAlignment="1">
      <alignment horizontal="left"/>
    </xf>
    <xf numFmtId="0" fontId="1" fillId="0" borderId="10" xfId="0" applyFont="1" applyBorder="1" applyAlignment="1">
      <alignment horizontal="left"/>
    </xf>
    <xf numFmtId="0" fontId="6" fillId="0" borderId="8" xfId="3" applyFont="1" applyBorder="1" applyAlignment="1">
      <alignment horizontal="left"/>
    </xf>
    <xf numFmtId="0" fontId="5" fillId="0" borderId="6" xfId="3" applyBorder="1" applyAlignment="1">
      <alignment horizontal="left"/>
    </xf>
    <xf numFmtId="0" fontId="8" fillId="0" borderId="0" xfId="0" applyFont="1"/>
    <xf numFmtId="0" fontId="1" fillId="0" borderId="1" xfId="0" applyFont="1" applyBorder="1"/>
    <xf numFmtId="0" fontId="1" fillId="0" borderId="2" xfId="0" applyFont="1" applyBorder="1"/>
    <xf numFmtId="0" fontId="1" fillId="0" borderId="3" xfId="0" applyFont="1" applyBorder="1"/>
    <xf numFmtId="0" fontId="1" fillId="0" borderId="4" xfId="0" applyFont="1" applyBorder="1"/>
    <xf numFmtId="0" fontId="1" fillId="0" borderId="1" xfId="0" quotePrefix="1" applyFont="1" applyBorder="1"/>
    <xf numFmtId="0" fontId="1" fillId="0" borderId="1" xfId="0" applyFont="1" applyBorder="1" applyAlignment="1">
      <alignment wrapText="1"/>
    </xf>
    <xf numFmtId="0" fontId="1" fillId="2" borderId="1" xfId="0" applyFont="1" applyFill="1" applyBorder="1"/>
    <xf numFmtId="0" fontId="1" fillId="2" borderId="0" xfId="0" applyFont="1" applyFill="1" applyAlignment="1">
      <alignment horizontal="left"/>
    </xf>
    <xf numFmtId="0" fontId="1" fillId="0" borderId="1" xfId="0" quotePrefix="1" applyFont="1" applyBorder="1" applyAlignment="1">
      <alignment wrapText="1"/>
    </xf>
    <xf numFmtId="0" fontId="3" fillId="0" borderId="0" xfId="0" applyFont="1"/>
    <xf numFmtId="0" fontId="1" fillId="0" borderId="0" xfId="0" applyFont="1"/>
    <xf numFmtId="3" fontId="7" fillId="3" borderId="11" xfId="0" applyNumberFormat="1" applyFont="1" applyFill="1" applyBorder="1" applyAlignment="1">
      <alignment horizontal="center" vertical="center" wrapText="1"/>
    </xf>
    <xf numFmtId="3" fontId="7" fillId="3" borderId="12" xfId="0" applyNumberFormat="1" applyFont="1" applyFill="1" applyBorder="1" applyAlignment="1">
      <alignment vertical="center" wrapText="1"/>
    </xf>
    <xf numFmtId="3" fontId="7" fillId="3" borderId="14" xfId="0" applyNumberFormat="1" applyFont="1" applyFill="1" applyBorder="1" applyAlignment="1">
      <alignment vertical="center" wrapText="1"/>
    </xf>
    <xf numFmtId="3" fontId="7" fillId="3" borderId="13" xfId="0" applyNumberFormat="1" applyFont="1" applyFill="1" applyBorder="1" applyAlignment="1">
      <alignment vertical="center" wrapText="1"/>
    </xf>
    <xf numFmtId="3" fontId="7" fillId="3" borderId="12" xfId="0" applyNumberFormat="1" applyFont="1" applyFill="1" applyBorder="1" applyAlignment="1">
      <alignment horizontal="center" vertical="center" wrapText="1"/>
    </xf>
    <xf numFmtId="0" fontId="0" fillId="0" borderId="1" xfId="0" applyBorder="1"/>
    <xf numFmtId="3" fontId="7" fillId="3" borderId="15" xfId="0" applyNumberFormat="1" applyFont="1" applyFill="1" applyBorder="1" applyAlignment="1">
      <alignment vertical="center"/>
    </xf>
    <xf numFmtId="0" fontId="13" fillId="0" borderId="1" xfId="1" applyFont="1" applyBorder="1" applyAlignment="1">
      <alignment horizontal="center"/>
    </xf>
    <xf numFmtId="0" fontId="12" fillId="0" borderId="1" xfId="1" applyFont="1" applyBorder="1" applyAlignment="1">
      <alignment horizontal="center"/>
    </xf>
    <xf numFmtId="0" fontId="1" fillId="2" borderId="0" xfId="0" applyFont="1" applyFill="1"/>
    <xf numFmtId="0" fontId="2" fillId="0" borderId="1" xfId="0" applyFont="1" applyBorder="1" applyAlignment="1">
      <alignment wrapText="1"/>
    </xf>
    <xf numFmtId="0" fontId="1" fillId="2" borderId="1" xfId="0" applyFont="1" applyFill="1" applyBorder="1" applyAlignment="1">
      <alignment horizontal="left"/>
    </xf>
    <xf numFmtId="0" fontId="14" fillId="0" borderId="0" xfId="0" applyFont="1" applyAlignment="1">
      <alignment horizontal="left"/>
    </xf>
    <xf numFmtId="3" fontId="7" fillId="3" borderId="1" xfId="0" applyNumberFormat="1" applyFont="1" applyFill="1" applyBorder="1" applyAlignment="1">
      <alignment horizontal="center" vertical="center" wrapText="1"/>
    </xf>
    <xf numFmtId="164" fontId="0" fillId="0" borderId="0" xfId="0" applyNumberFormat="1"/>
    <xf numFmtId="165" fontId="1" fillId="0" borderId="0" xfId="0" applyNumberFormat="1" applyFont="1" applyAlignment="1">
      <alignment horizontal="left"/>
    </xf>
    <xf numFmtId="166" fontId="1" fillId="0" borderId="0" xfId="0" applyNumberFormat="1" applyFont="1" applyAlignment="1">
      <alignment horizontal="left"/>
    </xf>
    <xf numFmtId="167" fontId="1" fillId="0" borderId="0" xfId="0" applyNumberFormat="1" applyFont="1" applyAlignment="1">
      <alignment horizontal="left"/>
    </xf>
    <xf numFmtId="0" fontId="16" fillId="0" borderId="17" xfId="0" applyFont="1" applyBorder="1" applyAlignment="1">
      <alignment horizontal="left" vertical="top"/>
    </xf>
    <xf numFmtId="0" fontId="17" fillId="0" borderId="17" xfId="0" applyFont="1" applyBorder="1" applyAlignment="1">
      <alignment horizontal="left" vertical="top"/>
    </xf>
    <xf numFmtId="0" fontId="17" fillId="0" borderId="17" xfId="0" applyFont="1" applyBorder="1" applyAlignment="1">
      <alignment horizontal="left" vertical="top" wrapText="1"/>
    </xf>
    <xf numFmtId="0" fontId="16" fillId="5" borderId="17" xfId="0" applyFont="1" applyFill="1" applyBorder="1" applyAlignment="1">
      <alignment horizontal="left" vertical="top"/>
    </xf>
    <xf numFmtId="0" fontId="16" fillId="6" borderId="17" xfId="0" applyFont="1" applyFill="1" applyBorder="1" applyAlignment="1">
      <alignment horizontal="left" vertical="top"/>
    </xf>
    <xf numFmtId="0" fontId="16" fillId="7" borderId="17" xfId="0" applyFont="1" applyFill="1" applyBorder="1" applyAlignment="1">
      <alignment horizontal="left" vertical="top"/>
    </xf>
    <xf numFmtId="0" fontId="17" fillId="8" borderId="17" xfId="0" applyFont="1" applyFill="1" applyBorder="1" applyAlignment="1">
      <alignment horizontal="left" vertical="top"/>
    </xf>
    <xf numFmtId="0" fontId="17" fillId="5" borderId="17" xfId="0" applyFont="1" applyFill="1" applyBorder="1" applyAlignment="1">
      <alignment horizontal="left" vertical="top"/>
    </xf>
    <xf numFmtId="0" fontId="17" fillId="6" borderId="17" xfId="0" applyFont="1" applyFill="1" applyBorder="1" applyAlignment="1">
      <alignment horizontal="left" vertical="top"/>
    </xf>
    <xf numFmtId="0" fontId="17" fillId="7" borderId="17" xfId="0" applyFont="1" applyFill="1" applyBorder="1" applyAlignment="1">
      <alignment horizontal="left" vertical="top"/>
    </xf>
    <xf numFmtId="0" fontId="17" fillId="9" borderId="17" xfId="0" applyFont="1" applyFill="1" applyBorder="1" applyAlignment="1">
      <alignment horizontal="left" vertical="top"/>
    </xf>
    <xf numFmtId="49" fontId="0" fillId="0" borderId="0" xfId="0" applyNumberFormat="1"/>
    <xf numFmtId="49" fontId="8" fillId="0" borderId="0" xfId="0" applyNumberFormat="1" applyFont="1"/>
    <xf numFmtId="0" fontId="0" fillId="10" borderId="0" xfId="0" applyFill="1"/>
    <xf numFmtId="0" fontId="0" fillId="11" borderId="0" xfId="0" applyFill="1"/>
    <xf numFmtId="0" fontId="0" fillId="12" borderId="0" xfId="0" applyFill="1"/>
    <xf numFmtId="0" fontId="0" fillId="13" borderId="0" xfId="0" applyFill="1"/>
    <xf numFmtId="0" fontId="0" fillId="14" borderId="0" xfId="0" applyFill="1"/>
    <xf numFmtId="0" fontId="0" fillId="15" borderId="0" xfId="0" applyFill="1"/>
    <xf numFmtId="0" fontId="0" fillId="15" borderId="6" xfId="0" applyFill="1" applyBorder="1"/>
    <xf numFmtId="0" fontId="0" fillId="16" borderId="0" xfId="0" applyFill="1"/>
    <xf numFmtId="3" fontId="7" fillId="3" borderId="12" xfId="0" applyNumberFormat="1" applyFont="1" applyFill="1" applyBorder="1" applyAlignment="1">
      <alignment horizontal="left" vertical="top" wrapText="1"/>
    </xf>
    <xf numFmtId="3" fontId="7" fillId="3" borderId="12" xfId="0" applyNumberFormat="1" applyFont="1" applyFill="1" applyBorder="1" applyAlignment="1">
      <alignment vertical="top" wrapText="1"/>
    </xf>
    <xf numFmtId="3" fontId="7" fillId="3" borderId="14" xfId="0" applyNumberFormat="1" applyFont="1" applyFill="1" applyBorder="1" applyAlignment="1">
      <alignment vertical="top" wrapText="1"/>
    </xf>
    <xf numFmtId="3" fontId="7" fillId="3" borderId="13" xfId="0" applyNumberFormat="1" applyFont="1" applyFill="1" applyBorder="1" applyAlignment="1">
      <alignment vertical="top" wrapText="1"/>
    </xf>
    <xf numFmtId="0" fontId="15" fillId="0" borderId="0" xfId="0" applyFont="1" applyAlignment="1">
      <alignment horizontal="left" vertical="top"/>
    </xf>
    <xf numFmtId="0" fontId="20" fillId="0" borderId="0" xfId="0" applyFont="1" applyAlignment="1">
      <alignment vertical="top"/>
    </xf>
    <xf numFmtId="0" fontId="21" fillId="0" borderId="0" xfId="0" applyFont="1" applyAlignment="1">
      <alignment vertical="top"/>
    </xf>
    <xf numFmtId="0" fontId="21" fillId="0" borderId="0" xfId="0" quotePrefix="1" applyFont="1" applyAlignment="1">
      <alignment vertical="top" wrapText="1"/>
    </xf>
    <xf numFmtId="0" fontId="21" fillId="0" borderId="0" xfId="0" applyFont="1" applyAlignment="1">
      <alignment vertical="top" wrapText="1"/>
    </xf>
    <xf numFmtId="0" fontId="1" fillId="0" borderId="0" xfId="0" applyFont="1" applyAlignment="1">
      <alignment horizontal="left" vertical="top"/>
    </xf>
    <xf numFmtId="0" fontId="0" fillId="0" borderId="0" xfId="0" applyAlignment="1">
      <alignment vertical="top"/>
    </xf>
    <xf numFmtId="0" fontId="5" fillId="0" borderId="0" xfId="3"/>
    <xf numFmtId="0" fontId="17" fillId="0" borderId="17" xfId="0" applyFont="1" applyBorder="1" applyAlignment="1">
      <alignment horizontal="left" vertical="top" wrapText="1"/>
    </xf>
    <xf numFmtId="0" fontId="0" fillId="0" borderId="18" xfId="0" applyBorder="1"/>
    <xf numFmtId="0" fontId="0" fillId="0" borderId="19" xfId="0" applyBorder="1"/>
    <xf numFmtId="0" fontId="17" fillId="0" borderId="0" xfId="0" quotePrefix="1" applyFont="1" applyAlignment="1">
      <alignment horizontal="left" vertical="top" wrapText="1"/>
    </xf>
    <xf numFmtId="0" fontId="0" fillId="0" borderId="0" xfId="0"/>
    <xf numFmtId="0" fontId="17" fillId="0" borderId="17" xfId="0" applyFont="1" applyBorder="1" applyAlignment="1">
      <alignment horizontal="left" vertical="top"/>
    </xf>
    <xf numFmtId="0" fontId="3" fillId="0" borderId="0" xfId="0" applyFont="1"/>
    <xf numFmtId="0" fontId="1" fillId="0" borderId="0" xfId="0" applyFont="1" applyAlignment="1">
      <alignment horizontal="left"/>
    </xf>
    <xf numFmtId="3" fontId="7" fillId="3" borderId="11" xfId="0" applyNumberFormat="1" applyFont="1" applyFill="1" applyBorder="1" applyAlignment="1">
      <alignment horizontal="left" vertical="center" wrapText="1"/>
    </xf>
    <xf numFmtId="0" fontId="0" fillId="0" borderId="14" xfId="0" applyBorder="1"/>
    <xf numFmtId="0" fontId="0" fillId="0" borderId="13" xfId="0" applyBorder="1"/>
    <xf numFmtId="0" fontId="3" fillId="0" borderId="0" xfId="0" quotePrefix="1" applyFont="1" applyAlignment="1">
      <alignment horizontal="left" vertical="top" wrapText="1"/>
    </xf>
    <xf numFmtId="0" fontId="1" fillId="0" borderId="2" xfId="0" applyFont="1" applyBorder="1" applyAlignment="1">
      <alignment horizontal="left"/>
    </xf>
    <xf numFmtId="0" fontId="1" fillId="0" borderId="3" xfId="0" applyFont="1" applyBorder="1" applyAlignment="1">
      <alignment horizontal="left"/>
    </xf>
    <xf numFmtId="0" fontId="1" fillId="0" borderId="4" xfId="0" applyFont="1" applyBorder="1" applyAlignment="1">
      <alignment horizontal="left"/>
    </xf>
    <xf numFmtId="0" fontId="3" fillId="0" borderId="0" xfId="0" applyFont="1" applyAlignment="1">
      <alignment horizontal="left"/>
    </xf>
    <xf numFmtId="0" fontId="1" fillId="0" borderId="0" xfId="0" quotePrefix="1" applyFont="1" applyAlignment="1">
      <alignment horizontal="left" vertical="top" wrapText="1"/>
    </xf>
    <xf numFmtId="0" fontId="0" fillId="0" borderId="5" xfId="0" applyBorder="1"/>
    <xf numFmtId="3" fontId="9" fillId="3" borderId="11" xfId="0" applyNumberFormat="1" applyFont="1" applyFill="1" applyBorder="1" applyAlignment="1">
      <alignment horizontal="center" vertical="center" wrapText="1"/>
    </xf>
    <xf numFmtId="3" fontId="7" fillId="3" borderId="11" xfId="0" applyNumberFormat="1" applyFont="1" applyFill="1" applyBorder="1" applyAlignment="1">
      <alignment horizontal="center" vertical="center" wrapText="1"/>
    </xf>
    <xf numFmtId="3" fontId="7" fillId="3" borderId="12" xfId="0" applyNumberFormat="1" applyFont="1" applyFill="1" applyBorder="1" applyAlignment="1">
      <alignment horizontal="left" vertical="top" wrapText="1"/>
    </xf>
    <xf numFmtId="0" fontId="0" fillId="0" borderId="14" xfId="0" applyBorder="1" applyAlignment="1">
      <alignment vertical="top"/>
    </xf>
    <xf numFmtId="0" fontId="19" fillId="0" borderId="17" xfId="0" applyFont="1" applyBorder="1" applyAlignment="1">
      <alignment horizontal="left" vertical="top" wrapText="1"/>
    </xf>
    <xf numFmtId="0" fontId="0" fillId="0" borderId="0" xfId="0" applyFill="1"/>
  </cellXfs>
  <cellStyles count="6">
    <cellStyle name="F-C 0dp Num" xfId="4" xr:uid="{00000000-0005-0000-0000-000004000000}"/>
    <cellStyle name="F-Group T3" xfId="5" xr:uid="{00000000-0005-0000-0000-000005000000}"/>
    <cellStyle name="Hyperlink" xfId="3" builtinId="8"/>
    <cellStyle name="Hyperlink 2" xfId="2" xr:uid="{00000000-0005-0000-0000-000002000000}"/>
    <cellStyle name="Normal" xfId="0" builtinId="0"/>
    <cellStyle name="Normal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sharedStrings" Target="sharedStrings.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sheetMetadata" Target="metadata.xml"/><Relationship Id="rId95" Type="http://schemas.microsoft.com/office/2006/relationships/vbaProject" Target="vbaProject.bin"/><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styles" Target="styles.xml"/><Relationship Id="rId91"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92" Type="http://schemas.microsoft.com/office/2017/06/relationships/rdRichValueStructure" Target="richData/rdrichvaluestructure.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theme" Target="theme/theme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96" Type="http://schemas.openxmlformats.org/officeDocument/2006/relationships/worksheet" Target="worksheets/sheet87.xml"/><Relationship Id="rId97" Type="http://schemas.openxmlformats.org/officeDocument/2006/relationships/worksheet" Target="worksheets/sheet88.xml"/><Relationship Id="rId98" Type="http://schemas.openxmlformats.org/officeDocument/2006/relationships/worksheet" Target="worksheets/sheet89.xml"/><Relationship Id="rId99" Type="http://schemas.openxmlformats.org/officeDocument/2006/relationships/worksheet" Target="worksheets/sheet90.xml"/><Relationship Id="rId100" Type="http://schemas.openxmlformats.org/officeDocument/2006/relationships/worksheet" Target="worksheets/sheet91.xml"/><Relationship Id="rId101" Type="http://schemas.openxmlformats.org/officeDocument/2006/relationships/worksheet" Target="worksheets/sheet92.xml"/><Relationship Id="rId102" Type="http://schemas.openxmlformats.org/officeDocument/2006/relationships/worksheet" Target="worksheets/sheet9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158750</xdr:colOff>
          <xdr:row>0</xdr:row>
          <xdr:rowOff>31750</xdr:rowOff>
        </xdr:from>
        <xdr:to>
          <xdr:col>9</xdr:col>
          <xdr:colOff>101600</xdr:colOff>
          <xdr:row>2</xdr:row>
          <xdr:rowOff>25400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0" i="0" u="none" strike="noStrike" baseline="0">
                  <a:solidFill>
                    <a:srgbClr val="000000"/>
                  </a:solidFill>
                  <a:latin typeface="Aptos Narrow"/>
                </a:rPr>
                <a:t>Setup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787400</xdr:colOff>
          <xdr:row>0</xdr:row>
          <xdr:rowOff>50800</xdr:rowOff>
        </xdr:from>
        <xdr:to>
          <xdr:col>11</xdr:col>
          <xdr:colOff>330200</xdr:colOff>
          <xdr:row>2</xdr:row>
          <xdr:rowOff>25400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0" i="0" u="none" strike="noStrike" baseline="0">
                  <a:solidFill>
                    <a:srgbClr val="000000"/>
                  </a:solidFill>
                  <a:latin typeface="Aptos Narrow"/>
                </a:rPr>
                <a:t>Safe Setup</a:t>
              </a:r>
            </a:p>
          </xdr:txBody>
        </xdr:sp>
        <xdr:clientData fPrintsWithSheet="0"/>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fb t="e">#N/A</fb>
    <v>6</v>
    <v>7</v>
  </rv>
</rvData>
</file>

<file path=xl/richData/rdrichvaluestructure.xml><?xml version="1.0" encoding="utf-8"?>
<rvStructures xmlns="http://schemas.microsoft.com/office/spreadsheetml/2017/richdata" count="1">
  <s t="_error">
    <k n="errorType" t="i"/>
    <k n="subType" t="i"/>
  </s>
</rvStructure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youtu.be/MHZXi6s6fGk" TargetMode="External"/><Relationship Id="rId7" Type="http://schemas.openxmlformats.org/officeDocument/2006/relationships/ctrlProp" Target="../ctrlProps/ctrlProp2.xml"/><Relationship Id="rId2" Type="http://schemas.openxmlformats.org/officeDocument/2006/relationships/hyperlink" Target="https://youtu.be/MHZXi6s6fGk" TargetMode="External"/><Relationship Id="rId1" Type="http://schemas.openxmlformats.org/officeDocument/2006/relationships/hyperlink" Target="https://youtu.be/MHZXi6s6fGk"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CDD83-F3B0-43EB-A733-0D42CAB2A5A3}">
  <sheetPr codeName="Sheet1">
    <tabColor theme="8" tint="0.79998168889431442"/>
  </sheetPr>
  <dimension ref="A1:AMH74"/>
  <sheetViews>
    <sheetView showGridLines="0" zoomScale="115" zoomScaleNormal="115" workbookViewId="0">
      <selection activeCell="M3" sqref="M3"/>
    </sheetView>
  </sheetViews>
  <sheetFormatPr defaultColWidth="4.8125" defaultRowHeight="19.25" customHeight="1" x14ac:dyDescent="0.45"/>
  <cols>
    <col min="1" max="6" width="12.5625" style="2" customWidth="1"/>
    <col min="7" max="17" width="9.25" style="2" customWidth="1"/>
    <col min="18" max="18" width="24.125" style="2" customWidth="1"/>
    <col min="19" max="20" width="9.25" style="2" customWidth="1"/>
    <col min="21" max="21" width="13.8125" style="2" customWidth="1"/>
    <col min="22" max="23" width="4.75" style="2" customWidth="1"/>
    <col min="24" max="30" width="4.8125" style="2" customWidth="1"/>
    <col min="31" max="31" width="5.3125" style="2" customWidth="1"/>
    <col min="32" max="1022" width="4.8125" style="2" customWidth="1"/>
    <col min="1023" max="1024" width="4.75" style="2" customWidth="1"/>
    <col min="1025" max="1031" width="4.8125" style="2" customWidth="1"/>
    <col min="1032" max="16384" width="4.8125" style="2"/>
  </cols>
  <sheetData>
    <row r="1" spans="1:1022" ht="19.25" customHeight="1" thickBot="1" x14ac:dyDescent="0.5">
      <c r="A1" s="27" t="s">
        <v>19</v>
      </c>
      <c r="B1" s="90" t="s">
        <v>3335</v>
      </c>
      <c r="C1" s="91"/>
      <c r="D1" s="91"/>
      <c r="E1" s="91"/>
      <c r="F1" s="91"/>
      <c r="G1" s="92"/>
    </row>
    <row r="2" spans="1:1022" ht="19.25" customHeight="1" thickBot="1" x14ac:dyDescent="0.5">
      <c r="A2" s="27" t="s">
        <v>20</v>
      </c>
      <c r="B2" s="90" t="s">
        <v>3336</v>
      </c>
      <c r="C2" s="91"/>
      <c r="D2" s="91"/>
      <c r="E2" s="91"/>
      <c r="F2" s="91"/>
      <c r="G2" s="92"/>
      <c r="U2" s="27" t="s">
        <v>21</v>
      </c>
      <c r="V2" s="3" t="s">
        <v>22</v>
      </c>
      <c r="W2" s="3" t="s">
        <v>23</v>
      </c>
      <c r="X2" s="3" t="s">
        <v>24</v>
      </c>
      <c r="Y2" s="3" t="s">
        <v>25</v>
      </c>
      <c r="Z2" s="3" t="s">
        <v>26</v>
      </c>
      <c r="AA2" s="3" t="s">
        <v>27</v>
      </c>
      <c r="AB2" s="3" t="s">
        <v>28</v>
      </c>
      <c r="AC2" s="3" t="s">
        <v>29</v>
      </c>
      <c r="AD2" s="3" t="s">
        <v>30</v>
      </c>
      <c r="AE2" s="3" t="s">
        <v>31</v>
      </c>
      <c r="AF2" s="3" t="s">
        <v>32</v>
      </c>
      <c r="AG2" s="3" t="s">
        <v>33</v>
      </c>
      <c r="AH2" s="3" t="s">
        <v>34</v>
      </c>
      <c r="AI2" s="3" t="s">
        <v>35</v>
      </c>
      <c r="AJ2" s="3" t="s">
        <v>36</v>
      </c>
      <c r="AK2" s="3" t="s">
        <v>37</v>
      </c>
      <c r="AL2" s="3" t="s">
        <v>38</v>
      </c>
      <c r="AM2" s="3" t="s">
        <v>39</v>
      </c>
      <c r="AN2" s="3" t="s">
        <v>40</v>
      </c>
      <c r="AO2" s="3" t="s">
        <v>41</v>
      </c>
      <c r="AP2" s="3" t="s">
        <v>42</v>
      </c>
      <c r="AQ2" s="3" t="s">
        <v>43</v>
      </c>
      <c r="AR2" s="3" t="s">
        <v>44</v>
      </c>
      <c r="AS2" s="3" t="s">
        <v>45</v>
      </c>
      <c r="AT2" s="3" t="s">
        <v>46</v>
      </c>
      <c r="AU2" s="3" t="s">
        <v>47</v>
      </c>
      <c r="AV2" s="3" t="s">
        <v>48</v>
      </c>
      <c r="AW2" s="3" t="s">
        <v>49</v>
      </c>
      <c r="AX2" s="3" t="s">
        <v>50</v>
      </c>
      <c r="AY2" s="3" t="s">
        <v>51</v>
      </c>
      <c r="AZ2" s="3" t="s">
        <v>52</v>
      </c>
      <c r="BA2" s="3" t="s">
        <v>53</v>
      </c>
      <c r="BB2" s="3" t="s">
        <v>54</v>
      </c>
      <c r="BC2" s="3" t="s">
        <v>55</v>
      </c>
      <c r="BD2" s="3" t="s">
        <v>56</v>
      </c>
      <c r="BE2" s="3" t="s">
        <v>57</v>
      </c>
      <c r="BF2" s="3" t="s">
        <v>58</v>
      </c>
      <c r="BG2" s="3" t="s">
        <v>59</v>
      </c>
      <c r="BH2" s="3" t="s">
        <v>60</v>
      </c>
      <c r="BI2" s="3" t="s">
        <v>61</v>
      </c>
      <c r="BJ2" s="3" t="s">
        <v>62</v>
      </c>
      <c r="BK2" s="3" t="s">
        <v>63</v>
      </c>
      <c r="BL2" s="3" t="s">
        <v>64</v>
      </c>
      <c r="BM2" s="3" t="s">
        <v>65</v>
      </c>
      <c r="BN2" s="3" t="s">
        <v>66</v>
      </c>
      <c r="BO2" s="3" t="s">
        <v>67</v>
      </c>
      <c r="BP2" s="3" t="s">
        <v>68</v>
      </c>
      <c r="BQ2" s="3" t="s">
        <v>69</v>
      </c>
      <c r="BR2" s="3" t="s">
        <v>70</v>
      </c>
      <c r="BS2" s="3" t="s">
        <v>71</v>
      </c>
      <c r="BT2" s="3" t="s">
        <v>72</v>
      </c>
      <c r="BU2" s="3" t="s">
        <v>73</v>
      </c>
      <c r="BV2" s="3" t="s">
        <v>74</v>
      </c>
      <c r="BW2" s="3" t="s">
        <v>75</v>
      </c>
      <c r="BX2" s="3" t="s">
        <v>76</v>
      </c>
      <c r="BY2" s="3" t="s">
        <v>77</v>
      </c>
      <c r="BZ2" s="3" t="s">
        <v>78</v>
      </c>
      <c r="CA2" s="3" t="s">
        <v>79</v>
      </c>
      <c r="CB2" s="3" t="s">
        <v>80</v>
      </c>
      <c r="CC2" s="3" t="s">
        <v>81</v>
      </c>
      <c r="CD2" s="3" t="s">
        <v>82</v>
      </c>
      <c r="CE2" s="3" t="s">
        <v>83</v>
      </c>
      <c r="CF2" s="3" t="s">
        <v>84</v>
      </c>
      <c r="CG2" s="3" t="s">
        <v>85</v>
      </c>
      <c r="CH2" s="3" t="s">
        <v>86</v>
      </c>
      <c r="CI2" s="3" t="s">
        <v>87</v>
      </c>
      <c r="CJ2" s="3" t="s">
        <v>88</v>
      </c>
      <c r="CK2" s="3" t="s">
        <v>89</v>
      </c>
      <c r="CL2" s="3" t="s">
        <v>90</v>
      </c>
      <c r="CM2" s="3" t="s">
        <v>91</v>
      </c>
      <c r="CN2" s="3" t="s">
        <v>92</v>
      </c>
      <c r="CO2" s="3" t="s">
        <v>93</v>
      </c>
      <c r="CP2" s="3" t="s">
        <v>94</v>
      </c>
      <c r="CQ2" s="3" t="s">
        <v>95</v>
      </c>
      <c r="CR2" s="3" t="s">
        <v>96</v>
      </c>
      <c r="CS2" s="3" t="s">
        <v>97</v>
      </c>
      <c r="CT2" s="3" t="s">
        <v>98</v>
      </c>
      <c r="CU2" s="3" t="s">
        <v>99</v>
      </c>
      <c r="CV2" s="3" t="s">
        <v>100</v>
      </c>
      <c r="CW2" s="3" t="s">
        <v>101</v>
      </c>
      <c r="CX2" s="3" t="s">
        <v>102</v>
      </c>
      <c r="CY2" s="3" t="s">
        <v>103</v>
      </c>
      <c r="CZ2" s="3" t="s">
        <v>104</v>
      </c>
      <c r="DA2" s="3" t="s">
        <v>105</v>
      </c>
      <c r="DB2" s="3" t="s">
        <v>106</v>
      </c>
      <c r="DC2" s="3" t="s">
        <v>107</v>
      </c>
      <c r="DD2" s="3" t="s">
        <v>108</v>
      </c>
      <c r="DE2" s="3" t="s">
        <v>109</v>
      </c>
      <c r="DF2" s="3" t="s">
        <v>110</v>
      </c>
      <c r="DG2" s="3" t="s">
        <v>111</v>
      </c>
      <c r="DH2" s="3" t="s">
        <v>112</v>
      </c>
      <c r="DI2" s="3" t="s">
        <v>113</v>
      </c>
      <c r="DJ2" s="3" t="s">
        <v>114</v>
      </c>
      <c r="DK2" s="3" t="s">
        <v>115</v>
      </c>
      <c r="DL2" s="3" t="s">
        <v>116</v>
      </c>
      <c r="DM2" s="3" t="s">
        <v>117</v>
      </c>
      <c r="DN2" s="3" t="s">
        <v>118</v>
      </c>
      <c r="DO2" s="3" t="s">
        <v>119</v>
      </c>
      <c r="DP2" s="3" t="s">
        <v>120</v>
      </c>
    </row>
    <row r="3" spans="1:1022" ht="19.25" customHeight="1" thickBot="1" x14ac:dyDescent="0.5">
      <c r="A3" s="27" t="s">
        <v>121</v>
      </c>
      <c r="B3" s="90" t="s">
        <v>3337</v>
      </c>
      <c r="C3" s="91"/>
      <c r="D3" s="91"/>
      <c r="E3" s="91"/>
      <c r="F3" s="91"/>
      <c r="G3" s="92"/>
      <c r="U3" s="27" t="s">
        <v>122</v>
      </c>
      <c r="V3" s="3">
        <v>0</v>
      </c>
      <c r="W3" s="3">
        <v>0</v>
      </c>
      <c r="X3" s="3">
        <v>0</v>
      </c>
      <c r="Y3" s="3">
        <v>0</v>
      </c>
      <c r="Z3" s="3">
        <v>0</v>
      </c>
      <c r="AA3" s="3">
        <v>0</v>
      </c>
      <c r="AB3" s="3">
        <v>0</v>
      </c>
      <c r="AC3" s="3">
        <v>1</v>
      </c>
      <c r="AD3" s="3">
        <v>1</v>
      </c>
      <c r="AE3" s="3">
        <v>1</v>
      </c>
      <c r="AF3" s="3">
        <v>1</v>
      </c>
      <c r="AG3" s="3">
        <v>1</v>
      </c>
      <c r="AH3" s="3">
        <v>1</v>
      </c>
      <c r="AI3" s="3">
        <v>1</v>
      </c>
      <c r="AJ3" s="3">
        <v>2</v>
      </c>
      <c r="AK3" s="3">
        <v>2</v>
      </c>
      <c r="AL3" s="3">
        <v>2</v>
      </c>
      <c r="AM3" s="3">
        <v>2</v>
      </c>
      <c r="AN3" s="3">
        <v>2</v>
      </c>
      <c r="AO3" s="3">
        <v>2</v>
      </c>
      <c r="AP3" s="3">
        <v>3</v>
      </c>
      <c r="AQ3" s="3">
        <v>3</v>
      </c>
      <c r="AR3" s="3">
        <v>3</v>
      </c>
      <c r="AS3" s="3">
        <v>3</v>
      </c>
      <c r="AT3" s="3">
        <v>3</v>
      </c>
      <c r="AU3" s="3">
        <v>3</v>
      </c>
      <c r="AV3" s="3">
        <v>3</v>
      </c>
      <c r="AW3" s="3">
        <v>4</v>
      </c>
      <c r="AX3" s="3">
        <v>4</v>
      </c>
      <c r="AY3" s="3">
        <v>4</v>
      </c>
      <c r="AZ3" s="3">
        <v>4</v>
      </c>
      <c r="BA3" s="3">
        <v>4</v>
      </c>
      <c r="BB3" s="3">
        <v>4</v>
      </c>
      <c r="BC3" s="3">
        <v>4</v>
      </c>
      <c r="BD3" s="3">
        <v>5</v>
      </c>
      <c r="BE3" s="3">
        <v>5</v>
      </c>
      <c r="BF3" s="3">
        <v>5</v>
      </c>
      <c r="BG3" s="3">
        <v>5</v>
      </c>
      <c r="BH3" s="3">
        <v>5</v>
      </c>
      <c r="BI3" s="3">
        <v>5</v>
      </c>
      <c r="BJ3" s="3">
        <v>5</v>
      </c>
      <c r="BK3" s="3">
        <v>9</v>
      </c>
      <c r="BL3" s="3">
        <v>6</v>
      </c>
      <c r="BM3" s="3">
        <v>6</v>
      </c>
      <c r="BN3" s="3">
        <v>6</v>
      </c>
      <c r="BO3" s="3">
        <v>6</v>
      </c>
      <c r="BP3" s="3">
        <v>6</v>
      </c>
      <c r="BQ3" s="3">
        <v>6</v>
      </c>
      <c r="BR3" s="3">
        <v>0</v>
      </c>
      <c r="BS3" s="3">
        <v>0</v>
      </c>
      <c r="BT3" s="3">
        <v>0</v>
      </c>
      <c r="BU3" s="3">
        <v>0</v>
      </c>
      <c r="BV3" s="3">
        <v>0</v>
      </c>
      <c r="BW3" s="3">
        <v>0</v>
      </c>
      <c r="BX3" s="3">
        <v>0</v>
      </c>
      <c r="BY3" s="3">
        <v>0</v>
      </c>
      <c r="BZ3" s="3">
        <v>1</v>
      </c>
      <c r="CA3" s="3">
        <v>1</v>
      </c>
      <c r="CB3" s="3">
        <v>1</v>
      </c>
      <c r="CC3" s="3">
        <v>1</v>
      </c>
      <c r="CD3" s="3">
        <v>1</v>
      </c>
      <c r="CE3" s="3">
        <v>1</v>
      </c>
      <c r="CF3" s="3">
        <v>1</v>
      </c>
      <c r="CG3" s="3">
        <v>2</v>
      </c>
      <c r="CH3" s="3">
        <v>2</v>
      </c>
      <c r="CI3" s="3">
        <v>2</v>
      </c>
      <c r="CJ3" s="3">
        <v>2</v>
      </c>
      <c r="CK3" s="3">
        <v>2</v>
      </c>
      <c r="CL3" s="3">
        <v>2</v>
      </c>
      <c r="CM3" s="3">
        <v>2</v>
      </c>
      <c r="CN3" s="3">
        <v>3</v>
      </c>
      <c r="CO3" s="3">
        <v>3</v>
      </c>
      <c r="CP3" s="3">
        <v>3</v>
      </c>
      <c r="CQ3" s="3">
        <v>3</v>
      </c>
      <c r="CR3" s="3">
        <v>3</v>
      </c>
      <c r="CS3" s="3">
        <v>3</v>
      </c>
      <c r="CT3" s="3">
        <v>3</v>
      </c>
      <c r="CU3" s="3">
        <v>4</v>
      </c>
      <c r="CV3" s="3">
        <v>4</v>
      </c>
      <c r="CW3" s="3">
        <v>4</v>
      </c>
      <c r="CX3" s="3">
        <v>4</v>
      </c>
      <c r="CY3" s="3">
        <v>4</v>
      </c>
      <c r="CZ3" s="3">
        <v>4</v>
      </c>
      <c r="DA3" s="3">
        <v>4</v>
      </c>
      <c r="DB3" s="3">
        <v>5</v>
      </c>
      <c r="DC3" s="3">
        <v>5</v>
      </c>
      <c r="DD3" s="3">
        <v>5</v>
      </c>
      <c r="DE3" s="3">
        <v>5</v>
      </c>
      <c r="DF3" s="3">
        <v>5</v>
      </c>
      <c r="DG3" s="3">
        <v>5</v>
      </c>
      <c r="DH3" s="3">
        <v>5</v>
      </c>
      <c r="DI3" s="3">
        <v>6</v>
      </c>
      <c r="DJ3" s="3">
        <v>6</v>
      </c>
      <c r="DK3" s="3">
        <v>6</v>
      </c>
      <c r="DL3" s="3">
        <v>6</v>
      </c>
      <c r="DM3" s="3">
        <v>6</v>
      </c>
      <c r="DN3" s="3">
        <v>6</v>
      </c>
      <c r="DO3" s="3">
        <v>6</v>
      </c>
      <c r="DP3" s="3">
        <v>0</v>
      </c>
    </row>
    <row r="4" spans="1:1022" ht="19.25" customHeight="1" thickBot="1" x14ac:dyDescent="0.5">
      <c r="U4" s="27" t="s">
        <v>123</v>
      </c>
      <c r="V4" s="3">
        <v>0</v>
      </c>
      <c r="W4" s="3">
        <v>1</v>
      </c>
      <c r="X4" s="3">
        <v>2</v>
      </c>
      <c r="Y4" s="3">
        <v>3</v>
      </c>
      <c r="Z4" s="3">
        <v>4</v>
      </c>
      <c r="AA4" s="3">
        <v>5</v>
      </c>
      <c r="AB4" s="3">
        <v>6</v>
      </c>
      <c r="AC4" s="3">
        <v>0</v>
      </c>
      <c r="AD4" s="3">
        <v>1</v>
      </c>
      <c r="AE4" s="3">
        <v>2</v>
      </c>
      <c r="AF4" s="3">
        <v>3</v>
      </c>
      <c r="AG4" s="3">
        <v>4</v>
      </c>
      <c r="AH4" s="3">
        <v>5</v>
      </c>
      <c r="AI4" s="3">
        <v>6</v>
      </c>
      <c r="AJ4" s="3">
        <v>1</v>
      </c>
      <c r="AK4" s="3">
        <v>2</v>
      </c>
      <c r="AL4" s="3">
        <v>3</v>
      </c>
      <c r="AM4" s="3">
        <v>4</v>
      </c>
      <c r="AN4" s="3">
        <v>5</v>
      </c>
      <c r="AO4" s="3">
        <v>6</v>
      </c>
      <c r="AP4" s="3">
        <v>0</v>
      </c>
      <c r="AQ4" s="3">
        <v>1</v>
      </c>
      <c r="AR4" s="3">
        <v>2</v>
      </c>
      <c r="AS4" s="3">
        <v>3</v>
      </c>
      <c r="AT4" s="3">
        <v>4</v>
      </c>
      <c r="AU4" s="3">
        <v>5</v>
      </c>
      <c r="AV4" s="3">
        <v>6</v>
      </c>
      <c r="AW4" s="3">
        <v>0</v>
      </c>
      <c r="AX4" s="3">
        <v>1</v>
      </c>
      <c r="AY4" s="3">
        <v>2</v>
      </c>
      <c r="AZ4" s="3">
        <v>3</v>
      </c>
      <c r="BA4" s="3">
        <v>4</v>
      </c>
      <c r="BB4" s="3">
        <v>5</v>
      </c>
      <c r="BC4" s="3">
        <v>6</v>
      </c>
      <c r="BD4" s="3">
        <v>0</v>
      </c>
      <c r="BE4" s="3">
        <v>1</v>
      </c>
      <c r="BF4" s="3">
        <v>2</v>
      </c>
      <c r="BG4" s="3">
        <v>3</v>
      </c>
      <c r="BH4" s="3">
        <v>4</v>
      </c>
      <c r="BI4" s="3">
        <v>5</v>
      </c>
      <c r="BJ4" s="3">
        <v>6</v>
      </c>
      <c r="BK4" s="3">
        <v>0</v>
      </c>
      <c r="BL4" s="3">
        <v>1</v>
      </c>
      <c r="BM4" s="3">
        <v>2</v>
      </c>
      <c r="BN4" s="3">
        <v>3</v>
      </c>
      <c r="BO4" s="3">
        <v>4</v>
      </c>
      <c r="BP4" s="3">
        <v>5</v>
      </c>
      <c r="BQ4" s="3">
        <v>6</v>
      </c>
      <c r="BR4" s="3">
        <v>0</v>
      </c>
      <c r="BS4" s="3">
        <v>0</v>
      </c>
      <c r="BT4" s="3">
        <v>1</v>
      </c>
      <c r="BU4" s="3">
        <v>2</v>
      </c>
      <c r="BV4" s="3">
        <v>3</v>
      </c>
      <c r="BW4" s="3">
        <v>4</v>
      </c>
      <c r="BX4" s="3">
        <v>5</v>
      </c>
      <c r="BY4" s="3">
        <v>6</v>
      </c>
      <c r="BZ4" s="3">
        <v>0</v>
      </c>
      <c r="CA4" s="3">
        <v>1</v>
      </c>
      <c r="CB4" s="3">
        <v>2</v>
      </c>
      <c r="CC4" s="3">
        <v>3</v>
      </c>
      <c r="CD4" s="3">
        <v>4</v>
      </c>
      <c r="CE4" s="3">
        <v>5</v>
      </c>
      <c r="CF4" s="3">
        <v>6</v>
      </c>
      <c r="CG4" s="3">
        <v>0</v>
      </c>
      <c r="CH4" s="3">
        <v>1</v>
      </c>
      <c r="CI4" s="3">
        <v>2</v>
      </c>
      <c r="CJ4" s="3">
        <v>3</v>
      </c>
      <c r="CK4" s="3">
        <v>4</v>
      </c>
      <c r="CL4" s="3">
        <v>5</v>
      </c>
      <c r="CM4" s="3">
        <v>6</v>
      </c>
      <c r="CN4" s="3">
        <v>0</v>
      </c>
      <c r="CO4" s="3">
        <v>1</v>
      </c>
      <c r="CP4" s="3">
        <v>2</v>
      </c>
      <c r="CQ4" s="3">
        <v>3</v>
      </c>
      <c r="CR4" s="3">
        <v>4</v>
      </c>
      <c r="CS4" s="3">
        <v>5</v>
      </c>
      <c r="CT4" s="3">
        <v>6</v>
      </c>
      <c r="CU4" s="3">
        <v>0</v>
      </c>
      <c r="CV4" s="3">
        <v>1</v>
      </c>
      <c r="CW4" s="3">
        <v>2</v>
      </c>
      <c r="CX4" s="3">
        <v>3</v>
      </c>
      <c r="CY4" s="3">
        <v>4</v>
      </c>
      <c r="CZ4" s="3">
        <v>5</v>
      </c>
      <c r="DA4" s="3">
        <v>6</v>
      </c>
      <c r="DB4" s="3">
        <v>0</v>
      </c>
      <c r="DC4" s="3">
        <v>1</v>
      </c>
      <c r="DD4" s="3">
        <v>2</v>
      </c>
      <c r="DE4" s="3">
        <v>3</v>
      </c>
      <c r="DF4" s="3">
        <v>4</v>
      </c>
      <c r="DG4" s="3">
        <v>5</v>
      </c>
      <c r="DH4" s="3">
        <v>6</v>
      </c>
      <c r="DI4" s="3">
        <v>0</v>
      </c>
      <c r="DJ4" s="3">
        <v>1</v>
      </c>
      <c r="DK4" s="3">
        <v>2</v>
      </c>
      <c r="DL4" s="3">
        <v>3</v>
      </c>
      <c r="DM4" s="3">
        <v>4</v>
      </c>
      <c r="DN4" s="3">
        <v>5</v>
      </c>
      <c r="DO4" s="3">
        <v>6</v>
      </c>
      <c r="DP4" s="3">
        <v>0</v>
      </c>
    </row>
    <row r="5" spans="1:1022" ht="29.4" customHeight="1" thickBot="1" x14ac:dyDescent="0.55000000000000004">
      <c r="A5" s="96" t="s">
        <v>124</v>
      </c>
      <c r="B5" s="87"/>
      <c r="C5" s="87"/>
      <c r="D5" s="87"/>
      <c r="E5" s="88"/>
      <c r="G5" s="27" t="s">
        <v>125</v>
      </c>
      <c r="H5" s="27" t="s">
        <v>126</v>
      </c>
      <c r="I5" s="27" t="s">
        <v>127</v>
      </c>
      <c r="K5" s="27" t="s">
        <v>128</v>
      </c>
      <c r="L5" s="27" t="s">
        <v>129</v>
      </c>
      <c r="M5" s="27" t="s">
        <v>130</v>
      </c>
      <c r="O5" s="27" t="s">
        <v>128</v>
      </c>
      <c r="P5" s="27" t="s">
        <v>131</v>
      </c>
      <c r="Q5" s="27" t="s">
        <v>132</v>
      </c>
      <c r="R5" s="27" t="s">
        <v>133</v>
      </c>
      <c r="S5" s="27" t="s">
        <v>134</v>
      </c>
    </row>
    <row r="6" spans="1:1022" ht="18.899999999999999" customHeight="1" thickBot="1" x14ac:dyDescent="0.5">
      <c r="A6" s="9" t="s">
        <v>135</v>
      </c>
      <c r="E6" s="12"/>
      <c r="G6" s="6" t="s">
        <v>136</v>
      </c>
      <c r="H6" s="5">
        <v>2</v>
      </c>
      <c r="I6" s="5">
        <v>2</v>
      </c>
      <c r="K6" s="5">
        <v>1</v>
      </c>
      <c r="L6" s="5" t="s">
        <v>137</v>
      </c>
      <c r="M6" s="5" t="s">
        <v>138</v>
      </c>
      <c r="O6" s="5">
        <v>1</v>
      </c>
      <c r="P6" s="5" t="s">
        <v>139</v>
      </c>
      <c r="Q6" s="5">
        <v>31</v>
      </c>
      <c r="R6" s="7">
        <v>46023</v>
      </c>
      <c r="S6" s="7">
        <v>46053</v>
      </c>
      <c r="U6" s="31" t="s">
        <v>140</v>
      </c>
      <c r="V6" s="3">
        <v>2</v>
      </c>
      <c r="W6" s="1">
        <v>3</v>
      </c>
      <c r="X6" s="1">
        <v>5</v>
      </c>
      <c r="Y6" s="1">
        <v>7</v>
      </c>
      <c r="Z6" s="1">
        <v>11</v>
      </c>
      <c r="AA6" s="1">
        <v>13</v>
      </c>
      <c r="AB6" s="1">
        <v>17</v>
      </c>
      <c r="AC6" s="1">
        <v>19</v>
      </c>
      <c r="AD6" s="1">
        <v>23</v>
      </c>
      <c r="AE6" s="1">
        <v>29</v>
      </c>
      <c r="AF6" s="1">
        <v>31</v>
      </c>
      <c r="AG6" s="1">
        <v>37</v>
      </c>
      <c r="AH6" s="1">
        <v>41</v>
      </c>
      <c r="AI6" s="1">
        <v>43</v>
      </c>
      <c r="AJ6" s="1">
        <v>47</v>
      </c>
      <c r="AK6" s="1">
        <v>53</v>
      </c>
      <c r="AL6" s="1">
        <v>59</v>
      </c>
      <c r="AM6" s="1">
        <v>61</v>
      </c>
      <c r="AN6" s="1">
        <v>67</v>
      </c>
      <c r="AO6" s="1">
        <v>71</v>
      </c>
      <c r="AP6" s="1">
        <v>73</v>
      </c>
      <c r="AQ6" s="1">
        <v>79</v>
      </c>
      <c r="AR6" s="1">
        <v>83</v>
      </c>
      <c r="AS6" s="1">
        <v>89</v>
      </c>
      <c r="AT6" s="1">
        <v>97</v>
      </c>
      <c r="AU6" s="1">
        <v>101</v>
      </c>
      <c r="AV6" s="1">
        <v>103</v>
      </c>
      <c r="AW6" s="1">
        <v>107</v>
      </c>
      <c r="AX6" s="1">
        <v>109</v>
      </c>
      <c r="AY6" s="1">
        <v>113</v>
      </c>
      <c r="AZ6" s="1">
        <v>127</v>
      </c>
      <c r="BA6" s="1">
        <v>131</v>
      </c>
      <c r="BB6" s="1">
        <v>137</v>
      </c>
      <c r="BC6" s="1">
        <v>139</v>
      </c>
      <c r="BD6" s="1">
        <v>149</v>
      </c>
      <c r="BE6" s="1">
        <v>151</v>
      </c>
      <c r="BF6" s="1">
        <v>157</v>
      </c>
      <c r="BG6" s="1">
        <v>163</v>
      </c>
      <c r="BH6" s="1">
        <v>167</v>
      </c>
      <c r="BI6" s="1">
        <v>173</v>
      </c>
      <c r="BJ6" s="1">
        <v>179</v>
      </c>
      <c r="BK6" s="1">
        <v>181</v>
      </c>
      <c r="BL6" s="1">
        <v>191</v>
      </c>
      <c r="BM6" s="1">
        <v>193</v>
      </c>
      <c r="BN6" s="1">
        <v>197</v>
      </c>
      <c r="BO6" s="1">
        <v>199</v>
      </c>
      <c r="BP6" s="1">
        <v>211</v>
      </c>
      <c r="BQ6" s="1">
        <v>223</v>
      </c>
      <c r="BR6" s="1">
        <v>227</v>
      </c>
      <c r="BS6" s="1">
        <v>229</v>
      </c>
      <c r="BT6" s="1">
        <v>233</v>
      </c>
      <c r="BU6" s="1">
        <v>239</v>
      </c>
      <c r="BV6" s="1">
        <v>241</v>
      </c>
      <c r="BW6" s="1">
        <v>251</v>
      </c>
      <c r="BX6" s="1">
        <v>257</v>
      </c>
      <c r="BY6" s="1">
        <v>263</v>
      </c>
      <c r="BZ6" s="1">
        <v>269</v>
      </c>
      <c r="CA6" s="1">
        <v>271</v>
      </c>
      <c r="CB6" s="1">
        <v>277</v>
      </c>
      <c r="CC6" s="1">
        <v>281</v>
      </c>
      <c r="CD6" s="1">
        <v>283</v>
      </c>
      <c r="CE6" s="1">
        <v>293</v>
      </c>
      <c r="CF6" s="1">
        <v>307</v>
      </c>
      <c r="CG6" s="1">
        <v>311</v>
      </c>
      <c r="CH6" s="1">
        <v>313</v>
      </c>
      <c r="CI6" s="1">
        <v>317</v>
      </c>
      <c r="CJ6" s="1">
        <v>331</v>
      </c>
      <c r="CK6" s="1">
        <v>337</v>
      </c>
      <c r="CL6" s="1">
        <v>347</v>
      </c>
      <c r="CM6" s="1">
        <v>349</v>
      </c>
      <c r="CN6" s="1">
        <v>353</v>
      </c>
      <c r="CO6" s="1">
        <v>359</v>
      </c>
      <c r="CP6" s="1">
        <v>367</v>
      </c>
      <c r="CQ6" s="1">
        <v>373</v>
      </c>
      <c r="CR6" s="1">
        <v>379</v>
      </c>
      <c r="CS6" s="1">
        <v>383</v>
      </c>
      <c r="CT6" s="1">
        <v>389</v>
      </c>
      <c r="CU6" s="1">
        <v>397</v>
      </c>
      <c r="CV6" s="1">
        <v>401</v>
      </c>
      <c r="CW6" s="1">
        <v>409</v>
      </c>
      <c r="CX6" s="1">
        <v>419</v>
      </c>
      <c r="CY6" s="1">
        <v>421</v>
      </c>
      <c r="CZ6" s="1">
        <v>431</v>
      </c>
      <c r="DA6" s="1">
        <v>433</v>
      </c>
      <c r="DB6" s="1">
        <v>439</v>
      </c>
      <c r="DC6" s="1">
        <v>443</v>
      </c>
      <c r="DD6" s="1">
        <v>449</v>
      </c>
      <c r="DE6" s="1">
        <v>457</v>
      </c>
      <c r="DF6" s="1">
        <v>461</v>
      </c>
      <c r="DG6" s="1">
        <v>463</v>
      </c>
      <c r="DH6" s="1">
        <v>467</v>
      </c>
      <c r="DI6" s="1">
        <v>479</v>
      </c>
      <c r="DJ6" s="1">
        <v>487</v>
      </c>
      <c r="DK6" s="1">
        <v>491</v>
      </c>
      <c r="DL6" s="1">
        <v>499</v>
      </c>
      <c r="DM6" s="1">
        <v>503</v>
      </c>
      <c r="DN6" s="1">
        <v>509</v>
      </c>
      <c r="DO6" s="1">
        <v>521</v>
      </c>
      <c r="DP6" s="1">
        <v>523</v>
      </c>
      <c r="DQ6" s="1">
        <v>541</v>
      </c>
      <c r="DR6" s="1">
        <v>547</v>
      </c>
      <c r="DS6" s="1">
        <v>557</v>
      </c>
      <c r="DT6" s="1">
        <v>563</v>
      </c>
      <c r="DU6" s="1">
        <v>569</v>
      </c>
      <c r="DV6" s="1">
        <v>571</v>
      </c>
      <c r="DW6" s="1">
        <v>577</v>
      </c>
      <c r="DX6" s="1">
        <v>587</v>
      </c>
      <c r="DY6" s="1">
        <v>593</v>
      </c>
      <c r="DZ6" s="1">
        <v>599</v>
      </c>
      <c r="EA6" s="1">
        <v>601</v>
      </c>
      <c r="EB6" s="1">
        <v>607</v>
      </c>
      <c r="EC6" s="1">
        <v>613</v>
      </c>
      <c r="ED6" s="1">
        <v>617</v>
      </c>
      <c r="EE6" s="1">
        <v>619</v>
      </c>
      <c r="EF6" s="1">
        <v>631</v>
      </c>
      <c r="EG6" s="1">
        <v>641</v>
      </c>
      <c r="EH6" s="1">
        <v>643</v>
      </c>
      <c r="EI6" s="1">
        <v>647</v>
      </c>
      <c r="EJ6" s="1">
        <v>653</v>
      </c>
      <c r="EK6" s="1">
        <v>659</v>
      </c>
      <c r="EL6" s="1">
        <v>661</v>
      </c>
      <c r="EM6" s="1">
        <v>673</v>
      </c>
      <c r="EN6" s="1">
        <v>677</v>
      </c>
      <c r="EO6" s="1">
        <v>683</v>
      </c>
      <c r="EP6" s="1">
        <v>691</v>
      </c>
      <c r="EQ6" s="1">
        <v>701</v>
      </c>
      <c r="ER6" s="1">
        <v>709</v>
      </c>
      <c r="ES6" s="1">
        <v>719</v>
      </c>
      <c r="ET6" s="1">
        <v>727</v>
      </c>
      <c r="EU6" s="1">
        <v>733</v>
      </c>
      <c r="EV6" s="1">
        <v>739</v>
      </c>
      <c r="EW6" s="1">
        <v>743</v>
      </c>
      <c r="EX6" s="1">
        <v>751</v>
      </c>
      <c r="EY6" s="1">
        <v>757</v>
      </c>
      <c r="EZ6" s="1">
        <v>761</v>
      </c>
      <c r="FA6" s="1">
        <v>769</v>
      </c>
      <c r="FB6" s="1">
        <v>773</v>
      </c>
      <c r="FC6" s="1">
        <v>787</v>
      </c>
      <c r="FD6" s="1">
        <v>797</v>
      </c>
      <c r="FE6" s="1">
        <v>809</v>
      </c>
      <c r="FF6" s="1">
        <v>811</v>
      </c>
      <c r="FG6" s="1">
        <v>821</v>
      </c>
      <c r="FH6" s="1">
        <v>823</v>
      </c>
      <c r="FI6" s="1">
        <v>827</v>
      </c>
      <c r="FJ6" s="1">
        <v>829</v>
      </c>
      <c r="FK6" s="1">
        <v>839</v>
      </c>
      <c r="FL6" s="1">
        <v>853</v>
      </c>
      <c r="FM6" s="1">
        <v>857</v>
      </c>
      <c r="FN6" s="1">
        <v>859</v>
      </c>
      <c r="FO6" s="1">
        <v>863</v>
      </c>
      <c r="FP6" s="1">
        <v>877</v>
      </c>
      <c r="FQ6" s="1">
        <v>881</v>
      </c>
      <c r="FR6" s="1">
        <v>883</v>
      </c>
      <c r="FS6" s="1">
        <v>887</v>
      </c>
      <c r="FT6" s="1">
        <v>907</v>
      </c>
      <c r="FU6" s="1">
        <v>911</v>
      </c>
      <c r="FV6" s="1">
        <v>919</v>
      </c>
      <c r="FW6" s="1">
        <v>929</v>
      </c>
      <c r="FX6" s="1">
        <v>937</v>
      </c>
      <c r="FY6" s="1">
        <v>941</v>
      </c>
      <c r="FZ6" s="1">
        <v>947</v>
      </c>
      <c r="GA6" s="1">
        <v>953</v>
      </c>
      <c r="GB6" s="1">
        <v>967</v>
      </c>
      <c r="GC6" s="1">
        <v>971</v>
      </c>
      <c r="GD6" s="1">
        <v>977</v>
      </c>
      <c r="GE6" s="1">
        <v>983</v>
      </c>
      <c r="GF6" s="1">
        <v>991</v>
      </c>
      <c r="GG6" s="1">
        <v>997</v>
      </c>
      <c r="GH6" s="1">
        <v>1009</v>
      </c>
      <c r="GI6" s="1">
        <v>1013</v>
      </c>
      <c r="GJ6" s="1">
        <v>1019</v>
      </c>
      <c r="GK6" s="1">
        <v>1021</v>
      </c>
      <c r="GL6" s="1">
        <v>1031</v>
      </c>
      <c r="GM6" s="1">
        <v>1033</v>
      </c>
      <c r="GN6" s="1">
        <v>1039</v>
      </c>
      <c r="GO6" s="1">
        <v>1049</v>
      </c>
      <c r="GP6" s="1">
        <v>1051</v>
      </c>
      <c r="GQ6" s="1">
        <v>1061</v>
      </c>
      <c r="GR6" s="1">
        <v>1063</v>
      </c>
      <c r="GS6" s="1">
        <v>1069</v>
      </c>
      <c r="GT6" s="1">
        <v>1087</v>
      </c>
      <c r="GU6" s="1">
        <v>1091</v>
      </c>
      <c r="GV6" s="1">
        <v>1093</v>
      </c>
      <c r="GW6" s="1">
        <v>1097</v>
      </c>
      <c r="GX6" s="1">
        <v>1103</v>
      </c>
      <c r="GY6" s="1">
        <v>1109</v>
      </c>
      <c r="GZ6" s="1">
        <v>1117</v>
      </c>
      <c r="HA6" s="1">
        <v>1123</v>
      </c>
      <c r="HB6" s="1">
        <v>1129</v>
      </c>
      <c r="HC6" s="1">
        <v>1151</v>
      </c>
      <c r="HD6" s="1">
        <v>1153</v>
      </c>
      <c r="HE6" s="1">
        <v>1163</v>
      </c>
      <c r="HF6" s="1">
        <v>1171</v>
      </c>
      <c r="HG6" s="1">
        <v>1181</v>
      </c>
      <c r="HH6" s="1">
        <v>1187</v>
      </c>
      <c r="HI6" s="1">
        <v>1193</v>
      </c>
      <c r="HJ6" s="1">
        <v>1201</v>
      </c>
      <c r="HK6" s="1">
        <v>1213</v>
      </c>
      <c r="HL6" s="1">
        <v>1217</v>
      </c>
      <c r="HM6" s="1">
        <v>1223</v>
      </c>
      <c r="HN6" s="1">
        <v>1229</v>
      </c>
      <c r="HO6" s="1">
        <v>1231</v>
      </c>
      <c r="HP6" s="1">
        <v>1237</v>
      </c>
      <c r="HQ6" s="1">
        <v>1249</v>
      </c>
      <c r="HR6" s="1">
        <v>1259</v>
      </c>
      <c r="HS6" s="1">
        <v>1277</v>
      </c>
      <c r="HT6" s="1">
        <v>1279</v>
      </c>
      <c r="HU6" s="1">
        <v>1283</v>
      </c>
      <c r="HV6" s="1">
        <v>1289</v>
      </c>
      <c r="HW6" s="1">
        <v>1291</v>
      </c>
      <c r="HX6" s="1">
        <v>1297</v>
      </c>
      <c r="HY6" s="1">
        <v>1301</v>
      </c>
      <c r="HZ6" s="1">
        <v>1303</v>
      </c>
      <c r="IA6" s="1">
        <v>1307</v>
      </c>
      <c r="IB6" s="1">
        <v>1319</v>
      </c>
      <c r="IC6" s="1">
        <v>1321</v>
      </c>
      <c r="ID6" s="1">
        <v>1327</v>
      </c>
      <c r="IE6" s="1">
        <v>1361</v>
      </c>
      <c r="IF6" s="1">
        <v>1367</v>
      </c>
      <c r="IG6" s="1">
        <v>1373</v>
      </c>
      <c r="IH6" s="1">
        <v>1381</v>
      </c>
      <c r="II6" s="1">
        <v>1399</v>
      </c>
      <c r="IJ6" s="1">
        <v>1409</v>
      </c>
      <c r="IK6" s="1">
        <v>1423</v>
      </c>
      <c r="IL6" s="1">
        <v>1427</v>
      </c>
      <c r="IM6" s="1">
        <v>1429</v>
      </c>
      <c r="IN6" s="1">
        <v>1433</v>
      </c>
      <c r="IO6" s="1">
        <v>1439</v>
      </c>
      <c r="IP6" s="1">
        <v>1447</v>
      </c>
      <c r="IQ6" s="1">
        <v>1451</v>
      </c>
      <c r="IR6" s="1">
        <v>1453</v>
      </c>
      <c r="IS6" s="1">
        <v>1459</v>
      </c>
      <c r="IT6" s="1">
        <v>1471</v>
      </c>
      <c r="IU6" s="1">
        <v>1481</v>
      </c>
      <c r="IV6" s="1">
        <v>1483</v>
      </c>
      <c r="IW6" s="1">
        <v>1487</v>
      </c>
      <c r="IX6" s="1">
        <v>1489</v>
      </c>
      <c r="IY6" s="1">
        <v>1493</v>
      </c>
      <c r="IZ6" s="1">
        <v>1499</v>
      </c>
      <c r="JA6" s="1">
        <v>1511</v>
      </c>
      <c r="JB6" s="1">
        <v>1523</v>
      </c>
      <c r="JC6" s="1">
        <v>1531</v>
      </c>
      <c r="JD6" s="1">
        <v>1543</v>
      </c>
      <c r="JE6" s="1">
        <v>1549</v>
      </c>
      <c r="JF6" s="1">
        <v>1553</v>
      </c>
      <c r="JG6" s="1">
        <v>1559</v>
      </c>
      <c r="JH6" s="1">
        <v>1567</v>
      </c>
      <c r="JI6" s="1">
        <v>1571</v>
      </c>
      <c r="JJ6" s="1">
        <v>1579</v>
      </c>
      <c r="JK6" s="1">
        <v>1583</v>
      </c>
      <c r="JL6" s="1">
        <v>1597</v>
      </c>
      <c r="JM6" s="1">
        <v>1601</v>
      </c>
      <c r="JN6" s="1">
        <v>1607</v>
      </c>
      <c r="JO6" s="1">
        <v>1609</v>
      </c>
      <c r="JP6" s="1">
        <v>1613</v>
      </c>
      <c r="JQ6" s="1">
        <v>1619</v>
      </c>
      <c r="JR6" s="1">
        <v>1621</v>
      </c>
      <c r="JS6" s="1">
        <v>1627</v>
      </c>
      <c r="JT6" s="1">
        <v>1637</v>
      </c>
      <c r="JU6" s="1">
        <v>1657</v>
      </c>
      <c r="JV6" s="1">
        <v>1663</v>
      </c>
      <c r="JW6" s="1">
        <v>1667</v>
      </c>
      <c r="JX6" s="1">
        <v>1669</v>
      </c>
      <c r="JY6" s="1">
        <v>1693</v>
      </c>
      <c r="JZ6" s="1">
        <v>1697</v>
      </c>
      <c r="KA6" s="1">
        <v>1699</v>
      </c>
      <c r="KB6" s="1">
        <v>1709</v>
      </c>
      <c r="KC6" s="1">
        <v>1721</v>
      </c>
      <c r="KD6" s="1">
        <v>1723</v>
      </c>
      <c r="KE6" s="1">
        <v>1733</v>
      </c>
      <c r="KF6" s="1">
        <v>1741</v>
      </c>
      <c r="KG6" s="1">
        <v>1747</v>
      </c>
      <c r="KH6" s="1">
        <v>1753</v>
      </c>
      <c r="KI6" s="1">
        <v>1759</v>
      </c>
      <c r="KJ6" s="1">
        <v>1777</v>
      </c>
      <c r="KK6" s="1">
        <v>1783</v>
      </c>
      <c r="KL6" s="1">
        <v>1787</v>
      </c>
      <c r="KM6" s="1">
        <v>1789</v>
      </c>
      <c r="KN6" s="1">
        <v>1801</v>
      </c>
      <c r="KO6" s="1">
        <v>1811</v>
      </c>
      <c r="KP6" s="1">
        <v>1823</v>
      </c>
      <c r="KQ6" s="1">
        <v>1831</v>
      </c>
      <c r="KR6" s="1">
        <v>1847</v>
      </c>
      <c r="KS6" s="1">
        <v>1861</v>
      </c>
      <c r="KT6" s="1">
        <v>1867</v>
      </c>
      <c r="KU6" s="1">
        <v>1871</v>
      </c>
      <c r="KV6" s="1">
        <v>1873</v>
      </c>
      <c r="KW6" s="1">
        <v>1877</v>
      </c>
      <c r="KX6" s="1">
        <v>1879</v>
      </c>
      <c r="KY6" s="1">
        <v>1889</v>
      </c>
      <c r="KZ6" s="1">
        <v>1901</v>
      </c>
      <c r="LA6" s="1">
        <v>1907</v>
      </c>
      <c r="LB6" s="1">
        <v>1913</v>
      </c>
      <c r="LC6" s="1">
        <v>1931</v>
      </c>
      <c r="LD6" s="1">
        <v>1933</v>
      </c>
      <c r="LE6" s="1">
        <v>1949</v>
      </c>
      <c r="LF6" s="1">
        <v>1951</v>
      </c>
      <c r="LG6" s="1">
        <v>1973</v>
      </c>
      <c r="LH6" s="1">
        <v>1979</v>
      </c>
      <c r="LI6" s="1">
        <v>1987</v>
      </c>
      <c r="LJ6" s="1">
        <v>1993</v>
      </c>
      <c r="LK6" s="1">
        <v>1997</v>
      </c>
      <c r="LL6" s="1">
        <v>1999</v>
      </c>
      <c r="LM6" s="1">
        <v>2003</v>
      </c>
      <c r="LN6" s="1">
        <v>2011</v>
      </c>
      <c r="LO6" s="1">
        <v>2017</v>
      </c>
      <c r="LP6" s="1">
        <v>2027</v>
      </c>
      <c r="LQ6" s="1">
        <v>2029</v>
      </c>
      <c r="LR6" s="1">
        <v>2039</v>
      </c>
      <c r="LS6" s="1">
        <v>2053</v>
      </c>
      <c r="LT6" s="1">
        <v>2063</v>
      </c>
      <c r="LU6" s="1">
        <v>2069</v>
      </c>
      <c r="LV6" s="1">
        <v>2081</v>
      </c>
      <c r="LW6" s="1">
        <v>2083</v>
      </c>
      <c r="LX6" s="1">
        <v>2087</v>
      </c>
      <c r="LY6" s="1">
        <v>2089</v>
      </c>
      <c r="LZ6" s="1">
        <v>2099</v>
      </c>
      <c r="MA6" s="1">
        <v>2111</v>
      </c>
      <c r="MB6" s="1">
        <v>2113</v>
      </c>
      <c r="MC6" s="1">
        <v>2129</v>
      </c>
      <c r="MD6" s="1">
        <v>2131</v>
      </c>
      <c r="ME6" s="1">
        <v>2137</v>
      </c>
      <c r="MF6" s="1">
        <v>2141</v>
      </c>
      <c r="MG6" s="1">
        <v>2143</v>
      </c>
      <c r="MH6" s="1">
        <v>2153</v>
      </c>
      <c r="MI6" s="1">
        <v>2161</v>
      </c>
      <c r="MJ6" s="1">
        <v>2179</v>
      </c>
      <c r="MK6" s="1">
        <v>2203</v>
      </c>
      <c r="ML6" s="1">
        <v>2207</v>
      </c>
      <c r="MM6" s="1">
        <v>2213</v>
      </c>
      <c r="MN6" s="1">
        <v>2221</v>
      </c>
      <c r="MO6" s="1">
        <v>2237</v>
      </c>
      <c r="MP6" s="1">
        <v>2239</v>
      </c>
      <c r="MQ6" s="1">
        <v>2243</v>
      </c>
      <c r="MR6" s="1">
        <v>2251</v>
      </c>
      <c r="MS6" s="1">
        <v>2267</v>
      </c>
      <c r="MT6" s="1">
        <v>2269</v>
      </c>
      <c r="MU6" s="1">
        <v>2273</v>
      </c>
      <c r="MV6" s="1">
        <v>2281</v>
      </c>
      <c r="MW6" s="1">
        <v>2287</v>
      </c>
      <c r="MX6" s="1">
        <v>2293</v>
      </c>
      <c r="MY6" s="1">
        <v>2297</v>
      </c>
      <c r="MZ6" s="1">
        <v>2309</v>
      </c>
      <c r="NA6" s="1">
        <v>2311</v>
      </c>
      <c r="NB6" s="1">
        <v>2333</v>
      </c>
      <c r="NC6" s="1">
        <v>2339</v>
      </c>
      <c r="ND6" s="1">
        <v>2341</v>
      </c>
      <c r="NE6" s="1">
        <v>2347</v>
      </c>
      <c r="NF6" s="1">
        <v>2351</v>
      </c>
      <c r="NG6" s="1">
        <v>2357</v>
      </c>
      <c r="NH6" s="1">
        <v>2371</v>
      </c>
      <c r="NI6" s="1">
        <v>2377</v>
      </c>
      <c r="NJ6" s="1">
        <v>2381</v>
      </c>
      <c r="NK6" s="1">
        <v>2383</v>
      </c>
      <c r="NL6" s="1">
        <v>2389</v>
      </c>
      <c r="NM6" s="1">
        <v>2393</v>
      </c>
      <c r="NN6" s="1">
        <v>2399</v>
      </c>
      <c r="NO6" s="1">
        <v>2411</v>
      </c>
      <c r="NP6" s="1">
        <v>2417</v>
      </c>
      <c r="NQ6" s="1">
        <v>2423</v>
      </c>
      <c r="NR6" s="1">
        <v>2437</v>
      </c>
      <c r="NS6" s="1">
        <v>2441</v>
      </c>
      <c r="NT6" s="1">
        <v>2447</v>
      </c>
      <c r="NU6" s="1">
        <v>2459</v>
      </c>
      <c r="NV6" s="1">
        <v>2467</v>
      </c>
      <c r="NW6" s="1">
        <v>2473</v>
      </c>
      <c r="NX6" s="1">
        <v>2477</v>
      </c>
      <c r="NY6" s="1">
        <v>2503</v>
      </c>
      <c r="NZ6" s="1">
        <v>2521</v>
      </c>
      <c r="OA6" s="1">
        <v>2531</v>
      </c>
      <c r="OB6" s="1">
        <v>2539</v>
      </c>
      <c r="OC6" s="1">
        <v>2543</v>
      </c>
      <c r="OD6" s="1">
        <v>2549</v>
      </c>
      <c r="OE6" s="1">
        <v>2551</v>
      </c>
      <c r="OF6" s="1">
        <v>2557</v>
      </c>
      <c r="OG6" s="1">
        <v>2579</v>
      </c>
      <c r="OH6" s="1">
        <v>2591</v>
      </c>
      <c r="OI6" s="1">
        <v>2593</v>
      </c>
      <c r="OJ6" s="1">
        <v>2609</v>
      </c>
      <c r="OK6" s="1">
        <v>2617</v>
      </c>
      <c r="OL6" s="1">
        <v>2621</v>
      </c>
      <c r="OM6" s="1">
        <v>2633</v>
      </c>
      <c r="ON6" s="1">
        <v>2647</v>
      </c>
      <c r="OO6" s="1">
        <v>2657</v>
      </c>
      <c r="OP6" s="1">
        <v>2659</v>
      </c>
      <c r="OQ6" s="1">
        <v>2663</v>
      </c>
      <c r="OR6" s="1">
        <v>2671</v>
      </c>
      <c r="OS6" s="1">
        <v>2677</v>
      </c>
      <c r="OT6" s="1">
        <v>2683</v>
      </c>
      <c r="OU6" s="1">
        <v>2687</v>
      </c>
      <c r="OV6" s="1">
        <v>2689</v>
      </c>
      <c r="OW6" s="1">
        <v>2693</v>
      </c>
      <c r="OX6" s="1">
        <v>2699</v>
      </c>
      <c r="OY6" s="1">
        <v>2707</v>
      </c>
      <c r="OZ6" s="1">
        <v>2711</v>
      </c>
      <c r="PA6" s="1">
        <v>2713</v>
      </c>
      <c r="PB6" s="1">
        <v>2719</v>
      </c>
      <c r="PC6" s="1">
        <v>2729</v>
      </c>
      <c r="PD6" s="1">
        <v>2731</v>
      </c>
      <c r="PE6" s="1">
        <v>2741</v>
      </c>
      <c r="PF6" s="1">
        <v>2749</v>
      </c>
      <c r="PG6" s="1">
        <v>2753</v>
      </c>
      <c r="PH6" s="1">
        <v>2767</v>
      </c>
      <c r="PI6" s="1">
        <v>2777</v>
      </c>
      <c r="PJ6" s="1">
        <v>2789</v>
      </c>
      <c r="PK6" s="1">
        <v>2791</v>
      </c>
      <c r="PL6" s="1">
        <v>2797</v>
      </c>
      <c r="PM6" s="1">
        <v>2801</v>
      </c>
      <c r="PN6" s="1">
        <v>2803</v>
      </c>
      <c r="PO6" s="1">
        <v>2819</v>
      </c>
      <c r="PP6" s="1">
        <v>2833</v>
      </c>
      <c r="PQ6" s="1">
        <v>2837</v>
      </c>
      <c r="PR6" s="1">
        <v>2843</v>
      </c>
      <c r="PS6" s="1">
        <v>2851</v>
      </c>
      <c r="PT6" s="1">
        <v>2857</v>
      </c>
      <c r="PU6" s="1">
        <v>2861</v>
      </c>
      <c r="PV6" s="1">
        <v>2879</v>
      </c>
      <c r="PW6" s="1">
        <v>2887</v>
      </c>
      <c r="PX6" s="1">
        <v>2897</v>
      </c>
      <c r="PY6" s="1">
        <v>2903</v>
      </c>
      <c r="PZ6" s="1">
        <v>2909</v>
      </c>
      <c r="QA6" s="1">
        <v>2917</v>
      </c>
      <c r="QB6" s="1">
        <v>2927</v>
      </c>
      <c r="QC6" s="1">
        <v>2939</v>
      </c>
      <c r="QD6" s="1">
        <v>2953</v>
      </c>
      <c r="QE6" s="1">
        <v>2957</v>
      </c>
      <c r="QF6" s="1">
        <v>2963</v>
      </c>
      <c r="QG6" s="1">
        <v>2969</v>
      </c>
      <c r="QH6" s="1">
        <v>2971</v>
      </c>
      <c r="QI6" s="1">
        <v>2999</v>
      </c>
      <c r="QJ6" s="1">
        <v>3001</v>
      </c>
      <c r="QK6" s="1">
        <v>3011</v>
      </c>
      <c r="QL6" s="1">
        <v>3019</v>
      </c>
      <c r="QM6" s="1">
        <v>3023</v>
      </c>
      <c r="QN6" s="1">
        <v>3037</v>
      </c>
      <c r="QO6" s="1">
        <v>3041</v>
      </c>
      <c r="QP6" s="1">
        <v>3049</v>
      </c>
      <c r="QQ6" s="1">
        <v>3061</v>
      </c>
      <c r="QR6" s="1">
        <v>3067</v>
      </c>
      <c r="QS6" s="1">
        <v>3079</v>
      </c>
      <c r="QT6" s="1">
        <v>3083</v>
      </c>
      <c r="QU6" s="1">
        <v>3089</v>
      </c>
      <c r="QV6" s="1">
        <v>3109</v>
      </c>
      <c r="QW6" s="1">
        <v>3119</v>
      </c>
      <c r="QX6" s="1">
        <v>3121</v>
      </c>
      <c r="QY6" s="1">
        <v>3137</v>
      </c>
      <c r="QZ6" s="1">
        <v>3163</v>
      </c>
      <c r="RA6" s="1">
        <v>3167</v>
      </c>
      <c r="RB6" s="1">
        <v>3169</v>
      </c>
      <c r="RC6" s="1">
        <v>3181</v>
      </c>
      <c r="RD6" s="1">
        <v>3187</v>
      </c>
      <c r="RE6" s="1">
        <v>3191</v>
      </c>
      <c r="RF6" s="1">
        <v>3203</v>
      </c>
      <c r="RG6" s="1">
        <v>3209</v>
      </c>
      <c r="RH6" s="1">
        <v>3217</v>
      </c>
      <c r="RI6" s="1">
        <v>3221</v>
      </c>
      <c r="RJ6" s="1">
        <v>3229</v>
      </c>
      <c r="RK6" s="1">
        <v>3251</v>
      </c>
      <c r="RL6" s="1">
        <v>3253</v>
      </c>
      <c r="RM6" s="1">
        <v>3257</v>
      </c>
      <c r="RN6" s="1">
        <v>3259</v>
      </c>
      <c r="RO6" s="1">
        <v>3271</v>
      </c>
      <c r="RP6" s="1">
        <v>3299</v>
      </c>
      <c r="RQ6" s="1">
        <v>3301</v>
      </c>
      <c r="RR6" s="1">
        <v>3307</v>
      </c>
      <c r="RS6" s="1">
        <v>3313</v>
      </c>
      <c r="RT6" s="1">
        <v>3319</v>
      </c>
      <c r="RU6" s="1">
        <v>3323</v>
      </c>
      <c r="RV6" s="1">
        <v>3329</v>
      </c>
      <c r="RW6" s="1">
        <v>3331</v>
      </c>
      <c r="RX6" s="1">
        <v>3343</v>
      </c>
      <c r="RY6" s="1">
        <v>3347</v>
      </c>
      <c r="RZ6" s="1">
        <v>3359</v>
      </c>
      <c r="SA6" s="1">
        <v>3361</v>
      </c>
      <c r="SB6" s="1">
        <v>3371</v>
      </c>
      <c r="SC6" s="1">
        <v>3373</v>
      </c>
      <c r="SD6" s="1">
        <v>3389</v>
      </c>
      <c r="SE6" s="1">
        <v>3391</v>
      </c>
      <c r="SF6" s="1">
        <v>3407</v>
      </c>
      <c r="SG6" s="1">
        <v>3413</v>
      </c>
      <c r="SH6" s="1">
        <v>3433</v>
      </c>
      <c r="SI6" s="1">
        <v>3449</v>
      </c>
      <c r="SJ6" s="1">
        <v>3457</v>
      </c>
      <c r="SK6" s="1">
        <v>3461</v>
      </c>
      <c r="SL6" s="1">
        <v>3463</v>
      </c>
      <c r="SM6" s="1">
        <v>3467</v>
      </c>
      <c r="SN6" s="1">
        <v>3469</v>
      </c>
      <c r="SO6" s="1">
        <v>3491</v>
      </c>
      <c r="SP6" s="1">
        <v>3499</v>
      </c>
      <c r="SQ6" s="1">
        <v>3511</v>
      </c>
      <c r="SR6" s="1">
        <v>3517</v>
      </c>
      <c r="SS6" s="1">
        <v>3527</v>
      </c>
      <c r="ST6" s="1">
        <v>3529</v>
      </c>
      <c r="SU6" s="1">
        <v>3533</v>
      </c>
      <c r="SV6" s="1">
        <v>3539</v>
      </c>
      <c r="SW6" s="1">
        <v>3541</v>
      </c>
      <c r="SX6" s="1">
        <v>3547</v>
      </c>
      <c r="SY6" s="1">
        <v>3557</v>
      </c>
      <c r="SZ6" s="1">
        <v>3559</v>
      </c>
      <c r="TA6" s="1">
        <v>3571</v>
      </c>
      <c r="TB6" s="1">
        <v>3581</v>
      </c>
      <c r="TC6" s="1">
        <v>3583</v>
      </c>
      <c r="TD6" s="1">
        <v>3593</v>
      </c>
      <c r="TE6" s="1">
        <v>3607</v>
      </c>
      <c r="TF6" s="1">
        <v>3613</v>
      </c>
      <c r="TG6" s="1">
        <v>3617</v>
      </c>
      <c r="TH6" s="1">
        <v>3623</v>
      </c>
      <c r="TI6" s="1">
        <v>3631</v>
      </c>
      <c r="TJ6" s="1">
        <v>3637</v>
      </c>
      <c r="TK6" s="1">
        <v>3643</v>
      </c>
      <c r="TL6" s="1">
        <v>3659</v>
      </c>
      <c r="TM6" s="1">
        <v>3671</v>
      </c>
      <c r="TN6" s="1">
        <v>3673</v>
      </c>
      <c r="TO6" s="1">
        <v>3677</v>
      </c>
      <c r="TP6" s="1">
        <v>3691</v>
      </c>
      <c r="TQ6" s="1">
        <v>3697</v>
      </c>
      <c r="TR6" s="1">
        <v>3701</v>
      </c>
      <c r="TS6" s="1">
        <v>3709</v>
      </c>
      <c r="TT6" s="1">
        <v>3719</v>
      </c>
      <c r="TU6" s="1">
        <v>3727</v>
      </c>
      <c r="TV6" s="1">
        <v>3733</v>
      </c>
      <c r="TW6" s="1">
        <v>3739</v>
      </c>
      <c r="TX6" s="1">
        <v>3761</v>
      </c>
      <c r="TY6" s="1">
        <v>3767</v>
      </c>
      <c r="TZ6" s="1">
        <v>3769</v>
      </c>
      <c r="UA6" s="1">
        <v>3779</v>
      </c>
      <c r="UB6" s="1">
        <v>3793</v>
      </c>
      <c r="UC6" s="1">
        <v>3797</v>
      </c>
      <c r="UD6" s="1">
        <v>3803</v>
      </c>
      <c r="UE6" s="1">
        <v>3821</v>
      </c>
      <c r="UF6" s="1">
        <v>3823</v>
      </c>
      <c r="UG6" s="1">
        <v>3833</v>
      </c>
      <c r="UH6" s="1">
        <v>3847</v>
      </c>
      <c r="UI6" s="1">
        <v>3851</v>
      </c>
      <c r="UJ6" s="1">
        <v>3853</v>
      </c>
      <c r="UK6" s="1">
        <v>3863</v>
      </c>
      <c r="UL6" s="1">
        <v>3877</v>
      </c>
      <c r="UM6" s="1">
        <v>3881</v>
      </c>
      <c r="UN6" s="1">
        <v>3889</v>
      </c>
      <c r="UO6" s="1">
        <v>3907</v>
      </c>
      <c r="UP6" s="1">
        <v>3911</v>
      </c>
      <c r="UQ6" s="1">
        <v>3917</v>
      </c>
      <c r="UR6" s="1">
        <v>3919</v>
      </c>
      <c r="US6" s="1">
        <v>3923</v>
      </c>
      <c r="UT6" s="1">
        <v>3929</v>
      </c>
      <c r="UU6" s="1">
        <v>3931</v>
      </c>
      <c r="UV6" s="1">
        <v>3943</v>
      </c>
      <c r="UW6" s="1">
        <v>3947</v>
      </c>
      <c r="UX6" s="1">
        <v>3967</v>
      </c>
      <c r="UY6" s="1">
        <v>3989</v>
      </c>
      <c r="UZ6" s="1">
        <v>4001</v>
      </c>
      <c r="VA6" s="1">
        <v>4003</v>
      </c>
      <c r="VB6" s="1">
        <v>4007</v>
      </c>
      <c r="VC6" s="1">
        <v>4013</v>
      </c>
      <c r="VD6" s="1">
        <v>4019</v>
      </c>
      <c r="VE6" s="1">
        <v>4021</v>
      </c>
      <c r="VF6" s="1">
        <v>4027</v>
      </c>
      <c r="VG6" s="1">
        <v>4049</v>
      </c>
      <c r="VH6" s="1">
        <v>4051</v>
      </c>
      <c r="VI6" s="1">
        <v>4057</v>
      </c>
      <c r="VJ6" s="1">
        <v>4073</v>
      </c>
      <c r="VK6" s="1">
        <v>4079</v>
      </c>
      <c r="VL6" s="1">
        <v>4091</v>
      </c>
      <c r="VM6" s="1">
        <v>4093</v>
      </c>
      <c r="VN6" s="1">
        <v>4099</v>
      </c>
      <c r="VO6" s="1">
        <v>4111</v>
      </c>
      <c r="VP6" s="1">
        <v>4127</v>
      </c>
      <c r="VQ6" s="1">
        <v>4129</v>
      </c>
      <c r="VR6" s="1">
        <v>4133</v>
      </c>
      <c r="VS6" s="1">
        <v>4139</v>
      </c>
      <c r="VT6" s="1">
        <v>4153</v>
      </c>
      <c r="VU6" s="1">
        <v>4157</v>
      </c>
      <c r="VV6" s="1">
        <v>4159</v>
      </c>
      <c r="VW6" s="1">
        <v>4177</v>
      </c>
      <c r="VX6" s="1">
        <v>4201</v>
      </c>
      <c r="VY6" s="1">
        <v>4211</v>
      </c>
      <c r="VZ6" s="1">
        <v>4217</v>
      </c>
      <c r="WA6" s="1">
        <v>4219</v>
      </c>
      <c r="WB6" s="1">
        <v>4229</v>
      </c>
      <c r="WC6" s="1">
        <v>4231</v>
      </c>
      <c r="WD6" s="1">
        <v>4241</v>
      </c>
      <c r="WE6" s="1">
        <v>4243</v>
      </c>
      <c r="WF6" s="1">
        <v>4253</v>
      </c>
      <c r="WG6" s="1">
        <v>4259</v>
      </c>
      <c r="WH6" s="1">
        <v>4261</v>
      </c>
      <c r="WI6" s="1">
        <v>4271</v>
      </c>
      <c r="WJ6" s="1">
        <v>4273</v>
      </c>
      <c r="WK6" s="1">
        <v>4283</v>
      </c>
      <c r="WL6" s="1">
        <v>4289</v>
      </c>
      <c r="WM6" s="1">
        <v>4297</v>
      </c>
      <c r="WN6" s="1">
        <v>4327</v>
      </c>
      <c r="WO6" s="1">
        <v>4337</v>
      </c>
      <c r="WP6" s="1">
        <v>4339</v>
      </c>
      <c r="WQ6" s="1">
        <v>4349</v>
      </c>
      <c r="WR6" s="1">
        <v>4357</v>
      </c>
      <c r="WS6" s="1">
        <v>4363</v>
      </c>
      <c r="WT6" s="1">
        <v>4373</v>
      </c>
      <c r="WU6" s="1">
        <v>4391</v>
      </c>
      <c r="WV6" s="1">
        <v>4397</v>
      </c>
      <c r="WW6" s="1">
        <v>4409</v>
      </c>
      <c r="WX6" s="1">
        <v>4421</v>
      </c>
      <c r="WY6" s="1">
        <v>4423</v>
      </c>
      <c r="WZ6" s="1">
        <v>4441</v>
      </c>
      <c r="XA6" s="1">
        <v>4447</v>
      </c>
      <c r="XB6" s="1">
        <v>4451</v>
      </c>
      <c r="XC6" s="1">
        <v>4457</v>
      </c>
      <c r="XD6" s="1">
        <v>4463</v>
      </c>
      <c r="XE6" s="1">
        <v>4481</v>
      </c>
      <c r="XF6" s="1">
        <v>4483</v>
      </c>
      <c r="XG6" s="1">
        <v>4493</v>
      </c>
      <c r="XH6" s="1">
        <v>4507</v>
      </c>
      <c r="XI6" s="1">
        <v>4513</v>
      </c>
      <c r="XJ6" s="1">
        <v>4517</v>
      </c>
      <c r="XK6" s="1">
        <v>4519</v>
      </c>
      <c r="XL6" s="1">
        <v>4523</v>
      </c>
      <c r="XM6" s="1">
        <v>4547</v>
      </c>
      <c r="XN6" s="1">
        <v>4549</v>
      </c>
      <c r="XO6" s="1">
        <v>4561</v>
      </c>
      <c r="XP6" s="1">
        <v>4567</v>
      </c>
      <c r="XQ6" s="1">
        <v>4583</v>
      </c>
      <c r="XR6" s="1">
        <v>4591</v>
      </c>
      <c r="XS6" s="1">
        <v>4597</v>
      </c>
      <c r="XT6" s="1">
        <v>4603</v>
      </c>
      <c r="XU6" s="1">
        <v>4621</v>
      </c>
      <c r="XV6" s="1">
        <v>4637</v>
      </c>
      <c r="XW6" s="1">
        <v>4639</v>
      </c>
      <c r="XX6" s="1">
        <v>4643</v>
      </c>
      <c r="XY6" s="1">
        <v>4649</v>
      </c>
      <c r="XZ6" s="1">
        <v>4651</v>
      </c>
      <c r="YA6" s="1">
        <v>4657</v>
      </c>
      <c r="YB6" s="1">
        <v>4663</v>
      </c>
      <c r="YC6" s="1">
        <v>4673</v>
      </c>
      <c r="YD6" s="1">
        <v>4679</v>
      </c>
      <c r="YE6" s="1">
        <v>4691</v>
      </c>
      <c r="YF6" s="1">
        <v>4703</v>
      </c>
      <c r="YG6" s="1">
        <v>4721</v>
      </c>
      <c r="YH6" s="1">
        <v>4723</v>
      </c>
      <c r="YI6" s="1">
        <v>4729</v>
      </c>
      <c r="YJ6" s="1">
        <v>4733</v>
      </c>
      <c r="YK6" s="1">
        <v>4751</v>
      </c>
      <c r="YL6" s="1">
        <v>4759</v>
      </c>
      <c r="YM6" s="1">
        <v>4783</v>
      </c>
      <c r="YN6" s="1">
        <v>4787</v>
      </c>
      <c r="YO6" s="1">
        <v>4789</v>
      </c>
      <c r="YP6" s="1">
        <v>4793</v>
      </c>
      <c r="YQ6" s="1">
        <v>4799</v>
      </c>
      <c r="YR6" s="1">
        <v>4801</v>
      </c>
      <c r="YS6" s="1">
        <v>4813</v>
      </c>
      <c r="YT6" s="1">
        <v>4817</v>
      </c>
      <c r="YU6" s="1">
        <v>4831</v>
      </c>
      <c r="YV6" s="1">
        <v>4861</v>
      </c>
      <c r="YW6" s="1">
        <v>4871</v>
      </c>
      <c r="YX6" s="1">
        <v>4877</v>
      </c>
      <c r="YY6" s="1">
        <v>4889</v>
      </c>
      <c r="YZ6" s="1">
        <v>4903</v>
      </c>
      <c r="ZA6" s="1">
        <v>4909</v>
      </c>
      <c r="ZB6" s="1">
        <v>4919</v>
      </c>
      <c r="ZC6" s="1">
        <v>4931</v>
      </c>
      <c r="ZD6" s="1">
        <v>4933</v>
      </c>
      <c r="ZE6" s="1">
        <v>4937</v>
      </c>
      <c r="ZF6" s="1">
        <v>4943</v>
      </c>
      <c r="ZG6" s="1">
        <v>4951</v>
      </c>
      <c r="ZH6" s="1">
        <v>4957</v>
      </c>
      <c r="ZI6" s="1">
        <v>4967</v>
      </c>
      <c r="ZJ6" s="1">
        <v>4969</v>
      </c>
      <c r="ZK6" s="1">
        <v>4973</v>
      </c>
      <c r="ZL6" s="1">
        <v>4987</v>
      </c>
      <c r="ZM6" s="1">
        <v>4993</v>
      </c>
      <c r="ZN6" s="1">
        <v>4999</v>
      </c>
      <c r="ZO6" s="1">
        <v>5003</v>
      </c>
      <c r="ZP6" s="1">
        <v>5009</v>
      </c>
      <c r="ZQ6" s="1">
        <v>5011</v>
      </c>
      <c r="ZR6" s="1">
        <v>5021</v>
      </c>
      <c r="ZS6" s="1">
        <v>5023</v>
      </c>
      <c r="ZT6" s="1">
        <v>5039</v>
      </c>
      <c r="ZU6" s="1">
        <v>5051</v>
      </c>
      <c r="ZV6" s="1">
        <v>5059</v>
      </c>
      <c r="ZW6" s="1">
        <v>5077</v>
      </c>
      <c r="ZX6" s="1">
        <v>5081</v>
      </c>
      <c r="ZY6" s="1">
        <v>5087</v>
      </c>
      <c r="ZZ6" s="1">
        <v>5099</v>
      </c>
      <c r="AAA6" s="1">
        <v>5101</v>
      </c>
      <c r="AAB6" s="1">
        <v>5107</v>
      </c>
      <c r="AAC6" s="1">
        <v>5113</v>
      </c>
      <c r="AAD6" s="1">
        <v>5119</v>
      </c>
      <c r="AAE6" s="1">
        <v>5147</v>
      </c>
      <c r="AAF6" s="1">
        <v>5153</v>
      </c>
      <c r="AAG6" s="1">
        <v>5167</v>
      </c>
      <c r="AAH6" s="1">
        <v>5171</v>
      </c>
      <c r="AAI6" s="1">
        <v>5179</v>
      </c>
      <c r="AAJ6" s="1">
        <v>5189</v>
      </c>
      <c r="AAK6" s="1">
        <v>5197</v>
      </c>
      <c r="AAL6" s="1">
        <v>5209</v>
      </c>
      <c r="AAM6" s="1">
        <v>5227</v>
      </c>
      <c r="AAN6" s="1">
        <v>5231</v>
      </c>
      <c r="AAO6" s="1">
        <v>5233</v>
      </c>
      <c r="AAP6" s="1">
        <v>5237</v>
      </c>
      <c r="AAQ6" s="1">
        <v>5261</v>
      </c>
      <c r="AAR6" s="1">
        <v>5273</v>
      </c>
      <c r="AAS6" s="1">
        <v>5279</v>
      </c>
      <c r="AAT6" s="1">
        <v>5281</v>
      </c>
      <c r="AAU6" s="1">
        <v>5297</v>
      </c>
      <c r="AAV6" s="1">
        <v>5303</v>
      </c>
      <c r="AAW6" s="1">
        <v>5309</v>
      </c>
      <c r="AAX6" s="1">
        <v>5323</v>
      </c>
      <c r="AAY6" s="1">
        <v>5333</v>
      </c>
      <c r="AAZ6" s="1">
        <v>5347</v>
      </c>
      <c r="ABA6" s="1">
        <v>5351</v>
      </c>
      <c r="ABB6" s="1">
        <v>5381</v>
      </c>
      <c r="ABC6" s="1">
        <v>5387</v>
      </c>
      <c r="ABD6" s="1">
        <v>5393</v>
      </c>
      <c r="ABE6" s="1">
        <v>5399</v>
      </c>
      <c r="ABF6" s="1">
        <v>5407</v>
      </c>
      <c r="ABG6" s="1">
        <v>5413</v>
      </c>
      <c r="ABH6" s="1">
        <v>5417</v>
      </c>
      <c r="ABI6" s="1">
        <v>5419</v>
      </c>
      <c r="ABJ6" s="1">
        <v>5431</v>
      </c>
      <c r="ABK6" s="1">
        <v>5437</v>
      </c>
      <c r="ABL6" s="1">
        <v>5441</v>
      </c>
      <c r="ABM6" s="1">
        <v>5443</v>
      </c>
      <c r="ABN6" s="1">
        <v>5449</v>
      </c>
      <c r="ABO6" s="1">
        <v>5471</v>
      </c>
      <c r="ABP6" s="1">
        <v>5477</v>
      </c>
      <c r="ABQ6" s="1">
        <v>5479</v>
      </c>
      <c r="ABR6" s="1">
        <v>5483</v>
      </c>
      <c r="ABS6" s="1">
        <v>5501</v>
      </c>
      <c r="ABT6" s="1">
        <v>5503</v>
      </c>
      <c r="ABU6" s="1">
        <v>5507</v>
      </c>
      <c r="ABV6" s="1">
        <v>5519</v>
      </c>
      <c r="ABW6" s="1">
        <v>5521</v>
      </c>
      <c r="ABX6" s="1">
        <v>5527</v>
      </c>
      <c r="ABY6" s="1">
        <v>5531</v>
      </c>
      <c r="ABZ6" s="1">
        <v>5557</v>
      </c>
      <c r="ACA6" s="1">
        <v>5563</v>
      </c>
      <c r="ACB6" s="1">
        <v>5569</v>
      </c>
      <c r="ACC6" s="1">
        <v>5573</v>
      </c>
      <c r="ACD6" s="1">
        <v>5581</v>
      </c>
      <c r="ACE6" s="1">
        <v>5591</v>
      </c>
      <c r="ACF6" s="1">
        <v>5623</v>
      </c>
      <c r="ACG6" s="1">
        <v>5639</v>
      </c>
      <c r="ACH6" s="1">
        <v>5641</v>
      </c>
      <c r="ACI6" s="1">
        <v>5647</v>
      </c>
      <c r="ACJ6" s="1">
        <v>5651</v>
      </c>
      <c r="ACK6" s="1">
        <v>5653</v>
      </c>
      <c r="ACL6" s="1">
        <v>5657</v>
      </c>
      <c r="ACM6" s="1">
        <v>5659</v>
      </c>
      <c r="ACN6" s="1">
        <v>5669</v>
      </c>
      <c r="ACO6" s="1">
        <v>5683</v>
      </c>
      <c r="ACP6" s="1">
        <v>5689</v>
      </c>
      <c r="ACQ6" s="1">
        <v>5693</v>
      </c>
      <c r="ACR6" s="1">
        <v>5701</v>
      </c>
      <c r="ACS6" s="1">
        <v>5711</v>
      </c>
      <c r="ACT6" s="1">
        <v>5717</v>
      </c>
      <c r="ACU6" s="1">
        <v>5737</v>
      </c>
      <c r="ACV6" s="1">
        <v>5741</v>
      </c>
      <c r="ACW6" s="1">
        <v>5743</v>
      </c>
      <c r="ACX6" s="1">
        <v>5749</v>
      </c>
      <c r="ACY6" s="1">
        <v>5779</v>
      </c>
      <c r="ACZ6" s="1">
        <v>5783</v>
      </c>
      <c r="ADA6" s="1">
        <v>5791</v>
      </c>
      <c r="ADB6" s="1">
        <v>5801</v>
      </c>
      <c r="ADC6" s="1">
        <v>5807</v>
      </c>
      <c r="ADD6" s="1">
        <v>5813</v>
      </c>
      <c r="ADE6" s="1">
        <v>5821</v>
      </c>
      <c r="ADF6" s="1">
        <v>5827</v>
      </c>
      <c r="ADG6" s="1">
        <v>5839</v>
      </c>
      <c r="ADH6" s="1">
        <v>5843</v>
      </c>
      <c r="ADI6" s="1">
        <v>5849</v>
      </c>
      <c r="ADJ6" s="1">
        <v>5851</v>
      </c>
      <c r="ADK6" s="1">
        <v>5857</v>
      </c>
      <c r="ADL6" s="1">
        <v>5861</v>
      </c>
      <c r="ADM6" s="1">
        <v>5867</v>
      </c>
      <c r="ADN6" s="1">
        <v>5869</v>
      </c>
      <c r="ADO6" s="1">
        <v>5879</v>
      </c>
      <c r="ADP6" s="1">
        <v>5881</v>
      </c>
      <c r="ADQ6" s="1">
        <v>5897</v>
      </c>
      <c r="ADR6" s="1">
        <v>5903</v>
      </c>
      <c r="ADS6" s="1">
        <v>5923</v>
      </c>
      <c r="ADT6" s="1">
        <v>5927</v>
      </c>
      <c r="ADU6" s="1">
        <v>5939</v>
      </c>
      <c r="ADV6" s="1">
        <v>5953</v>
      </c>
      <c r="ADW6" s="1">
        <v>5981</v>
      </c>
      <c r="ADX6" s="1">
        <v>5987</v>
      </c>
      <c r="ADY6" s="1">
        <v>6007</v>
      </c>
      <c r="ADZ6" s="1">
        <v>6011</v>
      </c>
      <c r="AEA6" s="1">
        <v>6029</v>
      </c>
      <c r="AEB6" s="1">
        <v>6037</v>
      </c>
      <c r="AEC6" s="1">
        <v>6043</v>
      </c>
      <c r="AED6" s="1">
        <v>6047</v>
      </c>
      <c r="AEE6" s="1">
        <v>6053</v>
      </c>
      <c r="AEF6" s="1">
        <v>6067</v>
      </c>
      <c r="AEG6" s="1">
        <v>6073</v>
      </c>
      <c r="AEH6" s="1">
        <v>6079</v>
      </c>
      <c r="AEI6" s="1">
        <v>6089</v>
      </c>
      <c r="AEJ6" s="1">
        <v>6091</v>
      </c>
      <c r="AEK6" s="1">
        <v>6101</v>
      </c>
      <c r="AEL6" s="1">
        <v>6113</v>
      </c>
      <c r="AEM6" s="1">
        <v>6121</v>
      </c>
      <c r="AEN6" s="1">
        <v>6131</v>
      </c>
      <c r="AEO6" s="1">
        <v>6133</v>
      </c>
      <c r="AEP6" s="1">
        <v>6143</v>
      </c>
      <c r="AEQ6" s="1">
        <v>6151</v>
      </c>
      <c r="AER6" s="1">
        <v>6163</v>
      </c>
      <c r="AES6" s="1">
        <v>6173</v>
      </c>
      <c r="AET6" s="1">
        <v>6197</v>
      </c>
      <c r="AEU6" s="1">
        <v>6199</v>
      </c>
      <c r="AEV6" s="1">
        <v>6203</v>
      </c>
      <c r="AEW6" s="1">
        <v>6211</v>
      </c>
      <c r="AEX6" s="1">
        <v>6217</v>
      </c>
      <c r="AEY6" s="1">
        <v>6221</v>
      </c>
      <c r="AEZ6" s="1">
        <v>6229</v>
      </c>
      <c r="AFA6" s="1">
        <v>6247</v>
      </c>
      <c r="AFB6" s="1">
        <v>6257</v>
      </c>
      <c r="AFC6" s="1">
        <v>6263</v>
      </c>
      <c r="AFD6" s="1">
        <v>6269</v>
      </c>
      <c r="AFE6" s="1">
        <v>6271</v>
      </c>
      <c r="AFF6" s="1">
        <v>6277</v>
      </c>
      <c r="AFG6" s="1">
        <v>6287</v>
      </c>
      <c r="AFH6" s="1">
        <v>6299</v>
      </c>
      <c r="AFI6" s="1">
        <v>6301</v>
      </c>
      <c r="AFJ6" s="1">
        <v>6311</v>
      </c>
      <c r="AFK6" s="1">
        <v>6317</v>
      </c>
      <c r="AFL6" s="1">
        <v>6323</v>
      </c>
      <c r="AFM6" s="1">
        <v>6329</v>
      </c>
      <c r="AFN6" s="1">
        <v>6337</v>
      </c>
      <c r="AFO6" s="1">
        <v>6343</v>
      </c>
      <c r="AFP6" s="1">
        <v>6353</v>
      </c>
      <c r="AFQ6" s="1">
        <v>6359</v>
      </c>
      <c r="AFR6" s="1">
        <v>6361</v>
      </c>
      <c r="AFS6" s="1">
        <v>6367</v>
      </c>
      <c r="AFT6" s="1">
        <v>6373</v>
      </c>
      <c r="AFU6" s="1">
        <v>6379</v>
      </c>
      <c r="AFV6" s="1">
        <v>6389</v>
      </c>
      <c r="AFW6" s="1">
        <v>6397</v>
      </c>
      <c r="AFX6" s="1">
        <v>6421</v>
      </c>
      <c r="AFY6" s="1">
        <v>6427</v>
      </c>
      <c r="AFZ6" s="1">
        <v>6449</v>
      </c>
      <c r="AGA6" s="1">
        <v>6451</v>
      </c>
      <c r="AGB6" s="1">
        <v>6469</v>
      </c>
      <c r="AGC6" s="1">
        <v>6473</v>
      </c>
      <c r="AGD6" s="1">
        <v>6481</v>
      </c>
      <c r="AGE6" s="1">
        <v>6491</v>
      </c>
      <c r="AGF6" s="1">
        <v>6521</v>
      </c>
      <c r="AGG6" s="1">
        <v>6529</v>
      </c>
      <c r="AGH6" s="1">
        <v>6547</v>
      </c>
      <c r="AGI6" s="1">
        <v>6551</v>
      </c>
      <c r="AGJ6" s="1">
        <v>6553</v>
      </c>
      <c r="AGK6" s="1">
        <v>6563</v>
      </c>
      <c r="AGL6" s="1">
        <v>6569</v>
      </c>
      <c r="AGM6" s="1">
        <v>6571</v>
      </c>
      <c r="AGN6" s="1">
        <v>6577</v>
      </c>
      <c r="AGO6" s="1">
        <v>6581</v>
      </c>
      <c r="AGP6" s="1">
        <v>6599</v>
      </c>
      <c r="AGQ6" s="1">
        <v>6607</v>
      </c>
      <c r="AGR6" s="1">
        <v>6619</v>
      </c>
      <c r="AGS6" s="1">
        <v>6637</v>
      </c>
      <c r="AGT6" s="1">
        <v>6653</v>
      </c>
      <c r="AGU6" s="1">
        <v>6659</v>
      </c>
      <c r="AGV6" s="1">
        <v>6661</v>
      </c>
      <c r="AGW6" s="1">
        <v>6673</v>
      </c>
      <c r="AGX6" s="1">
        <v>6679</v>
      </c>
      <c r="AGY6" s="1">
        <v>6689</v>
      </c>
      <c r="AGZ6" s="1">
        <v>6691</v>
      </c>
      <c r="AHA6" s="1">
        <v>6701</v>
      </c>
      <c r="AHB6" s="1">
        <v>6703</v>
      </c>
      <c r="AHC6" s="1">
        <v>6709</v>
      </c>
      <c r="AHD6" s="1">
        <v>6719</v>
      </c>
      <c r="AHE6" s="1">
        <v>6733</v>
      </c>
      <c r="AHF6" s="1">
        <v>6737</v>
      </c>
      <c r="AHG6" s="1">
        <v>6761</v>
      </c>
      <c r="AHH6" s="1">
        <v>6763</v>
      </c>
      <c r="AHI6" s="1">
        <v>6779</v>
      </c>
      <c r="AHJ6" s="1">
        <v>6781</v>
      </c>
      <c r="AHK6" s="1">
        <v>6791</v>
      </c>
      <c r="AHL6" s="1">
        <v>6793</v>
      </c>
      <c r="AHM6" s="1">
        <v>6803</v>
      </c>
      <c r="AHN6" s="1">
        <v>6823</v>
      </c>
      <c r="AHO6" s="1">
        <v>6827</v>
      </c>
      <c r="AHP6" s="1">
        <v>6829</v>
      </c>
      <c r="AHQ6" s="1">
        <v>6833</v>
      </c>
      <c r="AHR6" s="1">
        <v>6841</v>
      </c>
      <c r="AHS6" s="1">
        <v>6857</v>
      </c>
      <c r="AHT6" s="1">
        <v>6863</v>
      </c>
      <c r="AHU6" s="1">
        <v>6869</v>
      </c>
      <c r="AHV6" s="1">
        <v>6871</v>
      </c>
      <c r="AHW6" s="1">
        <v>6883</v>
      </c>
      <c r="AHX6" s="1">
        <v>6899</v>
      </c>
      <c r="AHY6" s="1">
        <v>6907</v>
      </c>
      <c r="AHZ6" s="1">
        <v>6911</v>
      </c>
      <c r="AIA6" s="1">
        <v>6917</v>
      </c>
      <c r="AIB6" s="1">
        <v>6947</v>
      </c>
      <c r="AIC6" s="1">
        <v>6949</v>
      </c>
      <c r="AID6" s="1">
        <v>6959</v>
      </c>
      <c r="AIE6" s="1">
        <v>6961</v>
      </c>
      <c r="AIF6" s="1">
        <v>6967</v>
      </c>
      <c r="AIG6" s="1">
        <v>6971</v>
      </c>
      <c r="AIH6" s="1">
        <v>6977</v>
      </c>
      <c r="AII6" s="1">
        <v>6983</v>
      </c>
      <c r="AIJ6" s="1">
        <v>6991</v>
      </c>
      <c r="AIK6" s="1">
        <v>6997</v>
      </c>
      <c r="AIL6" s="1">
        <v>7001</v>
      </c>
      <c r="AIM6" s="1">
        <v>7013</v>
      </c>
      <c r="AIN6" s="1">
        <v>7019</v>
      </c>
      <c r="AIO6" s="1">
        <v>7027</v>
      </c>
      <c r="AIP6" s="1">
        <v>7039</v>
      </c>
      <c r="AIQ6" s="1">
        <v>7043</v>
      </c>
      <c r="AIR6" s="1">
        <v>7057</v>
      </c>
      <c r="AIS6" s="1">
        <v>7069</v>
      </c>
      <c r="AIT6" s="1">
        <v>7079</v>
      </c>
      <c r="AIU6" s="1">
        <v>7103</v>
      </c>
      <c r="AIV6" s="1">
        <v>7109</v>
      </c>
      <c r="AIW6" s="1">
        <v>7121</v>
      </c>
      <c r="AIX6" s="1">
        <v>7127</v>
      </c>
      <c r="AIY6" s="1">
        <v>7129</v>
      </c>
      <c r="AIZ6" s="1">
        <v>7151</v>
      </c>
      <c r="AJA6" s="1">
        <v>7159</v>
      </c>
      <c r="AJB6" s="1">
        <v>7177</v>
      </c>
      <c r="AJC6" s="1">
        <v>7187</v>
      </c>
      <c r="AJD6" s="1">
        <v>7193</v>
      </c>
      <c r="AJE6" s="1">
        <v>7207</v>
      </c>
      <c r="AJF6" s="1">
        <v>7211</v>
      </c>
      <c r="AJG6" s="1">
        <v>7213</v>
      </c>
      <c r="AJH6" s="1">
        <v>7219</v>
      </c>
      <c r="AJI6" s="1">
        <v>7229</v>
      </c>
      <c r="AJJ6" s="1">
        <v>7237</v>
      </c>
      <c r="AJK6" s="1">
        <v>7243</v>
      </c>
      <c r="AJL6" s="1">
        <v>7247</v>
      </c>
      <c r="AJM6" s="1">
        <v>7253</v>
      </c>
      <c r="AJN6" s="1">
        <v>7283</v>
      </c>
      <c r="AJO6" s="1">
        <v>7297</v>
      </c>
      <c r="AJP6" s="1">
        <v>7307</v>
      </c>
      <c r="AJQ6" s="1">
        <v>7309</v>
      </c>
      <c r="AJR6" s="1">
        <v>7321</v>
      </c>
      <c r="AJS6" s="1">
        <v>7331</v>
      </c>
      <c r="AJT6" s="1">
        <v>7333</v>
      </c>
      <c r="AJU6" s="1">
        <v>7349</v>
      </c>
      <c r="AJV6" s="1">
        <v>7351</v>
      </c>
      <c r="AJW6" s="1">
        <v>7369</v>
      </c>
      <c r="AJX6" s="1">
        <v>7393</v>
      </c>
      <c r="AJY6" s="1">
        <v>7411</v>
      </c>
      <c r="AJZ6" s="1">
        <v>7417</v>
      </c>
      <c r="AKA6" s="1">
        <v>7433</v>
      </c>
      <c r="AKB6" s="1">
        <v>7451</v>
      </c>
      <c r="AKC6" s="1">
        <v>7457</v>
      </c>
      <c r="AKD6" s="1">
        <v>7459</v>
      </c>
      <c r="AKE6" s="1">
        <v>7477</v>
      </c>
      <c r="AKF6" s="1">
        <v>7481</v>
      </c>
      <c r="AKG6" s="1">
        <v>7487</v>
      </c>
      <c r="AKH6" s="1">
        <v>7489</v>
      </c>
      <c r="AKI6" s="1">
        <v>7499</v>
      </c>
      <c r="AKJ6" s="1">
        <v>7507</v>
      </c>
      <c r="AKK6" s="1">
        <v>7517</v>
      </c>
      <c r="AKL6" s="1">
        <v>7523</v>
      </c>
      <c r="AKM6" s="1">
        <v>7529</v>
      </c>
      <c r="AKN6" s="1">
        <v>7537</v>
      </c>
      <c r="AKO6" s="1">
        <v>7541</v>
      </c>
      <c r="AKP6" s="1">
        <v>7547</v>
      </c>
      <c r="AKQ6" s="1">
        <v>7549</v>
      </c>
      <c r="AKR6" s="1">
        <v>7559</v>
      </c>
      <c r="AKS6" s="1">
        <v>7561</v>
      </c>
      <c r="AKT6" s="1">
        <v>7573</v>
      </c>
      <c r="AKU6" s="1">
        <v>7577</v>
      </c>
      <c r="AKV6" s="1">
        <v>7583</v>
      </c>
      <c r="AKW6" s="1">
        <v>7589</v>
      </c>
      <c r="AKX6" s="1">
        <v>7591</v>
      </c>
      <c r="AKY6" s="1">
        <v>7603</v>
      </c>
      <c r="AKZ6" s="1">
        <v>7607</v>
      </c>
      <c r="ALA6" s="1">
        <v>7621</v>
      </c>
      <c r="ALB6" s="1">
        <v>7639</v>
      </c>
      <c r="ALC6" s="1">
        <v>7643</v>
      </c>
      <c r="ALD6" s="1">
        <v>7649</v>
      </c>
      <c r="ALE6" s="1">
        <v>7669</v>
      </c>
      <c r="ALF6" s="1">
        <v>7673</v>
      </c>
      <c r="ALG6" s="1">
        <v>7681</v>
      </c>
      <c r="ALH6" s="1">
        <v>7687</v>
      </c>
      <c r="ALI6" s="1">
        <v>7691</v>
      </c>
      <c r="ALJ6" s="1">
        <v>7699</v>
      </c>
      <c r="ALK6" s="1">
        <v>7703</v>
      </c>
      <c r="ALL6" s="1">
        <v>7717</v>
      </c>
      <c r="ALM6" s="1">
        <v>7723</v>
      </c>
      <c r="ALN6" s="1">
        <v>7727</v>
      </c>
      <c r="ALO6" s="1">
        <v>7741</v>
      </c>
      <c r="ALP6" s="1">
        <v>7753</v>
      </c>
      <c r="ALQ6" s="1">
        <v>7757</v>
      </c>
      <c r="ALR6" s="1">
        <v>7759</v>
      </c>
      <c r="ALS6" s="1">
        <v>7789</v>
      </c>
      <c r="ALT6" s="1">
        <v>7793</v>
      </c>
      <c r="ALU6" s="1">
        <v>7817</v>
      </c>
      <c r="ALV6" s="1">
        <v>7823</v>
      </c>
      <c r="ALW6" s="1">
        <v>7829</v>
      </c>
      <c r="ALX6" s="1">
        <v>7841</v>
      </c>
      <c r="ALY6" s="1">
        <v>7853</v>
      </c>
      <c r="ALZ6" s="1">
        <v>7867</v>
      </c>
      <c r="AMA6" s="1">
        <v>7873</v>
      </c>
      <c r="AMB6" s="1">
        <v>7877</v>
      </c>
      <c r="AMC6" s="1">
        <v>7879</v>
      </c>
      <c r="AMD6" s="1">
        <v>7883</v>
      </c>
      <c r="AME6" s="1">
        <v>7901</v>
      </c>
      <c r="AMF6" s="1">
        <v>7907</v>
      </c>
      <c r="AMG6" s="1">
        <v>7919</v>
      </c>
    </row>
    <row r="7" spans="1:1022" ht="18.899999999999999" customHeight="1" thickBot="1" x14ac:dyDescent="0.55000000000000004">
      <c r="A7" s="13" t="s">
        <v>141</v>
      </c>
      <c r="B7" s="14" t="s">
        <v>142</v>
      </c>
      <c r="C7" s="14" t="s">
        <v>142</v>
      </c>
      <c r="D7" s="10"/>
      <c r="E7" s="11"/>
      <c r="G7" s="5" t="s">
        <v>143</v>
      </c>
      <c r="H7" s="5">
        <v>3</v>
      </c>
      <c r="I7" s="5">
        <v>3</v>
      </c>
      <c r="K7" s="5">
        <v>2</v>
      </c>
      <c r="L7" s="5" t="s">
        <v>144</v>
      </c>
      <c r="M7" s="5" t="s">
        <v>145</v>
      </c>
      <c r="O7" s="5">
        <v>2</v>
      </c>
      <c r="P7" s="5" t="s">
        <v>146</v>
      </c>
      <c r="Q7" s="5">
        <v>28</v>
      </c>
      <c r="R7" s="7">
        <v>46054</v>
      </c>
      <c r="S7" s="7">
        <v>46081</v>
      </c>
    </row>
    <row r="8" spans="1:1022" ht="18.899999999999999" customHeight="1" thickBot="1" x14ac:dyDescent="0.55000000000000004">
      <c r="G8" s="5" t="s">
        <v>147</v>
      </c>
      <c r="H8" s="5">
        <v>4</v>
      </c>
      <c r="I8" s="5">
        <v>4</v>
      </c>
      <c r="K8" s="5">
        <v>3</v>
      </c>
      <c r="L8" s="5" t="s">
        <v>148</v>
      </c>
      <c r="M8" s="5" t="s">
        <v>145</v>
      </c>
      <c r="O8" s="5">
        <v>3</v>
      </c>
      <c r="P8" s="5" t="s">
        <v>149</v>
      </c>
      <c r="Q8" s="5">
        <v>31</v>
      </c>
      <c r="R8" s="7">
        <v>46082</v>
      </c>
      <c r="S8" s="7">
        <v>46112</v>
      </c>
      <c r="U8" s="97" t="s">
        <v>150</v>
      </c>
      <c r="V8" s="88"/>
      <c r="W8" s="1">
        <f t="array" ref="W8:BB8">_xlfn.TOROW(_xlfn.LAMBDA(_xlpm.rounds,_xlfn.REDUCE(1,_xlfn.SEQUENCE(_xlpm.rounds),_xlfn.LAMBDA(_xlpm.acc,_xlpm.r,_xlfn.TOCOL(_xlfn.HSTACK(_xlpm.acc,2^_xlpm.r+1-_xlpm.acc)))))(5))</f>
        <v>1</v>
      </c>
      <c r="X8" s="1">
        <v>32</v>
      </c>
      <c r="Y8" s="1">
        <v>16</v>
      </c>
      <c r="Z8" s="1">
        <v>17</v>
      </c>
      <c r="AA8" s="1">
        <v>8</v>
      </c>
      <c r="AB8" s="1">
        <v>25</v>
      </c>
      <c r="AC8" s="1">
        <v>9</v>
      </c>
      <c r="AD8" s="1">
        <v>24</v>
      </c>
      <c r="AE8" s="1">
        <v>4</v>
      </c>
      <c r="AF8" s="1">
        <v>29</v>
      </c>
      <c r="AG8" s="1">
        <v>13</v>
      </c>
      <c r="AH8" s="1">
        <v>20</v>
      </c>
      <c r="AI8" s="1">
        <v>5</v>
      </c>
      <c r="AJ8" s="1">
        <v>28</v>
      </c>
      <c r="AK8" s="1">
        <v>12</v>
      </c>
      <c r="AL8" s="1">
        <v>21</v>
      </c>
      <c r="AM8" s="1">
        <v>2</v>
      </c>
      <c r="AN8" s="1">
        <v>31</v>
      </c>
      <c r="AO8" s="1">
        <v>15</v>
      </c>
      <c r="AP8" s="1">
        <v>18</v>
      </c>
      <c r="AQ8" s="1">
        <v>7</v>
      </c>
      <c r="AR8" s="1">
        <v>26</v>
      </c>
      <c r="AS8" s="1">
        <v>10</v>
      </c>
      <c r="AT8" s="1">
        <v>23</v>
      </c>
      <c r="AU8" s="1">
        <v>3</v>
      </c>
      <c r="AV8" s="1">
        <v>30</v>
      </c>
      <c r="AW8" s="1">
        <v>14</v>
      </c>
      <c r="AX8" s="1">
        <v>19</v>
      </c>
      <c r="AY8" s="1">
        <v>6</v>
      </c>
      <c r="AZ8" s="1">
        <v>27</v>
      </c>
      <c r="BA8" s="1">
        <v>11</v>
      </c>
      <c r="BB8" s="2">
        <v>22</v>
      </c>
    </row>
    <row r="9" spans="1:1022" ht="24" customHeight="1" thickBot="1" x14ac:dyDescent="0.5">
      <c r="A9" s="27" t="s">
        <v>151</v>
      </c>
      <c r="B9" s="27" t="s">
        <v>152</v>
      </c>
      <c r="C9" s="27" t="s">
        <v>153</v>
      </c>
      <c r="D9" s="27" t="s">
        <v>154</v>
      </c>
      <c r="E9" s="27" t="s">
        <v>155</v>
      </c>
      <c r="G9" s="5" t="s">
        <v>156</v>
      </c>
      <c r="H9" s="5">
        <v>5</v>
      </c>
      <c r="I9" s="5">
        <v>5</v>
      </c>
      <c r="K9" s="5">
        <v>4</v>
      </c>
      <c r="L9" s="5" t="s">
        <v>157</v>
      </c>
      <c r="M9" s="5" t="s">
        <v>145</v>
      </c>
      <c r="O9" s="5">
        <v>4</v>
      </c>
      <c r="P9" s="5" t="s">
        <v>158</v>
      </c>
      <c r="Q9" s="5">
        <v>30</v>
      </c>
      <c r="R9" s="7">
        <v>46113</v>
      </c>
      <c r="S9" s="7">
        <v>46142</v>
      </c>
      <c r="W9" s="8"/>
    </row>
    <row r="10" spans="1:1022" ht="18.899999999999999" customHeight="1" thickBot="1" x14ac:dyDescent="0.5">
      <c r="A10" s="5" t="s">
        <v>159</v>
      </c>
      <c r="B10" s="5" t="s">
        <v>160</v>
      </c>
      <c r="C10" s="5" t="s">
        <v>160</v>
      </c>
      <c r="D10" s="5">
        <v>-1</v>
      </c>
      <c r="E10" s="5">
        <v>0</v>
      </c>
      <c r="G10" s="5" t="s">
        <v>161</v>
      </c>
      <c r="H10" s="5">
        <v>6</v>
      </c>
      <c r="I10" s="5">
        <v>6</v>
      </c>
      <c r="K10" s="5">
        <v>5</v>
      </c>
      <c r="L10" s="5" t="s">
        <v>162</v>
      </c>
      <c r="M10" s="5" t="s">
        <v>138</v>
      </c>
      <c r="O10" s="5">
        <v>5</v>
      </c>
      <c r="P10" s="5" t="s">
        <v>163</v>
      </c>
      <c r="Q10" s="5">
        <v>31</v>
      </c>
      <c r="R10" s="7">
        <v>46143</v>
      </c>
      <c r="S10" s="7">
        <v>46173</v>
      </c>
      <c r="U10" s="31" t="s">
        <v>164</v>
      </c>
      <c r="V10" s="1" t="s">
        <v>165</v>
      </c>
      <c r="W10" s="1" t="s">
        <v>166</v>
      </c>
      <c r="X10" s="1" t="s">
        <v>167</v>
      </c>
      <c r="Y10" s="1" t="s">
        <v>168</v>
      </c>
      <c r="Z10" s="1" t="s">
        <v>169</v>
      </c>
      <c r="AA10" s="1" t="s">
        <v>170</v>
      </c>
      <c r="AB10" s="1" t="s">
        <v>171</v>
      </c>
      <c r="AC10" s="1" t="s">
        <v>172</v>
      </c>
      <c r="AD10" s="1" t="s">
        <v>173</v>
      </c>
      <c r="AE10" s="1" t="s">
        <v>174</v>
      </c>
      <c r="AF10" s="1" t="s">
        <v>175</v>
      </c>
      <c r="AG10" s="1" t="s">
        <v>176</v>
      </c>
      <c r="AH10" s="1" t="s">
        <v>177</v>
      </c>
      <c r="AI10" s="1" t="s">
        <v>178</v>
      </c>
      <c r="AJ10" s="1" t="s">
        <v>179</v>
      </c>
      <c r="AK10" s="1" t="s">
        <v>180</v>
      </c>
    </row>
    <row r="11" spans="1:1022" ht="18.899999999999999" customHeight="1" thickBot="1" x14ac:dyDescent="0.5">
      <c r="A11" s="5" t="s">
        <v>157</v>
      </c>
      <c r="B11" s="5" t="s">
        <v>181</v>
      </c>
      <c r="C11" s="5" t="s">
        <v>181</v>
      </c>
      <c r="D11" s="5">
        <v>1</v>
      </c>
      <c r="E11" s="5">
        <v>0</v>
      </c>
      <c r="G11" s="5" t="s">
        <v>182</v>
      </c>
      <c r="H11" s="5">
        <v>7</v>
      </c>
      <c r="I11" s="5">
        <v>7</v>
      </c>
      <c r="K11" s="5">
        <v>6</v>
      </c>
      <c r="L11" s="5" t="s">
        <v>183</v>
      </c>
      <c r="M11" s="5" t="s">
        <v>145</v>
      </c>
      <c r="O11" s="5">
        <v>6</v>
      </c>
      <c r="P11" s="5" t="s">
        <v>184</v>
      </c>
      <c r="Q11" s="5">
        <v>30</v>
      </c>
      <c r="R11" s="7">
        <v>46174</v>
      </c>
      <c r="S11" s="7">
        <v>46203</v>
      </c>
      <c r="U11" s="31" t="s">
        <v>185</v>
      </c>
      <c r="V11" s="1">
        <v>0.25</v>
      </c>
      <c r="W11" s="1">
        <v>0.5</v>
      </c>
      <c r="X11" s="1">
        <v>0.75</v>
      </c>
      <c r="Y11" s="1">
        <v>0.33333333333333331</v>
      </c>
      <c r="Z11" s="1">
        <v>0.66666666666666663</v>
      </c>
      <c r="AA11" s="1">
        <v>0.2</v>
      </c>
      <c r="AB11" s="1">
        <v>0.4</v>
      </c>
      <c r="AC11" s="1">
        <v>0.6</v>
      </c>
      <c r="AD11" s="1">
        <v>0.8</v>
      </c>
      <c r="AE11" s="1">
        <v>0.16666666666666671</v>
      </c>
      <c r="AF11" s="1">
        <v>0.83333333333333337</v>
      </c>
      <c r="AG11" s="1">
        <v>0.125</v>
      </c>
      <c r="AH11" s="1">
        <v>0.375</v>
      </c>
      <c r="AI11" s="1">
        <v>0.625</v>
      </c>
      <c r="AJ11" s="1">
        <v>0.875</v>
      </c>
      <c r="AK11" s="1">
        <v>0</v>
      </c>
    </row>
    <row r="12" spans="1:1022" ht="18.899999999999999" customHeight="1" thickBot="1" x14ac:dyDescent="0.5">
      <c r="A12" s="5" t="s">
        <v>186</v>
      </c>
      <c r="B12" s="5" t="s">
        <v>187</v>
      </c>
      <c r="C12" s="5" t="s">
        <v>187</v>
      </c>
      <c r="D12" s="5">
        <v>0</v>
      </c>
      <c r="E12" s="5">
        <v>-1</v>
      </c>
      <c r="G12" s="5" t="s">
        <v>188</v>
      </c>
      <c r="H12" s="5">
        <v>8</v>
      </c>
      <c r="I12" s="5">
        <v>8</v>
      </c>
      <c r="K12" s="5">
        <v>7</v>
      </c>
      <c r="L12" s="5" t="s">
        <v>189</v>
      </c>
      <c r="M12" s="5" t="s">
        <v>145</v>
      </c>
      <c r="O12" s="5">
        <v>7</v>
      </c>
      <c r="P12" s="5" t="s">
        <v>190</v>
      </c>
      <c r="Q12" s="5">
        <v>31</v>
      </c>
      <c r="R12" s="7">
        <v>46204</v>
      </c>
      <c r="S12" s="7">
        <v>46234</v>
      </c>
    </row>
    <row r="13" spans="1:1022" ht="18.899999999999999" customHeight="1" thickBot="1" x14ac:dyDescent="0.55000000000000004">
      <c r="A13" s="5" t="s">
        <v>191</v>
      </c>
      <c r="B13" s="5" t="s">
        <v>192</v>
      </c>
      <c r="C13" s="5" t="s">
        <v>192</v>
      </c>
      <c r="D13" s="5">
        <v>0</v>
      </c>
      <c r="E13" s="5">
        <v>1</v>
      </c>
      <c r="G13" s="5" t="s">
        <v>193</v>
      </c>
      <c r="H13" s="5">
        <v>9</v>
      </c>
      <c r="I13" s="5">
        <v>9</v>
      </c>
      <c r="K13" s="5">
        <v>8</v>
      </c>
      <c r="L13" s="5" t="s">
        <v>194</v>
      </c>
      <c r="M13" s="5" t="s">
        <v>145</v>
      </c>
      <c r="O13" s="5">
        <v>8</v>
      </c>
      <c r="P13" s="5" t="s">
        <v>195</v>
      </c>
      <c r="Q13" s="5">
        <v>31</v>
      </c>
      <c r="R13" s="7">
        <v>46235</v>
      </c>
      <c r="S13" s="7">
        <v>46265</v>
      </c>
      <c r="U13" s="31" t="s">
        <v>196</v>
      </c>
      <c r="V13" s="1" t="s">
        <v>197</v>
      </c>
      <c r="W13" s="1" t="s">
        <v>198</v>
      </c>
      <c r="X13" s="1" t="s">
        <v>199</v>
      </c>
      <c r="Y13" s="1" t="s">
        <v>200</v>
      </c>
      <c r="Z13" s="1" t="s">
        <v>201</v>
      </c>
      <c r="AA13" s="1" t="s">
        <v>202</v>
      </c>
      <c r="AB13" s="1" t="s">
        <v>203</v>
      </c>
      <c r="AC13" s="1" t="s">
        <v>204</v>
      </c>
      <c r="AD13" s="1" t="s">
        <v>205</v>
      </c>
      <c r="AE13" s="1" t="s">
        <v>206</v>
      </c>
      <c r="AF13" s="1" t="s">
        <v>207</v>
      </c>
      <c r="AG13" s="1" t="s">
        <v>208</v>
      </c>
      <c r="AH13" s="1" t="s">
        <v>209</v>
      </c>
      <c r="AI13" s="1" t="s">
        <v>210</v>
      </c>
      <c r="AJ13" s="32" t="s">
        <v>211</v>
      </c>
      <c r="AK13" s="32" t="s">
        <v>212</v>
      </c>
      <c r="AL13" s="32" t="s">
        <v>213</v>
      </c>
      <c r="AM13" s="32" t="s">
        <v>214</v>
      </c>
      <c r="AN13" s="32" t="s">
        <v>215</v>
      </c>
      <c r="AO13" s="32" t="s">
        <v>216</v>
      </c>
      <c r="AP13" s="32" t="s">
        <v>217</v>
      </c>
      <c r="AQ13" s="1" t="s">
        <v>218</v>
      </c>
      <c r="AR13" s="1" t="s">
        <v>219</v>
      </c>
      <c r="AS13" s="1" t="s">
        <v>220</v>
      </c>
      <c r="AT13" s="1" t="s">
        <v>221</v>
      </c>
      <c r="AU13" s="1" t="s">
        <v>222</v>
      </c>
      <c r="AV13" s="1" t="s">
        <v>223</v>
      </c>
      <c r="AW13" s="1" t="s">
        <v>160</v>
      </c>
      <c r="AX13" s="1" t="s">
        <v>224</v>
      </c>
      <c r="AY13" s="1" t="s">
        <v>225</v>
      </c>
      <c r="AZ13" s="1" t="s">
        <v>226</v>
      </c>
      <c r="BA13" s="1" t="s">
        <v>227</v>
      </c>
      <c r="BB13" s="1" t="s">
        <v>228</v>
      </c>
      <c r="BC13" s="1" t="s">
        <v>229</v>
      </c>
      <c r="BD13" s="1" t="s">
        <v>230</v>
      </c>
      <c r="BE13" s="1" t="s">
        <v>231</v>
      </c>
      <c r="BF13" s="1" t="s">
        <v>232</v>
      </c>
      <c r="BG13" s="1" t="s">
        <v>233</v>
      </c>
      <c r="BH13" s="1" t="s">
        <v>234</v>
      </c>
      <c r="BI13" s="1" t="s">
        <v>235</v>
      </c>
      <c r="BJ13" s="1" t="s">
        <v>236</v>
      </c>
      <c r="BK13" s="1" t="s">
        <v>237</v>
      </c>
      <c r="BL13" s="1" t="s">
        <v>238</v>
      </c>
      <c r="BM13" s="1" t="s">
        <v>239</v>
      </c>
      <c r="BN13" s="1" t="s">
        <v>240</v>
      </c>
      <c r="BO13" s="1" t="s">
        <v>241</v>
      </c>
      <c r="BP13" s="1" t="s">
        <v>159</v>
      </c>
      <c r="BQ13" s="1" t="s">
        <v>242</v>
      </c>
      <c r="BR13" s="1" t="s">
        <v>243</v>
      </c>
      <c r="BS13" s="1" t="s">
        <v>244</v>
      </c>
      <c r="BT13" s="1" t="s">
        <v>245</v>
      </c>
      <c r="BU13" s="1" t="s">
        <v>246</v>
      </c>
      <c r="BV13" s="1" t="s">
        <v>247</v>
      </c>
      <c r="BW13" s="1" t="s">
        <v>248</v>
      </c>
      <c r="BX13" s="1" t="s">
        <v>249</v>
      </c>
      <c r="BY13" s="1" t="s">
        <v>250</v>
      </c>
      <c r="BZ13" s="1" t="s">
        <v>251</v>
      </c>
      <c r="CA13" s="1" t="s">
        <v>252</v>
      </c>
      <c r="CB13" s="1" t="s">
        <v>253</v>
      </c>
      <c r="CC13" s="1" t="s">
        <v>254</v>
      </c>
      <c r="CD13" s="1" t="s">
        <v>255</v>
      </c>
      <c r="CE13" s="1" t="s">
        <v>256</v>
      </c>
      <c r="CF13" s="1" t="s">
        <v>257</v>
      </c>
      <c r="CG13" s="1" t="s">
        <v>258</v>
      </c>
      <c r="CH13" s="1" t="s">
        <v>259</v>
      </c>
      <c r="CI13" s="1" t="s">
        <v>260</v>
      </c>
      <c r="CJ13" s="1" t="s">
        <v>261</v>
      </c>
      <c r="CK13" s="1" t="s">
        <v>262</v>
      </c>
      <c r="CL13" s="1" t="s">
        <v>263</v>
      </c>
      <c r="CM13" s="1" t="s">
        <v>264</v>
      </c>
      <c r="CN13" s="1" t="s">
        <v>265</v>
      </c>
      <c r="CO13" s="1" t="s">
        <v>266</v>
      </c>
      <c r="CP13" s="1" t="s">
        <v>267</v>
      </c>
      <c r="CQ13" s="1" t="s">
        <v>268</v>
      </c>
      <c r="CR13" s="1" t="s">
        <v>269</v>
      </c>
      <c r="CS13" s="1" t="s">
        <v>270</v>
      </c>
      <c r="CT13" s="1" t="s">
        <v>271</v>
      </c>
      <c r="CU13" s="1" t="s">
        <v>272</v>
      </c>
      <c r="CV13" s="1" t="s">
        <v>273</v>
      </c>
      <c r="CW13" s="1" t="s">
        <v>274</v>
      </c>
      <c r="CX13" s="1" t="s">
        <v>275</v>
      </c>
      <c r="CY13" s="1" t="s">
        <v>276</v>
      </c>
      <c r="CZ13" s="1" t="s">
        <v>277</v>
      </c>
      <c r="DA13" s="1" t="s">
        <v>278</v>
      </c>
      <c r="DB13" s="1" t="s">
        <v>279</v>
      </c>
      <c r="DC13" s="1" t="s">
        <v>280</v>
      </c>
      <c r="DD13" s="1" t="s">
        <v>281</v>
      </c>
      <c r="DE13" s="1" t="s">
        <v>282</v>
      </c>
      <c r="DF13" s="1" t="s">
        <v>283</v>
      </c>
      <c r="DG13" s="1" t="s">
        <v>284</v>
      </c>
      <c r="DH13" s="1" t="s">
        <v>285</v>
      </c>
      <c r="DI13" s="1" t="s">
        <v>286</v>
      </c>
      <c r="DJ13" s="1" t="s">
        <v>287</v>
      </c>
      <c r="DK13" s="1" t="s">
        <v>288</v>
      </c>
      <c r="DL13" s="1" t="s">
        <v>289</v>
      </c>
      <c r="DM13" s="1" t="s">
        <v>290</v>
      </c>
      <c r="DN13" s="1" t="s">
        <v>291</v>
      </c>
      <c r="DO13" s="1" t="s">
        <v>292</v>
      </c>
      <c r="DP13" s="1" t="s">
        <v>293</v>
      </c>
      <c r="DQ13" s="1" t="s">
        <v>294</v>
      </c>
      <c r="DR13" s="1" t="s">
        <v>295</v>
      </c>
      <c r="DS13" s="1" t="s">
        <v>296</v>
      </c>
      <c r="DT13" s="1" t="s">
        <v>297</v>
      </c>
      <c r="DU13" s="1" t="s">
        <v>298</v>
      </c>
      <c r="DV13" s="1" t="s">
        <v>299</v>
      </c>
      <c r="DW13" s="1" t="s">
        <v>192</v>
      </c>
      <c r="DX13" s="1" t="s">
        <v>300</v>
      </c>
      <c r="DY13" s="1" t="s">
        <v>301</v>
      </c>
      <c r="DZ13" s="1" t="s">
        <v>302</v>
      </c>
      <c r="EA13" s="1" t="s">
        <v>303</v>
      </c>
      <c r="EB13" s="1" t="s">
        <v>304</v>
      </c>
      <c r="EC13" s="1" t="s">
        <v>305</v>
      </c>
      <c r="ED13" s="1" t="s">
        <v>306</v>
      </c>
      <c r="EE13" s="1" t="s">
        <v>307</v>
      </c>
      <c r="EF13" s="1" t="s">
        <v>308</v>
      </c>
      <c r="EG13" s="1" t="s">
        <v>309</v>
      </c>
      <c r="EH13" s="1" t="s">
        <v>310</v>
      </c>
      <c r="EI13" s="1" t="s">
        <v>311</v>
      </c>
      <c r="EJ13" s="1" t="s">
        <v>312</v>
      </c>
      <c r="EK13" s="1" t="s">
        <v>313</v>
      </c>
      <c r="EL13" s="1" t="s">
        <v>314</v>
      </c>
      <c r="EM13" s="1" t="s">
        <v>315</v>
      </c>
      <c r="EN13" s="1" t="s">
        <v>316</v>
      </c>
      <c r="EO13" s="1" t="s">
        <v>317</v>
      </c>
      <c r="EP13" s="1" t="s">
        <v>318</v>
      </c>
      <c r="EQ13" s="1" t="s">
        <v>319</v>
      </c>
      <c r="ER13" s="1" t="s">
        <v>320</v>
      </c>
      <c r="ES13" s="1" t="s">
        <v>321</v>
      </c>
      <c r="ET13" s="1" t="s">
        <v>322</v>
      </c>
      <c r="EU13" s="1" t="s">
        <v>323</v>
      </c>
      <c r="EV13" s="1" t="s">
        <v>324</v>
      </c>
      <c r="EW13" s="1" t="s">
        <v>325</v>
      </c>
      <c r="EX13" s="1" t="s">
        <v>326</v>
      </c>
      <c r="EY13" s="1" t="s">
        <v>327</v>
      </c>
      <c r="EZ13" s="1" t="s">
        <v>328</v>
      </c>
      <c r="FA13" s="1" t="s">
        <v>329</v>
      </c>
      <c r="FB13" s="1" t="s">
        <v>330</v>
      </c>
      <c r="FC13" s="1" t="s">
        <v>331</v>
      </c>
      <c r="FD13" s="1" t="s">
        <v>332</v>
      </c>
      <c r="FE13" s="1" t="s">
        <v>333</v>
      </c>
      <c r="FF13" s="1" t="s">
        <v>334</v>
      </c>
      <c r="FG13" s="1" t="s">
        <v>335</v>
      </c>
      <c r="FH13" s="1" t="s">
        <v>336</v>
      </c>
      <c r="FI13" s="1" t="s">
        <v>337</v>
      </c>
      <c r="FJ13" s="1" t="s">
        <v>338</v>
      </c>
      <c r="FK13" s="1" t="s">
        <v>339</v>
      </c>
      <c r="FL13" s="1" t="s">
        <v>340</v>
      </c>
      <c r="FM13" s="1" t="s">
        <v>341</v>
      </c>
      <c r="FN13" s="1" t="s">
        <v>342</v>
      </c>
      <c r="FO13" s="1" t="s">
        <v>343</v>
      </c>
      <c r="FP13" s="1" t="s">
        <v>344</v>
      </c>
      <c r="FQ13" s="1" t="s">
        <v>345</v>
      </c>
      <c r="FR13" s="1" t="s">
        <v>346</v>
      </c>
      <c r="FS13" s="1" t="s">
        <v>347</v>
      </c>
      <c r="FT13" s="1" t="s">
        <v>348</v>
      </c>
      <c r="FU13" s="1" t="s">
        <v>349</v>
      </c>
      <c r="FV13" s="1" t="s">
        <v>350</v>
      </c>
      <c r="FW13" s="1" t="s">
        <v>351</v>
      </c>
      <c r="FX13" s="1" t="s">
        <v>352</v>
      </c>
      <c r="FY13" s="1" t="s">
        <v>353</v>
      </c>
      <c r="FZ13" s="1" t="s">
        <v>354</v>
      </c>
      <c r="GA13" s="1" t="s">
        <v>355</v>
      </c>
      <c r="GB13" s="1" t="s">
        <v>356</v>
      </c>
      <c r="GC13" s="1" t="s">
        <v>357</v>
      </c>
      <c r="GD13" s="1" t="s">
        <v>358</v>
      </c>
      <c r="GE13" s="1" t="s">
        <v>359</v>
      </c>
      <c r="GF13" s="1" t="s">
        <v>360</v>
      </c>
      <c r="GG13" s="1" t="s">
        <v>361</v>
      </c>
      <c r="GH13" s="1" t="s">
        <v>362</v>
      </c>
      <c r="GI13" s="1" t="s">
        <v>162</v>
      </c>
      <c r="GJ13" s="1" t="s">
        <v>363</v>
      </c>
      <c r="GK13" s="1" t="s">
        <v>191</v>
      </c>
      <c r="GL13" s="1" t="s">
        <v>364</v>
      </c>
      <c r="GM13" s="1" t="s">
        <v>365</v>
      </c>
      <c r="GN13" s="1" t="s">
        <v>366</v>
      </c>
      <c r="GO13" s="1" t="s">
        <v>367</v>
      </c>
      <c r="GP13" s="1" t="s">
        <v>368</v>
      </c>
      <c r="GQ13" s="1" t="s">
        <v>369</v>
      </c>
      <c r="GR13" s="1" t="s">
        <v>370</v>
      </c>
      <c r="GS13" s="1" t="s">
        <v>371</v>
      </c>
      <c r="GT13" s="1" t="s">
        <v>372</v>
      </c>
      <c r="GU13" s="1" t="s">
        <v>373</v>
      </c>
      <c r="GV13" s="1" t="s">
        <v>374</v>
      </c>
      <c r="GW13" s="1" t="s">
        <v>375</v>
      </c>
      <c r="GX13" s="1" t="s">
        <v>376</v>
      </c>
      <c r="GY13" s="1" t="s">
        <v>377</v>
      </c>
      <c r="GZ13" s="1" t="s">
        <v>378</v>
      </c>
      <c r="HA13" s="1" t="s">
        <v>379</v>
      </c>
      <c r="HB13" s="1" t="s">
        <v>380</v>
      </c>
      <c r="HC13" s="1" t="s">
        <v>381</v>
      </c>
      <c r="HD13" s="1" t="s">
        <v>382</v>
      </c>
      <c r="HE13" s="1" t="s">
        <v>383</v>
      </c>
      <c r="HF13" s="1" t="s">
        <v>384</v>
      </c>
      <c r="HG13" s="1" t="s">
        <v>385</v>
      </c>
      <c r="HH13" s="1" t="s">
        <v>386</v>
      </c>
      <c r="HI13" s="1" t="s">
        <v>387</v>
      </c>
      <c r="HJ13" s="1" t="s">
        <v>388</v>
      </c>
      <c r="HK13" s="1" t="s">
        <v>389</v>
      </c>
      <c r="HL13" s="1" t="s">
        <v>390</v>
      </c>
      <c r="HM13" s="1" t="s">
        <v>391</v>
      </c>
      <c r="HN13" s="1" t="s">
        <v>392</v>
      </c>
      <c r="HO13" s="1" t="s">
        <v>393</v>
      </c>
      <c r="HP13" s="1" t="s">
        <v>394</v>
      </c>
      <c r="HQ13" s="1" t="s">
        <v>395</v>
      </c>
      <c r="HR13" s="1" t="s">
        <v>396</v>
      </c>
      <c r="HS13" s="1" t="s">
        <v>397</v>
      </c>
      <c r="HT13" s="1" t="s">
        <v>398</v>
      </c>
      <c r="HU13" s="1" t="s">
        <v>399</v>
      </c>
      <c r="HV13" s="1" t="s">
        <v>400</v>
      </c>
      <c r="HW13" s="1" t="s">
        <v>401</v>
      </c>
      <c r="HX13" s="1" t="s">
        <v>402</v>
      </c>
      <c r="HY13" s="1" t="s">
        <v>403</v>
      </c>
      <c r="HZ13" s="1" t="s">
        <v>404</v>
      </c>
      <c r="IA13" s="1" t="s">
        <v>405</v>
      </c>
      <c r="IB13" s="1" t="s">
        <v>406</v>
      </c>
      <c r="IC13" s="1" t="s">
        <v>181</v>
      </c>
      <c r="ID13" s="1" t="s">
        <v>407</v>
      </c>
      <c r="IE13" s="1" t="s">
        <v>408</v>
      </c>
      <c r="IF13" s="1" t="s">
        <v>409</v>
      </c>
      <c r="IG13" s="1" t="s">
        <v>410</v>
      </c>
      <c r="IH13" s="1" t="s">
        <v>411</v>
      </c>
      <c r="II13" s="1" t="s">
        <v>412</v>
      </c>
      <c r="IJ13" s="1" t="s">
        <v>413</v>
      </c>
      <c r="IK13" s="1" t="s">
        <v>414</v>
      </c>
      <c r="IL13" s="1" t="s">
        <v>415</v>
      </c>
      <c r="IM13" s="1" t="s">
        <v>416</v>
      </c>
      <c r="IN13" s="1" t="s">
        <v>417</v>
      </c>
      <c r="IO13" s="1" t="s">
        <v>418</v>
      </c>
      <c r="IP13" s="1" t="s">
        <v>157</v>
      </c>
      <c r="IQ13" s="1" t="s">
        <v>419</v>
      </c>
      <c r="IR13" s="1" t="s">
        <v>420</v>
      </c>
      <c r="IS13" s="1" t="s">
        <v>421</v>
      </c>
      <c r="IT13" s="1" t="s">
        <v>422</v>
      </c>
      <c r="IU13" s="1" t="s">
        <v>423</v>
      </c>
      <c r="IV13" s="1" t="s">
        <v>424</v>
      </c>
      <c r="IW13" s="1" t="s">
        <v>425</v>
      </c>
      <c r="IX13" s="1" t="s">
        <v>426</v>
      </c>
      <c r="IY13" s="1" t="s">
        <v>427</v>
      </c>
      <c r="IZ13" s="1" t="s">
        <v>428</v>
      </c>
      <c r="JA13" s="1" t="s">
        <v>429</v>
      </c>
      <c r="JB13" s="1" t="s">
        <v>430</v>
      </c>
      <c r="JC13" s="1" t="s">
        <v>431</v>
      </c>
      <c r="JD13" s="1" t="s">
        <v>432</v>
      </c>
      <c r="JE13" s="1" t="s">
        <v>433</v>
      </c>
      <c r="JF13" s="1" t="s">
        <v>434</v>
      </c>
      <c r="JG13" s="1" t="s">
        <v>435</v>
      </c>
      <c r="JH13" s="1" t="s">
        <v>436</v>
      </c>
      <c r="JI13" s="1" t="s">
        <v>437</v>
      </c>
      <c r="JJ13" s="1" t="s">
        <v>438</v>
      </c>
      <c r="JK13" s="1" t="s">
        <v>439</v>
      </c>
      <c r="JL13" s="1" t="s">
        <v>440</v>
      </c>
      <c r="JM13" s="1" t="s">
        <v>441</v>
      </c>
      <c r="JN13" s="1" t="s">
        <v>442</v>
      </c>
      <c r="JO13" s="1" t="s">
        <v>443</v>
      </c>
      <c r="JP13" s="1" t="s">
        <v>444</v>
      </c>
      <c r="JQ13" s="1" t="s">
        <v>445</v>
      </c>
      <c r="JR13" s="1" t="s">
        <v>446</v>
      </c>
      <c r="JS13" s="1" t="s">
        <v>447</v>
      </c>
      <c r="JT13" s="1" t="s">
        <v>448</v>
      </c>
      <c r="JU13" s="1" t="s">
        <v>449</v>
      </c>
      <c r="JV13" s="1" t="s">
        <v>450</v>
      </c>
      <c r="JW13" s="1" t="s">
        <v>451</v>
      </c>
      <c r="JX13" s="1" t="s">
        <v>452</v>
      </c>
      <c r="JY13" s="1" t="s">
        <v>453</v>
      </c>
      <c r="JZ13" s="1" t="s">
        <v>454</v>
      </c>
      <c r="KA13" s="1" t="s">
        <v>455</v>
      </c>
      <c r="KB13" s="1" t="s">
        <v>456</v>
      </c>
      <c r="KC13" s="1" t="s">
        <v>457</v>
      </c>
      <c r="KD13" s="1" t="s">
        <v>458</v>
      </c>
      <c r="KE13" s="1" t="s">
        <v>459</v>
      </c>
      <c r="KF13" s="1" t="s">
        <v>460</v>
      </c>
      <c r="KG13" s="1" t="s">
        <v>461</v>
      </c>
      <c r="KH13" s="1" t="s">
        <v>462</v>
      </c>
      <c r="KI13" s="1" t="s">
        <v>463</v>
      </c>
      <c r="KJ13" s="1" t="s">
        <v>464</v>
      </c>
      <c r="KK13" s="1" t="s">
        <v>465</v>
      </c>
      <c r="KL13" s="1" t="s">
        <v>466</v>
      </c>
      <c r="KM13" s="1" t="s">
        <v>467</v>
      </c>
      <c r="KN13" s="1" t="s">
        <v>468</v>
      </c>
      <c r="KO13" s="1" t="s">
        <v>469</v>
      </c>
      <c r="KP13" s="1" t="s">
        <v>470</v>
      </c>
      <c r="KQ13" s="1" t="s">
        <v>187</v>
      </c>
      <c r="KR13" s="1" t="s">
        <v>471</v>
      </c>
      <c r="KS13" s="1" t="s">
        <v>472</v>
      </c>
      <c r="KT13" s="1" t="s">
        <v>473</v>
      </c>
      <c r="KU13" s="1" t="s">
        <v>474</v>
      </c>
      <c r="KV13" s="1" t="s">
        <v>475</v>
      </c>
      <c r="KW13" s="1" t="s">
        <v>476</v>
      </c>
      <c r="KX13" s="1" t="s">
        <v>477</v>
      </c>
      <c r="KY13" s="1" t="s">
        <v>478</v>
      </c>
      <c r="KZ13" s="1" t="s">
        <v>479</v>
      </c>
      <c r="LA13" s="1" t="s">
        <v>480</v>
      </c>
      <c r="LB13" s="1" t="s">
        <v>481</v>
      </c>
      <c r="LC13" s="1" t="s">
        <v>482</v>
      </c>
      <c r="LD13" s="1" t="s">
        <v>483</v>
      </c>
      <c r="LE13" s="1" t="s">
        <v>484</v>
      </c>
      <c r="LF13" s="1" t="s">
        <v>485</v>
      </c>
      <c r="LG13" s="1" t="s">
        <v>486</v>
      </c>
      <c r="LH13" s="1" t="s">
        <v>487</v>
      </c>
      <c r="LI13" s="1" t="s">
        <v>488</v>
      </c>
      <c r="LJ13" s="1" t="s">
        <v>489</v>
      </c>
      <c r="LK13" s="1" t="s">
        <v>490</v>
      </c>
      <c r="LL13" s="1" t="s">
        <v>491</v>
      </c>
      <c r="LM13" s="1" t="s">
        <v>492</v>
      </c>
      <c r="LN13" s="1" t="s">
        <v>493</v>
      </c>
      <c r="LO13" s="1" t="s">
        <v>494</v>
      </c>
      <c r="LP13" s="1" t="s">
        <v>495</v>
      </c>
      <c r="LQ13" s="1" t="s">
        <v>496</v>
      </c>
      <c r="LR13" s="1" t="s">
        <v>497</v>
      </c>
      <c r="LS13" s="1" t="s">
        <v>498</v>
      </c>
      <c r="LT13" s="1" t="s">
        <v>499</v>
      </c>
      <c r="LU13" s="1" t="s">
        <v>500</v>
      </c>
      <c r="LV13" s="1" t="s">
        <v>501</v>
      </c>
      <c r="LW13" s="1" t="s">
        <v>502</v>
      </c>
      <c r="LX13" s="1" t="s">
        <v>503</v>
      </c>
      <c r="LY13" s="1" t="s">
        <v>504</v>
      </c>
      <c r="LZ13" s="1" t="s">
        <v>505</v>
      </c>
      <c r="MA13" s="1" t="s">
        <v>506</v>
      </c>
      <c r="MB13" s="1" t="s">
        <v>507</v>
      </c>
      <c r="MC13" s="1" t="s">
        <v>508</v>
      </c>
      <c r="MD13" s="1" t="s">
        <v>509</v>
      </c>
      <c r="ME13" s="1" t="s">
        <v>510</v>
      </c>
      <c r="MF13" s="1" t="s">
        <v>511</v>
      </c>
      <c r="MG13" s="1" t="s">
        <v>186</v>
      </c>
      <c r="MH13" s="1" t="s">
        <v>512</v>
      </c>
      <c r="MI13" s="1" t="s">
        <v>513</v>
      </c>
      <c r="MJ13" s="1" t="s">
        <v>514</v>
      </c>
      <c r="MK13" s="1" t="s">
        <v>515</v>
      </c>
      <c r="ML13" s="1" t="s">
        <v>516</v>
      </c>
      <c r="MM13" s="1" t="s">
        <v>517</v>
      </c>
      <c r="MN13" s="1" t="s">
        <v>518</v>
      </c>
      <c r="MO13" s="1" t="s">
        <v>519</v>
      </c>
      <c r="MP13" s="1" t="s">
        <v>520</v>
      </c>
      <c r="MQ13" s="1" t="s">
        <v>521</v>
      </c>
      <c r="MR13" s="1" t="s">
        <v>522</v>
      </c>
      <c r="MS13" s="1" t="s">
        <v>523</v>
      </c>
      <c r="MT13" s="1" t="s">
        <v>524</v>
      </c>
      <c r="MU13" s="1" t="s">
        <v>525</v>
      </c>
      <c r="MV13" s="1" t="s">
        <v>526</v>
      </c>
      <c r="MW13" s="1" t="s">
        <v>527</v>
      </c>
      <c r="MX13" s="1" t="s">
        <v>528</v>
      </c>
      <c r="MY13" s="1" t="s">
        <v>529</v>
      </c>
      <c r="MZ13" s="1" t="s">
        <v>530</v>
      </c>
      <c r="NA13" s="1" t="s">
        <v>531</v>
      </c>
      <c r="NB13" s="1" t="s">
        <v>532</v>
      </c>
      <c r="NC13" s="1" t="s">
        <v>533</v>
      </c>
      <c r="ND13" s="1" t="s">
        <v>534</v>
      </c>
      <c r="NE13" s="1" t="s">
        <v>535</v>
      </c>
      <c r="NF13" s="1" t="s">
        <v>536</v>
      </c>
      <c r="NG13" s="1" t="s">
        <v>537</v>
      </c>
      <c r="NH13" s="1" t="s">
        <v>538</v>
      </c>
      <c r="NI13" s="1" t="s">
        <v>539</v>
      </c>
      <c r="NJ13" s="1" t="s">
        <v>540</v>
      </c>
      <c r="NK13" s="1" t="s">
        <v>541</v>
      </c>
      <c r="NL13" s="1" t="s">
        <v>542</v>
      </c>
      <c r="NM13" s="1" t="s">
        <v>543</v>
      </c>
      <c r="NN13" s="1" t="s">
        <v>544</v>
      </c>
      <c r="NO13" s="1" t="s">
        <v>545</v>
      </c>
      <c r="NP13" s="1" t="s">
        <v>546</v>
      </c>
      <c r="NQ13" s="1" t="s">
        <v>547</v>
      </c>
      <c r="NR13" s="1" t="s">
        <v>548</v>
      </c>
      <c r="NS13" s="1" t="s">
        <v>549</v>
      </c>
      <c r="NT13" s="1" t="s">
        <v>550</v>
      </c>
      <c r="NU13" s="1" t="s">
        <v>551</v>
      </c>
      <c r="NV13" s="1" t="s">
        <v>552</v>
      </c>
      <c r="NW13" s="1" t="s">
        <v>553</v>
      </c>
      <c r="NX13" s="1" t="s">
        <v>554</v>
      </c>
      <c r="NY13" s="1" t="s">
        <v>555</v>
      </c>
      <c r="NZ13" s="1" t="s">
        <v>556</v>
      </c>
      <c r="OA13" s="1" t="s">
        <v>557</v>
      </c>
      <c r="OB13" s="1" t="s">
        <v>558</v>
      </c>
      <c r="OC13" s="1" t="s">
        <v>559</v>
      </c>
      <c r="OD13" s="1" t="s">
        <v>560</v>
      </c>
      <c r="OE13" s="1" t="s">
        <v>561</v>
      </c>
      <c r="OF13" s="1" t="s">
        <v>562</v>
      </c>
      <c r="OG13" s="1" t="s">
        <v>563</v>
      </c>
      <c r="OH13" s="1" t="s">
        <v>564</v>
      </c>
      <c r="OI13" s="1" t="s">
        <v>565</v>
      </c>
      <c r="OJ13" s="1" t="s">
        <v>566</v>
      </c>
      <c r="OK13" s="1" t="s">
        <v>567</v>
      </c>
      <c r="OL13" s="1" t="s">
        <v>568</v>
      </c>
      <c r="OM13" s="1" t="s">
        <v>569</v>
      </c>
      <c r="ON13" s="1" t="s">
        <v>570</v>
      </c>
      <c r="OO13" s="1" t="s">
        <v>571</v>
      </c>
      <c r="OP13" s="1" t="s">
        <v>572</v>
      </c>
      <c r="OQ13" s="1" t="s">
        <v>573</v>
      </c>
      <c r="OR13" s="1" t="s">
        <v>574</v>
      </c>
      <c r="OS13" s="1" t="s">
        <v>575</v>
      </c>
      <c r="OT13" s="1"/>
      <c r="OU13" s="1"/>
      <c r="OV13" s="1"/>
      <c r="OW13" s="1"/>
      <c r="OX13" s="1"/>
      <c r="OY13" s="1"/>
      <c r="OZ13" s="1"/>
      <c r="PA13" s="1"/>
      <c r="PB13" s="1"/>
      <c r="PC13" s="1"/>
      <c r="PD13" s="1"/>
      <c r="PE13" s="1"/>
      <c r="PF13" s="1"/>
      <c r="PG13" s="1"/>
      <c r="PH13" s="1"/>
      <c r="PI13" s="1"/>
      <c r="PJ13" s="1"/>
      <c r="PK13" s="1"/>
      <c r="PL13" s="1"/>
      <c r="PM13" s="1"/>
      <c r="PN13" s="1"/>
      <c r="PO13" s="1"/>
      <c r="PP13" s="1"/>
      <c r="PQ13" s="1"/>
      <c r="PR13" s="1"/>
      <c r="PS13" s="1"/>
      <c r="PT13" s="1"/>
      <c r="PU13" s="1"/>
      <c r="PV13" s="1"/>
      <c r="PW13" s="1"/>
      <c r="PX13" s="1"/>
      <c r="PY13" s="1"/>
      <c r="PZ13" s="1"/>
      <c r="QA13" s="1"/>
      <c r="QB13" s="1"/>
      <c r="QC13" s="1"/>
      <c r="QD13" s="1"/>
      <c r="QE13" s="1"/>
      <c r="QF13" s="1"/>
      <c r="QG13" s="1"/>
      <c r="QH13" s="1"/>
    </row>
    <row r="14" spans="1:1022" ht="18.899999999999999" customHeight="1" thickBot="1" x14ac:dyDescent="0.5">
      <c r="A14" s="5" t="s">
        <v>529</v>
      </c>
      <c r="B14" s="5" t="s">
        <v>522</v>
      </c>
      <c r="C14" s="5" t="s">
        <v>576</v>
      </c>
      <c r="D14" s="5">
        <v>-1</v>
      </c>
      <c r="E14" s="5">
        <v>-1</v>
      </c>
      <c r="G14" s="6" t="s">
        <v>577</v>
      </c>
      <c r="H14" s="5">
        <v>10</v>
      </c>
      <c r="I14" s="5">
        <v>10</v>
      </c>
      <c r="K14" s="5">
        <v>9</v>
      </c>
      <c r="L14" s="5" t="s">
        <v>578</v>
      </c>
      <c r="M14" s="5" t="s">
        <v>138</v>
      </c>
      <c r="O14" s="5">
        <v>9</v>
      </c>
      <c r="P14" s="5" t="s">
        <v>579</v>
      </c>
      <c r="Q14" s="5">
        <v>30</v>
      </c>
      <c r="R14" s="7">
        <v>46266</v>
      </c>
      <c r="S14" s="7">
        <v>46295</v>
      </c>
      <c r="U14" s="31" t="s">
        <v>580</v>
      </c>
      <c r="V14" s="1" t="s">
        <v>197</v>
      </c>
      <c r="W14" s="1" t="s">
        <v>197</v>
      </c>
      <c r="X14" s="1" t="s">
        <v>199</v>
      </c>
      <c r="Y14" s="1" t="s">
        <v>199</v>
      </c>
      <c r="Z14" s="1" t="s">
        <v>160</v>
      </c>
      <c r="AA14" s="1" t="s">
        <v>160</v>
      </c>
      <c r="AB14" s="1" t="s">
        <v>160</v>
      </c>
      <c r="AC14" s="1" t="s">
        <v>160</v>
      </c>
      <c r="AD14" s="1" t="s">
        <v>160</v>
      </c>
      <c r="AE14" s="1" t="s">
        <v>160</v>
      </c>
      <c r="AF14" s="1" t="s">
        <v>160</v>
      </c>
      <c r="AG14" s="1" t="s">
        <v>160</v>
      </c>
      <c r="AH14" s="1" t="s">
        <v>160</v>
      </c>
      <c r="AI14" s="1" t="s">
        <v>160</v>
      </c>
      <c r="AJ14" s="1" t="s">
        <v>160</v>
      </c>
      <c r="AK14" s="1" t="s">
        <v>160</v>
      </c>
      <c r="AL14" s="1" t="s">
        <v>160</v>
      </c>
      <c r="AM14" s="1" t="s">
        <v>160</v>
      </c>
      <c r="AN14" s="1" t="s">
        <v>160</v>
      </c>
      <c r="AO14" s="1" t="s">
        <v>160</v>
      </c>
      <c r="AP14" s="1" t="s">
        <v>160</v>
      </c>
      <c r="AQ14" s="1" t="s">
        <v>160</v>
      </c>
      <c r="AR14" s="1" t="s">
        <v>160</v>
      </c>
      <c r="AS14" s="1" t="s">
        <v>160</v>
      </c>
      <c r="AT14" s="1" t="s">
        <v>160</v>
      </c>
      <c r="AU14" s="1" t="s">
        <v>160</v>
      </c>
      <c r="AV14" s="1" t="s">
        <v>160</v>
      </c>
      <c r="AW14" s="1" t="s">
        <v>160</v>
      </c>
      <c r="AX14" s="1" t="s">
        <v>160</v>
      </c>
      <c r="AY14" s="1" t="s">
        <v>160</v>
      </c>
      <c r="AZ14" s="1" t="s">
        <v>160</v>
      </c>
      <c r="BA14" s="1" t="s">
        <v>160</v>
      </c>
      <c r="BB14" s="1" t="s">
        <v>160</v>
      </c>
      <c r="BC14" s="1" t="s">
        <v>160</v>
      </c>
      <c r="BD14" s="1" t="s">
        <v>160</v>
      </c>
      <c r="BE14" s="1" t="s">
        <v>160</v>
      </c>
      <c r="BF14" s="1" t="s">
        <v>160</v>
      </c>
      <c r="BG14" s="1" t="s">
        <v>160</v>
      </c>
      <c r="BH14" s="1" t="s">
        <v>160</v>
      </c>
      <c r="BI14" s="1" t="s">
        <v>160</v>
      </c>
      <c r="BJ14" s="1" t="s">
        <v>160</v>
      </c>
      <c r="BK14" s="1" t="s">
        <v>160</v>
      </c>
      <c r="BL14" s="1" t="s">
        <v>160</v>
      </c>
      <c r="BM14" s="1" t="s">
        <v>160</v>
      </c>
      <c r="BN14" s="1" t="s">
        <v>160</v>
      </c>
      <c r="BO14" s="1" t="s">
        <v>160</v>
      </c>
      <c r="BP14" s="1" t="s">
        <v>160</v>
      </c>
      <c r="BQ14" s="1" t="s">
        <v>160</v>
      </c>
      <c r="BR14" s="1" t="s">
        <v>160</v>
      </c>
      <c r="BS14" s="1" t="s">
        <v>160</v>
      </c>
      <c r="BT14" s="1" t="s">
        <v>160</v>
      </c>
      <c r="BU14" s="1" t="s">
        <v>160</v>
      </c>
      <c r="BV14" s="1" t="s">
        <v>160</v>
      </c>
      <c r="BW14" s="1" t="s">
        <v>160</v>
      </c>
      <c r="BX14" s="1" t="s">
        <v>160</v>
      </c>
      <c r="BY14" s="1" t="s">
        <v>254</v>
      </c>
      <c r="BZ14" s="1" t="s">
        <v>254</v>
      </c>
      <c r="CA14" s="1" t="s">
        <v>254</v>
      </c>
      <c r="CB14" s="1" t="s">
        <v>254</v>
      </c>
      <c r="CC14" s="1" t="s">
        <v>254</v>
      </c>
      <c r="CD14" s="1" t="s">
        <v>254</v>
      </c>
      <c r="CE14" s="1" t="s">
        <v>254</v>
      </c>
      <c r="CF14" s="1" t="s">
        <v>254</v>
      </c>
      <c r="CG14" s="1" t="s">
        <v>254</v>
      </c>
      <c r="CH14" s="1" t="s">
        <v>254</v>
      </c>
      <c r="CI14" s="1" t="s">
        <v>254</v>
      </c>
      <c r="CJ14" s="1" t="s">
        <v>254</v>
      </c>
      <c r="CK14" s="1" t="s">
        <v>254</v>
      </c>
      <c r="CL14" s="1" t="s">
        <v>192</v>
      </c>
      <c r="CM14" s="1" t="s">
        <v>192</v>
      </c>
      <c r="CN14" s="1" t="s">
        <v>192</v>
      </c>
      <c r="CO14" s="1" t="s">
        <v>192</v>
      </c>
      <c r="CP14" s="1" t="s">
        <v>192</v>
      </c>
      <c r="CQ14" s="1" t="s">
        <v>192</v>
      </c>
      <c r="CR14" s="1" t="s">
        <v>192</v>
      </c>
      <c r="CS14" s="1" t="s">
        <v>192</v>
      </c>
      <c r="CT14" s="1" t="s">
        <v>192</v>
      </c>
      <c r="CU14" s="1" t="s">
        <v>192</v>
      </c>
      <c r="CV14" s="1" t="s">
        <v>192</v>
      </c>
      <c r="CW14" s="1" t="s">
        <v>192</v>
      </c>
      <c r="CX14" s="1" t="s">
        <v>192</v>
      </c>
      <c r="CY14" s="1" t="s">
        <v>192</v>
      </c>
      <c r="CZ14" s="1" t="s">
        <v>192</v>
      </c>
      <c r="DA14" s="1" t="s">
        <v>192</v>
      </c>
      <c r="DB14" s="1" t="s">
        <v>192</v>
      </c>
      <c r="DC14" s="1" t="s">
        <v>192</v>
      </c>
      <c r="DD14" s="1" t="s">
        <v>192</v>
      </c>
      <c r="DE14" s="1" t="s">
        <v>192</v>
      </c>
      <c r="DF14" s="1" t="s">
        <v>192</v>
      </c>
      <c r="DG14" s="1" t="s">
        <v>192</v>
      </c>
      <c r="DH14" s="1" t="s">
        <v>192</v>
      </c>
      <c r="DI14" s="1" t="s">
        <v>192</v>
      </c>
      <c r="DJ14" s="1" t="s">
        <v>192</v>
      </c>
      <c r="DK14" s="1" t="s">
        <v>192</v>
      </c>
      <c r="DL14" s="1" t="s">
        <v>192</v>
      </c>
      <c r="DM14" s="1" t="s">
        <v>192</v>
      </c>
      <c r="DN14" s="1" t="s">
        <v>192</v>
      </c>
      <c r="DO14" s="1" t="s">
        <v>192</v>
      </c>
      <c r="DP14" s="1" t="s">
        <v>192</v>
      </c>
      <c r="DQ14" s="1" t="s">
        <v>192</v>
      </c>
      <c r="DR14" s="1" t="s">
        <v>192</v>
      </c>
      <c r="DS14" s="1" t="s">
        <v>192</v>
      </c>
      <c r="DT14" s="1" t="s">
        <v>192</v>
      </c>
      <c r="DU14" s="1" t="s">
        <v>192</v>
      </c>
      <c r="DV14" s="1" t="s">
        <v>192</v>
      </c>
      <c r="DW14" s="1" t="s">
        <v>192</v>
      </c>
      <c r="DX14" s="1" t="s">
        <v>192</v>
      </c>
      <c r="DY14" s="1" t="s">
        <v>192</v>
      </c>
      <c r="DZ14" s="1" t="s">
        <v>192</v>
      </c>
      <c r="EA14" s="1" t="s">
        <v>192</v>
      </c>
      <c r="EB14" s="1" t="s">
        <v>192</v>
      </c>
      <c r="EC14" s="1" t="s">
        <v>192</v>
      </c>
      <c r="ED14" s="1" t="s">
        <v>192</v>
      </c>
      <c r="EE14" s="1" t="s">
        <v>192</v>
      </c>
      <c r="EF14" s="1" t="s">
        <v>192</v>
      </c>
      <c r="EG14" s="1" t="s">
        <v>192</v>
      </c>
      <c r="EH14" s="1" t="s">
        <v>192</v>
      </c>
      <c r="EI14" s="1" t="s">
        <v>192</v>
      </c>
      <c r="EJ14" s="1" t="s">
        <v>192</v>
      </c>
      <c r="EK14" s="1" t="s">
        <v>192</v>
      </c>
      <c r="EL14" s="1" t="s">
        <v>192</v>
      </c>
      <c r="EM14" s="1" t="s">
        <v>192</v>
      </c>
      <c r="EN14" s="1" t="s">
        <v>192</v>
      </c>
      <c r="EO14" s="1" t="s">
        <v>192</v>
      </c>
      <c r="EP14" s="1" t="s">
        <v>192</v>
      </c>
      <c r="EQ14" s="1" t="s">
        <v>192</v>
      </c>
      <c r="ER14" s="1" t="s">
        <v>192</v>
      </c>
      <c r="ES14" s="1" t="s">
        <v>192</v>
      </c>
      <c r="ET14" s="1" t="s">
        <v>192</v>
      </c>
      <c r="EU14" s="1" t="s">
        <v>192</v>
      </c>
      <c r="EV14" s="1" t="s">
        <v>192</v>
      </c>
      <c r="EW14" s="1" t="s">
        <v>192</v>
      </c>
      <c r="EX14" s="1" t="s">
        <v>192</v>
      </c>
      <c r="EY14" s="1" t="s">
        <v>192</v>
      </c>
      <c r="EZ14" s="1" t="s">
        <v>192</v>
      </c>
      <c r="FA14" s="1" t="s">
        <v>192</v>
      </c>
      <c r="FB14" s="1" t="s">
        <v>192</v>
      </c>
      <c r="FC14" s="1" t="s">
        <v>192</v>
      </c>
      <c r="FD14" s="1" t="s">
        <v>192</v>
      </c>
      <c r="FE14" s="1" t="s">
        <v>192</v>
      </c>
      <c r="FF14" s="1" t="s">
        <v>192</v>
      </c>
      <c r="FG14" s="1" t="s">
        <v>192</v>
      </c>
      <c r="FH14" s="1" t="s">
        <v>192</v>
      </c>
      <c r="FI14" s="1" t="s">
        <v>192</v>
      </c>
      <c r="FJ14" s="1" t="s">
        <v>192</v>
      </c>
      <c r="FK14" s="1" t="s">
        <v>192</v>
      </c>
      <c r="FL14" s="1" t="s">
        <v>192</v>
      </c>
      <c r="FM14" s="1" t="s">
        <v>192</v>
      </c>
      <c r="FN14" s="1" t="s">
        <v>192</v>
      </c>
      <c r="FO14" s="1" t="s">
        <v>192</v>
      </c>
      <c r="FP14" s="1" t="s">
        <v>192</v>
      </c>
      <c r="FQ14" s="1" t="s">
        <v>192</v>
      </c>
      <c r="FR14" s="1" t="s">
        <v>192</v>
      </c>
      <c r="FS14" s="1" t="s">
        <v>192</v>
      </c>
      <c r="FT14" s="1" t="s">
        <v>192</v>
      </c>
      <c r="FU14" s="1" t="s">
        <v>192</v>
      </c>
      <c r="FV14" s="1" t="s">
        <v>192</v>
      </c>
      <c r="FW14" s="1" t="s">
        <v>192</v>
      </c>
      <c r="FX14" s="1" t="s">
        <v>192</v>
      </c>
      <c r="FY14" s="1" t="s">
        <v>192</v>
      </c>
      <c r="FZ14" s="1" t="s">
        <v>192</v>
      </c>
      <c r="GA14" s="1" t="s">
        <v>192</v>
      </c>
      <c r="GB14" s="1" t="s">
        <v>192</v>
      </c>
      <c r="GC14" s="1" t="s">
        <v>192</v>
      </c>
      <c r="GD14" s="1" t="s">
        <v>192</v>
      </c>
      <c r="GE14" s="1" t="s">
        <v>192</v>
      </c>
      <c r="GF14" s="1" t="s">
        <v>192</v>
      </c>
      <c r="GG14" s="1" t="s">
        <v>192</v>
      </c>
      <c r="GH14" s="1" t="s">
        <v>192</v>
      </c>
      <c r="GI14" s="1" t="s">
        <v>192</v>
      </c>
      <c r="GJ14" s="1" t="s">
        <v>192</v>
      </c>
      <c r="GK14" s="1" t="s">
        <v>192</v>
      </c>
      <c r="GL14" s="1" t="s">
        <v>192</v>
      </c>
      <c r="GM14" s="1" t="s">
        <v>187</v>
      </c>
      <c r="GN14" s="1" t="s">
        <v>192</v>
      </c>
      <c r="GO14" s="1" t="s">
        <v>192</v>
      </c>
      <c r="GP14" s="1" t="s">
        <v>192</v>
      </c>
      <c r="GQ14" s="1" t="s">
        <v>192</v>
      </c>
      <c r="GR14" s="1" t="s">
        <v>374</v>
      </c>
      <c r="GS14" s="1" t="s">
        <v>374</v>
      </c>
      <c r="GT14" s="1" t="s">
        <v>374</v>
      </c>
      <c r="GU14" s="1" t="s">
        <v>374</v>
      </c>
      <c r="GV14" s="1" t="s">
        <v>374</v>
      </c>
      <c r="GW14" s="1" t="s">
        <v>374</v>
      </c>
      <c r="GX14" s="1" t="s">
        <v>374</v>
      </c>
      <c r="GY14" s="1" t="s">
        <v>374</v>
      </c>
      <c r="GZ14" s="1" t="s">
        <v>374</v>
      </c>
      <c r="HA14" s="1" t="s">
        <v>374</v>
      </c>
      <c r="HB14" s="1" t="s">
        <v>374</v>
      </c>
      <c r="HC14" s="1" t="s">
        <v>374</v>
      </c>
      <c r="HD14" s="1" t="s">
        <v>374</v>
      </c>
      <c r="HE14" s="1" t="s">
        <v>374</v>
      </c>
      <c r="HF14" s="1" t="s">
        <v>181</v>
      </c>
      <c r="HG14" s="1" t="s">
        <v>181</v>
      </c>
      <c r="HH14" s="1" t="s">
        <v>181</v>
      </c>
      <c r="HI14" s="1" t="s">
        <v>181</v>
      </c>
      <c r="HJ14" s="1" t="s">
        <v>181</v>
      </c>
      <c r="HK14" s="1" t="s">
        <v>181</v>
      </c>
      <c r="HL14" s="1" t="s">
        <v>181</v>
      </c>
      <c r="HM14" s="1" t="s">
        <v>181</v>
      </c>
      <c r="HN14" s="1" t="s">
        <v>181</v>
      </c>
      <c r="HO14" s="1" t="s">
        <v>181</v>
      </c>
      <c r="HP14" s="1" t="s">
        <v>181</v>
      </c>
      <c r="HQ14" s="1" t="s">
        <v>181</v>
      </c>
      <c r="HR14" s="1" t="s">
        <v>181</v>
      </c>
      <c r="HS14" s="1" t="s">
        <v>181</v>
      </c>
      <c r="HT14" s="1" t="s">
        <v>181</v>
      </c>
      <c r="HU14" s="1" t="s">
        <v>181</v>
      </c>
      <c r="HV14" s="1" t="s">
        <v>181</v>
      </c>
      <c r="HW14" s="1" t="s">
        <v>181</v>
      </c>
      <c r="HX14" s="1" t="s">
        <v>181</v>
      </c>
      <c r="HY14" s="1" t="s">
        <v>181</v>
      </c>
      <c r="HZ14" s="1" t="s">
        <v>181</v>
      </c>
      <c r="IA14" s="1" t="s">
        <v>181</v>
      </c>
      <c r="IB14" s="1" t="s">
        <v>181</v>
      </c>
      <c r="IC14" s="1" t="s">
        <v>181</v>
      </c>
      <c r="ID14" s="1" t="s">
        <v>181</v>
      </c>
      <c r="IE14" s="1" t="s">
        <v>181</v>
      </c>
      <c r="IF14" s="1" t="s">
        <v>181</v>
      </c>
      <c r="IG14" s="1" t="s">
        <v>181</v>
      </c>
      <c r="IH14" s="1" t="s">
        <v>181</v>
      </c>
      <c r="II14" s="1" t="s">
        <v>181</v>
      </c>
      <c r="IJ14" s="1" t="s">
        <v>181</v>
      </c>
      <c r="IK14" s="1" t="s">
        <v>181</v>
      </c>
      <c r="IL14" s="1" t="s">
        <v>181</v>
      </c>
      <c r="IM14" s="1" t="s">
        <v>181</v>
      </c>
      <c r="IN14" s="1" t="s">
        <v>181</v>
      </c>
      <c r="IO14" s="1" t="s">
        <v>181</v>
      </c>
      <c r="IP14" s="1" t="s">
        <v>181</v>
      </c>
      <c r="IQ14" s="1" t="s">
        <v>181</v>
      </c>
      <c r="IR14" s="1" t="s">
        <v>181</v>
      </c>
      <c r="IS14" s="1" t="s">
        <v>181</v>
      </c>
      <c r="IT14" s="1" t="s">
        <v>181</v>
      </c>
      <c r="IU14" s="1" t="s">
        <v>181</v>
      </c>
      <c r="IV14" s="1" t="s">
        <v>181</v>
      </c>
      <c r="IW14" s="1" t="s">
        <v>181</v>
      </c>
      <c r="IX14" s="1" t="s">
        <v>181</v>
      </c>
      <c r="IY14" s="1" t="s">
        <v>181</v>
      </c>
      <c r="IZ14" s="1" t="s">
        <v>181</v>
      </c>
      <c r="JA14" s="1" t="s">
        <v>181</v>
      </c>
      <c r="JB14" s="1" t="s">
        <v>434</v>
      </c>
      <c r="JC14" s="1" t="s">
        <v>434</v>
      </c>
      <c r="JD14" s="1" t="s">
        <v>434</v>
      </c>
      <c r="JE14" s="1" t="s">
        <v>434</v>
      </c>
      <c r="JF14" s="1" t="s">
        <v>434</v>
      </c>
      <c r="JG14" s="1" t="s">
        <v>434</v>
      </c>
      <c r="JH14" s="1" t="s">
        <v>434</v>
      </c>
      <c r="JI14" s="1" t="s">
        <v>434</v>
      </c>
      <c r="JJ14" s="1" t="s">
        <v>434</v>
      </c>
      <c r="JK14" s="1" t="s">
        <v>434</v>
      </c>
      <c r="JL14" s="1" t="s">
        <v>434</v>
      </c>
      <c r="JM14" s="1" t="s">
        <v>187</v>
      </c>
      <c r="JN14" s="1" t="s">
        <v>187</v>
      </c>
      <c r="JO14" s="1" t="s">
        <v>187</v>
      </c>
      <c r="JP14" s="1" t="s">
        <v>187</v>
      </c>
      <c r="JQ14" s="1" t="s">
        <v>187</v>
      </c>
      <c r="JR14" s="1" t="s">
        <v>187</v>
      </c>
      <c r="JS14" s="1" t="s">
        <v>187</v>
      </c>
      <c r="JT14" s="1" t="s">
        <v>187</v>
      </c>
      <c r="JU14" s="1" t="s">
        <v>187</v>
      </c>
      <c r="JV14" s="1" t="s">
        <v>187</v>
      </c>
      <c r="JW14" s="1" t="s">
        <v>187</v>
      </c>
      <c r="JX14" s="1" t="s">
        <v>187</v>
      </c>
      <c r="JY14" s="1" t="s">
        <v>187</v>
      </c>
      <c r="JZ14" s="1" t="s">
        <v>187</v>
      </c>
      <c r="KA14" s="1" t="s">
        <v>187</v>
      </c>
      <c r="KB14" s="1" t="s">
        <v>187</v>
      </c>
      <c r="KC14" s="1" t="s">
        <v>187</v>
      </c>
      <c r="KD14" s="1" t="s">
        <v>187</v>
      </c>
      <c r="KE14" s="1" t="s">
        <v>187</v>
      </c>
      <c r="KF14" s="1" t="s">
        <v>187</v>
      </c>
      <c r="KG14" s="1" t="s">
        <v>187</v>
      </c>
      <c r="KH14" s="1" t="s">
        <v>187</v>
      </c>
      <c r="KI14" s="1" t="s">
        <v>187</v>
      </c>
      <c r="KJ14" s="1" t="s">
        <v>187</v>
      </c>
      <c r="KK14" s="1" t="s">
        <v>187</v>
      </c>
      <c r="KL14" s="1" t="s">
        <v>187</v>
      </c>
      <c r="KM14" s="1" t="s">
        <v>187</v>
      </c>
      <c r="KN14" s="1" t="s">
        <v>187</v>
      </c>
      <c r="KO14" s="1" t="s">
        <v>187</v>
      </c>
      <c r="KP14" s="1" t="s">
        <v>187</v>
      </c>
      <c r="KQ14" s="1" t="s">
        <v>187</v>
      </c>
      <c r="KR14" s="1" t="s">
        <v>187</v>
      </c>
      <c r="KS14" s="1" t="s">
        <v>187</v>
      </c>
      <c r="KT14" s="1" t="s">
        <v>187</v>
      </c>
      <c r="KU14" s="1" t="s">
        <v>187</v>
      </c>
      <c r="KV14" s="1" t="s">
        <v>187</v>
      </c>
      <c r="KW14" s="1" t="s">
        <v>187</v>
      </c>
      <c r="KX14" s="1" t="s">
        <v>187</v>
      </c>
      <c r="KY14" s="1" t="s">
        <v>187</v>
      </c>
      <c r="KZ14" s="1" t="s">
        <v>187</v>
      </c>
      <c r="LA14" s="1" t="s">
        <v>187</v>
      </c>
      <c r="LB14" s="1" t="s">
        <v>187</v>
      </c>
      <c r="LC14" s="1" t="s">
        <v>187</v>
      </c>
      <c r="LD14" s="1" t="s">
        <v>187</v>
      </c>
      <c r="LE14" s="1" t="s">
        <v>187</v>
      </c>
      <c r="LF14" s="1" t="s">
        <v>187</v>
      </c>
      <c r="LG14" s="1" t="s">
        <v>187</v>
      </c>
      <c r="LH14" s="1" t="s">
        <v>187</v>
      </c>
      <c r="LI14" s="1" t="s">
        <v>187</v>
      </c>
      <c r="LJ14" s="1" t="s">
        <v>187</v>
      </c>
      <c r="LK14" s="1" t="s">
        <v>187</v>
      </c>
      <c r="LL14" s="1" t="s">
        <v>187</v>
      </c>
      <c r="LM14" s="1" t="s">
        <v>187</v>
      </c>
      <c r="LN14" s="1" t="s">
        <v>187</v>
      </c>
      <c r="LO14" s="1" t="s">
        <v>187</v>
      </c>
      <c r="LP14" s="1" t="s">
        <v>187</v>
      </c>
      <c r="LQ14" s="1" t="s">
        <v>187</v>
      </c>
      <c r="LR14" s="1" t="s">
        <v>187</v>
      </c>
      <c r="LS14" s="1" t="s">
        <v>187</v>
      </c>
      <c r="LT14" s="1" t="s">
        <v>187</v>
      </c>
      <c r="LU14" s="1" t="s">
        <v>187</v>
      </c>
      <c r="LV14" s="1" t="s">
        <v>187</v>
      </c>
      <c r="LW14" s="1" t="s">
        <v>187</v>
      </c>
      <c r="LX14" s="1" t="s">
        <v>187</v>
      </c>
      <c r="LY14" s="1" t="s">
        <v>187</v>
      </c>
      <c r="LZ14" s="1" t="s">
        <v>187</v>
      </c>
      <c r="MA14" s="1" t="s">
        <v>187</v>
      </c>
      <c r="MB14" s="1" t="s">
        <v>187</v>
      </c>
      <c r="MC14" s="1" t="s">
        <v>187</v>
      </c>
      <c r="MD14" s="1" t="s">
        <v>187</v>
      </c>
      <c r="ME14" s="1" t="s">
        <v>187</v>
      </c>
      <c r="MF14" s="1" t="s">
        <v>187</v>
      </c>
      <c r="MG14" s="1" t="s">
        <v>187</v>
      </c>
      <c r="MH14" s="1" t="s">
        <v>187</v>
      </c>
      <c r="MI14" s="1" t="s">
        <v>187</v>
      </c>
      <c r="MJ14" s="1" t="s">
        <v>187</v>
      </c>
      <c r="MK14" s="1" t="s">
        <v>187</v>
      </c>
      <c r="ML14" s="1" t="s">
        <v>187</v>
      </c>
      <c r="MM14" s="1" t="s">
        <v>187</v>
      </c>
      <c r="MN14" s="1" t="s">
        <v>522</v>
      </c>
      <c r="MO14" s="1" t="s">
        <v>522</v>
      </c>
      <c r="MP14" s="1" t="s">
        <v>522</v>
      </c>
      <c r="MQ14" s="1" t="s">
        <v>522</v>
      </c>
      <c r="MR14" s="1" t="s">
        <v>522</v>
      </c>
      <c r="MS14" s="1" t="s">
        <v>522</v>
      </c>
      <c r="MT14" s="1" t="s">
        <v>522</v>
      </c>
      <c r="MU14" s="1" t="s">
        <v>522</v>
      </c>
      <c r="MV14" s="1" t="s">
        <v>522</v>
      </c>
      <c r="MW14" s="1" t="s">
        <v>522</v>
      </c>
      <c r="MX14" s="1" t="s">
        <v>522</v>
      </c>
      <c r="MY14" s="1" t="s">
        <v>522</v>
      </c>
      <c r="MZ14" s="1" t="s">
        <v>538</v>
      </c>
      <c r="NA14" s="1" t="s">
        <v>538</v>
      </c>
      <c r="NB14" s="1" t="s">
        <v>538</v>
      </c>
      <c r="NC14" s="1" t="s">
        <v>538</v>
      </c>
      <c r="ND14" s="1" t="s">
        <v>538</v>
      </c>
      <c r="NE14" s="1" t="s">
        <v>538</v>
      </c>
      <c r="NF14" s="1" t="s">
        <v>538</v>
      </c>
      <c r="NG14" s="1" t="s">
        <v>538</v>
      </c>
      <c r="NH14" s="1" t="s">
        <v>538</v>
      </c>
      <c r="NI14" s="1" t="s">
        <v>538</v>
      </c>
      <c r="NJ14" s="1" t="s">
        <v>538</v>
      </c>
      <c r="NK14" s="1" t="s">
        <v>538</v>
      </c>
      <c r="NL14" s="1" t="s">
        <v>538</v>
      </c>
      <c r="NM14" s="1" t="s">
        <v>538</v>
      </c>
      <c r="NN14" s="1" t="s">
        <v>538</v>
      </c>
      <c r="NO14" s="1" t="s">
        <v>538</v>
      </c>
      <c r="NP14" s="1" t="s">
        <v>538</v>
      </c>
      <c r="NQ14" s="1" t="s">
        <v>538</v>
      </c>
      <c r="NR14" s="1" t="s">
        <v>538</v>
      </c>
      <c r="NS14" s="1" t="s">
        <v>538</v>
      </c>
      <c r="NT14" s="1" t="s">
        <v>555</v>
      </c>
      <c r="NU14" s="1" t="s">
        <v>555</v>
      </c>
      <c r="NV14" s="1" t="s">
        <v>555</v>
      </c>
      <c r="NW14" s="1" t="s">
        <v>555</v>
      </c>
      <c r="NX14" s="1" t="s">
        <v>555</v>
      </c>
      <c r="NY14" s="1" t="s">
        <v>555</v>
      </c>
      <c r="NZ14" s="1" t="s">
        <v>555</v>
      </c>
      <c r="OA14" s="1" t="s">
        <v>555</v>
      </c>
      <c r="OB14" s="1" t="s">
        <v>555</v>
      </c>
      <c r="OC14" s="1" t="s">
        <v>555</v>
      </c>
      <c r="OD14" s="1" t="s">
        <v>555</v>
      </c>
      <c r="OE14" s="1" t="s">
        <v>555</v>
      </c>
      <c r="OF14" s="1" t="s">
        <v>564</v>
      </c>
      <c r="OG14" s="1" t="s">
        <v>564</v>
      </c>
      <c r="OH14" s="1" t="s">
        <v>564</v>
      </c>
      <c r="OI14" s="1" t="s">
        <v>564</v>
      </c>
      <c r="OJ14" s="1" t="s">
        <v>564</v>
      </c>
      <c r="OK14" s="1" t="s">
        <v>573</v>
      </c>
      <c r="OL14" s="1" t="s">
        <v>573</v>
      </c>
      <c r="OM14" s="1" t="s">
        <v>573</v>
      </c>
      <c r="ON14" s="1" t="s">
        <v>573</v>
      </c>
      <c r="OO14" s="1" t="s">
        <v>573</v>
      </c>
      <c r="OP14" s="1" t="s">
        <v>573</v>
      </c>
      <c r="OQ14" s="1" t="s">
        <v>573</v>
      </c>
      <c r="OR14" s="1" t="s">
        <v>573</v>
      </c>
      <c r="OS14" s="1" t="s">
        <v>573</v>
      </c>
      <c r="OT14" s="1"/>
      <c r="OU14" s="1"/>
      <c r="OV14" s="1"/>
      <c r="OW14" s="1"/>
      <c r="OX14" s="1"/>
      <c r="OY14" s="1"/>
      <c r="OZ14" s="1"/>
      <c r="PA14" s="1"/>
      <c r="PB14" s="1"/>
      <c r="PC14" s="1"/>
      <c r="PD14" s="1"/>
      <c r="PE14" s="1"/>
      <c r="PF14" s="1"/>
      <c r="PG14" s="1"/>
      <c r="PH14" s="1"/>
      <c r="PI14" s="1"/>
      <c r="PJ14" s="1"/>
      <c r="PK14" s="1"/>
      <c r="PL14" s="1"/>
      <c r="PM14" s="1"/>
      <c r="PN14" s="1"/>
      <c r="PO14" s="1"/>
      <c r="PP14" s="1"/>
      <c r="PQ14" s="1"/>
      <c r="PR14" s="1"/>
      <c r="PS14" s="1"/>
      <c r="PT14" s="1"/>
      <c r="PU14" s="1"/>
      <c r="PV14" s="1"/>
      <c r="PW14" s="1"/>
      <c r="PX14" s="1"/>
      <c r="PY14" s="1"/>
      <c r="PZ14" s="1"/>
      <c r="QA14" s="1"/>
      <c r="QB14" s="1"/>
      <c r="QC14" s="1"/>
      <c r="QD14" s="1"/>
      <c r="QE14" s="1"/>
      <c r="QF14" s="1"/>
      <c r="QG14" s="1"/>
      <c r="QH14" s="1"/>
    </row>
    <row r="15" spans="1:1022" ht="18.899999999999999" customHeight="1" x14ac:dyDescent="0.45">
      <c r="A15" s="5" t="s">
        <v>262</v>
      </c>
      <c r="B15" s="5" t="s">
        <v>254</v>
      </c>
      <c r="C15" s="5" t="s">
        <v>581</v>
      </c>
      <c r="D15" s="5">
        <v>-1</v>
      </c>
      <c r="E15" s="5">
        <v>1</v>
      </c>
      <c r="G15" s="5" t="s">
        <v>582</v>
      </c>
      <c r="H15" s="5">
        <v>10</v>
      </c>
      <c r="I15" s="5">
        <v>11</v>
      </c>
      <c r="K15" s="5">
        <v>10</v>
      </c>
      <c r="L15" s="5" t="s">
        <v>582</v>
      </c>
      <c r="M15" s="5" t="s">
        <v>145</v>
      </c>
      <c r="O15" s="5">
        <v>10</v>
      </c>
      <c r="P15" s="5" t="s">
        <v>583</v>
      </c>
      <c r="Q15" s="5">
        <v>31</v>
      </c>
      <c r="R15" s="7">
        <v>46296</v>
      </c>
      <c r="S15" s="7">
        <v>46326</v>
      </c>
    </row>
    <row r="16" spans="1:1022" ht="18.899999999999999" customHeight="1" x14ac:dyDescent="0.45">
      <c r="A16" s="5" t="s">
        <v>437</v>
      </c>
      <c r="B16" s="5" t="s">
        <v>434</v>
      </c>
      <c r="C16" s="5" t="s">
        <v>584</v>
      </c>
      <c r="D16" s="5">
        <v>1</v>
      </c>
      <c r="E16" s="5">
        <v>-1</v>
      </c>
      <c r="G16" s="5" t="s">
        <v>585</v>
      </c>
      <c r="H16" s="5">
        <v>10</v>
      </c>
      <c r="I16" s="5">
        <v>12</v>
      </c>
      <c r="K16" s="5">
        <v>11</v>
      </c>
      <c r="L16" s="5" t="s">
        <v>586</v>
      </c>
      <c r="M16" s="5" t="s">
        <v>145</v>
      </c>
      <c r="O16" s="5">
        <v>11</v>
      </c>
      <c r="P16" s="5" t="s">
        <v>587</v>
      </c>
      <c r="Q16" s="5">
        <v>30</v>
      </c>
      <c r="R16" s="7">
        <v>46327</v>
      </c>
      <c r="S16" s="7">
        <v>46356</v>
      </c>
      <c r="U16" s="40" t="s">
        <v>588</v>
      </c>
      <c r="V16" s="1">
        <v>0</v>
      </c>
      <c r="W16" s="1">
        <v>1</v>
      </c>
      <c r="X16" s="1">
        <v>2</v>
      </c>
      <c r="Y16" s="1">
        <v>3</v>
      </c>
      <c r="Z16" s="1">
        <v>4</v>
      </c>
      <c r="AA16" s="1">
        <v>5</v>
      </c>
      <c r="AB16" s="1">
        <v>6</v>
      </c>
      <c r="AC16" s="1">
        <v>7</v>
      </c>
      <c r="AD16" s="1">
        <v>8</v>
      </c>
      <c r="AE16" s="1">
        <v>9</v>
      </c>
      <c r="AF16" s="1">
        <v>10</v>
      </c>
      <c r="AG16" s="1">
        <v>11</v>
      </c>
      <c r="AH16" s="1">
        <v>12</v>
      </c>
      <c r="AI16" s="1">
        <v>13</v>
      </c>
      <c r="AJ16" s="1">
        <v>14</v>
      </c>
      <c r="AK16" s="1">
        <v>15</v>
      </c>
      <c r="AL16" s="1">
        <v>16</v>
      </c>
      <c r="AM16" s="1">
        <v>17</v>
      </c>
      <c r="AN16" s="1">
        <v>18</v>
      </c>
      <c r="AO16" s="1">
        <v>19</v>
      </c>
      <c r="AP16" s="1">
        <v>20</v>
      </c>
      <c r="AQ16" s="1">
        <v>21</v>
      </c>
      <c r="AR16" s="1">
        <v>22</v>
      </c>
      <c r="AS16" s="1">
        <v>23</v>
      </c>
      <c r="AT16" s="1">
        <v>24</v>
      </c>
      <c r="AU16" s="1">
        <v>25</v>
      </c>
      <c r="AV16" s="1">
        <v>26</v>
      </c>
      <c r="AW16" s="1">
        <v>27</v>
      </c>
      <c r="AX16" s="1">
        <v>28</v>
      </c>
      <c r="AY16" s="1">
        <v>29</v>
      </c>
      <c r="AZ16" s="1">
        <v>30</v>
      </c>
      <c r="BA16" s="1">
        <v>31</v>
      </c>
      <c r="BB16" s="1">
        <v>32</v>
      </c>
      <c r="BC16" s="1">
        <v>33</v>
      </c>
      <c r="BD16" s="1">
        <v>34</v>
      </c>
      <c r="BE16" s="1">
        <v>35</v>
      </c>
      <c r="BF16" s="1">
        <v>36</v>
      </c>
      <c r="BG16" s="1">
        <v>37</v>
      </c>
      <c r="BH16" s="1">
        <v>38</v>
      </c>
      <c r="BI16" s="1">
        <v>39</v>
      </c>
      <c r="BJ16" s="1">
        <v>40</v>
      </c>
      <c r="BK16" s="1">
        <v>41</v>
      </c>
      <c r="BL16" s="1">
        <v>42</v>
      </c>
      <c r="BM16" s="1">
        <v>43</v>
      </c>
      <c r="BN16" s="1">
        <v>44</v>
      </c>
      <c r="BO16" s="1">
        <v>45</v>
      </c>
      <c r="BP16" s="1">
        <v>46</v>
      </c>
      <c r="BQ16" s="1">
        <v>47</v>
      </c>
      <c r="BR16" s="1">
        <v>48</v>
      </c>
      <c r="BS16" s="1">
        <v>49</v>
      </c>
      <c r="BT16" s="1">
        <v>50</v>
      </c>
      <c r="BU16" s="1">
        <v>51</v>
      </c>
      <c r="BV16" s="1">
        <v>52</v>
      </c>
      <c r="BW16" s="1">
        <v>53</v>
      </c>
      <c r="BX16" s="1">
        <v>54</v>
      </c>
      <c r="BY16" s="1">
        <v>55</v>
      </c>
      <c r="BZ16" s="1">
        <v>56</v>
      </c>
      <c r="CA16" s="1">
        <v>57</v>
      </c>
      <c r="CB16" s="1">
        <v>58</v>
      </c>
      <c r="CC16" s="1">
        <v>59</v>
      </c>
      <c r="CD16" s="1">
        <v>60</v>
      </c>
      <c r="CE16" s="1">
        <v>61</v>
      </c>
      <c r="CF16" s="1">
        <v>62</v>
      </c>
      <c r="CG16" s="1">
        <v>63</v>
      </c>
      <c r="CH16" s="1">
        <v>64</v>
      </c>
      <c r="CI16" s="1">
        <v>65</v>
      </c>
      <c r="CJ16" s="1">
        <v>66</v>
      </c>
      <c r="CK16" s="1">
        <v>67</v>
      </c>
      <c r="CL16" s="1">
        <v>68</v>
      </c>
      <c r="CM16" s="1">
        <v>69</v>
      </c>
      <c r="CN16" s="1">
        <v>70</v>
      </c>
      <c r="CO16" s="1">
        <v>71</v>
      </c>
      <c r="CP16" s="1">
        <v>72</v>
      </c>
      <c r="CQ16" s="1">
        <v>73</v>
      </c>
      <c r="CR16" s="1">
        <v>74</v>
      </c>
      <c r="CS16" s="1">
        <v>75</v>
      </c>
      <c r="CT16" s="1">
        <v>76</v>
      </c>
      <c r="CU16" s="1">
        <v>77</v>
      </c>
      <c r="CV16" s="1">
        <v>78</v>
      </c>
      <c r="CW16" s="1">
        <v>79</v>
      </c>
      <c r="CX16" s="1">
        <v>80</v>
      </c>
      <c r="CY16" s="1">
        <v>81</v>
      </c>
      <c r="CZ16" s="1">
        <v>82</v>
      </c>
      <c r="DA16" s="1">
        <v>83</v>
      </c>
      <c r="DB16" s="1">
        <v>84</v>
      </c>
      <c r="DC16" s="1">
        <v>85</v>
      </c>
      <c r="DD16" s="1">
        <v>86</v>
      </c>
      <c r="DE16" s="1">
        <v>87</v>
      </c>
      <c r="DF16" s="1">
        <v>88</v>
      </c>
      <c r="DG16" s="1">
        <v>89</v>
      </c>
      <c r="DH16" s="1">
        <v>90</v>
      </c>
      <c r="DI16" s="1">
        <v>91</v>
      </c>
      <c r="DJ16" s="1">
        <v>92</v>
      </c>
      <c r="DK16" s="1">
        <v>93</v>
      </c>
      <c r="DL16" s="1">
        <v>94</v>
      </c>
      <c r="DM16" s="1">
        <v>95</v>
      </c>
      <c r="DN16" s="1">
        <v>96</v>
      </c>
      <c r="DO16" s="1">
        <v>97</v>
      </c>
      <c r="DP16" s="1">
        <v>98</v>
      </c>
      <c r="DQ16" s="1">
        <v>99</v>
      </c>
      <c r="DR16" s="1">
        <v>100</v>
      </c>
      <c r="DS16" s="1">
        <v>101</v>
      </c>
      <c r="DT16" s="1">
        <v>102</v>
      </c>
      <c r="DU16" s="1">
        <v>103</v>
      </c>
      <c r="DV16" s="1">
        <v>104</v>
      </c>
      <c r="DW16" s="1">
        <v>105</v>
      </c>
      <c r="DX16" s="1">
        <v>106</v>
      </c>
      <c r="DY16" s="1">
        <v>107</v>
      </c>
      <c r="DZ16" s="1">
        <v>108</v>
      </c>
      <c r="EA16" s="1">
        <v>109</v>
      </c>
      <c r="EB16" s="1">
        <v>110</v>
      </c>
      <c r="EC16" s="1">
        <v>111</v>
      </c>
      <c r="ED16" s="1">
        <v>112</v>
      </c>
      <c r="EE16" s="1">
        <v>113</v>
      </c>
      <c r="EF16" s="1">
        <v>114</v>
      </c>
      <c r="EG16" s="1">
        <v>115</v>
      </c>
      <c r="EH16" s="1">
        <v>116</v>
      </c>
      <c r="EI16" s="1">
        <v>117</v>
      </c>
      <c r="EJ16" s="1">
        <v>118</v>
      </c>
      <c r="EK16" s="1">
        <v>119</v>
      </c>
      <c r="EL16" s="1">
        <v>120</v>
      </c>
      <c r="EM16" s="1">
        <v>121</v>
      </c>
      <c r="EN16" s="1">
        <v>122</v>
      </c>
      <c r="EO16" s="1">
        <v>123</v>
      </c>
      <c r="EP16" s="1">
        <v>124</v>
      </c>
      <c r="EQ16" s="1">
        <v>125</v>
      </c>
      <c r="ER16" s="1">
        <v>126</v>
      </c>
      <c r="ES16" s="1">
        <v>127</v>
      </c>
      <c r="ET16" s="1">
        <v>128</v>
      </c>
      <c r="EU16" s="1">
        <v>129</v>
      </c>
      <c r="EV16" s="1">
        <v>130</v>
      </c>
      <c r="EW16" s="1">
        <v>131</v>
      </c>
      <c r="EX16" s="1">
        <v>132</v>
      </c>
      <c r="EY16" s="1">
        <v>133</v>
      </c>
      <c r="EZ16" s="1">
        <v>134</v>
      </c>
      <c r="FA16" s="1">
        <v>135</v>
      </c>
      <c r="FB16" s="1">
        <v>136</v>
      </c>
      <c r="FC16" s="1">
        <v>137</v>
      </c>
      <c r="FD16" s="1">
        <v>138</v>
      </c>
      <c r="FE16" s="1">
        <v>139</v>
      </c>
      <c r="FF16" s="1">
        <v>140</v>
      </c>
      <c r="FG16" s="1">
        <v>141</v>
      </c>
      <c r="FH16" s="1">
        <v>142</v>
      </c>
      <c r="FI16" s="1">
        <v>143</v>
      </c>
      <c r="FJ16" s="1">
        <v>144</v>
      </c>
      <c r="FK16" s="1">
        <v>145</v>
      </c>
      <c r="FL16" s="1">
        <v>146</v>
      </c>
      <c r="FM16" s="1">
        <v>147</v>
      </c>
      <c r="FN16" s="1">
        <v>148</v>
      </c>
      <c r="FO16" s="1">
        <v>149</v>
      </c>
      <c r="FP16" s="1">
        <v>150</v>
      </c>
      <c r="FQ16" s="1">
        <v>151</v>
      </c>
      <c r="FR16" s="1">
        <v>152</v>
      </c>
      <c r="FS16" s="1">
        <v>153</v>
      </c>
      <c r="FT16" s="1">
        <v>154</v>
      </c>
      <c r="FU16" s="1">
        <v>155</v>
      </c>
      <c r="FV16" s="1">
        <v>156</v>
      </c>
      <c r="FW16" s="1">
        <v>157</v>
      </c>
      <c r="FX16" s="1">
        <v>158</v>
      </c>
      <c r="FY16" s="1">
        <v>159</v>
      </c>
      <c r="FZ16" s="1">
        <v>160</v>
      </c>
      <c r="GA16" s="1">
        <v>161</v>
      </c>
      <c r="GB16" s="1">
        <v>162</v>
      </c>
      <c r="GC16" s="1">
        <v>163</v>
      </c>
      <c r="GD16" s="1">
        <v>164</v>
      </c>
      <c r="GE16" s="1">
        <v>165</v>
      </c>
      <c r="GF16" s="1">
        <v>166</v>
      </c>
      <c r="GG16" s="1">
        <v>167</v>
      </c>
      <c r="GH16" s="1">
        <v>168</v>
      </c>
      <c r="GI16" s="1">
        <v>169</v>
      </c>
      <c r="GJ16" s="1">
        <v>170</v>
      </c>
      <c r="GK16" s="1">
        <v>171</v>
      </c>
      <c r="GL16" s="1">
        <v>172</v>
      </c>
      <c r="GM16" s="1">
        <v>173</v>
      </c>
      <c r="GN16" s="1">
        <v>174</v>
      </c>
      <c r="GO16" s="1">
        <v>175</v>
      </c>
      <c r="GP16" s="1">
        <v>176</v>
      </c>
      <c r="GQ16" s="1">
        <v>177</v>
      </c>
      <c r="GR16" s="1">
        <v>178</v>
      </c>
      <c r="GS16" s="1">
        <v>179</v>
      </c>
      <c r="GT16" s="1">
        <v>180</v>
      </c>
      <c r="GU16" s="1">
        <v>181</v>
      </c>
      <c r="GV16" s="1">
        <v>182</v>
      </c>
      <c r="GW16" s="1">
        <v>183</v>
      </c>
      <c r="GX16" s="1">
        <v>184</v>
      </c>
      <c r="GY16" s="1">
        <v>185</v>
      </c>
      <c r="GZ16" s="1">
        <v>186</v>
      </c>
      <c r="HA16" s="1">
        <v>187</v>
      </c>
      <c r="HB16" s="1">
        <v>188</v>
      </c>
      <c r="HC16" s="1">
        <v>189</v>
      </c>
      <c r="HD16" s="1">
        <v>190</v>
      </c>
      <c r="HE16" s="1">
        <v>191</v>
      </c>
      <c r="HF16" s="1">
        <v>192</v>
      </c>
      <c r="HG16" s="1">
        <v>193</v>
      </c>
      <c r="HH16" s="1">
        <v>194</v>
      </c>
      <c r="HI16" s="1">
        <v>195</v>
      </c>
      <c r="HJ16" s="1">
        <v>196</v>
      </c>
      <c r="HK16" s="1">
        <v>197</v>
      </c>
      <c r="HL16" s="1">
        <v>198</v>
      </c>
      <c r="HM16" s="1">
        <v>199</v>
      </c>
      <c r="HN16" s="1">
        <v>200</v>
      </c>
      <c r="HO16" s="1">
        <v>201</v>
      </c>
      <c r="HP16" s="1">
        <v>202</v>
      </c>
      <c r="HQ16" s="1">
        <v>203</v>
      </c>
      <c r="HR16" s="1">
        <v>204</v>
      </c>
      <c r="HS16" s="1">
        <v>205</v>
      </c>
      <c r="HT16" s="1">
        <v>206</v>
      </c>
      <c r="HU16" s="1">
        <v>207</v>
      </c>
      <c r="HV16" s="1">
        <v>208</v>
      </c>
      <c r="HW16" s="1">
        <v>209</v>
      </c>
      <c r="HX16" s="1">
        <v>210</v>
      </c>
      <c r="HY16" s="1">
        <v>211</v>
      </c>
      <c r="HZ16" s="1">
        <v>212</v>
      </c>
      <c r="IA16" s="1">
        <v>213</v>
      </c>
      <c r="IB16" s="1">
        <v>214</v>
      </c>
      <c r="IC16" s="1">
        <v>215</v>
      </c>
      <c r="ID16" s="1">
        <v>216</v>
      </c>
      <c r="IE16" s="1">
        <v>217</v>
      </c>
      <c r="IF16" s="1">
        <v>218</v>
      </c>
      <c r="IG16" s="1">
        <v>219</v>
      </c>
      <c r="IH16" s="1">
        <v>220</v>
      </c>
      <c r="II16" s="1">
        <v>221</v>
      </c>
      <c r="IJ16" s="1">
        <v>222</v>
      </c>
      <c r="IK16" s="1">
        <v>223</v>
      </c>
      <c r="IL16" s="1">
        <v>224</v>
      </c>
      <c r="IM16" s="1">
        <v>225</v>
      </c>
      <c r="IN16" s="1">
        <v>226</v>
      </c>
      <c r="IO16" s="1">
        <v>227</v>
      </c>
      <c r="IP16" s="1">
        <v>228</v>
      </c>
      <c r="IQ16" s="1">
        <v>229</v>
      </c>
      <c r="IR16" s="1">
        <v>230</v>
      </c>
      <c r="IS16" s="1">
        <v>231</v>
      </c>
      <c r="IT16" s="1">
        <v>232</v>
      </c>
      <c r="IU16" s="1">
        <v>233</v>
      </c>
      <c r="IV16" s="1">
        <v>234</v>
      </c>
      <c r="IW16" s="1">
        <v>235</v>
      </c>
      <c r="IX16" s="1">
        <v>236</v>
      </c>
      <c r="IY16" s="1">
        <v>237</v>
      </c>
      <c r="IZ16" s="1">
        <v>238</v>
      </c>
      <c r="JA16" s="1">
        <v>239</v>
      </c>
      <c r="JB16" s="1">
        <v>240</v>
      </c>
      <c r="JC16" s="1">
        <v>241</v>
      </c>
      <c r="JD16" s="1">
        <v>242</v>
      </c>
      <c r="JE16" s="1">
        <v>243</v>
      </c>
      <c r="JF16" s="1">
        <v>244</v>
      </c>
      <c r="JG16" s="1">
        <v>245</v>
      </c>
      <c r="JH16" s="1">
        <v>246</v>
      </c>
      <c r="JI16" s="1">
        <v>247</v>
      </c>
      <c r="JJ16" s="1">
        <v>248</v>
      </c>
      <c r="JK16" s="1">
        <v>249</v>
      </c>
      <c r="JL16" s="1">
        <v>250</v>
      </c>
      <c r="JM16" s="1">
        <v>251</v>
      </c>
      <c r="JN16" s="1">
        <v>252</v>
      </c>
      <c r="JO16" s="1">
        <v>253</v>
      </c>
      <c r="JP16" s="1">
        <v>254</v>
      </c>
      <c r="JQ16" s="1">
        <v>255</v>
      </c>
      <c r="JR16" s="1">
        <v>256</v>
      </c>
      <c r="JS16" s="1">
        <v>257</v>
      </c>
      <c r="JT16" s="1">
        <v>258</v>
      </c>
      <c r="JU16" s="1">
        <v>259</v>
      </c>
      <c r="JV16" s="1">
        <v>260</v>
      </c>
      <c r="JW16" s="1">
        <v>261</v>
      </c>
      <c r="JX16" s="1">
        <v>262</v>
      </c>
      <c r="JY16" s="1">
        <v>263</v>
      </c>
      <c r="JZ16" s="1">
        <v>264</v>
      </c>
      <c r="KA16" s="1">
        <v>265</v>
      </c>
      <c r="KB16" s="1">
        <v>266</v>
      </c>
      <c r="KC16" s="1">
        <v>267</v>
      </c>
      <c r="KD16" s="1">
        <v>268</v>
      </c>
      <c r="KE16" s="1">
        <v>269</v>
      </c>
      <c r="KF16" s="1">
        <v>270</v>
      </c>
      <c r="KG16" s="1">
        <v>271</v>
      </c>
      <c r="KH16" s="1">
        <v>272</v>
      </c>
      <c r="KI16" s="1">
        <v>273</v>
      </c>
      <c r="KJ16" s="1">
        <v>274</v>
      </c>
      <c r="KK16" s="1">
        <v>275</v>
      </c>
      <c r="KL16" s="1">
        <v>276</v>
      </c>
      <c r="KM16" s="1">
        <v>277</v>
      </c>
      <c r="KN16" s="1">
        <v>278</v>
      </c>
      <c r="KO16" s="1">
        <v>279</v>
      </c>
      <c r="KP16" s="1">
        <v>280</v>
      </c>
      <c r="KQ16" s="1">
        <v>281</v>
      </c>
      <c r="KR16" s="1">
        <v>282</v>
      </c>
      <c r="KS16" s="1">
        <v>283</v>
      </c>
      <c r="KT16" s="1">
        <v>284</v>
      </c>
      <c r="KU16" s="1">
        <v>285</v>
      </c>
      <c r="KV16" s="1">
        <v>286</v>
      </c>
      <c r="KW16" s="1">
        <v>287</v>
      </c>
      <c r="KX16" s="1">
        <v>288</v>
      </c>
      <c r="KY16" s="1">
        <v>289</v>
      </c>
      <c r="KZ16" s="1">
        <v>290</v>
      </c>
      <c r="LA16" s="1">
        <v>291</v>
      </c>
      <c r="LB16" s="1">
        <v>292</v>
      </c>
      <c r="LC16" s="1">
        <v>293</v>
      </c>
      <c r="LD16" s="1">
        <v>294</v>
      </c>
      <c r="LE16" s="1">
        <v>295</v>
      </c>
      <c r="LF16" s="1">
        <v>296</v>
      </c>
      <c r="LG16" s="1">
        <v>297</v>
      </c>
      <c r="LH16" s="1">
        <v>298</v>
      </c>
      <c r="LI16" s="1">
        <v>299</v>
      </c>
      <c r="LJ16" s="1">
        <v>300</v>
      </c>
      <c r="LK16" s="1">
        <v>301</v>
      </c>
      <c r="LL16" s="1">
        <v>302</v>
      </c>
      <c r="LM16" s="1">
        <v>303</v>
      </c>
      <c r="LN16" s="1">
        <v>304</v>
      </c>
      <c r="LO16" s="1">
        <v>305</v>
      </c>
      <c r="LP16" s="1">
        <v>306</v>
      </c>
      <c r="LQ16" s="1">
        <v>307</v>
      </c>
      <c r="LR16" s="1">
        <v>308</v>
      </c>
      <c r="LS16" s="1">
        <v>309</v>
      </c>
      <c r="LT16" s="1">
        <v>310</v>
      </c>
      <c r="LU16" s="1">
        <v>311</v>
      </c>
      <c r="LV16" s="1">
        <v>312</v>
      </c>
      <c r="LW16" s="1">
        <v>313</v>
      </c>
      <c r="LX16" s="1">
        <v>314</v>
      </c>
      <c r="LY16" s="1">
        <v>315</v>
      </c>
      <c r="LZ16" s="1">
        <v>316</v>
      </c>
      <c r="MA16" s="1">
        <v>317</v>
      </c>
      <c r="MB16" s="1">
        <v>318</v>
      </c>
      <c r="MC16" s="1">
        <v>319</v>
      </c>
      <c r="MD16" s="1">
        <v>320</v>
      </c>
      <c r="ME16" s="1">
        <v>321</v>
      </c>
      <c r="MF16" s="1">
        <v>322</v>
      </c>
      <c r="MG16" s="1">
        <v>323</v>
      </c>
      <c r="MH16" s="1">
        <v>324</v>
      </c>
      <c r="MI16" s="1">
        <v>325</v>
      </c>
      <c r="MJ16" s="1">
        <v>326</v>
      </c>
      <c r="MK16" s="1">
        <v>327</v>
      </c>
      <c r="ML16" s="1">
        <v>328</v>
      </c>
      <c r="MM16" s="1">
        <v>329</v>
      </c>
      <c r="MN16" s="1">
        <v>330</v>
      </c>
      <c r="MO16" s="1">
        <v>331</v>
      </c>
      <c r="MP16" s="1">
        <v>332</v>
      </c>
      <c r="MQ16" s="1">
        <v>333</v>
      </c>
      <c r="MR16" s="1">
        <v>334</v>
      </c>
      <c r="MS16" s="1">
        <v>335</v>
      </c>
      <c r="MT16" s="1">
        <v>336</v>
      </c>
      <c r="MU16" s="1">
        <v>337</v>
      </c>
      <c r="MV16" s="1">
        <v>338</v>
      </c>
      <c r="MW16" s="1">
        <v>339</v>
      </c>
      <c r="MX16" s="1">
        <v>340</v>
      </c>
      <c r="MY16" s="1">
        <v>341</v>
      </c>
      <c r="MZ16" s="1">
        <v>342</v>
      </c>
      <c r="NA16" s="1">
        <v>343</v>
      </c>
      <c r="NB16" s="1">
        <v>344</v>
      </c>
      <c r="NC16" s="1">
        <v>345</v>
      </c>
      <c r="ND16" s="1">
        <v>346</v>
      </c>
      <c r="NE16" s="1">
        <v>347</v>
      </c>
      <c r="NF16" s="1">
        <v>348</v>
      </c>
      <c r="NG16" s="1">
        <v>349</v>
      </c>
      <c r="NH16" s="1">
        <v>350</v>
      </c>
      <c r="NI16" s="1">
        <v>351</v>
      </c>
      <c r="NJ16" s="1">
        <v>352</v>
      </c>
      <c r="NK16" s="1">
        <v>353</v>
      </c>
      <c r="NL16" s="1">
        <v>354</v>
      </c>
      <c r="NM16" s="1">
        <v>355</v>
      </c>
      <c r="NN16" s="1">
        <v>356</v>
      </c>
      <c r="NO16" s="1">
        <v>357</v>
      </c>
      <c r="NP16" s="1">
        <v>358</v>
      </c>
      <c r="NQ16" s="1">
        <v>359</v>
      </c>
      <c r="NR16" s="1">
        <v>360</v>
      </c>
      <c r="NS16" s="1">
        <v>361</v>
      </c>
      <c r="NT16" s="1">
        <v>362</v>
      </c>
      <c r="NU16" s="1">
        <v>363</v>
      </c>
      <c r="NV16" s="1">
        <v>364</v>
      </c>
      <c r="NW16" s="1">
        <v>365</v>
      </c>
      <c r="NX16" s="1">
        <v>366</v>
      </c>
      <c r="NY16" s="1">
        <v>367</v>
      </c>
      <c r="NZ16" s="1">
        <v>368</v>
      </c>
      <c r="OA16" s="1">
        <v>369</v>
      </c>
      <c r="OB16" s="1">
        <v>370</v>
      </c>
      <c r="OC16" s="1">
        <v>371</v>
      </c>
      <c r="OD16" s="1">
        <v>372</v>
      </c>
      <c r="OE16" s="1">
        <v>373</v>
      </c>
      <c r="OF16" s="1">
        <v>374</v>
      </c>
      <c r="OG16" s="1">
        <v>375</v>
      </c>
      <c r="OH16" s="1">
        <v>376</v>
      </c>
      <c r="OI16" s="1">
        <v>377</v>
      </c>
      <c r="OJ16" s="1">
        <v>378</v>
      </c>
      <c r="OK16" s="1">
        <v>379</v>
      </c>
      <c r="OL16" s="1">
        <v>380</v>
      </c>
      <c r="OM16" s="1">
        <v>381</v>
      </c>
      <c r="ON16" s="1">
        <v>382</v>
      </c>
      <c r="OO16" s="1">
        <v>383</v>
      </c>
      <c r="OP16" s="1">
        <v>384</v>
      </c>
      <c r="OQ16" s="1">
        <v>385</v>
      </c>
      <c r="OR16" s="1">
        <v>386</v>
      </c>
      <c r="OS16" s="1">
        <v>387</v>
      </c>
      <c r="OT16" s="1">
        <v>388</v>
      </c>
      <c r="OU16" s="1">
        <v>389</v>
      </c>
      <c r="OV16" s="1">
        <v>390</v>
      </c>
      <c r="OW16" s="1">
        <v>391</v>
      </c>
      <c r="OX16" s="1">
        <v>392</v>
      </c>
      <c r="OY16" s="1">
        <v>393</v>
      </c>
      <c r="OZ16" s="1">
        <v>394</v>
      </c>
      <c r="PA16" s="1">
        <v>395</v>
      </c>
      <c r="PB16" s="1">
        <v>396</v>
      </c>
      <c r="PC16" s="1">
        <v>397</v>
      </c>
      <c r="PD16" s="1">
        <v>398</v>
      </c>
      <c r="PE16" s="1">
        <v>399</v>
      </c>
      <c r="PF16" s="1">
        <v>400</v>
      </c>
      <c r="PG16" s="1">
        <v>401</v>
      </c>
      <c r="PH16" s="1">
        <v>402</v>
      </c>
      <c r="PI16" s="1">
        <v>403</v>
      </c>
      <c r="PJ16" s="1">
        <v>404</v>
      </c>
      <c r="PK16" s="1">
        <v>405</v>
      </c>
      <c r="PL16" s="1">
        <v>406</v>
      </c>
      <c r="PM16" s="1">
        <v>407</v>
      </c>
      <c r="PN16" s="1">
        <v>408</v>
      </c>
      <c r="PO16" s="1">
        <v>409</v>
      </c>
      <c r="PP16" s="1">
        <v>410</v>
      </c>
      <c r="PQ16" s="1">
        <v>411</v>
      </c>
      <c r="PR16" s="1">
        <v>412</v>
      </c>
      <c r="PS16" s="1">
        <v>413</v>
      </c>
      <c r="PT16" s="1">
        <v>414</v>
      </c>
      <c r="PU16" s="1">
        <v>415</v>
      </c>
      <c r="PV16" s="1">
        <v>416</v>
      </c>
      <c r="PW16" s="1">
        <v>417</v>
      </c>
      <c r="PX16" s="1">
        <v>418</v>
      </c>
      <c r="PY16" s="1">
        <v>419</v>
      </c>
      <c r="PZ16" s="1">
        <v>420</v>
      </c>
      <c r="QA16" s="1">
        <v>421</v>
      </c>
      <c r="QB16" s="1">
        <v>422</v>
      </c>
      <c r="QC16" s="1">
        <v>423</v>
      </c>
      <c r="QD16" s="1">
        <v>424</v>
      </c>
      <c r="QE16" s="1">
        <v>425</v>
      </c>
      <c r="QF16" s="1">
        <v>426</v>
      </c>
      <c r="QG16" s="1">
        <v>427</v>
      </c>
      <c r="QH16" s="1">
        <v>428</v>
      </c>
      <c r="QI16" s="1">
        <v>429</v>
      </c>
      <c r="QJ16" s="1">
        <v>430</v>
      </c>
      <c r="QK16" s="1">
        <v>431</v>
      </c>
      <c r="QL16" s="1">
        <v>432</v>
      </c>
      <c r="QM16" s="1">
        <v>433</v>
      </c>
      <c r="QN16" s="1">
        <v>434</v>
      </c>
      <c r="QO16" s="1">
        <v>435</v>
      </c>
      <c r="QP16" s="1">
        <v>436</v>
      </c>
      <c r="QQ16" s="1">
        <v>437</v>
      </c>
      <c r="QR16" s="1">
        <v>438</v>
      </c>
      <c r="QS16" s="1">
        <v>439</v>
      </c>
      <c r="QT16" s="1">
        <v>440</v>
      </c>
      <c r="QU16" s="1">
        <v>441</v>
      </c>
      <c r="QV16" s="1">
        <v>442</v>
      </c>
      <c r="QW16" s="1">
        <v>443</v>
      </c>
      <c r="QX16" s="1">
        <v>444</v>
      </c>
      <c r="QY16" s="1">
        <v>445</v>
      </c>
      <c r="QZ16" s="1">
        <v>446</v>
      </c>
      <c r="RA16" s="1">
        <v>447</v>
      </c>
      <c r="RB16" s="1">
        <v>448</v>
      </c>
      <c r="RC16" s="1">
        <v>449</v>
      </c>
      <c r="RD16" s="1">
        <v>450</v>
      </c>
      <c r="RE16" s="1">
        <v>451</v>
      </c>
      <c r="RF16" s="1">
        <v>452</v>
      </c>
      <c r="RG16" s="1">
        <v>453</v>
      </c>
      <c r="RH16" s="1">
        <v>454</v>
      </c>
      <c r="RI16" s="1">
        <v>455</v>
      </c>
      <c r="RJ16" s="1">
        <v>456</v>
      </c>
      <c r="RK16" s="1">
        <v>457</v>
      </c>
      <c r="RL16" s="1">
        <v>458</v>
      </c>
      <c r="RM16" s="1">
        <v>459</v>
      </c>
      <c r="RN16" s="1">
        <v>460</v>
      </c>
      <c r="RO16" s="1">
        <v>461</v>
      </c>
      <c r="RP16" s="1">
        <v>462</v>
      </c>
      <c r="RQ16" s="1">
        <v>463</v>
      </c>
      <c r="RR16" s="1">
        <v>464</v>
      </c>
      <c r="RS16" s="1">
        <v>465</v>
      </c>
      <c r="RT16" s="1">
        <v>466</v>
      </c>
      <c r="RU16" s="1">
        <v>467</v>
      </c>
      <c r="RV16" s="1">
        <v>468</v>
      </c>
      <c r="RW16" s="1">
        <v>469</v>
      </c>
      <c r="RX16" s="1">
        <v>470</v>
      </c>
      <c r="RY16" s="1">
        <v>471</v>
      </c>
      <c r="RZ16" s="1">
        <v>472</v>
      </c>
      <c r="SA16" s="1">
        <v>473</v>
      </c>
      <c r="SB16" s="1">
        <v>474</v>
      </c>
      <c r="SC16" s="1">
        <v>475</v>
      </c>
      <c r="SD16" s="1">
        <v>476</v>
      </c>
      <c r="SE16" s="1">
        <v>477</v>
      </c>
      <c r="SF16" s="1">
        <v>478</v>
      </c>
      <c r="SG16" s="1">
        <v>479</v>
      </c>
      <c r="SH16" s="1">
        <v>480</v>
      </c>
      <c r="SI16" s="1">
        <v>481</v>
      </c>
      <c r="SJ16" s="1">
        <v>482</v>
      </c>
      <c r="SK16" s="1">
        <v>483</v>
      </c>
      <c r="SL16" s="1">
        <v>484</v>
      </c>
      <c r="SM16" s="1">
        <v>485</v>
      </c>
      <c r="SN16" s="1">
        <v>486</v>
      </c>
      <c r="SO16" s="1">
        <v>487</v>
      </c>
      <c r="SP16" s="1">
        <v>488</v>
      </c>
      <c r="SQ16" s="1">
        <v>489</v>
      </c>
      <c r="SR16" s="1">
        <v>490</v>
      </c>
      <c r="SS16" s="1">
        <v>491</v>
      </c>
      <c r="ST16" s="1">
        <v>492</v>
      </c>
      <c r="SU16" s="1">
        <v>493</v>
      </c>
      <c r="SV16" s="1">
        <v>494</v>
      </c>
      <c r="SW16" s="1">
        <v>495</v>
      </c>
      <c r="SX16" s="1">
        <v>496</v>
      </c>
      <c r="SY16" s="1">
        <v>497</v>
      </c>
      <c r="SZ16" s="1">
        <v>498</v>
      </c>
      <c r="TA16" s="1">
        <v>499</v>
      </c>
      <c r="TB16" s="1">
        <v>500</v>
      </c>
      <c r="TC16" s="1">
        <v>501</v>
      </c>
      <c r="TD16" s="1">
        <v>502</v>
      </c>
      <c r="TE16" s="1">
        <v>503</v>
      </c>
      <c r="TF16" s="1">
        <v>504</v>
      </c>
      <c r="TG16" s="1">
        <v>505</v>
      </c>
      <c r="TH16" s="1">
        <v>506</v>
      </c>
      <c r="TI16" s="1">
        <v>507</v>
      </c>
      <c r="TJ16" s="1">
        <v>508</v>
      </c>
      <c r="TK16" s="1">
        <v>509</v>
      </c>
      <c r="TL16" s="1">
        <v>510</v>
      </c>
      <c r="TM16" s="1">
        <v>511</v>
      </c>
      <c r="TN16" s="1">
        <v>512</v>
      </c>
      <c r="TO16" s="1">
        <v>513</v>
      </c>
      <c r="TP16" s="1">
        <v>514</v>
      </c>
      <c r="TQ16" s="1">
        <v>515</v>
      </c>
      <c r="TR16" s="1">
        <v>516</v>
      </c>
      <c r="TS16" s="1">
        <v>517</v>
      </c>
      <c r="TT16" s="1">
        <v>518</v>
      </c>
      <c r="TU16" s="1">
        <v>519</v>
      </c>
      <c r="TV16" s="1">
        <v>520</v>
      </c>
      <c r="TW16" s="1">
        <v>521</v>
      </c>
      <c r="TX16" s="1">
        <v>522</v>
      </c>
      <c r="TY16" s="1">
        <v>523</v>
      </c>
      <c r="TZ16" s="1">
        <v>524</v>
      </c>
      <c r="UA16" s="1">
        <v>525</v>
      </c>
      <c r="UB16" s="1">
        <v>526</v>
      </c>
      <c r="UC16" s="1">
        <v>527</v>
      </c>
      <c r="UD16" s="1">
        <v>528</v>
      </c>
      <c r="UE16" s="1">
        <v>529</v>
      </c>
      <c r="UF16" s="1">
        <v>530</v>
      </c>
      <c r="UG16" s="1">
        <v>531</v>
      </c>
      <c r="UH16" s="1">
        <v>532</v>
      </c>
      <c r="UI16" s="1">
        <v>533</v>
      </c>
      <c r="UJ16" s="1">
        <v>534</v>
      </c>
      <c r="UK16" s="1">
        <v>535</v>
      </c>
      <c r="UL16" s="1">
        <v>536</v>
      </c>
      <c r="UM16" s="1">
        <v>537</v>
      </c>
      <c r="UN16" s="1">
        <v>538</v>
      </c>
      <c r="UO16" s="1">
        <v>539</v>
      </c>
      <c r="UP16" s="1">
        <v>540</v>
      </c>
      <c r="UQ16" s="1">
        <v>541</v>
      </c>
      <c r="UR16" s="1">
        <v>542</v>
      </c>
      <c r="US16" s="1">
        <v>543</v>
      </c>
      <c r="UT16" s="1">
        <v>544</v>
      </c>
      <c r="UU16" s="1">
        <v>545</v>
      </c>
      <c r="UV16" s="1">
        <v>546</v>
      </c>
      <c r="UW16" s="1">
        <v>547</v>
      </c>
      <c r="UX16" s="1">
        <v>548</v>
      </c>
      <c r="UY16" s="1">
        <v>549</v>
      </c>
      <c r="UZ16" s="1">
        <v>550</v>
      </c>
      <c r="VA16" s="1">
        <v>551</v>
      </c>
      <c r="VB16" s="1">
        <v>552</v>
      </c>
      <c r="VC16" s="1">
        <v>553</v>
      </c>
      <c r="VD16" s="1">
        <v>554</v>
      </c>
      <c r="VE16" s="1">
        <v>555</v>
      </c>
      <c r="VF16" s="1">
        <v>556</v>
      </c>
      <c r="VG16" s="1">
        <v>557</v>
      </c>
      <c r="VH16" s="1">
        <v>558</v>
      </c>
      <c r="VI16" s="1">
        <v>559</v>
      </c>
      <c r="VJ16" s="1">
        <v>560</v>
      </c>
      <c r="VK16" s="1">
        <v>561</v>
      </c>
      <c r="VL16" s="1">
        <v>562</v>
      </c>
      <c r="VM16" s="1">
        <v>563</v>
      </c>
      <c r="VN16" s="1">
        <v>564</v>
      </c>
      <c r="VO16" s="1">
        <v>565</v>
      </c>
      <c r="VP16" s="1">
        <v>566</v>
      </c>
      <c r="VQ16" s="1">
        <v>567</v>
      </c>
      <c r="VR16" s="1">
        <v>568</v>
      </c>
      <c r="VS16" s="1">
        <v>569</v>
      </c>
      <c r="VT16" s="1">
        <v>570</v>
      </c>
      <c r="VU16" s="1">
        <v>571</v>
      </c>
      <c r="VV16" s="1">
        <v>572</v>
      </c>
      <c r="VW16" s="1">
        <v>573</v>
      </c>
      <c r="VX16" s="1">
        <v>574</v>
      </c>
      <c r="VY16" s="1">
        <v>575</v>
      </c>
      <c r="VZ16" s="1">
        <v>576</v>
      </c>
      <c r="WA16" s="1">
        <v>577</v>
      </c>
      <c r="WB16" s="1">
        <v>578</v>
      </c>
      <c r="WC16" s="1">
        <v>579</v>
      </c>
      <c r="WD16" s="1">
        <v>580</v>
      </c>
      <c r="WE16" s="1">
        <v>581</v>
      </c>
      <c r="WF16" s="1">
        <v>582</v>
      </c>
      <c r="WG16" s="1">
        <v>583</v>
      </c>
      <c r="WH16" s="1">
        <v>584</v>
      </c>
      <c r="WI16" s="1">
        <v>585</v>
      </c>
      <c r="WJ16" s="1">
        <v>586</v>
      </c>
      <c r="WK16" s="1">
        <v>587</v>
      </c>
      <c r="WL16" s="1">
        <v>588</v>
      </c>
      <c r="WM16" s="1">
        <v>589</v>
      </c>
      <c r="WN16" s="1">
        <v>590</v>
      </c>
      <c r="WO16" s="1">
        <v>591</v>
      </c>
      <c r="WP16" s="1">
        <v>592</v>
      </c>
      <c r="WQ16" s="1">
        <v>593</v>
      </c>
      <c r="WR16" s="1">
        <v>594</v>
      </c>
      <c r="WS16" s="1">
        <v>595</v>
      </c>
      <c r="WT16" s="1">
        <v>596</v>
      </c>
      <c r="WU16" s="1">
        <v>597</v>
      </c>
      <c r="WV16" s="1">
        <v>598</v>
      </c>
      <c r="WW16" s="1">
        <v>599</v>
      </c>
      <c r="WX16" s="1">
        <v>600</v>
      </c>
      <c r="WY16" s="1">
        <v>601</v>
      </c>
      <c r="WZ16" s="1">
        <v>602</v>
      </c>
      <c r="XA16" s="1">
        <v>603</v>
      </c>
      <c r="XB16" s="1">
        <v>604</v>
      </c>
      <c r="XC16" s="1">
        <v>605</v>
      </c>
      <c r="XD16" s="1">
        <v>606</v>
      </c>
      <c r="XE16" s="1">
        <v>607</v>
      </c>
      <c r="XF16" s="1">
        <v>608</v>
      </c>
      <c r="XG16" s="1">
        <v>609</v>
      </c>
      <c r="XH16" s="1">
        <v>610</v>
      </c>
      <c r="XI16" s="1">
        <v>611</v>
      </c>
      <c r="XJ16" s="1">
        <v>612</v>
      </c>
      <c r="XK16" s="1">
        <v>613</v>
      </c>
      <c r="XL16" s="1">
        <v>614</v>
      </c>
      <c r="XM16" s="1">
        <v>615</v>
      </c>
      <c r="XN16" s="1">
        <v>616</v>
      </c>
      <c r="XO16" s="1">
        <v>617</v>
      </c>
      <c r="XP16" s="1">
        <v>618</v>
      </c>
      <c r="XQ16" s="1">
        <v>619</v>
      </c>
      <c r="XR16" s="1">
        <v>620</v>
      </c>
      <c r="XS16" s="1">
        <v>621</v>
      </c>
      <c r="XT16" s="1">
        <v>622</v>
      </c>
      <c r="XU16" s="1">
        <v>623</v>
      </c>
      <c r="XV16" s="1">
        <v>624</v>
      </c>
      <c r="XW16" s="1">
        <v>625</v>
      </c>
      <c r="XX16" s="1">
        <v>626</v>
      </c>
      <c r="XY16" s="1">
        <v>627</v>
      </c>
      <c r="XZ16" s="1">
        <v>628</v>
      </c>
      <c r="YA16" s="1">
        <v>629</v>
      </c>
      <c r="YB16" s="1">
        <v>630</v>
      </c>
      <c r="YC16" s="1">
        <v>631</v>
      </c>
      <c r="YD16" s="1">
        <v>632</v>
      </c>
      <c r="YE16" s="1">
        <v>633</v>
      </c>
      <c r="YF16" s="1">
        <v>634</v>
      </c>
      <c r="YG16" s="1">
        <v>635</v>
      </c>
      <c r="YH16" s="1">
        <v>636</v>
      </c>
      <c r="YI16" s="1">
        <v>637</v>
      </c>
      <c r="YJ16" s="1">
        <v>638</v>
      </c>
      <c r="YK16" s="1">
        <v>639</v>
      </c>
      <c r="YL16" s="1">
        <v>640</v>
      </c>
      <c r="YM16" s="1">
        <v>641</v>
      </c>
      <c r="YN16" s="1">
        <v>642</v>
      </c>
      <c r="YO16" s="1">
        <v>643</v>
      </c>
      <c r="YP16" s="1">
        <v>644</v>
      </c>
      <c r="YQ16" s="1">
        <v>645</v>
      </c>
      <c r="YR16" s="1">
        <v>646</v>
      </c>
      <c r="YS16" s="1">
        <v>647</v>
      </c>
      <c r="YT16" s="1">
        <v>648</v>
      </c>
      <c r="YU16" s="1">
        <v>649</v>
      </c>
      <c r="YV16" s="1">
        <v>650</v>
      </c>
      <c r="YW16" s="1">
        <v>651</v>
      </c>
      <c r="YX16" s="1">
        <v>652</v>
      </c>
      <c r="YY16" s="1">
        <v>653</v>
      </c>
      <c r="YZ16" s="1">
        <v>654</v>
      </c>
      <c r="ZA16" s="1">
        <v>655</v>
      </c>
      <c r="ZB16" s="1">
        <v>656</v>
      </c>
      <c r="ZC16" s="1">
        <v>657</v>
      </c>
      <c r="ZD16" s="1">
        <v>658</v>
      </c>
      <c r="ZE16" s="1">
        <v>659</v>
      </c>
      <c r="ZF16" s="1">
        <v>660</v>
      </c>
      <c r="ZG16" s="1">
        <v>661</v>
      </c>
      <c r="ZH16" s="1">
        <v>662</v>
      </c>
      <c r="ZI16" s="1">
        <v>663</v>
      </c>
      <c r="ZJ16" s="1">
        <v>664</v>
      </c>
      <c r="ZK16" s="1">
        <v>665</v>
      </c>
      <c r="ZL16" s="1">
        <v>666</v>
      </c>
      <c r="ZM16" s="1">
        <v>667</v>
      </c>
      <c r="ZN16" s="1">
        <v>668</v>
      </c>
      <c r="ZO16" s="1">
        <v>669</v>
      </c>
      <c r="ZP16" s="1">
        <v>670</v>
      </c>
      <c r="ZQ16" s="1">
        <v>671</v>
      </c>
      <c r="ZR16" s="1">
        <v>672</v>
      </c>
      <c r="ZS16" s="1">
        <v>673</v>
      </c>
      <c r="ZT16" s="1">
        <v>674</v>
      </c>
      <c r="ZU16" s="1">
        <v>675</v>
      </c>
      <c r="ZV16" s="1">
        <v>676</v>
      </c>
      <c r="ZW16" s="1">
        <v>677</v>
      </c>
      <c r="ZX16" s="1">
        <v>678</v>
      </c>
      <c r="ZY16" s="1">
        <v>679</v>
      </c>
      <c r="ZZ16" s="1">
        <v>680</v>
      </c>
      <c r="AAA16" s="1">
        <v>681</v>
      </c>
      <c r="AAB16" s="1">
        <v>682</v>
      </c>
      <c r="AAC16" s="1">
        <v>683</v>
      </c>
      <c r="AAD16" s="1">
        <v>684</v>
      </c>
      <c r="AAE16" s="1">
        <v>685</v>
      </c>
      <c r="AAF16" s="1">
        <v>686</v>
      </c>
      <c r="AAG16" s="1">
        <v>687</v>
      </c>
      <c r="AAH16" s="1">
        <v>688</v>
      </c>
      <c r="AAI16" s="1">
        <v>689</v>
      </c>
      <c r="AAJ16" s="1">
        <v>690</v>
      </c>
      <c r="AAK16" s="1">
        <v>691</v>
      </c>
      <c r="AAL16" s="1">
        <v>692</v>
      </c>
      <c r="AAM16" s="1">
        <v>693</v>
      </c>
      <c r="AAN16" s="1">
        <v>694</v>
      </c>
      <c r="AAO16" s="1">
        <v>695</v>
      </c>
      <c r="AAP16" s="1">
        <v>696</v>
      </c>
      <c r="AAQ16" s="1">
        <v>697</v>
      </c>
      <c r="AAR16" s="1">
        <v>698</v>
      </c>
      <c r="AAS16" s="1">
        <v>699</v>
      </c>
      <c r="AAT16" s="1">
        <v>700</v>
      </c>
      <c r="AAU16" s="1">
        <v>701</v>
      </c>
      <c r="AAV16" s="1">
        <v>702</v>
      </c>
      <c r="AAW16" s="1">
        <v>703</v>
      </c>
      <c r="AAX16" s="1">
        <v>704</v>
      </c>
      <c r="AAY16" s="1">
        <v>705</v>
      </c>
      <c r="AAZ16" s="1">
        <v>706</v>
      </c>
      <c r="ABA16" s="1">
        <v>707</v>
      </c>
      <c r="ABB16" s="1">
        <v>708</v>
      </c>
      <c r="ABC16" s="1">
        <v>709</v>
      </c>
      <c r="ABD16" s="1">
        <v>710</v>
      </c>
      <c r="ABE16" s="1">
        <v>711</v>
      </c>
      <c r="ABF16" s="1">
        <v>712</v>
      </c>
      <c r="ABG16" s="1">
        <v>713</v>
      </c>
      <c r="ABH16" s="1">
        <v>714</v>
      </c>
      <c r="ABI16" s="1">
        <v>715</v>
      </c>
      <c r="ABJ16" s="1">
        <v>716</v>
      </c>
      <c r="ABK16" s="1">
        <v>717</v>
      </c>
      <c r="ABL16" s="1">
        <v>718</v>
      </c>
      <c r="ABM16" s="1">
        <v>719</v>
      </c>
      <c r="ABN16" s="1">
        <v>720</v>
      </c>
      <c r="ABO16" s="1">
        <v>721</v>
      </c>
      <c r="ABP16" s="1">
        <v>722</v>
      </c>
      <c r="ABQ16" s="1">
        <v>723</v>
      </c>
      <c r="ABR16" s="1">
        <v>724</v>
      </c>
      <c r="ABS16" s="1">
        <v>725</v>
      </c>
      <c r="ABT16" s="1">
        <v>726</v>
      </c>
      <c r="ABU16" s="1">
        <v>727</v>
      </c>
      <c r="ABV16" s="1">
        <v>728</v>
      </c>
      <c r="ABW16" s="1">
        <v>729</v>
      </c>
      <c r="ABX16" s="1">
        <v>730</v>
      </c>
      <c r="ABY16" s="1">
        <v>731</v>
      </c>
      <c r="ABZ16" s="1">
        <v>732</v>
      </c>
      <c r="ACA16" s="1">
        <v>733</v>
      </c>
      <c r="ACB16" s="1">
        <v>734</v>
      </c>
      <c r="ACC16" s="1">
        <v>735</v>
      </c>
      <c r="ACD16" s="1">
        <v>736</v>
      </c>
      <c r="ACE16" s="1">
        <v>737</v>
      </c>
      <c r="ACF16" s="1">
        <v>738</v>
      </c>
      <c r="ACG16" s="1">
        <v>739</v>
      </c>
      <c r="ACH16" s="1">
        <v>740</v>
      </c>
      <c r="ACI16" s="1">
        <v>741</v>
      </c>
      <c r="ACJ16" s="1">
        <v>742</v>
      </c>
      <c r="ACK16" s="1">
        <v>743</v>
      </c>
      <c r="ACL16" s="1">
        <v>744</v>
      </c>
      <c r="ACM16" s="1">
        <v>745</v>
      </c>
      <c r="ACN16" s="1">
        <v>746</v>
      </c>
      <c r="ACO16" s="1">
        <v>747</v>
      </c>
      <c r="ACP16" s="1">
        <v>748</v>
      </c>
      <c r="ACQ16" s="1">
        <v>749</v>
      </c>
      <c r="ACR16" s="1">
        <v>750</v>
      </c>
      <c r="ACS16" s="1">
        <v>751</v>
      </c>
      <c r="ACT16" s="1">
        <v>752</v>
      </c>
      <c r="ACU16" s="1">
        <v>753</v>
      </c>
      <c r="ACV16" s="1">
        <v>754</v>
      </c>
      <c r="ACW16" s="1">
        <v>755</v>
      </c>
      <c r="ACX16" s="1">
        <v>756</v>
      </c>
      <c r="ACY16" s="1">
        <v>757</v>
      </c>
      <c r="ACZ16" s="1">
        <v>758</v>
      </c>
      <c r="ADA16" s="1">
        <v>759</v>
      </c>
      <c r="ADB16" s="1">
        <v>760</v>
      </c>
      <c r="ADC16" s="1">
        <v>761</v>
      </c>
      <c r="ADD16" s="1">
        <v>762</v>
      </c>
      <c r="ADE16" s="1">
        <v>763</v>
      </c>
      <c r="ADF16" s="1">
        <v>764</v>
      </c>
      <c r="ADG16" s="1">
        <v>765</v>
      </c>
      <c r="ADH16" s="1">
        <v>766</v>
      </c>
      <c r="ADI16" s="1">
        <v>767</v>
      </c>
      <c r="ADJ16" s="1">
        <v>768</v>
      </c>
      <c r="ADK16" s="1">
        <v>769</v>
      </c>
      <c r="ADL16" s="1">
        <v>770</v>
      </c>
      <c r="ADM16" s="1">
        <v>771</v>
      </c>
      <c r="ADN16" s="1">
        <v>772</v>
      </c>
      <c r="ADO16" s="1">
        <v>773</v>
      </c>
      <c r="ADP16" s="1">
        <v>774</v>
      </c>
      <c r="ADQ16" s="1">
        <v>775</v>
      </c>
      <c r="ADR16" s="1">
        <v>776</v>
      </c>
      <c r="ADS16" s="1">
        <v>777</v>
      </c>
      <c r="ADT16" s="1">
        <v>778</v>
      </c>
      <c r="ADU16" s="1">
        <v>779</v>
      </c>
      <c r="ADV16" s="1">
        <v>780</v>
      </c>
      <c r="ADW16" s="1">
        <v>781</v>
      </c>
      <c r="ADX16" s="1">
        <v>782</v>
      </c>
      <c r="ADY16" s="1">
        <v>783</v>
      </c>
      <c r="ADZ16" s="1">
        <v>784</v>
      </c>
      <c r="AEA16" s="1">
        <v>785</v>
      </c>
      <c r="AEB16" s="1">
        <v>786</v>
      </c>
      <c r="AEC16" s="1">
        <v>787</v>
      </c>
      <c r="AED16" s="1">
        <v>788</v>
      </c>
      <c r="AEE16" s="1">
        <v>789</v>
      </c>
      <c r="AEF16" s="1">
        <v>790</v>
      </c>
      <c r="AEG16" s="1">
        <v>791</v>
      </c>
      <c r="AEH16" s="1">
        <v>792</v>
      </c>
      <c r="AEI16" s="1">
        <v>793</v>
      </c>
      <c r="AEJ16" s="1">
        <v>794</v>
      </c>
      <c r="AEK16" s="1">
        <v>795</v>
      </c>
      <c r="AEL16" s="1">
        <v>796</v>
      </c>
      <c r="AEM16" s="1">
        <v>797</v>
      </c>
      <c r="AEN16" s="1">
        <v>798</v>
      </c>
      <c r="AEO16" s="1">
        <v>799</v>
      </c>
      <c r="AEP16" s="1">
        <v>800</v>
      </c>
      <c r="AEQ16" s="1">
        <v>801</v>
      </c>
      <c r="AER16" s="1">
        <v>802</v>
      </c>
      <c r="AES16" s="1">
        <v>803</v>
      </c>
      <c r="AET16" s="1">
        <v>804</v>
      </c>
      <c r="AEU16" s="1">
        <v>805</v>
      </c>
      <c r="AEV16" s="1">
        <v>806</v>
      </c>
      <c r="AEW16" s="1">
        <v>807</v>
      </c>
      <c r="AEX16" s="1">
        <v>808</v>
      </c>
      <c r="AEY16" s="1">
        <v>809</v>
      </c>
      <c r="AEZ16" s="1">
        <v>810</v>
      </c>
      <c r="AFA16" s="1">
        <v>811</v>
      </c>
      <c r="AFB16" s="1">
        <v>812</v>
      </c>
      <c r="AFC16" s="1">
        <v>813</v>
      </c>
      <c r="AFD16" s="1">
        <v>814</v>
      </c>
      <c r="AFE16" s="1">
        <v>815</v>
      </c>
      <c r="AFF16" s="1">
        <v>816</v>
      </c>
      <c r="AFG16" s="1">
        <v>817</v>
      </c>
      <c r="AFH16" s="1">
        <v>818</v>
      </c>
      <c r="AFI16" s="1">
        <v>819</v>
      </c>
      <c r="AFJ16" s="1">
        <v>820</v>
      </c>
      <c r="AFK16" s="1">
        <v>821</v>
      </c>
      <c r="AFL16" s="1">
        <v>822</v>
      </c>
      <c r="AFM16" s="1">
        <v>823</v>
      </c>
      <c r="AFN16" s="1">
        <v>824</v>
      </c>
      <c r="AFO16" s="1">
        <v>825</v>
      </c>
      <c r="AFP16" s="1">
        <v>826</v>
      </c>
      <c r="AFQ16" s="1">
        <v>827</v>
      </c>
      <c r="AFR16" s="1">
        <v>828</v>
      </c>
      <c r="AFS16" s="1">
        <v>829</v>
      </c>
      <c r="AFT16" s="1">
        <v>830</v>
      </c>
      <c r="AFU16" s="1">
        <v>831</v>
      </c>
      <c r="AFV16" s="1">
        <v>832</v>
      </c>
      <c r="AFW16" s="1">
        <v>833</v>
      </c>
      <c r="AFX16" s="1">
        <v>834</v>
      </c>
      <c r="AFY16" s="1">
        <v>835</v>
      </c>
      <c r="AFZ16" s="1">
        <v>836</v>
      </c>
      <c r="AGA16" s="1">
        <v>837</v>
      </c>
      <c r="AGB16" s="1">
        <v>838</v>
      </c>
      <c r="AGC16" s="1">
        <v>839</v>
      </c>
      <c r="AGD16" s="1">
        <v>840</v>
      </c>
      <c r="AGE16" s="1">
        <v>841</v>
      </c>
      <c r="AGF16" s="1">
        <v>842</v>
      </c>
      <c r="AGG16" s="1">
        <v>843</v>
      </c>
      <c r="AGH16" s="1">
        <v>844</v>
      </c>
      <c r="AGI16" s="1">
        <v>845</v>
      </c>
      <c r="AGJ16" s="1">
        <v>846</v>
      </c>
      <c r="AGK16" s="1">
        <v>847</v>
      </c>
      <c r="AGL16" s="1">
        <v>848</v>
      </c>
      <c r="AGM16" s="1">
        <v>849</v>
      </c>
      <c r="AGN16" s="1">
        <v>850</v>
      </c>
      <c r="AGO16" s="1">
        <v>851</v>
      </c>
      <c r="AGP16" s="1">
        <v>852</v>
      </c>
      <c r="AGQ16" s="1">
        <v>853</v>
      </c>
      <c r="AGR16" s="1">
        <v>854</v>
      </c>
      <c r="AGS16" s="1">
        <v>855</v>
      </c>
      <c r="AGT16" s="1">
        <v>856</v>
      </c>
      <c r="AGU16" s="1">
        <v>857</v>
      </c>
      <c r="AGV16" s="1">
        <v>858</v>
      </c>
      <c r="AGW16" s="1">
        <v>859</v>
      </c>
      <c r="AGX16" s="1">
        <v>860</v>
      </c>
      <c r="AGY16" s="1">
        <v>861</v>
      </c>
      <c r="AGZ16" s="1">
        <v>862</v>
      </c>
      <c r="AHA16" s="1">
        <v>863</v>
      </c>
      <c r="AHB16" s="1">
        <v>864</v>
      </c>
      <c r="AHC16" s="1">
        <v>865</v>
      </c>
      <c r="AHD16" s="1">
        <v>866</v>
      </c>
      <c r="AHE16" s="1">
        <v>867</v>
      </c>
      <c r="AHF16" s="1">
        <v>868</v>
      </c>
      <c r="AHG16" s="1">
        <v>869</v>
      </c>
      <c r="AHH16" s="1">
        <v>870</v>
      </c>
      <c r="AHI16" s="1">
        <v>871</v>
      </c>
      <c r="AHJ16" s="1">
        <v>872</v>
      </c>
      <c r="AHK16" s="1">
        <v>873</v>
      </c>
      <c r="AHL16" s="1">
        <v>874</v>
      </c>
      <c r="AHM16" s="1">
        <v>875</v>
      </c>
      <c r="AHN16" s="1">
        <v>876</v>
      </c>
      <c r="AHO16" s="1">
        <v>877</v>
      </c>
      <c r="AHP16" s="1">
        <v>878</v>
      </c>
      <c r="AHQ16" s="1">
        <v>879</v>
      </c>
      <c r="AHR16" s="1">
        <v>880</v>
      </c>
      <c r="AHS16" s="1">
        <v>881</v>
      </c>
      <c r="AHT16" s="1">
        <v>882</v>
      </c>
      <c r="AHU16" s="1">
        <v>883</v>
      </c>
      <c r="AHV16" s="1">
        <v>884</v>
      </c>
      <c r="AHW16" s="1">
        <v>885</v>
      </c>
      <c r="AHX16" s="1">
        <v>886</v>
      </c>
      <c r="AHY16" s="1">
        <v>887</v>
      </c>
      <c r="AHZ16" s="1">
        <v>888</v>
      </c>
      <c r="AIA16" s="1">
        <v>889</v>
      </c>
      <c r="AIB16" s="1">
        <v>890</v>
      </c>
      <c r="AIC16" s="1">
        <v>891</v>
      </c>
      <c r="AID16" s="1">
        <v>892</v>
      </c>
      <c r="AIE16" s="1">
        <v>893</v>
      </c>
      <c r="AIF16" s="1">
        <v>894</v>
      </c>
      <c r="AIG16" s="1">
        <v>895</v>
      </c>
      <c r="AIH16" s="1">
        <v>896</v>
      </c>
      <c r="AII16" s="1">
        <v>897</v>
      </c>
      <c r="AIJ16" s="1">
        <v>898</v>
      </c>
      <c r="AIK16" s="1">
        <v>899</v>
      </c>
      <c r="AIL16" s="1">
        <v>900</v>
      </c>
      <c r="AIM16" s="1">
        <v>901</v>
      </c>
      <c r="AIN16" s="1">
        <v>902</v>
      </c>
      <c r="AIO16" s="1">
        <v>903</v>
      </c>
      <c r="AIP16" s="1">
        <v>904</v>
      </c>
      <c r="AIQ16" s="1">
        <v>905</v>
      </c>
      <c r="AIR16" s="1">
        <v>906</v>
      </c>
      <c r="AIS16" s="1">
        <v>907</v>
      </c>
      <c r="AIT16" s="1">
        <v>908</v>
      </c>
      <c r="AIU16" s="1">
        <v>909</v>
      </c>
      <c r="AIV16" s="1">
        <v>910</v>
      </c>
      <c r="AIW16" s="1">
        <v>911</v>
      </c>
      <c r="AIX16" s="1">
        <v>912</v>
      </c>
      <c r="AIY16" s="1">
        <v>913</v>
      </c>
      <c r="AIZ16" s="1">
        <v>914</v>
      </c>
      <c r="AJA16" s="1">
        <v>915</v>
      </c>
      <c r="AJB16" s="1">
        <v>916</v>
      </c>
      <c r="AJC16" s="1">
        <v>917</v>
      </c>
      <c r="AJD16" s="1">
        <v>918</v>
      </c>
      <c r="AJE16" s="1">
        <v>919</v>
      </c>
      <c r="AJF16" s="1">
        <v>920</v>
      </c>
      <c r="AJG16" s="1">
        <v>921</v>
      </c>
      <c r="AJH16" s="1">
        <v>922</v>
      </c>
      <c r="AJI16" s="1">
        <v>923</v>
      </c>
      <c r="AJJ16" s="1">
        <v>924</v>
      </c>
      <c r="AJK16" s="1">
        <v>925</v>
      </c>
      <c r="AJL16" s="1">
        <v>926</v>
      </c>
      <c r="AJM16" s="1">
        <v>927</v>
      </c>
      <c r="AJN16" s="1">
        <v>928</v>
      </c>
      <c r="AJO16" s="1">
        <v>929</v>
      </c>
      <c r="AJP16" s="1">
        <v>930</v>
      </c>
      <c r="AJQ16" s="1">
        <v>931</v>
      </c>
      <c r="AJR16" s="1">
        <v>932</v>
      </c>
      <c r="AJS16" s="1">
        <v>933</v>
      </c>
      <c r="AJT16" s="1">
        <v>934</v>
      </c>
      <c r="AJU16" s="1">
        <v>935</v>
      </c>
      <c r="AJV16" s="1">
        <v>936</v>
      </c>
      <c r="AJW16" s="1">
        <v>937</v>
      </c>
      <c r="AJX16" s="1">
        <v>938</v>
      </c>
      <c r="AJY16" s="1">
        <v>939</v>
      </c>
      <c r="AJZ16" s="1">
        <v>940</v>
      </c>
      <c r="AKA16" s="1">
        <v>941</v>
      </c>
      <c r="AKB16" s="1">
        <v>942</v>
      </c>
      <c r="AKC16" s="1">
        <v>943</v>
      </c>
      <c r="AKD16" s="1">
        <v>944</v>
      </c>
      <c r="AKE16" s="1">
        <v>945</v>
      </c>
      <c r="AKF16" s="1">
        <v>946</v>
      </c>
      <c r="AKG16" s="1">
        <v>947</v>
      </c>
      <c r="AKH16" s="1">
        <v>948</v>
      </c>
      <c r="AKI16" s="1">
        <v>949</v>
      </c>
      <c r="AKJ16" s="1">
        <v>950</v>
      </c>
      <c r="AKK16" s="1">
        <v>951</v>
      </c>
      <c r="AKL16" s="1">
        <v>952</v>
      </c>
      <c r="AKM16" s="1">
        <v>953</v>
      </c>
      <c r="AKN16" s="1">
        <v>954</v>
      </c>
      <c r="AKO16" s="1">
        <v>955</v>
      </c>
      <c r="AKP16" s="1">
        <v>956</v>
      </c>
      <c r="AKQ16" s="1">
        <v>957</v>
      </c>
      <c r="AKR16" s="1">
        <v>958</v>
      </c>
      <c r="AKS16" s="1">
        <v>959</v>
      </c>
      <c r="AKT16" s="1">
        <v>960</v>
      </c>
      <c r="AKU16" s="1">
        <v>961</v>
      </c>
      <c r="AKV16" s="1">
        <v>962</v>
      </c>
      <c r="AKW16" s="1">
        <v>963</v>
      </c>
      <c r="AKX16" s="1">
        <v>964</v>
      </c>
      <c r="AKY16" s="1">
        <v>965</v>
      </c>
      <c r="AKZ16" s="1">
        <v>966</v>
      </c>
      <c r="ALA16" s="1">
        <v>967</v>
      </c>
      <c r="ALB16" s="1">
        <v>968</v>
      </c>
      <c r="ALC16" s="1">
        <v>969</v>
      </c>
      <c r="ALD16" s="1">
        <v>970</v>
      </c>
      <c r="ALE16" s="1">
        <v>971</v>
      </c>
      <c r="ALF16" s="1">
        <v>972</v>
      </c>
      <c r="ALG16" s="1">
        <v>973</v>
      </c>
      <c r="ALH16" s="1">
        <v>974</v>
      </c>
      <c r="ALI16" s="1">
        <v>975</v>
      </c>
      <c r="ALJ16" s="1">
        <v>976</v>
      </c>
      <c r="ALK16" s="1">
        <v>977</v>
      </c>
      <c r="ALL16" s="1">
        <v>978</v>
      </c>
      <c r="ALM16" s="1">
        <v>979</v>
      </c>
      <c r="ALN16" s="1">
        <v>980</v>
      </c>
      <c r="ALO16" s="1">
        <v>981</v>
      </c>
      <c r="ALP16" s="1">
        <v>982</v>
      </c>
      <c r="ALQ16" s="1">
        <v>983</v>
      </c>
      <c r="ALR16" s="1">
        <v>984</v>
      </c>
      <c r="ALS16" s="1">
        <v>985</v>
      </c>
      <c r="ALT16" s="1">
        <v>986</v>
      </c>
      <c r="ALU16" s="1">
        <v>987</v>
      </c>
      <c r="ALV16" s="1">
        <v>988</v>
      </c>
      <c r="ALW16" s="1">
        <v>989</v>
      </c>
      <c r="ALX16" s="1">
        <v>990</v>
      </c>
      <c r="ALY16" s="1">
        <v>991</v>
      </c>
      <c r="ALZ16" s="1">
        <v>992</v>
      </c>
      <c r="AMA16" s="1">
        <v>993</v>
      </c>
      <c r="AMB16" s="1">
        <v>994</v>
      </c>
      <c r="AMC16" s="1">
        <v>995</v>
      </c>
      <c r="AMD16" s="1">
        <v>996</v>
      </c>
      <c r="AME16" s="1">
        <v>997</v>
      </c>
      <c r="AMF16" s="1">
        <v>998</v>
      </c>
      <c r="AMG16" s="1">
        <v>999</v>
      </c>
      <c r="AMH16" s="1">
        <v>1000</v>
      </c>
    </row>
    <row r="17" spans="1:1022" ht="18.899999999999999" customHeight="1" x14ac:dyDescent="0.45">
      <c r="A17" s="5" t="s">
        <v>380</v>
      </c>
      <c r="B17" s="5" t="s">
        <v>374</v>
      </c>
      <c r="C17" s="5" t="s">
        <v>589</v>
      </c>
      <c r="D17" s="5">
        <v>1</v>
      </c>
      <c r="E17" s="5">
        <v>1</v>
      </c>
      <c r="G17" s="5" t="s">
        <v>586</v>
      </c>
      <c r="H17" s="5">
        <v>10</v>
      </c>
      <c r="I17" s="5">
        <v>13</v>
      </c>
      <c r="K17" s="5">
        <v>12</v>
      </c>
      <c r="L17" s="5" t="s">
        <v>186</v>
      </c>
      <c r="M17" s="5" t="s">
        <v>145</v>
      </c>
      <c r="O17" s="5">
        <v>12</v>
      </c>
      <c r="P17" s="5" t="s">
        <v>590</v>
      </c>
      <c r="Q17" s="5">
        <v>31</v>
      </c>
      <c r="R17" s="7">
        <v>46357</v>
      </c>
      <c r="S17" s="7">
        <v>46387</v>
      </c>
      <c r="U17" s="40" t="s">
        <v>591</v>
      </c>
      <c r="V17" s="1" t="s">
        <v>592</v>
      </c>
      <c r="W17" s="1" t="s">
        <v>593</v>
      </c>
      <c r="X17" s="1" t="s">
        <v>594</v>
      </c>
      <c r="Y17" s="1" t="s">
        <v>595</v>
      </c>
      <c r="Z17" s="1" t="s">
        <v>596</v>
      </c>
      <c r="AA17" s="1" t="s">
        <v>597</v>
      </c>
      <c r="AB17" s="1" t="s">
        <v>598</v>
      </c>
      <c r="AC17" s="1" t="s">
        <v>599</v>
      </c>
      <c r="AD17" s="1" t="s">
        <v>600</v>
      </c>
      <c r="AE17" s="1" t="s">
        <v>601</v>
      </c>
      <c r="AF17" s="1" t="s">
        <v>602</v>
      </c>
      <c r="AG17" s="1" t="s">
        <v>603</v>
      </c>
      <c r="AH17" s="1" t="s">
        <v>604</v>
      </c>
      <c r="AI17" s="1" t="s">
        <v>605</v>
      </c>
      <c r="AJ17" s="1" t="s">
        <v>606</v>
      </c>
      <c r="AK17" s="1" t="s">
        <v>607</v>
      </c>
      <c r="AL17" s="1" t="s">
        <v>608</v>
      </c>
      <c r="AM17" s="1" t="s">
        <v>609</v>
      </c>
      <c r="AN17" s="1" t="s">
        <v>610</v>
      </c>
      <c r="AO17" s="1" t="s">
        <v>611</v>
      </c>
      <c r="AP17" s="1" t="s">
        <v>612</v>
      </c>
      <c r="AQ17" s="1" t="s">
        <v>613</v>
      </c>
      <c r="AR17" s="1" t="s">
        <v>614</v>
      </c>
      <c r="AS17" s="1" t="s">
        <v>615</v>
      </c>
      <c r="AT17" s="1" t="s">
        <v>616</v>
      </c>
      <c r="AU17" s="1" t="s">
        <v>617</v>
      </c>
      <c r="AV17" s="1" t="s">
        <v>618</v>
      </c>
      <c r="AW17" s="1" t="s">
        <v>619</v>
      </c>
      <c r="AX17" s="1" t="s">
        <v>620</v>
      </c>
      <c r="AY17" s="1" t="s">
        <v>621</v>
      </c>
      <c r="AZ17" s="1" t="s">
        <v>622</v>
      </c>
      <c r="BA17" s="1" t="s">
        <v>623</v>
      </c>
      <c r="BB17" s="1" t="s">
        <v>624</v>
      </c>
      <c r="BC17" s="1" t="s">
        <v>625</v>
      </c>
      <c r="BD17" s="1" t="s">
        <v>626</v>
      </c>
      <c r="BE17" s="1" t="s">
        <v>627</v>
      </c>
      <c r="BF17" s="1" t="s">
        <v>628</v>
      </c>
      <c r="BG17" s="1" t="s">
        <v>629</v>
      </c>
      <c r="BH17" s="1" t="s">
        <v>630</v>
      </c>
      <c r="BI17" s="1" t="s">
        <v>631</v>
      </c>
      <c r="BJ17" s="1" t="s">
        <v>632</v>
      </c>
      <c r="BK17" s="1" t="s">
        <v>633</v>
      </c>
      <c r="BL17" s="1" t="s">
        <v>634</v>
      </c>
      <c r="BM17" s="1" t="s">
        <v>635</v>
      </c>
      <c r="BN17" s="1" t="s">
        <v>636</v>
      </c>
      <c r="BO17" s="1" t="s">
        <v>637</v>
      </c>
      <c r="BP17" s="1" t="s">
        <v>638</v>
      </c>
      <c r="BQ17" s="1" t="s">
        <v>639</v>
      </c>
      <c r="BR17" s="1" t="s">
        <v>640</v>
      </c>
      <c r="BS17" s="1" t="s">
        <v>641</v>
      </c>
      <c r="BT17" s="1" t="s">
        <v>642</v>
      </c>
      <c r="BU17" s="1" t="s">
        <v>643</v>
      </c>
      <c r="BV17" s="1" t="s">
        <v>644</v>
      </c>
      <c r="BW17" s="1" t="s">
        <v>645</v>
      </c>
      <c r="BX17" s="1" t="s">
        <v>646</v>
      </c>
      <c r="BY17" s="1" t="s">
        <v>647</v>
      </c>
      <c r="BZ17" s="1" t="s">
        <v>648</v>
      </c>
      <c r="CA17" s="1" t="s">
        <v>649</v>
      </c>
      <c r="CB17" s="1" t="s">
        <v>650</v>
      </c>
      <c r="CC17" s="1" t="s">
        <v>651</v>
      </c>
      <c r="CD17" s="1" t="s">
        <v>652</v>
      </c>
      <c r="CE17" s="1" t="s">
        <v>653</v>
      </c>
      <c r="CF17" s="1" t="s">
        <v>654</v>
      </c>
      <c r="CG17" s="1" t="s">
        <v>655</v>
      </c>
      <c r="CH17" s="1" t="s">
        <v>656</v>
      </c>
      <c r="CI17" s="1" t="s">
        <v>657</v>
      </c>
      <c r="CJ17" s="1" t="s">
        <v>658</v>
      </c>
      <c r="CK17" s="1" t="s">
        <v>659</v>
      </c>
      <c r="CL17" s="1" t="s">
        <v>660</v>
      </c>
      <c r="CM17" s="1" t="s">
        <v>661</v>
      </c>
      <c r="CN17" s="1" t="s">
        <v>662</v>
      </c>
      <c r="CO17" s="1" t="s">
        <v>663</v>
      </c>
      <c r="CP17" s="1" t="s">
        <v>664</v>
      </c>
      <c r="CQ17" s="1" t="s">
        <v>665</v>
      </c>
      <c r="CR17" s="1" t="s">
        <v>666</v>
      </c>
      <c r="CS17" s="1" t="s">
        <v>667</v>
      </c>
      <c r="CT17" s="1" t="s">
        <v>668</v>
      </c>
      <c r="CU17" s="1" t="s">
        <v>669</v>
      </c>
      <c r="CV17" s="1" t="s">
        <v>670</v>
      </c>
      <c r="CW17" s="1" t="s">
        <v>671</v>
      </c>
      <c r="CX17" s="1" t="s">
        <v>672</v>
      </c>
      <c r="CY17" s="1" t="s">
        <v>673</v>
      </c>
      <c r="CZ17" s="1" t="s">
        <v>674</v>
      </c>
      <c r="DA17" s="1" t="s">
        <v>675</v>
      </c>
      <c r="DB17" s="1" t="s">
        <v>676</v>
      </c>
      <c r="DC17" s="1" t="s">
        <v>677</v>
      </c>
      <c r="DD17" s="1" t="s">
        <v>678</v>
      </c>
      <c r="DE17" s="1" t="s">
        <v>679</v>
      </c>
      <c r="DF17" s="1" t="s">
        <v>680</v>
      </c>
      <c r="DG17" s="1" t="s">
        <v>681</v>
      </c>
      <c r="DH17" s="1" t="s">
        <v>682</v>
      </c>
      <c r="DI17" s="1" t="s">
        <v>683</v>
      </c>
      <c r="DJ17" s="1" t="s">
        <v>684</v>
      </c>
      <c r="DK17" s="1" t="s">
        <v>685</v>
      </c>
      <c r="DL17" s="1" t="s">
        <v>686</v>
      </c>
      <c r="DM17" s="1" t="s">
        <v>687</v>
      </c>
      <c r="DN17" s="1" t="s">
        <v>688</v>
      </c>
      <c r="DO17" s="1" t="s">
        <v>689</v>
      </c>
      <c r="DP17" s="1" t="s">
        <v>690</v>
      </c>
      <c r="DQ17" s="1" t="s">
        <v>691</v>
      </c>
      <c r="DR17" s="1" t="s">
        <v>692</v>
      </c>
      <c r="DS17" s="1" t="s">
        <v>693</v>
      </c>
      <c r="DT17" s="1" t="s">
        <v>694</v>
      </c>
      <c r="DU17" s="1" t="s">
        <v>695</v>
      </c>
      <c r="DV17" s="1" t="s">
        <v>696</v>
      </c>
      <c r="DW17" s="1" t="s">
        <v>697</v>
      </c>
      <c r="DX17" s="1" t="s">
        <v>698</v>
      </c>
      <c r="DY17" s="1" t="s">
        <v>699</v>
      </c>
      <c r="DZ17" s="1" t="s">
        <v>700</v>
      </c>
      <c r="EA17" s="1" t="s">
        <v>701</v>
      </c>
      <c r="EB17" s="1" t="s">
        <v>702</v>
      </c>
      <c r="EC17" s="1" t="s">
        <v>703</v>
      </c>
      <c r="ED17" s="1" t="s">
        <v>704</v>
      </c>
      <c r="EE17" s="1" t="s">
        <v>705</v>
      </c>
      <c r="EF17" s="1" t="s">
        <v>706</v>
      </c>
      <c r="EG17" s="1" t="s">
        <v>707</v>
      </c>
      <c r="EH17" s="1" t="s">
        <v>708</v>
      </c>
      <c r="EI17" s="1" t="s">
        <v>709</v>
      </c>
      <c r="EJ17" s="1" t="s">
        <v>710</v>
      </c>
      <c r="EK17" s="1" t="s">
        <v>711</v>
      </c>
      <c r="EL17" s="1" t="s">
        <v>712</v>
      </c>
      <c r="EM17" s="1" t="s">
        <v>713</v>
      </c>
      <c r="EN17" s="1" t="s">
        <v>714</v>
      </c>
      <c r="EO17" s="1" t="s">
        <v>715</v>
      </c>
      <c r="EP17" s="1" t="s">
        <v>716</v>
      </c>
      <c r="EQ17" s="1" t="s">
        <v>717</v>
      </c>
      <c r="ER17" s="1" t="s">
        <v>718</v>
      </c>
      <c r="ES17" s="1" t="s">
        <v>719</v>
      </c>
      <c r="ET17" s="1" t="s">
        <v>720</v>
      </c>
      <c r="EU17" s="1" t="s">
        <v>721</v>
      </c>
      <c r="EV17" s="1" t="s">
        <v>722</v>
      </c>
      <c r="EW17" s="1" t="s">
        <v>723</v>
      </c>
      <c r="EX17" s="1" t="s">
        <v>724</v>
      </c>
      <c r="EY17" s="1" t="s">
        <v>725</v>
      </c>
      <c r="EZ17" s="1" t="s">
        <v>726</v>
      </c>
      <c r="FA17" s="1" t="s">
        <v>727</v>
      </c>
      <c r="FB17" s="1" t="s">
        <v>728</v>
      </c>
      <c r="FC17" s="1" t="s">
        <v>729</v>
      </c>
      <c r="FD17" s="1" t="s">
        <v>730</v>
      </c>
      <c r="FE17" s="1" t="s">
        <v>731</v>
      </c>
      <c r="FF17" s="1" t="s">
        <v>732</v>
      </c>
      <c r="FG17" s="1" t="s">
        <v>733</v>
      </c>
      <c r="FH17" s="1" t="s">
        <v>734</v>
      </c>
      <c r="FI17" s="1" t="s">
        <v>735</v>
      </c>
      <c r="FJ17" s="1" t="s">
        <v>736</v>
      </c>
      <c r="FK17" s="1" t="s">
        <v>737</v>
      </c>
      <c r="FL17" s="1" t="s">
        <v>738</v>
      </c>
      <c r="FM17" s="1" t="s">
        <v>739</v>
      </c>
      <c r="FN17" s="1" t="s">
        <v>740</v>
      </c>
      <c r="FO17" s="1" t="s">
        <v>741</v>
      </c>
      <c r="FP17" s="1" t="s">
        <v>742</v>
      </c>
      <c r="FQ17" s="1" t="s">
        <v>743</v>
      </c>
      <c r="FR17" s="1" t="s">
        <v>744</v>
      </c>
      <c r="FS17" s="1" t="s">
        <v>745</v>
      </c>
      <c r="FT17" s="1" t="s">
        <v>746</v>
      </c>
      <c r="FU17" s="1" t="s">
        <v>747</v>
      </c>
      <c r="FV17" s="1" t="s">
        <v>748</v>
      </c>
      <c r="FW17" s="1" t="s">
        <v>749</v>
      </c>
      <c r="FX17" s="1" t="s">
        <v>750</v>
      </c>
      <c r="FY17" s="1" t="s">
        <v>751</v>
      </c>
      <c r="FZ17" s="1" t="s">
        <v>752</v>
      </c>
      <c r="GA17" s="1" t="s">
        <v>753</v>
      </c>
      <c r="GB17" s="1" t="s">
        <v>754</v>
      </c>
      <c r="GC17" s="1" t="s">
        <v>755</v>
      </c>
      <c r="GD17" s="1" t="s">
        <v>756</v>
      </c>
      <c r="GE17" s="1" t="s">
        <v>757</v>
      </c>
      <c r="GF17" s="1" t="s">
        <v>758</v>
      </c>
      <c r="GG17" s="1" t="s">
        <v>759</v>
      </c>
      <c r="GH17" s="1" t="s">
        <v>760</v>
      </c>
      <c r="GI17" s="1" t="s">
        <v>761</v>
      </c>
      <c r="GJ17" s="1" t="s">
        <v>762</v>
      </c>
      <c r="GK17" s="1" t="s">
        <v>763</v>
      </c>
      <c r="GL17" s="1" t="s">
        <v>764</v>
      </c>
      <c r="GM17" s="1" t="s">
        <v>765</v>
      </c>
      <c r="GN17" s="1" t="s">
        <v>766</v>
      </c>
      <c r="GO17" s="1" t="s">
        <v>767</v>
      </c>
      <c r="GP17" s="1" t="s">
        <v>768</v>
      </c>
      <c r="GQ17" s="1" t="s">
        <v>769</v>
      </c>
      <c r="GR17" s="1" t="s">
        <v>770</v>
      </c>
      <c r="GS17" s="1" t="s">
        <v>771</v>
      </c>
      <c r="GT17" s="1" t="s">
        <v>772</v>
      </c>
      <c r="GU17" s="1" t="s">
        <v>773</v>
      </c>
      <c r="GV17" s="1" t="s">
        <v>774</v>
      </c>
      <c r="GW17" s="1" t="s">
        <v>775</v>
      </c>
      <c r="GX17" s="1" t="s">
        <v>776</v>
      </c>
      <c r="GY17" s="1" t="s">
        <v>777</v>
      </c>
      <c r="GZ17" s="1" t="s">
        <v>778</v>
      </c>
      <c r="HA17" s="1" t="s">
        <v>779</v>
      </c>
      <c r="HB17" s="1" t="s">
        <v>780</v>
      </c>
      <c r="HC17" s="1" t="s">
        <v>781</v>
      </c>
      <c r="HD17" s="1" t="s">
        <v>782</v>
      </c>
      <c r="HE17" s="1" t="s">
        <v>783</v>
      </c>
      <c r="HF17" s="1" t="s">
        <v>784</v>
      </c>
      <c r="HG17" s="1" t="s">
        <v>785</v>
      </c>
      <c r="HH17" s="1" t="s">
        <v>786</v>
      </c>
      <c r="HI17" s="1" t="s">
        <v>787</v>
      </c>
      <c r="HJ17" s="1" t="s">
        <v>788</v>
      </c>
      <c r="HK17" s="1" t="s">
        <v>789</v>
      </c>
      <c r="HL17" s="1" t="s">
        <v>790</v>
      </c>
      <c r="HM17" s="1" t="s">
        <v>791</v>
      </c>
      <c r="HN17" s="1" t="s">
        <v>792</v>
      </c>
      <c r="HO17" s="1" t="s">
        <v>793</v>
      </c>
      <c r="HP17" s="1" t="s">
        <v>794</v>
      </c>
      <c r="HQ17" s="1" t="s">
        <v>795</v>
      </c>
      <c r="HR17" s="1" t="s">
        <v>796</v>
      </c>
      <c r="HS17" s="1" t="s">
        <v>797</v>
      </c>
      <c r="HT17" s="1" t="s">
        <v>798</v>
      </c>
      <c r="HU17" s="1" t="s">
        <v>799</v>
      </c>
      <c r="HV17" s="1" t="s">
        <v>800</v>
      </c>
      <c r="HW17" s="1" t="s">
        <v>801</v>
      </c>
      <c r="HX17" s="1" t="s">
        <v>802</v>
      </c>
      <c r="HY17" s="1" t="s">
        <v>803</v>
      </c>
      <c r="HZ17" s="1" t="s">
        <v>804</v>
      </c>
      <c r="IA17" s="1" t="s">
        <v>805</v>
      </c>
      <c r="IB17" s="1" t="s">
        <v>806</v>
      </c>
      <c r="IC17" s="1" t="s">
        <v>807</v>
      </c>
      <c r="ID17" s="1" t="s">
        <v>808</v>
      </c>
      <c r="IE17" s="1" t="s">
        <v>809</v>
      </c>
      <c r="IF17" s="1" t="s">
        <v>810</v>
      </c>
      <c r="IG17" s="1" t="s">
        <v>811</v>
      </c>
      <c r="IH17" s="1" t="s">
        <v>812</v>
      </c>
      <c r="II17" s="1" t="s">
        <v>813</v>
      </c>
      <c r="IJ17" s="1" t="s">
        <v>814</v>
      </c>
      <c r="IK17" s="1" t="s">
        <v>815</v>
      </c>
      <c r="IL17" s="1" t="s">
        <v>816</v>
      </c>
      <c r="IM17" s="1" t="s">
        <v>817</v>
      </c>
      <c r="IN17" s="1" t="s">
        <v>818</v>
      </c>
      <c r="IO17" s="1" t="s">
        <v>819</v>
      </c>
      <c r="IP17" s="1" t="s">
        <v>820</v>
      </c>
      <c r="IQ17" s="1" t="s">
        <v>821</v>
      </c>
      <c r="IR17" s="1" t="s">
        <v>822</v>
      </c>
      <c r="IS17" s="1" t="s">
        <v>823</v>
      </c>
      <c r="IT17" s="1" t="s">
        <v>824</v>
      </c>
      <c r="IU17" s="1" t="s">
        <v>825</v>
      </c>
      <c r="IV17" s="1" t="s">
        <v>826</v>
      </c>
      <c r="IW17" s="1" t="s">
        <v>827</v>
      </c>
      <c r="IX17" s="1" t="s">
        <v>828</v>
      </c>
      <c r="IY17" s="1" t="s">
        <v>829</v>
      </c>
      <c r="IZ17" s="1" t="s">
        <v>830</v>
      </c>
      <c r="JA17" s="1" t="s">
        <v>831</v>
      </c>
      <c r="JB17" s="1" t="s">
        <v>832</v>
      </c>
      <c r="JC17" s="1" t="s">
        <v>833</v>
      </c>
      <c r="JD17" s="1" t="s">
        <v>834</v>
      </c>
      <c r="JE17" s="1" t="s">
        <v>835</v>
      </c>
      <c r="JF17" s="1" t="s">
        <v>836</v>
      </c>
      <c r="JG17" s="1" t="s">
        <v>837</v>
      </c>
      <c r="JH17" s="1" t="s">
        <v>838</v>
      </c>
      <c r="JI17" s="1" t="s">
        <v>839</v>
      </c>
      <c r="JJ17" s="1" t="s">
        <v>840</v>
      </c>
      <c r="JK17" s="1" t="s">
        <v>841</v>
      </c>
      <c r="JL17" s="1" t="s">
        <v>842</v>
      </c>
      <c r="JM17" s="1" t="s">
        <v>843</v>
      </c>
      <c r="JN17" s="1" t="s">
        <v>844</v>
      </c>
      <c r="JO17" s="1" t="s">
        <v>845</v>
      </c>
      <c r="JP17" s="1" t="s">
        <v>846</v>
      </c>
      <c r="JQ17" s="1" t="s">
        <v>847</v>
      </c>
      <c r="JR17" s="1" t="s">
        <v>848</v>
      </c>
      <c r="JS17" s="1" t="s">
        <v>849</v>
      </c>
      <c r="JT17" s="1" t="s">
        <v>850</v>
      </c>
      <c r="JU17" s="1" t="s">
        <v>851</v>
      </c>
      <c r="JV17" s="1" t="s">
        <v>852</v>
      </c>
      <c r="JW17" s="1" t="s">
        <v>853</v>
      </c>
      <c r="JX17" s="1" t="s">
        <v>854</v>
      </c>
      <c r="JY17" s="1" t="s">
        <v>855</v>
      </c>
      <c r="JZ17" s="1" t="s">
        <v>856</v>
      </c>
      <c r="KA17" s="1" t="s">
        <v>857</v>
      </c>
      <c r="KB17" s="1" t="s">
        <v>858</v>
      </c>
      <c r="KC17" s="1" t="s">
        <v>859</v>
      </c>
      <c r="KD17" s="1" t="s">
        <v>860</v>
      </c>
      <c r="KE17" s="1" t="s">
        <v>861</v>
      </c>
      <c r="KF17" s="1" t="s">
        <v>862</v>
      </c>
      <c r="KG17" s="1" t="s">
        <v>863</v>
      </c>
      <c r="KH17" s="1" t="s">
        <v>864</v>
      </c>
      <c r="KI17" s="1" t="s">
        <v>865</v>
      </c>
      <c r="KJ17" s="1" t="s">
        <v>866</v>
      </c>
      <c r="KK17" s="1" t="s">
        <v>867</v>
      </c>
      <c r="KL17" s="1" t="s">
        <v>868</v>
      </c>
      <c r="KM17" s="1" t="s">
        <v>869</v>
      </c>
      <c r="KN17" s="1" t="s">
        <v>870</v>
      </c>
      <c r="KO17" s="1" t="s">
        <v>871</v>
      </c>
      <c r="KP17" s="1" t="s">
        <v>872</v>
      </c>
      <c r="KQ17" s="1" t="s">
        <v>873</v>
      </c>
      <c r="KR17" s="1" t="s">
        <v>874</v>
      </c>
      <c r="KS17" s="1" t="s">
        <v>875</v>
      </c>
      <c r="KT17" s="1" t="s">
        <v>876</v>
      </c>
      <c r="KU17" s="1" t="s">
        <v>877</v>
      </c>
      <c r="KV17" s="1" t="s">
        <v>878</v>
      </c>
      <c r="KW17" s="1" t="s">
        <v>879</v>
      </c>
      <c r="KX17" s="1" t="s">
        <v>880</v>
      </c>
      <c r="KY17" s="1" t="s">
        <v>881</v>
      </c>
      <c r="KZ17" s="1" t="s">
        <v>882</v>
      </c>
      <c r="LA17" s="1" t="s">
        <v>883</v>
      </c>
      <c r="LB17" s="1" t="s">
        <v>884</v>
      </c>
      <c r="LC17" s="1" t="s">
        <v>885</v>
      </c>
      <c r="LD17" s="1" t="s">
        <v>886</v>
      </c>
      <c r="LE17" s="1" t="s">
        <v>887</v>
      </c>
      <c r="LF17" s="1" t="s">
        <v>888</v>
      </c>
      <c r="LG17" s="1" t="s">
        <v>889</v>
      </c>
      <c r="LH17" s="1" t="s">
        <v>890</v>
      </c>
      <c r="LI17" s="1" t="s">
        <v>891</v>
      </c>
      <c r="LJ17" s="1" t="s">
        <v>892</v>
      </c>
      <c r="LK17" s="1" t="s">
        <v>893</v>
      </c>
      <c r="LL17" s="1" t="s">
        <v>894</v>
      </c>
      <c r="LM17" s="1" t="s">
        <v>895</v>
      </c>
      <c r="LN17" s="1" t="s">
        <v>896</v>
      </c>
      <c r="LO17" s="1" t="s">
        <v>897</v>
      </c>
      <c r="LP17" s="1" t="s">
        <v>898</v>
      </c>
      <c r="LQ17" s="1" t="s">
        <v>899</v>
      </c>
      <c r="LR17" s="1" t="s">
        <v>900</v>
      </c>
      <c r="LS17" s="1" t="s">
        <v>901</v>
      </c>
      <c r="LT17" s="1" t="s">
        <v>902</v>
      </c>
      <c r="LU17" s="1" t="s">
        <v>903</v>
      </c>
      <c r="LV17" s="1" t="s">
        <v>904</v>
      </c>
      <c r="LW17" s="1" t="s">
        <v>905</v>
      </c>
      <c r="LX17" s="1" t="s">
        <v>906</v>
      </c>
      <c r="LY17" s="1" t="s">
        <v>907</v>
      </c>
      <c r="LZ17" s="1" t="s">
        <v>908</v>
      </c>
      <c r="MA17" s="1" t="s">
        <v>909</v>
      </c>
      <c r="MB17" s="1" t="s">
        <v>910</v>
      </c>
      <c r="MC17" s="1" t="s">
        <v>911</v>
      </c>
      <c r="MD17" s="1" t="s">
        <v>912</v>
      </c>
      <c r="ME17" s="1" t="s">
        <v>913</v>
      </c>
      <c r="MF17" s="1" t="s">
        <v>914</v>
      </c>
      <c r="MG17" s="1" t="s">
        <v>915</v>
      </c>
      <c r="MH17" s="1" t="s">
        <v>916</v>
      </c>
      <c r="MI17" s="1" t="s">
        <v>917</v>
      </c>
      <c r="MJ17" s="1" t="s">
        <v>918</v>
      </c>
      <c r="MK17" s="1" t="s">
        <v>919</v>
      </c>
      <c r="ML17" s="1" t="s">
        <v>920</v>
      </c>
      <c r="MM17" s="1" t="s">
        <v>921</v>
      </c>
      <c r="MN17" s="1" t="s">
        <v>922</v>
      </c>
      <c r="MO17" s="1" t="s">
        <v>923</v>
      </c>
      <c r="MP17" s="1" t="s">
        <v>924</v>
      </c>
      <c r="MQ17" s="1" t="s">
        <v>925</v>
      </c>
      <c r="MR17" s="1" t="s">
        <v>926</v>
      </c>
      <c r="MS17" s="1" t="s">
        <v>927</v>
      </c>
      <c r="MT17" s="1" t="s">
        <v>928</v>
      </c>
      <c r="MU17" s="1" t="s">
        <v>929</v>
      </c>
      <c r="MV17" s="1" t="s">
        <v>930</v>
      </c>
      <c r="MW17" s="1" t="s">
        <v>931</v>
      </c>
      <c r="MX17" s="1" t="s">
        <v>932</v>
      </c>
      <c r="MY17" s="1" t="s">
        <v>933</v>
      </c>
      <c r="MZ17" s="1" t="s">
        <v>934</v>
      </c>
      <c r="NA17" s="1" t="s">
        <v>935</v>
      </c>
      <c r="NB17" s="1" t="s">
        <v>936</v>
      </c>
      <c r="NC17" s="1" t="s">
        <v>937</v>
      </c>
      <c r="ND17" s="1" t="s">
        <v>938</v>
      </c>
      <c r="NE17" s="1" t="s">
        <v>939</v>
      </c>
      <c r="NF17" s="1" t="s">
        <v>940</v>
      </c>
      <c r="NG17" s="1" t="s">
        <v>941</v>
      </c>
      <c r="NH17" s="1" t="s">
        <v>942</v>
      </c>
      <c r="NI17" s="1" t="s">
        <v>943</v>
      </c>
      <c r="NJ17" s="1" t="s">
        <v>944</v>
      </c>
      <c r="NK17" s="1" t="s">
        <v>945</v>
      </c>
      <c r="NL17" s="1" t="s">
        <v>946</v>
      </c>
      <c r="NM17" s="1" t="s">
        <v>947</v>
      </c>
      <c r="NN17" s="1" t="s">
        <v>948</v>
      </c>
      <c r="NO17" s="1" t="s">
        <v>949</v>
      </c>
      <c r="NP17" s="1" t="s">
        <v>950</v>
      </c>
      <c r="NQ17" s="1" t="s">
        <v>951</v>
      </c>
      <c r="NR17" s="1" t="s">
        <v>952</v>
      </c>
      <c r="NS17" s="1" t="s">
        <v>953</v>
      </c>
      <c r="NT17" s="1" t="s">
        <v>954</v>
      </c>
      <c r="NU17" s="1" t="s">
        <v>955</v>
      </c>
      <c r="NV17" s="1" t="s">
        <v>956</v>
      </c>
      <c r="NW17" s="1" t="s">
        <v>957</v>
      </c>
      <c r="NX17" s="1" t="s">
        <v>958</v>
      </c>
      <c r="NY17" s="1" t="s">
        <v>959</v>
      </c>
      <c r="NZ17" s="1" t="s">
        <v>960</v>
      </c>
      <c r="OA17" s="1" t="s">
        <v>961</v>
      </c>
      <c r="OB17" s="1" t="s">
        <v>962</v>
      </c>
      <c r="OC17" s="1" t="s">
        <v>963</v>
      </c>
      <c r="OD17" s="1" t="s">
        <v>964</v>
      </c>
      <c r="OE17" s="1" t="s">
        <v>965</v>
      </c>
      <c r="OF17" s="1" t="s">
        <v>966</v>
      </c>
      <c r="OG17" s="1" t="s">
        <v>967</v>
      </c>
      <c r="OH17" s="1" t="s">
        <v>968</v>
      </c>
      <c r="OI17" s="1" t="s">
        <v>969</v>
      </c>
      <c r="OJ17" s="1" t="s">
        <v>970</v>
      </c>
      <c r="OK17" s="1" t="s">
        <v>971</v>
      </c>
      <c r="OL17" s="1" t="s">
        <v>972</v>
      </c>
      <c r="OM17" s="1" t="s">
        <v>973</v>
      </c>
      <c r="ON17" s="1" t="s">
        <v>974</v>
      </c>
      <c r="OO17" s="1" t="s">
        <v>975</v>
      </c>
      <c r="OP17" s="1" t="s">
        <v>976</v>
      </c>
      <c r="OQ17" s="1" t="s">
        <v>977</v>
      </c>
      <c r="OR17" s="1" t="s">
        <v>978</v>
      </c>
      <c r="OS17" s="1" t="s">
        <v>979</v>
      </c>
      <c r="OT17" s="1" t="s">
        <v>980</v>
      </c>
      <c r="OU17" s="1" t="s">
        <v>981</v>
      </c>
      <c r="OV17" s="1" t="s">
        <v>982</v>
      </c>
      <c r="OW17" s="1" t="s">
        <v>983</v>
      </c>
      <c r="OX17" s="1" t="s">
        <v>984</v>
      </c>
      <c r="OY17" s="1" t="s">
        <v>985</v>
      </c>
      <c r="OZ17" s="1" t="s">
        <v>986</v>
      </c>
      <c r="PA17" s="1" t="s">
        <v>987</v>
      </c>
      <c r="PB17" s="1" t="s">
        <v>988</v>
      </c>
      <c r="PC17" s="1" t="s">
        <v>989</v>
      </c>
      <c r="PD17" s="1" t="s">
        <v>990</v>
      </c>
      <c r="PE17" s="1" t="s">
        <v>991</v>
      </c>
      <c r="PF17" s="1" t="s">
        <v>992</v>
      </c>
      <c r="PG17" s="1" t="s">
        <v>993</v>
      </c>
      <c r="PH17" s="1" t="s">
        <v>994</v>
      </c>
      <c r="PI17" s="1" t="s">
        <v>995</v>
      </c>
      <c r="PJ17" s="1" t="s">
        <v>996</v>
      </c>
      <c r="PK17" s="1" t="s">
        <v>997</v>
      </c>
      <c r="PL17" s="1" t="s">
        <v>998</v>
      </c>
      <c r="PM17" s="1" t="s">
        <v>999</v>
      </c>
      <c r="PN17" s="1" t="s">
        <v>1000</v>
      </c>
      <c r="PO17" s="1" t="s">
        <v>1001</v>
      </c>
      <c r="PP17" s="1" t="s">
        <v>1002</v>
      </c>
      <c r="PQ17" s="1" t="s">
        <v>1003</v>
      </c>
      <c r="PR17" s="1" t="s">
        <v>1004</v>
      </c>
      <c r="PS17" s="1" t="s">
        <v>1005</v>
      </c>
      <c r="PT17" s="1" t="s">
        <v>1006</v>
      </c>
      <c r="PU17" s="1" t="s">
        <v>1007</v>
      </c>
      <c r="PV17" s="1" t="s">
        <v>1008</v>
      </c>
      <c r="PW17" s="1" t="s">
        <v>1009</v>
      </c>
      <c r="PX17" s="1" t="s">
        <v>1010</v>
      </c>
      <c r="PY17" s="1" t="s">
        <v>1011</v>
      </c>
      <c r="PZ17" s="1" t="s">
        <v>1012</v>
      </c>
      <c r="QA17" s="1" t="s">
        <v>1013</v>
      </c>
      <c r="QB17" s="1" t="s">
        <v>1014</v>
      </c>
      <c r="QC17" s="1" t="s">
        <v>1015</v>
      </c>
      <c r="QD17" s="1" t="s">
        <v>1016</v>
      </c>
      <c r="QE17" s="1" t="s">
        <v>1017</v>
      </c>
      <c r="QF17" s="1" t="s">
        <v>1018</v>
      </c>
      <c r="QG17" s="1" t="s">
        <v>1019</v>
      </c>
      <c r="QH17" s="1" t="s">
        <v>1020</v>
      </c>
      <c r="QI17" s="1" t="s">
        <v>1021</v>
      </c>
      <c r="QJ17" s="1" t="s">
        <v>1022</v>
      </c>
      <c r="QK17" s="1" t="s">
        <v>1023</v>
      </c>
      <c r="QL17" s="1" t="s">
        <v>1024</v>
      </c>
      <c r="QM17" s="1" t="s">
        <v>1025</v>
      </c>
      <c r="QN17" s="1" t="s">
        <v>1026</v>
      </c>
      <c r="QO17" s="1" t="s">
        <v>1027</v>
      </c>
      <c r="QP17" s="1" t="s">
        <v>1028</v>
      </c>
      <c r="QQ17" s="1" t="s">
        <v>1029</v>
      </c>
      <c r="QR17" s="1" t="s">
        <v>1030</v>
      </c>
      <c r="QS17" s="1" t="s">
        <v>1031</v>
      </c>
      <c r="QT17" s="1" t="s">
        <v>1032</v>
      </c>
      <c r="QU17" s="1" t="s">
        <v>1033</v>
      </c>
      <c r="QV17" s="1" t="s">
        <v>1034</v>
      </c>
      <c r="QW17" s="1" t="s">
        <v>1035</v>
      </c>
      <c r="QX17" s="1" t="s">
        <v>1036</v>
      </c>
      <c r="QY17" s="1" t="s">
        <v>1037</v>
      </c>
      <c r="QZ17" s="1" t="s">
        <v>1038</v>
      </c>
      <c r="RA17" s="1" t="s">
        <v>1039</v>
      </c>
      <c r="RB17" s="1" t="s">
        <v>1040</v>
      </c>
      <c r="RC17" s="1" t="s">
        <v>1041</v>
      </c>
      <c r="RD17" s="1" t="s">
        <v>1042</v>
      </c>
      <c r="RE17" s="1" t="s">
        <v>1043</v>
      </c>
      <c r="RF17" s="1" t="s">
        <v>1044</v>
      </c>
      <c r="RG17" s="1" t="s">
        <v>1045</v>
      </c>
      <c r="RH17" s="1" t="s">
        <v>1046</v>
      </c>
      <c r="RI17" s="1" t="s">
        <v>1047</v>
      </c>
      <c r="RJ17" s="1" t="s">
        <v>1048</v>
      </c>
      <c r="RK17" s="1" t="s">
        <v>1049</v>
      </c>
      <c r="RL17" s="1" t="s">
        <v>1050</v>
      </c>
      <c r="RM17" s="1" t="s">
        <v>1051</v>
      </c>
      <c r="RN17" s="1" t="s">
        <v>1052</v>
      </c>
      <c r="RO17" s="1" t="s">
        <v>1053</v>
      </c>
      <c r="RP17" s="1" t="s">
        <v>1054</v>
      </c>
      <c r="RQ17" s="1" t="s">
        <v>1055</v>
      </c>
      <c r="RR17" s="1" t="s">
        <v>1056</v>
      </c>
      <c r="RS17" s="1" t="s">
        <v>1057</v>
      </c>
      <c r="RT17" s="1" t="s">
        <v>1058</v>
      </c>
      <c r="RU17" s="1" t="s">
        <v>1059</v>
      </c>
      <c r="RV17" s="1" t="s">
        <v>1060</v>
      </c>
      <c r="RW17" s="1" t="s">
        <v>1061</v>
      </c>
      <c r="RX17" s="1" t="s">
        <v>1062</v>
      </c>
      <c r="RY17" s="1" t="s">
        <v>1063</v>
      </c>
      <c r="RZ17" s="1" t="s">
        <v>1064</v>
      </c>
      <c r="SA17" s="1" t="s">
        <v>1065</v>
      </c>
      <c r="SB17" s="1" t="s">
        <v>1066</v>
      </c>
      <c r="SC17" s="1" t="s">
        <v>1067</v>
      </c>
      <c r="SD17" s="1" t="s">
        <v>1068</v>
      </c>
      <c r="SE17" s="1" t="s">
        <v>1069</v>
      </c>
      <c r="SF17" s="1" t="s">
        <v>1070</v>
      </c>
      <c r="SG17" s="1" t="s">
        <v>1071</v>
      </c>
      <c r="SH17" s="1" t="s">
        <v>1072</v>
      </c>
      <c r="SI17" s="1" t="s">
        <v>1073</v>
      </c>
      <c r="SJ17" s="1" t="s">
        <v>1074</v>
      </c>
      <c r="SK17" s="1" t="s">
        <v>1075</v>
      </c>
      <c r="SL17" s="1" t="s">
        <v>1076</v>
      </c>
      <c r="SM17" s="1" t="s">
        <v>1077</v>
      </c>
      <c r="SN17" s="1" t="s">
        <v>1078</v>
      </c>
      <c r="SO17" s="1" t="s">
        <v>1079</v>
      </c>
      <c r="SP17" s="1" t="s">
        <v>1080</v>
      </c>
      <c r="SQ17" s="1" t="s">
        <v>1081</v>
      </c>
      <c r="SR17" s="1" t="s">
        <v>1082</v>
      </c>
      <c r="SS17" s="1" t="s">
        <v>1083</v>
      </c>
      <c r="ST17" s="1" t="s">
        <v>1084</v>
      </c>
      <c r="SU17" s="1" t="s">
        <v>1085</v>
      </c>
      <c r="SV17" s="1" t="s">
        <v>1086</v>
      </c>
      <c r="SW17" s="1" t="s">
        <v>1087</v>
      </c>
      <c r="SX17" s="1" t="s">
        <v>1088</v>
      </c>
      <c r="SY17" s="1" t="s">
        <v>1089</v>
      </c>
      <c r="SZ17" s="1" t="s">
        <v>1090</v>
      </c>
      <c r="TA17" s="1" t="s">
        <v>1091</v>
      </c>
      <c r="TB17" s="1" t="s">
        <v>1092</v>
      </c>
      <c r="TC17" s="1" t="s">
        <v>1093</v>
      </c>
      <c r="TD17" s="1" t="s">
        <v>1094</v>
      </c>
      <c r="TE17" s="1" t="s">
        <v>1095</v>
      </c>
      <c r="TF17" s="1" t="s">
        <v>1096</v>
      </c>
      <c r="TG17" s="1" t="s">
        <v>1097</v>
      </c>
      <c r="TH17" s="1" t="s">
        <v>1098</v>
      </c>
      <c r="TI17" s="1" t="s">
        <v>1099</v>
      </c>
      <c r="TJ17" s="1" t="s">
        <v>1100</v>
      </c>
      <c r="TK17" s="1" t="s">
        <v>1101</v>
      </c>
      <c r="TL17" s="1" t="s">
        <v>1102</v>
      </c>
      <c r="TM17" s="1" t="s">
        <v>1103</v>
      </c>
      <c r="TN17" s="1" t="s">
        <v>1104</v>
      </c>
      <c r="TO17" s="1" t="s">
        <v>1105</v>
      </c>
      <c r="TP17" s="1" t="s">
        <v>1106</v>
      </c>
      <c r="TQ17" s="1" t="s">
        <v>1107</v>
      </c>
      <c r="TR17" s="1" t="s">
        <v>1108</v>
      </c>
      <c r="TS17" s="1" t="s">
        <v>1109</v>
      </c>
      <c r="TT17" s="1" t="s">
        <v>1110</v>
      </c>
      <c r="TU17" s="1" t="s">
        <v>1111</v>
      </c>
      <c r="TV17" s="1" t="s">
        <v>1112</v>
      </c>
      <c r="TW17" s="1" t="s">
        <v>1113</v>
      </c>
      <c r="TX17" s="1" t="s">
        <v>1114</v>
      </c>
      <c r="TY17" s="1" t="s">
        <v>1115</v>
      </c>
      <c r="TZ17" s="1" t="s">
        <v>1116</v>
      </c>
      <c r="UA17" s="1" t="s">
        <v>1117</v>
      </c>
      <c r="UB17" s="1" t="s">
        <v>1118</v>
      </c>
      <c r="UC17" s="1" t="s">
        <v>1119</v>
      </c>
      <c r="UD17" s="1" t="s">
        <v>1120</v>
      </c>
      <c r="UE17" s="1" t="s">
        <v>1121</v>
      </c>
      <c r="UF17" s="1" t="s">
        <v>1122</v>
      </c>
      <c r="UG17" s="1" t="s">
        <v>1123</v>
      </c>
      <c r="UH17" s="1" t="s">
        <v>1124</v>
      </c>
      <c r="UI17" s="1" t="s">
        <v>1125</v>
      </c>
      <c r="UJ17" s="1" t="s">
        <v>1126</v>
      </c>
      <c r="UK17" s="1" t="s">
        <v>1127</v>
      </c>
      <c r="UL17" s="1" t="s">
        <v>1128</v>
      </c>
      <c r="UM17" s="1" t="s">
        <v>1129</v>
      </c>
      <c r="UN17" s="1" t="s">
        <v>1130</v>
      </c>
      <c r="UO17" s="1" t="s">
        <v>1131</v>
      </c>
      <c r="UP17" s="1" t="s">
        <v>1132</v>
      </c>
      <c r="UQ17" s="1" t="s">
        <v>1133</v>
      </c>
      <c r="UR17" s="1" t="s">
        <v>1134</v>
      </c>
      <c r="US17" s="1" t="s">
        <v>1135</v>
      </c>
      <c r="UT17" s="1" t="s">
        <v>1136</v>
      </c>
      <c r="UU17" s="1" t="s">
        <v>1137</v>
      </c>
      <c r="UV17" s="1" t="s">
        <v>1138</v>
      </c>
      <c r="UW17" s="1" t="s">
        <v>1139</v>
      </c>
      <c r="UX17" s="1" t="s">
        <v>1140</v>
      </c>
      <c r="UY17" s="1" t="s">
        <v>1141</v>
      </c>
      <c r="UZ17" s="1" t="s">
        <v>1142</v>
      </c>
      <c r="VA17" s="1" t="s">
        <v>1143</v>
      </c>
      <c r="VB17" s="1" t="s">
        <v>1144</v>
      </c>
      <c r="VC17" s="1" t="s">
        <v>1145</v>
      </c>
      <c r="VD17" s="1" t="s">
        <v>1146</v>
      </c>
      <c r="VE17" s="1" t="s">
        <v>1147</v>
      </c>
      <c r="VF17" s="1" t="s">
        <v>1148</v>
      </c>
      <c r="VG17" s="1" t="s">
        <v>1149</v>
      </c>
      <c r="VH17" s="1" t="s">
        <v>1150</v>
      </c>
      <c r="VI17" s="1" t="s">
        <v>1151</v>
      </c>
      <c r="VJ17" s="1" t="s">
        <v>1152</v>
      </c>
      <c r="VK17" s="1" t="s">
        <v>1153</v>
      </c>
      <c r="VL17" s="1" t="s">
        <v>1154</v>
      </c>
      <c r="VM17" s="1" t="s">
        <v>1155</v>
      </c>
      <c r="VN17" s="1" t="s">
        <v>1156</v>
      </c>
      <c r="VO17" s="1" t="s">
        <v>1157</v>
      </c>
      <c r="VP17" s="1" t="s">
        <v>1158</v>
      </c>
      <c r="VQ17" s="1" t="s">
        <v>1159</v>
      </c>
      <c r="VR17" s="1" t="s">
        <v>1160</v>
      </c>
      <c r="VS17" s="1" t="s">
        <v>1161</v>
      </c>
      <c r="VT17" s="1" t="s">
        <v>1162</v>
      </c>
      <c r="VU17" s="1" t="s">
        <v>1163</v>
      </c>
      <c r="VV17" s="1" t="s">
        <v>1164</v>
      </c>
      <c r="VW17" s="1" t="s">
        <v>1165</v>
      </c>
      <c r="VX17" s="1" t="s">
        <v>1166</v>
      </c>
      <c r="VY17" s="1" t="s">
        <v>1167</v>
      </c>
      <c r="VZ17" s="1" t="s">
        <v>1168</v>
      </c>
      <c r="WA17" s="1" t="s">
        <v>1169</v>
      </c>
      <c r="WB17" s="1" t="s">
        <v>1170</v>
      </c>
      <c r="WC17" s="1" t="s">
        <v>1171</v>
      </c>
      <c r="WD17" s="1" t="s">
        <v>1172</v>
      </c>
      <c r="WE17" s="1" t="s">
        <v>1173</v>
      </c>
      <c r="WF17" s="1" t="s">
        <v>1174</v>
      </c>
      <c r="WG17" s="1" t="s">
        <v>1175</v>
      </c>
      <c r="WH17" s="1" t="s">
        <v>1176</v>
      </c>
      <c r="WI17" s="1" t="s">
        <v>1177</v>
      </c>
      <c r="WJ17" s="1" t="s">
        <v>1178</v>
      </c>
      <c r="WK17" s="1" t="s">
        <v>1179</v>
      </c>
      <c r="WL17" s="1" t="s">
        <v>1180</v>
      </c>
      <c r="WM17" s="1" t="s">
        <v>1181</v>
      </c>
      <c r="WN17" s="1" t="s">
        <v>1182</v>
      </c>
      <c r="WO17" s="1" t="s">
        <v>1183</v>
      </c>
      <c r="WP17" s="1" t="s">
        <v>1184</v>
      </c>
      <c r="WQ17" s="1" t="s">
        <v>1185</v>
      </c>
      <c r="WR17" s="1" t="s">
        <v>1186</v>
      </c>
      <c r="WS17" s="1" t="s">
        <v>1187</v>
      </c>
      <c r="WT17" s="1" t="s">
        <v>1188</v>
      </c>
      <c r="WU17" s="1" t="s">
        <v>1189</v>
      </c>
      <c r="WV17" s="1" t="s">
        <v>1190</v>
      </c>
      <c r="WW17" s="1" t="s">
        <v>1191</v>
      </c>
      <c r="WX17" s="1" t="s">
        <v>1192</v>
      </c>
      <c r="WY17" s="1" t="s">
        <v>1193</v>
      </c>
      <c r="WZ17" s="1" t="s">
        <v>1194</v>
      </c>
      <c r="XA17" s="1" t="s">
        <v>1195</v>
      </c>
      <c r="XB17" s="1" t="s">
        <v>1196</v>
      </c>
      <c r="XC17" s="1" t="s">
        <v>1197</v>
      </c>
      <c r="XD17" s="1" t="s">
        <v>1198</v>
      </c>
      <c r="XE17" s="1" t="s">
        <v>1199</v>
      </c>
      <c r="XF17" s="1" t="s">
        <v>1200</v>
      </c>
      <c r="XG17" s="1" t="s">
        <v>1201</v>
      </c>
      <c r="XH17" s="1" t="s">
        <v>1202</v>
      </c>
      <c r="XI17" s="1" t="s">
        <v>1203</v>
      </c>
      <c r="XJ17" s="1" t="s">
        <v>1204</v>
      </c>
      <c r="XK17" s="1" t="s">
        <v>1205</v>
      </c>
      <c r="XL17" s="1" t="s">
        <v>1206</v>
      </c>
      <c r="XM17" s="1" t="s">
        <v>1207</v>
      </c>
      <c r="XN17" s="1" t="s">
        <v>1208</v>
      </c>
      <c r="XO17" s="1" t="s">
        <v>1209</v>
      </c>
      <c r="XP17" s="1" t="s">
        <v>1210</v>
      </c>
      <c r="XQ17" s="1" t="s">
        <v>1211</v>
      </c>
      <c r="XR17" s="1" t="s">
        <v>1212</v>
      </c>
      <c r="XS17" s="1" t="s">
        <v>1213</v>
      </c>
      <c r="XT17" s="1" t="s">
        <v>1214</v>
      </c>
      <c r="XU17" s="1" t="s">
        <v>1215</v>
      </c>
      <c r="XV17" s="1" t="s">
        <v>1216</v>
      </c>
      <c r="XW17" s="1" t="s">
        <v>1217</v>
      </c>
      <c r="XX17" s="1" t="s">
        <v>1218</v>
      </c>
      <c r="XY17" s="1" t="s">
        <v>1219</v>
      </c>
      <c r="XZ17" s="1" t="s">
        <v>1220</v>
      </c>
      <c r="YA17" s="1" t="s">
        <v>1221</v>
      </c>
      <c r="YB17" s="1" t="s">
        <v>1222</v>
      </c>
      <c r="YC17" s="1" t="s">
        <v>1223</v>
      </c>
      <c r="YD17" s="1" t="s">
        <v>1224</v>
      </c>
      <c r="YE17" s="1" t="s">
        <v>1225</v>
      </c>
      <c r="YF17" s="1" t="s">
        <v>1226</v>
      </c>
      <c r="YG17" s="1" t="s">
        <v>1227</v>
      </c>
      <c r="YH17" s="1" t="s">
        <v>1228</v>
      </c>
      <c r="YI17" s="1" t="s">
        <v>1229</v>
      </c>
      <c r="YJ17" s="1" t="s">
        <v>1230</v>
      </c>
      <c r="YK17" s="1" t="s">
        <v>1231</v>
      </c>
      <c r="YL17" s="1" t="s">
        <v>1232</v>
      </c>
      <c r="YM17" s="1" t="s">
        <v>1233</v>
      </c>
      <c r="YN17" s="1" t="s">
        <v>1234</v>
      </c>
      <c r="YO17" s="1" t="s">
        <v>1235</v>
      </c>
      <c r="YP17" s="1" t="s">
        <v>1236</v>
      </c>
      <c r="YQ17" s="1" t="s">
        <v>1237</v>
      </c>
      <c r="YR17" s="1" t="s">
        <v>1238</v>
      </c>
      <c r="YS17" s="1" t="s">
        <v>1239</v>
      </c>
      <c r="YT17" s="1" t="s">
        <v>1240</v>
      </c>
      <c r="YU17" s="1" t="s">
        <v>1241</v>
      </c>
      <c r="YV17" s="1" t="s">
        <v>1242</v>
      </c>
      <c r="YW17" s="1" t="s">
        <v>1243</v>
      </c>
      <c r="YX17" s="1" t="s">
        <v>1244</v>
      </c>
      <c r="YY17" s="1" t="s">
        <v>1245</v>
      </c>
      <c r="YZ17" s="1" t="s">
        <v>1246</v>
      </c>
      <c r="ZA17" s="1" t="s">
        <v>1247</v>
      </c>
      <c r="ZB17" s="1" t="s">
        <v>1248</v>
      </c>
      <c r="ZC17" s="1" t="s">
        <v>1249</v>
      </c>
      <c r="ZD17" s="1" t="s">
        <v>1250</v>
      </c>
      <c r="ZE17" s="1" t="s">
        <v>1251</v>
      </c>
      <c r="ZF17" s="1" t="s">
        <v>1252</v>
      </c>
      <c r="ZG17" s="1" t="s">
        <v>1253</v>
      </c>
      <c r="ZH17" s="1" t="s">
        <v>1254</v>
      </c>
      <c r="ZI17" s="1" t="s">
        <v>1255</v>
      </c>
      <c r="ZJ17" s="1" t="s">
        <v>1256</v>
      </c>
      <c r="ZK17" s="1" t="s">
        <v>1257</v>
      </c>
      <c r="ZL17" s="1" t="s">
        <v>1258</v>
      </c>
      <c r="ZM17" s="1" t="s">
        <v>1259</v>
      </c>
      <c r="ZN17" s="1" t="s">
        <v>1260</v>
      </c>
      <c r="ZO17" s="1" t="s">
        <v>1261</v>
      </c>
      <c r="ZP17" s="1" t="s">
        <v>1262</v>
      </c>
      <c r="ZQ17" s="1" t="s">
        <v>1263</v>
      </c>
      <c r="ZR17" s="1" t="s">
        <v>1264</v>
      </c>
      <c r="ZS17" s="1" t="s">
        <v>1265</v>
      </c>
      <c r="ZT17" s="1" t="s">
        <v>1266</v>
      </c>
      <c r="ZU17" s="1" t="s">
        <v>1267</v>
      </c>
      <c r="ZV17" s="1" t="s">
        <v>1268</v>
      </c>
      <c r="ZW17" s="1" t="s">
        <v>1269</v>
      </c>
      <c r="ZX17" s="1" t="s">
        <v>1270</v>
      </c>
      <c r="ZY17" s="1" t="s">
        <v>1271</v>
      </c>
      <c r="ZZ17" s="1" t="s">
        <v>1272</v>
      </c>
      <c r="AAA17" s="1" t="s">
        <v>1273</v>
      </c>
      <c r="AAB17" s="1" t="s">
        <v>1274</v>
      </c>
      <c r="AAC17" s="1" t="s">
        <v>1275</v>
      </c>
      <c r="AAD17" s="1" t="s">
        <v>1276</v>
      </c>
      <c r="AAE17" s="1" t="s">
        <v>1277</v>
      </c>
      <c r="AAF17" s="1" t="s">
        <v>1278</v>
      </c>
      <c r="AAG17" s="1" t="s">
        <v>1279</v>
      </c>
      <c r="AAH17" s="1" t="s">
        <v>1280</v>
      </c>
      <c r="AAI17" s="1" t="s">
        <v>1281</v>
      </c>
      <c r="AAJ17" s="1" t="s">
        <v>1282</v>
      </c>
      <c r="AAK17" s="1" t="s">
        <v>1283</v>
      </c>
      <c r="AAL17" s="1" t="s">
        <v>1284</v>
      </c>
      <c r="AAM17" s="1" t="s">
        <v>1285</v>
      </c>
      <c r="AAN17" s="1" t="s">
        <v>1286</v>
      </c>
      <c r="AAO17" s="1" t="s">
        <v>1287</v>
      </c>
      <c r="AAP17" s="1" t="s">
        <v>1288</v>
      </c>
      <c r="AAQ17" s="1" t="s">
        <v>1289</v>
      </c>
      <c r="AAR17" s="1" t="s">
        <v>1290</v>
      </c>
      <c r="AAS17" s="1" t="s">
        <v>1291</v>
      </c>
      <c r="AAT17" s="1" t="s">
        <v>1292</v>
      </c>
      <c r="AAU17" s="1" t="s">
        <v>1293</v>
      </c>
      <c r="AAV17" s="1" t="s">
        <v>1294</v>
      </c>
      <c r="AAW17" s="1" t="s">
        <v>1295</v>
      </c>
      <c r="AAX17" s="1" t="s">
        <v>1296</v>
      </c>
      <c r="AAY17" s="1" t="s">
        <v>1297</v>
      </c>
      <c r="AAZ17" s="1" t="s">
        <v>1298</v>
      </c>
      <c r="ABA17" s="1" t="s">
        <v>1299</v>
      </c>
      <c r="ABB17" s="1" t="s">
        <v>1300</v>
      </c>
      <c r="ABC17" s="1" t="s">
        <v>1301</v>
      </c>
      <c r="ABD17" s="1" t="s">
        <v>1302</v>
      </c>
      <c r="ABE17" s="1" t="s">
        <v>1303</v>
      </c>
      <c r="ABF17" s="1" t="s">
        <v>1304</v>
      </c>
      <c r="ABG17" s="1" t="s">
        <v>1305</v>
      </c>
      <c r="ABH17" s="1" t="s">
        <v>1306</v>
      </c>
      <c r="ABI17" s="1" t="s">
        <v>1307</v>
      </c>
      <c r="ABJ17" s="1" t="s">
        <v>1308</v>
      </c>
      <c r="ABK17" s="1" t="s">
        <v>1309</v>
      </c>
      <c r="ABL17" s="1" t="s">
        <v>1310</v>
      </c>
      <c r="ABM17" s="1" t="s">
        <v>1311</v>
      </c>
      <c r="ABN17" s="1" t="s">
        <v>1312</v>
      </c>
      <c r="ABO17" s="1" t="s">
        <v>1313</v>
      </c>
      <c r="ABP17" s="1" t="s">
        <v>1314</v>
      </c>
      <c r="ABQ17" s="1" t="s">
        <v>1315</v>
      </c>
      <c r="ABR17" s="1" t="s">
        <v>1316</v>
      </c>
      <c r="ABS17" s="1" t="s">
        <v>1317</v>
      </c>
      <c r="ABT17" s="1" t="s">
        <v>1318</v>
      </c>
      <c r="ABU17" s="1" t="s">
        <v>1319</v>
      </c>
      <c r="ABV17" s="1" t="s">
        <v>1320</v>
      </c>
      <c r="ABW17" s="1" t="s">
        <v>1321</v>
      </c>
      <c r="ABX17" s="1" t="s">
        <v>1322</v>
      </c>
      <c r="ABY17" s="1" t="s">
        <v>1323</v>
      </c>
      <c r="ABZ17" s="1" t="s">
        <v>1324</v>
      </c>
      <c r="ACA17" s="1" t="s">
        <v>1325</v>
      </c>
      <c r="ACB17" s="1" t="s">
        <v>1326</v>
      </c>
      <c r="ACC17" s="1" t="s">
        <v>1327</v>
      </c>
      <c r="ACD17" s="1" t="s">
        <v>1328</v>
      </c>
      <c r="ACE17" s="1" t="s">
        <v>1329</v>
      </c>
      <c r="ACF17" s="1" t="s">
        <v>1330</v>
      </c>
      <c r="ACG17" s="1" t="s">
        <v>1331</v>
      </c>
      <c r="ACH17" s="1" t="s">
        <v>1332</v>
      </c>
      <c r="ACI17" s="1" t="s">
        <v>1333</v>
      </c>
      <c r="ACJ17" s="1" t="s">
        <v>1334</v>
      </c>
      <c r="ACK17" s="1" t="s">
        <v>1335</v>
      </c>
      <c r="ACL17" s="1" t="s">
        <v>1336</v>
      </c>
      <c r="ACM17" s="1" t="s">
        <v>1337</v>
      </c>
      <c r="ACN17" s="1" t="s">
        <v>1338</v>
      </c>
      <c r="ACO17" s="1" t="s">
        <v>1339</v>
      </c>
      <c r="ACP17" s="1" t="s">
        <v>1340</v>
      </c>
      <c r="ACQ17" s="1" t="s">
        <v>1341</v>
      </c>
      <c r="ACR17" s="1" t="s">
        <v>1342</v>
      </c>
      <c r="ACS17" s="1" t="s">
        <v>1343</v>
      </c>
      <c r="ACT17" s="1" t="s">
        <v>1344</v>
      </c>
      <c r="ACU17" s="1" t="s">
        <v>1345</v>
      </c>
      <c r="ACV17" s="1" t="s">
        <v>1346</v>
      </c>
      <c r="ACW17" s="1" t="s">
        <v>1347</v>
      </c>
      <c r="ACX17" s="1" t="s">
        <v>1348</v>
      </c>
      <c r="ACY17" s="1" t="s">
        <v>1349</v>
      </c>
      <c r="ACZ17" s="1" t="s">
        <v>1350</v>
      </c>
      <c r="ADA17" s="1" t="s">
        <v>1351</v>
      </c>
      <c r="ADB17" s="1" t="s">
        <v>1352</v>
      </c>
      <c r="ADC17" s="1" t="s">
        <v>1353</v>
      </c>
      <c r="ADD17" s="1" t="s">
        <v>1354</v>
      </c>
      <c r="ADE17" s="1" t="s">
        <v>1355</v>
      </c>
      <c r="ADF17" s="1" t="s">
        <v>1356</v>
      </c>
      <c r="ADG17" s="1" t="s">
        <v>1357</v>
      </c>
      <c r="ADH17" s="1" t="s">
        <v>1358</v>
      </c>
      <c r="ADI17" s="1" t="s">
        <v>1359</v>
      </c>
      <c r="ADJ17" s="1" t="s">
        <v>1360</v>
      </c>
      <c r="ADK17" s="1" t="s">
        <v>1361</v>
      </c>
      <c r="ADL17" s="1" t="s">
        <v>1362</v>
      </c>
      <c r="ADM17" s="1" t="s">
        <v>1363</v>
      </c>
      <c r="ADN17" s="1" t="s">
        <v>1364</v>
      </c>
      <c r="ADO17" s="1" t="s">
        <v>1365</v>
      </c>
      <c r="ADP17" s="1" t="s">
        <v>1366</v>
      </c>
      <c r="ADQ17" s="1" t="s">
        <v>1367</v>
      </c>
      <c r="ADR17" s="1" t="s">
        <v>1368</v>
      </c>
      <c r="ADS17" s="1" t="s">
        <v>1369</v>
      </c>
      <c r="ADT17" s="1" t="s">
        <v>1370</v>
      </c>
      <c r="ADU17" s="1" t="s">
        <v>1371</v>
      </c>
      <c r="ADV17" s="1" t="s">
        <v>1372</v>
      </c>
      <c r="ADW17" s="1" t="s">
        <v>1373</v>
      </c>
      <c r="ADX17" s="1" t="s">
        <v>1374</v>
      </c>
      <c r="ADY17" s="1" t="s">
        <v>1375</v>
      </c>
      <c r="ADZ17" s="1" t="s">
        <v>1376</v>
      </c>
      <c r="AEA17" s="1" t="s">
        <v>1377</v>
      </c>
      <c r="AEB17" s="1" t="s">
        <v>1378</v>
      </c>
      <c r="AEC17" s="1" t="s">
        <v>1379</v>
      </c>
      <c r="AED17" s="1" t="s">
        <v>1380</v>
      </c>
      <c r="AEE17" s="1" t="s">
        <v>1381</v>
      </c>
      <c r="AEF17" s="1" t="s">
        <v>1382</v>
      </c>
      <c r="AEG17" s="1" t="s">
        <v>1383</v>
      </c>
      <c r="AEH17" s="1" t="s">
        <v>1384</v>
      </c>
      <c r="AEI17" s="1" t="s">
        <v>1385</v>
      </c>
      <c r="AEJ17" s="1" t="s">
        <v>1386</v>
      </c>
      <c r="AEK17" s="1" t="s">
        <v>1387</v>
      </c>
      <c r="AEL17" s="1" t="s">
        <v>1388</v>
      </c>
      <c r="AEM17" s="1" t="s">
        <v>1389</v>
      </c>
      <c r="AEN17" s="1" t="s">
        <v>1390</v>
      </c>
      <c r="AEO17" s="1" t="s">
        <v>1391</v>
      </c>
      <c r="AEP17" s="1" t="s">
        <v>1392</v>
      </c>
      <c r="AEQ17" s="1" t="s">
        <v>1393</v>
      </c>
      <c r="AER17" s="1" t="s">
        <v>1394</v>
      </c>
      <c r="AES17" s="1" t="s">
        <v>1395</v>
      </c>
      <c r="AET17" s="1" t="s">
        <v>1396</v>
      </c>
      <c r="AEU17" s="1" t="s">
        <v>1397</v>
      </c>
      <c r="AEV17" s="1" t="s">
        <v>1398</v>
      </c>
      <c r="AEW17" s="1" t="s">
        <v>1399</v>
      </c>
      <c r="AEX17" s="1" t="s">
        <v>1400</v>
      </c>
      <c r="AEY17" s="1" t="s">
        <v>1401</v>
      </c>
      <c r="AEZ17" s="1" t="s">
        <v>1402</v>
      </c>
      <c r="AFA17" s="1" t="s">
        <v>1403</v>
      </c>
      <c r="AFB17" s="1" t="s">
        <v>1404</v>
      </c>
      <c r="AFC17" s="1" t="s">
        <v>1405</v>
      </c>
      <c r="AFD17" s="1" t="s">
        <v>1406</v>
      </c>
      <c r="AFE17" s="1" t="s">
        <v>1407</v>
      </c>
      <c r="AFF17" s="1" t="s">
        <v>1408</v>
      </c>
      <c r="AFG17" s="1" t="s">
        <v>1409</v>
      </c>
      <c r="AFH17" s="1" t="s">
        <v>1410</v>
      </c>
      <c r="AFI17" s="1" t="s">
        <v>1411</v>
      </c>
      <c r="AFJ17" s="1" t="s">
        <v>1412</v>
      </c>
      <c r="AFK17" s="1" t="s">
        <v>1413</v>
      </c>
      <c r="AFL17" s="1" t="s">
        <v>1414</v>
      </c>
      <c r="AFM17" s="1" t="s">
        <v>1415</v>
      </c>
      <c r="AFN17" s="1" t="s">
        <v>1416</v>
      </c>
      <c r="AFO17" s="1" t="s">
        <v>1417</v>
      </c>
      <c r="AFP17" s="1" t="s">
        <v>1418</v>
      </c>
      <c r="AFQ17" s="1" t="s">
        <v>1419</v>
      </c>
      <c r="AFR17" s="1" t="s">
        <v>1420</v>
      </c>
      <c r="AFS17" s="1" t="s">
        <v>1421</v>
      </c>
      <c r="AFT17" s="1" t="s">
        <v>1422</v>
      </c>
      <c r="AFU17" s="1" t="s">
        <v>1423</v>
      </c>
      <c r="AFV17" s="1" t="s">
        <v>1424</v>
      </c>
      <c r="AFW17" s="1" t="s">
        <v>1425</v>
      </c>
      <c r="AFX17" s="1" t="s">
        <v>1426</v>
      </c>
      <c r="AFY17" s="1" t="s">
        <v>1427</v>
      </c>
      <c r="AFZ17" s="1" t="s">
        <v>1428</v>
      </c>
      <c r="AGA17" s="1" t="s">
        <v>1429</v>
      </c>
      <c r="AGB17" s="1" t="s">
        <v>1430</v>
      </c>
      <c r="AGC17" s="1" t="s">
        <v>1431</v>
      </c>
      <c r="AGD17" s="1" t="s">
        <v>1432</v>
      </c>
      <c r="AGE17" s="1" t="s">
        <v>1433</v>
      </c>
      <c r="AGF17" s="1" t="s">
        <v>1434</v>
      </c>
      <c r="AGG17" s="1" t="s">
        <v>1435</v>
      </c>
      <c r="AGH17" s="1" t="s">
        <v>1436</v>
      </c>
      <c r="AGI17" s="1" t="s">
        <v>1437</v>
      </c>
      <c r="AGJ17" s="1" t="s">
        <v>1438</v>
      </c>
      <c r="AGK17" s="1" t="s">
        <v>1439</v>
      </c>
      <c r="AGL17" s="1" t="s">
        <v>1440</v>
      </c>
      <c r="AGM17" s="1" t="s">
        <v>1441</v>
      </c>
      <c r="AGN17" s="1" t="s">
        <v>1442</v>
      </c>
      <c r="AGO17" s="1" t="s">
        <v>1443</v>
      </c>
      <c r="AGP17" s="1" t="s">
        <v>1444</v>
      </c>
      <c r="AGQ17" s="1" t="s">
        <v>1445</v>
      </c>
      <c r="AGR17" s="1" t="s">
        <v>1446</v>
      </c>
      <c r="AGS17" s="1" t="s">
        <v>1447</v>
      </c>
      <c r="AGT17" s="1" t="s">
        <v>1448</v>
      </c>
      <c r="AGU17" s="1" t="s">
        <v>1449</v>
      </c>
      <c r="AGV17" s="1" t="s">
        <v>1450</v>
      </c>
      <c r="AGW17" s="1" t="s">
        <v>1451</v>
      </c>
      <c r="AGX17" s="1" t="s">
        <v>1452</v>
      </c>
      <c r="AGY17" s="1" t="s">
        <v>1453</v>
      </c>
      <c r="AGZ17" s="1" t="s">
        <v>1454</v>
      </c>
      <c r="AHA17" s="1" t="s">
        <v>1455</v>
      </c>
      <c r="AHB17" s="1" t="s">
        <v>1456</v>
      </c>
      <c r="AHC17" s="1" t="s">
        <v>1457</v>
      </c>
      <c r="AHD17" s="1" t="s">
        <v>1458</v>
      </c>
      <c r="AHE17" s="1" t="s">
        <v>1459</v>
      </c>
      <c r="AHF17" s="1" t="s">
        <v>1460</v>
      </c>
      <c r="AHG17" s="1" t="s">
        <v>1461</v>
      </c>
      <c r="AHH17" s="1" t="s">
        <v>1462</v>
      </c>
      <c r="AHI17" s="1" t="s">
        <v>1463</v>
      </c>
      <c r="AHJ17" s="1" t="s">
        <v>1464</v>
      </c>
      <c r="AHK17" s="1" t="s">
        <v>1465</v>
      </c>
      <c r="AHL17" s="1" t="s">
        <v>1466</v>
      </c>
      <c r="AHM17" s="1" t="s">
        <v>1467</v>
      </c>
      <c r="AHN17" s="1" t="s">
        <v>1468</v>
      </c>
      <c r="AHO17" s="1" t="s">
        <v>1469</v>
      </c>
      <c r="AHP17" s="1" t="s">
        <v>1470</v>
      </c>
      <c r="AHQ17" s="1" t="s">
        <v>1471</v>
      </c>
      <c r="AHR17" s="1" t="s">
        <v>1472</v>
      </c>
      <c r="AHS17" s="1" t="s">
        <v>1473</v>
      </c>
      <c r="AHT17" s="1" t="s">
        <v>1474</v>
      </c>
      <c r="AHU17" s="1" t="s">
        <v>1475</v>
      </c>
      <c r="AHV17" s="1" t="s">
        <v>1476</v>
      </c>
      <c r="AHW17" s="1" t="s">
        <v>1477</v>
      </c>
      <c r="AHX17" s="1" t="s">
        <v>1478</v>
      </c>
      <c r="AHY17" s="1" t="s">
        <v>1479</v>
      </c>
      <c r="AHZ17" s="1" t="s">
        <v>1480</v>
      </c>
      <c r="AIA17" s="1" t="s">
        <v>1481</v>
      </c>
      <c r="AIB17" s="1" t="s">
        <v>1482</v>
      </c>
      <c r="AIC17" s="1" t="s">
        <v>1483</v>
      </c>
      <c r="AID17" s="1" t="s">
        <v>1484</v>
      </c>
      <c r="AIE17" s="1" t="s">
        <v>1485</v>
      </c>
      <c r="AIF17" s="1" t="s">
        <v>1486</v>
      </c>
      <c r="AIG17" s="1" t="s">
        <v>1487</v>
      </c>
      <c r="AIH17" s="1" t="s">
        <v>1488</v>
      </c>
      <c r="AII17" s="1" t="s">
        <v>1489</v>
      </c>
      <c r="AIJ17" s="1" t="s">
        <v>1490</v>
      </c>
      <c r="AIK17" s="1" t="s">
        <v>1491</v>
      </c>
      <c r="AIL17" s="1" t="s">
        <v>1492</v>
      </c>
      <c r="AIM17" s="1" t="s">
        <v>1493</v>
      </c>
      <c r="AIN17" s="1" t="s">
        <v>1494</v>
      </c>
      <c r="AIO17" s="1" t="s">
        <v>1495</v>
      </c>
      <c r="AIP17" s="1" t="s">
        <v>1496</v>
      </c>
      <c r="AIQ17" s="1" t="s">
        <v>1497</v>
      </c>
      <c r="AIR17" s="1" t="s">
        <v>1498</v>
      </c>
      <c r="AIS17" s="1" t="s">
        <v>1499</v>
      </c>
      <c r="AIT17" s="1" t="s">
        <v>1500</v>
      </c>
      <c r="AIU17" s="1" t="s">
        <v>1501</v>
      </c>
      <c r="AIV17" s="1" t="s">
        <v>1502</v>
      </c>
      <c r="AIW17" s="1" t="s">
        <v>1503</v>
      </c>
      <c r="AIX17" s="1" t="s">
        <v>1504</v>
      </c>
      <c r="AIY17" s="1" t="s">
        <v>1505</v>
      </c>
      <c r="AIZ17" s="1" t="s">
        <v>1506</v>
      </c>
      <c r="AJA17" s="1" t="s">
        <v>1507</v>
      </c>
      <c r="AJB17" s="1" t="s">
        <v>1508</v>
      </c>
      <c r="AJC17" s="1" t="s">
        <v>1509</v>
      </c>
      <c r="AJD17" s="1" t="s">
        <v>1510</v>
      </c>
      <c r="AJE17" s="1" t="s">
        <v>1511</v>
      </c>
      <c r="AJF17" s="1" t="s">
        <v>1512</v>
      </c>
      <c r="AJG17" s="1" t="s">
        <v>1513</v>
      </c>
      <c r="AJH17" s="1" t="s">
        <v>1514</v>
      </c>
      <c r="AJI17" s="1" t="s">
        <v>1515</v>
      </c>
      <c r="AJJ17" s="1" t="s">
        <v>1516</v>
      </c>
      <c r="AJK17" s="1" t="s">
        <v>1517</v>
      </c>
      <c r="AJL17" s="1" t="s">
        <v>1518</v>
      </c>
      <c r="AJM17" s="1" t="s">
        <v>1519</v>
      </c>
      <c r="AJN17" s="1" t="s">
        <v>1520</v>
      </c>
      <c r="AJO17" s="1" t="s">
        <v>1521</v>
      </c>
      <c r="AJP17" s="1" t="s">
        <v>1522</v>
      </c>
      <c r="AJQ17" s="1" t="s">
        <v>1523</v>
      </c>
      <c r="AJR17" s="1" t="s">
        <v>1524</v>
      </c>
      <c r="AJS17" s="1" t="s">
        <v>1525</v>
      </c>
      <c r="AJT17" s="1" t="s">
        <v>1526</v>
      </c>
      <c r="AJU17" s="1" t="s">
        <v>1527</v>
      </c>
      <c r="AJV17" s="1" t="s">
        <v>1528</v>
      </c>
      <c r="AJW17" s="1" t="s">
        <v>1529</v>
      </c>
      <c r="AJX17" s="1" t="s">
        <v>1530</v>
      </c>
      <c r="AJY17" s="1" t="s">
        <v>1531</v>
      </c>
      <c r="AJZ17" s="1" t="s">
        <v>1532</v>
      </c>
      <c r="AKA17" s="1" t="s">
        <v>1533</v>
      </c>
      <c r="AKB17" s="1" t="s">
        <v>1534</v>
      </c>
      <c r="AKC17" s="1" t="s">
        <v>1535</v>
      </c>
      <c r="AKD17" s="1" t="s">
        <v>1536</v>
      </c>
      <c r="AKE17" s="1" t="s">
        <v>1537</v>
      </c>
      <c r="AKF17" s="1" t="s">
        <v>1538</v>
      </c>
      <c r="AKG17" s="1" t="s">
        <v>1539</v>
      </c>
      <c r="AKH17" s="1" t="s">
        <v>1540</v>
      </c>
      <c r="AKI17" s="1" t="s">
        <v>1541</v>
      </c>
      <c r="AKJ17" s="1" t="s">
        <v>1542</v>
      </c>
      <c r="AKK17" s="1" t="s">
        <v>1543</v>
      </c>
      <c r="AKL17" s="1" t="s">
        <v>1544</v>
      </c>
      <c r="AKM17" s="1" t="s">
        <v>1545</v>
      </c>
      <c r="AKN17" s="1" t="s">
        <v>1546</v>
      </c>
      <c r="AKO17" s="1" t="s">
        <v>1547</v>
      </c>
      <c r="AKP17" s="1" t="s">
        <v>1548</v>
      </c>
      <c r="AKQ17" s="1" t="s">
        <v>1549</v>
      </c>
      <c r="AKR17" s="1" t="s">
        <v>1550</v>
      </c>
      <c r="AKS17" s="1" t="s">
        <v>1551</v>
      </c>
      <c r="AKT17" s="1" t="s">
        <v>1552</v>
      </c>
      <c r="AKU17" s="1" t="s">
        <v>1553</v>
      </c>
      <c r="AKV17" s="1" t="s">
        <v>1554</v>
      </c>
      <c r="AKW17" s="1" t="s">
        <v>1555</v>
      </c>
      <c r="AKX17" s="1" t="s">
        <v>1556</v>
      </c>
      <c r="AKY17" s="1" t="s">
        <v>1557</v>
      </c>
      <c r="AKZ17" s="1" t="s">
        <v>1558</v>
      </c>
      <c r="ALA17" s="1" t="s">
        <v>1559</v>
      </c>
      <c r="ALB17" s="1" t="s">
        <v>1560</v>
      </c>
      <c r="ALC17" s="1" t="s">
        <v>1561</v>
      </c>
      <c r="ALD17" s="1" t="s">
        <v>1562</v>
      </c>
      <c r="ALE17" s="1" t="s">
        <v>1563</v>
      </c>
      <c r="ALF17" s="1" t="s">
        <v>1564</v>
      </c>
      <c r="ALG17" s="1" t="s">
        <v>1565</v>
      </c>
      <c r="ALH17" s="1" t="s">
        <v>1566</v>
      </c>
      <c r="ALI17" s="1" t="s">
        <v>1567</v>
      </c>
      <c r="ALJ17" s="1" t="s">
        <v>1568</v>
      </c>
      <c r="ALK17" s="1" t="s">
        <v>1569</v>
      </c>
      <c r="ALL17" s="1" t="s">
        <v>1570</v>
      </c>
      <c r="ALM17" s="1" t="s">
        <v>1571</v>
      </c>
      <c r="ALN17" s="1" t="s">
        <v>1572</v>
      </c>
      <c r="ALO17" s="1" t="s">
        <v>1573</v>
      </c>
      <c r="ALP17" s="1" t="s">
        <v>1574</v>
      </c>
      <c r="ALQ17" s="1" t="s">
        <v>1575</v>
      </c>
      <c r="ALR17" s="1" t="s">
        <v>1576</v>
      </c>
      <c r="ALS17" s="1" t="s">
        <v>1577</v>
      </c>
      <c r="ALT17" s="1" t="s">
        <v>1578</v>
      </c>
      <c r="ALU17" s="1" t="s">
        <v>1579</v>
      </c>
      <c r="ALV17" s="1" t="s">
        <v>1580</v>
      </c>
      <c r="ALW17" s="1" t="s">
        <v>1581</v>
      </c>
      <c r="ALX17" s="1" t="s">
        <v>1582</v>
      </c>
      <c r="ALY17" s="1" t="s">
        <v>1583</v>
      </c>
      <c r="ALZ17" s="1" t="s">
        <v>1584</v>
      </c>
      <c r="AMA17" s="1" t="s">
        <v>1585</v>
      </c>
      <c r="AMB17" s="1" t="s">
        <v>1586</v>
      </c>
      <c r="AMC17" s="1" t="s">
        <v>1587</v>
      </c>
      <c r="AMD17" s="1" t="s">
        <v>1588</v>
      </c>
      <c r="AME17" s="1" t="s">
        <v>1589</v>
      </c>
      <c r="AMF17" s="1" t="s">
        <v>1590</v>
      </c>
      <c r="AMG17" s="1" t="s">
        <v>1591</v>
      </c>
      <c r="AMH17" s="1" t="s">
        <v>1592</v>
      </c>
    </row>
    <row r="18" spans="1:1022" ht="18.899999999999999" customHeight="1" x14ac:dyDescent="0.45">
      <c r="F18" s="2" t="s">
        <v>1593</v>
      </c>
      <c r="G18" s="5" t="s">
        <v>137</v>
      </c>
      <c r="H18" s="5">
        <v>10</v>
      </c>
      <c r="I18" s="5">
        <v>14</v>
      </c>
      <c r="K18" s="5">
        <v>13</v>
      </c>
      <c r="L18" s="5" t="s">
        <v>1594</v>
      </c>
      <c r="M18" s="5" t="s">
        <v>145</v>
      </c>
      <c r="U18" s="40" t="s">
        <v>1595</v>
      </c>
      <c r="V18" s="1" t="s">
        <v>1596</v>
      </c>
      <c r="W18" s="1" t="s">
        <v>1597</v>
      </c>
      <c r="X18" s="1" t="s">
        <v>1598</v>
      </c>
      <c r="Y18" s="1" t="s">
        <v>1599</v>
      </c>
      <c r="Z18" s="1" t="s">
        <v>1600</v>
      </c>
      <c r="AA18" s="1" t="s">
        <v>1601</v>
      </c>
      <c r="AB18" s="1" t="s">
        <v>1602</v>
      </c>
      <c r="AC18" s="1" t="s">
        <v>1603</v>
      </c>
      <c r="AD18" s="1" t="s">
        <v>1604</v>
      </c>
      <c r="AE18" s="1" t="s">
        <v>1605</v>
      </c>
      <c r="AF18" s="1" t="s">
        <v>1606</v>
      </c>
      <c r="AG18" s="1" t="s">
        <v>1607</v>
      </c>
      <c r="AH18" s="1" t="s">
        <v>1608</v>
      </c>
      <c r="AI18" s="1" t="s">
        <v>1609</v>
      </c>
      <c r="AJ18" s="1" t="s">
        <v>1610</v>
      </c>
      <c r="AK18" s="1" t="s">
        <v>1611</v>
      </c>
      <c r="AL18" s="1" t="s">
        <v>1612</v>
      </c>
      <c r="AM18" s="1" t="s">
        <v>1613</v>
      </c>
      <c r="AN18" s="1" t="s">
        <v>1614</v>
      </c>
      <c r="AO18" s="1" t="s">
        <v>1615</v>
      </c>
      <c r="AP18" s="1" t="s">
        <v>1616</v>
      </c>
      <c r="AQ18" s="1" t="s">
        <v>1617</v>
      </c>
      <c r="AR18" s="1" t="s">
        <v>1618</v>
      </c>
      <c r="AS18" s="1" t="s">
        <v>1619</v>
      </c>
      <c r="AT18" s="1" t="s">
        <v>1620</v>
      </c>
      <c r="AU18" s="1" t="s">
        <v>1621</v>
      </c>
      <c r="AV18" s="1" t="s">
        <v>1622</v>
      </c>
      <c r="AW18" s="1" t="s">
        <v>1623</v>
      </c>
      <c r="AX18" s="1" t="s">
        <v>1624</v>
      </c>
      <c r="AY18" s="1" t="s">
        <v>1625</v>
      </c>
      <c r="AZ18" s="1" t="s">
        <v>1626</v>
      </c>
      <c r="BA18" s="1" t="s">
        <v>1627</v>
      </c>
      <c r="BB18" s="1" t="s">
        <v>1628</v>
      </c>
      <c r="BC18" s="1" t="s">
        <v>1629</v>
      </c>
      <c r="BD18" s="1" t="s">
        <v>1630</v>
      </c>
      <c r="BE18" s="1" t="s">
        <v>1631</v>
      </c>
      <c r="BF18" s="1" t="s">
        <v>1632</v>
      </c>
      <c r="BG18" s="1" t="s">
        <v>1633</v>
      </c>
      <c r="BH18" s="1" t="s">
        <v>1634</v>
      </c>
      <c r="BI18" s="1" t="s">
        <v>1635</v>
      </c>
      <c r="BJ18" s="1" t="s">
        <v>1636</v>
      </c>
      <c r="BK18" s="1" t="s">
        <v>1637</v>
      </c>
      <c r="BL18" s="1" t="s">
        <v>1638</v>
      </c>
      <c r="BM18" s="1" t="s">
        <v>1639</v>
      </c>
      <c r="BN18" s="1" t="s">
        <v>1640</v>
      </c>
      <c r="BO18" s="1" t="s">
        <v>1641</v>
      </c>
      <c r="BP18" s="1" t="s">
        <v>1642</v>
      </c>
      <c r="BQ18" s="1" t="s">
        <v>1643</v>
      </c>
      <c r="BR18" s="1" t="s">
        <v>1644</v>
      </c>
      <c r="BS18" s="1" t="s">
        <v>1645</v>
      </c>
      <c r="BT18" s="1" t="s">
        <v>1646</v>
      </c>
      <c r="BU18" s="1" t="s">
        <v>1647</v>
      </c>
      <c r="BV18" s="1" t="s">
        <v>1648</v>
      </c>
      <c r="BW18" s="1" t="s">
        <v>1649</v>
      </c>
      <c r="BX18" s="1" t="s">
        <v>1650</v>
      </c>
      <c r="BY18" s="1" t="s">
        <v>1651</v>
      </c>
      <c r="BZ18" s="1" t="s">
        <v>1652</v>
      </c>
      <c r="CA18" s="1" t="s">
        <v>1653</v>
      </c>
      <c r="CB18" s="1" t="s">
        <v>1654</v>
      </c>
      <c r="CC18" s="1" t="s">
        <v>1655</v>
      </c>
      <c r="CD18" s="1" t="s">
        <v>1656</v>
      </c>
      <c r="CE18" s="1" t="s">
        <v>1657</v>
      </c>
      <c r="CF18" s="1" t="s">
        <v>1658</v>
      </c>
      <c r="CG18" s="1" t="s">
        <v>1659</v>
      </c>
      <c r="CH18" s="1" t="s">
        <v>1660</v>
      </c>
      <c r="CI18" s="1" t="s">
        <v>1661</v>
      </c>
      <c r="CJ18" s="1" t="s">
        <v>1662</v>
      </c>
      <c r="CK18" s="1" t="s">
        <v>1663</v>
      </c>
      <c r="CL18" s="1" t="s">
        <v>1664</v>
      </c>
      <c r="CM18" s="1" t="s">
        <v>1665</v>
      </c>
      <c r="CN18" s="1" t="s">
        <v>1666</v>
      </c>
      <c r="CO18" s="1" t="s">
        <v>1667</v>
      </c>
      <c r="CP18" s="1" t="s">
        <v>1668</v>
      </c>
      <c r="CQ18" s="1" t="s">
        <v>1669</v>
      </c>
      <c r="CR18" s="1" t="s">
        <v>1670</v>
      </c>
      <c r="CS18" s="1" t="s">
        <v>1671</v>
      </c>
      <c r="CT18" s="1" t="s">
        <v>1672</v>
      </c>
      <c r="CU18" s="1" t="s">
        <v>1673</v>
      </c>
      <c r="CV18" s="1" t="s">
        <v>1674</v>
      </c>
      <c r="CW18" s="1" t="s">
        <v>1675</v>
      </c>
      <c r="CX18" s="1" t="s">
        <v>1676</v>
      </c>
      <c r="CY18" s="1" t="s">
        <v>1677</v>
      </c>
      <c r="CZ18" s="1" t="s">
        <v>1678</v>
      </c>
      <c r="DA18" s="1" t="s">
        <v>1679</v>
      </c>
      <c r="DB18" s="1" t="s">
        <v>1680</v>
      </c>
      <c r="DC18" s="1" t="s">
        <v>1681</v>
      </c>
      <c r="DD18" s="1" t="s">
        <v>1682</v>
      </c>
      <c r="DE18" s="1" t="s">
        <v>1683</v>
      </c>
      <c r="DF18" s="1" t="s">
        <v>1684</v>
      </c>
      <c r="DG18" s="1" t="s">
        <v>1685</v>
      </c>
      <c r="DH18" s="1" t="s">
        <v>1686</v>
      </c>
      <c r="DI18" s="1" t="s">
        <v>1687</v>
      </c>
      <c r="DJ18" s="1" t="s">
        <v>1688</v>
      </c>
      <c r="DK18" s="1" t="s">
        <v>1689</v>
      </c>
      <c r="DL18" s="1" t="s">
        <v>1690</v>
      </c>
      <c r="DM18" s="1" t="s">
        <v>1691</v>
      </c>
      <c r="DN18" s="1" t="s">
        <v>1692</v>
      </c>
      <c r="DO18" s="1" t="s">
        <v>1693</v>
      </c>
      <c r="DP18" s="1" t="s">
        <v>1694</v>
      </c>
      <c r="DQ18" s="1" t="s">
        <v>1695</v>
      </c>
      <c r="DR18" s="1" t="s">
        <v>1696</v>
      </c>
      <c r="DS18" s="1" t="s">
        <v>1697</v>
      </c>
      <c r="DT18" s="1" t="s">
        <v>1698</v>
      </c>
      <c r="DU18" s="1" t="s">
        <v>1699</v>
      </c>
      <c r="DV18" s="1" t="s">
        <v>1700</v>
      </c>
      <c r="DW18" s="1" t="s">
        <v>1701</v>
      </c>
      <c r="DX18" s="1" t="s">
        <v>1702</v>
      </c>
      <c r="DY18" s="1" t="s">
        <v>1703</v>
      </c>
      <c r="DZ18" s="1" t="s">
        <v>1704</v>
      </c>
      <c r="EA18" s="1" t="s">
        <v>1705</v>
      </c>
      <c r="EB18" s="1" t="s">
        <v>1706</v>
      </c>
      <c r="EC18" s="1" t="s">
        <v>1707</v>
      </c>
      <c r="ED18" s="1" t="s">
        <v>1708</v>
      </c>
      <c r="EE18" s="1" t="s">
        <v>1709</v>
      </c>
      <c r="EF18" s="1" t="s">
        <v>1710</v>
      </c>
      <c r="EG18" s="1" t="s">
        <v>1711</v>
      </c>
      <c r="EH18" s="1" t="s">
        <v>1712</v>
      </c>
      <c r="EI18" s="1" t="s">
        <v>1713</v>
      </c>
      <c r="EJ18" s="1" t="s">
        <v>1714</v>
      </c>
      <c r="EK18" s="1" t="s">
        <v>1715</v>
      </c>
      <c r="EL18" s="1" t="s">
        <v>1716</v>
      </c>
      <c r="EM18" s="1" t="s">
        <v>1717</v>
      </c>
      <c r="EN18" s="1" t="s">
        <v>1718</v>
      </c>
      <c r="EO18" s="1" t="s">
        <v>1719</v>
      </c>
      <c r="EP18" s="1" t="s">
        <v>1720</v>
      </c>
      <c r="EQ18" s="1" t="s">
        <v>1721</v>
      </c>
      <c r="ER18" s="1" t="s">
        <v>1722</v>
      </c>
      <c r="ES18" s="1" t="s">
        <v>1723</v>
      </c>
      <c r="ET18" s="1" t="s">
        <v>1724</v>
      </c>
      <c r="EU18" s="1" t="s">
        <v>1725</v>
      </c>
      <c r="EV18" s="1" t="s">
        <v>1726</v>
      </c>
      <c r="EW18" s="1" t="s">
        <v>1727</v>
      </c>
      <c r="EX18" s="1" t="s">
        <v>1728</v>
      </c>
      <c r="EY18" s="1" t="s">
        <v>1729</v>
      </c>
      <c r="EZ18" s="1" t="s">
        <v>1730</v>
      </c>
      <c r="FA18" s="1" t="s">
        <v>1731</v>
      </c>
      <c r="FB18" s="1" t="s">
        <v>1732</v>
      </c>
      <c r="FC18" s="1" t="s">
        <v>1733</v>
      </c>
      <c r="FD18" s="1" t="s">
        <v>1734</v>
      </c>
      <c r="FE18" s="1" t="s">
        <v>1735</v>
      </c>
      <c r="FF18" s="1" t="s">
        <v>1736</v>
      </c>
      <c r="FG18" s="1" t="s">
        <v>1737</v>
      </c>
      <c r="FH18" s="1" t="s">
        <v>1738</v>
      </c>
      <c r="FI18" s="1" t="s">
        <v>1739</v>
      </c>
      <c r="FJ18" s="1" t="s">
        <v>1740</v>
      </c>
      <c r="FK18" s="1" t="s">
        <v>1741</v>
      </c>
      <c r="FL18" s="1" t="s">
        <v>1742</v>
      </c>
      <c r="FM18" s="1" t="s">
        <v>1743</v>
      </c>
      <c r="FN18" s="1" t="s">
        <v>1744</v>
      </c>
      <c r="FO18" s="1" t="s">
        <v>1745</v>
      </c>
      <c r="FP18" s="1" t="s">
        <v>1746</v>
      </c>
      <c r="FQ18" s="1" t="s">
        <v>1747</v>
      </c>
      <c r="FR18" s="1" t="s">
        <v>1748</v>
      </c>
      <c r="FS18" s="1" t="s">
        <v>1749</v>
      </c>
      <c r="FT18" s="1" t="s">
        <v>1750</v>
      </c>
      <c r="FU18" s="1" t="s">
        <v>1751</v>
      </c>
      <c r="FV18" s="1" t="s">
        <v>1752</v>
      </c>
      <c r="FW18" s="1" t="s">
        <v>1753</v>
      </c>
      <c r="FX18" s="1" t="s">
        <v>1754</v>
      </c>
      <c r="FY18" s="1" t="s">
        <v>1755</v>
      </c>
      <c r="FZ18" s="1" t="s">
        <v>1756</v>
      </c>
      <c r="GA18" s="1" t="s">
        <v>1757</v>
      </c>
      <c r="GB18" s="1" t="s">
        <v>1758</v>
      </c>
      <c r="GC18" s="1" t="s">
        <v>1759</v>
      </c>
      <c r="GD18" s="1" t="s">
        <v>1760</v>
      </c>
      <c r="GE18" s="1" t="s">
        <v>1761</v>
      </c>
      <c r="GF18" s="1" t="s">
        <v>1762</v>
      </c>
      <c r="GG18" s="1" t="s">
        <v>1763</v>
      </c>
      <c r="GH18" s="1" t="s">
        <v>1764</v>
      </c>
      <c r="GI18" s="1" t="s">
        <v>1765</v>
      </c>
      <c r="GJ18" s="1" t="s">
        <v>1766</v>
      </c>
      <c r="GK18" s="1" t="s">
        <v>1767</v>
      </c>
      <c r="GL18" s="1" t="s">
        <v>1768</v>
      </c>
      <c r="GM18" s="1" t="s">
        <v>1769</v>
      </c>
      <c r="GN18" s="1" t="s">
        <v>1770</v>
      </c>
      <c r="GO18" s="1" t="s">
        <v>1771</v>
      </c>
      <c r="GP18" s="1" t="s">
        <v>1772</v>
      </c>
      <c r="GQ18" s="1" t="s">
        <v>1773</v>
      </c>
      <c r="GR18" s="1" t="s">
        <v>1774</v>
      </c>
      <c r="GS18" s="1" t="s">
        <v>1775</v>
      </c>
      <c r="GT18" s="1" t="s">
        <v>1776</v>
      </c>
      <c r="GU18" s="1" t="s">
        <v>1777</v>
      </c>
      <c r="GV18" s="1" t="s">
        <v>1778</v>
      </c>
      <c r="GW18" s="1" t="s">
        <v>1779</v>
      </c>
      <c r="GX18" s="1" t="s">
        <v>1780</v>
      </c>
      <c r="GY18" s="1" t="s">
        <v>1781</v>
      </c>
      <c r="GZ18" s="1" t="s">
        <v>1782</v>
      </c>
      <c r="HA18" s="1" t="s">
        <v>1783</v>
      </c>
      <c r="HB18" s="1" t="s">
        <v>1784</v>
      </c>
      <c r="HC18" s="1" t="s">
        <v>1785</v>
      </c>
      <c r="HD18" s="1" t="s">
        <v>1786</v>
      </c>
      <c r="HE18" s="1" t="s">
        <v>1787</v>
      </c>
      <c r="HF18" s="1" t="s">
        <v>1788</v>
      </c>
      <c r="HG18" s="1" t="s">
        <v>1789</v>
      </c>
      <c r="HH18" s="1" t="s">
        <v>1790</v>
      </c>
      <c r="HI18" s="1" t="s">
        <v>1791</v>
      </c>
      <c r="HJ18" s="1" t="s">
        <v>1792</v>
      </c>
      <c r="HK18" s="1" t="s">
        <v>1793</v>
      </c>
      <c r="HL18" s="1" t="s">
        <v>1794</v>
      </c>
      <c r="HM18" s="1" t="s">
        <v>1795</v>
      </c>
      <c r="HN18" s="1" t="s">
        <v>1796</v>
      </c>
      <c r="HO18" s="1" t="s">
        <v>1797</v>
      </c>
      <c r="HP18" s="1" t="s">
        <v>1798</v>
      </c>
      <c r="HQ18" s="1" t="s">
        <v>1799</v>
      </c>
      <c r="HR18" s="1" t="s">
        <v>1800</v>
      </c>
      <c r="HS18" s="1" t="s">
        <v>1801</v>
      </c>
      <c r="HT18" s="1" t="s">
        <v>1802</v>
      </c>
      <c r="HU18" s="1" t="s">
        <v>1803</v>
      </c>
      <c r="HV18" s="1" t="s">
        <v>1804</v>
      </c>
      <c r="HW18" s="1" t="s">
        <v>1805</v>
      </c>
      <c r="HX18" s="1" t="s">
        <v>1806</v>
      </c>
      <c r="HY18" s="1" t="s">
        <v>1807</v>
      </c>
      <c r="HZ18" s="1" t="s">
        <v>1808</v>
      </c>
      <c r="IA18" s="1" t="s">
        <v>1809</v>
      </c>
      <c r="IB18" s="1" t="s">
        <v>1810</v>
      </c>
      <c r="IC18" s="1" t="s">
        <v>1811</v>
      </c>
      <c r="ID18" s="1" t="s">
        <v>1812</v>
      </c>
      <c r="IE18" s="1" t="s">
        <v>1813</v>
      </c>
      <c r="IF18" s="1" t="s">
        <v>1814</v>
      </c>
      <c r="IG18" s="1" t="s">
        <v>1815</v>
      </c>
      <c r="IH18" s="1" t="s">
        <v>1816</v>
      </c>
      <c r="II18" s="1" t="s">
        <v>1817</v>
      </c>
      <c r="IJ18" s="1" t="s">
        <v>1818</v>
      </c>
      <c r="IK18" s="1" t="s">
        <v>1819</v>
      </c>
      <c r="IL18" s="1" t="s">
        <v>1820</v>
      </c>
      <c r="IM18" s="1" t="s">
        <v>1821</v>
      </c>
      <c r="IN18" s="1" t="s">
        <v>1822</v>
      </c>
      <c r="IO18" s="1" t="s">
        <v>1823</v>
      </c>
      <c r="IP18" s="1" t="s">
        <v>1824</v>
      </c>
      <c r="IQ18" s="1" t="s">
        <v>1825</v>
      </c>
      <c r="IR18" s="1" t="s">
        <v>1826</v>
      </c>
      <c r="IS18" s="1" t="s">
        <v>1827</v>
      </c>
      <c r="IT18" s="1" t="s">
        <v>1828</v>
      </c>
      <c r="IU18" s="1" t="s">
        <v>1829</v>
      </c>
      <c r="IV18" s="1" t="s">
        <v>1830</v>
      </c>
      <c r="IW18" s="1" t="s">
        <v>1831</v>
      </c>
      <c r="IX18" s="1" t="s">
        <v>1832</v>
      </c>
      <c r="IY18" s="1" t="s">
        <v>1833</v>
      </c>
      <c r="IZ18" s="1" t="s">
        <v>1834</v>
      </c>
      <c r="JA18" s="1" t="s">
        <v>1835</v>
      </c>
      <c r="JB18" s="1" t="s">
        <v>1836</v>
      </c>
      <c r="JC18" s="1" t="s">
        <v>1837</v>
      </c>
      <c r="JD18" s="1" t="s">
        <v>1838</v>
      </c>
      <c r="JE18" s="1" t="s">
        <v>1839</v>
      </c>
      <c r="JF18" s="1" t="s">
        <v>1840</v>
      </c>
      <c r="JG18" s="1" t="s">
        <v>1841</v>
      </c>
      <c r="JH18" s="1" t="s">
        <v>1842</v>
      </c>
      <c r="JI18" s="1" t="s">
        <v>1843</v>
      </c>
      <c r="JJ18" s="1" t="s">
        <v>1844</v>
      </c>
      <c r="JK18" s="1" t="s">
        <v>1845</v>
      </c>
      <c r="JL18" s="1" t="s">
        <v>1846</v>
      </c>
      <c r="JM18" s="1" t="s">
        <v>1847</v>
      </c>
      <c r="JN18" s="1" t="s">
        <v>1848</v>
      </c>
      <c r="JO18" s="1" t="s">
        <v>1849</v>
      </c>
      <c r="JP18" s="1" t="s">
        <v>1850</v>
      </c>
      <c r="JQ18" s="1" t="s">
        <v>1851</v>
      </c>
      <c r="JR18" s="1" t="s">
        <v>1852</v>
      </c>
      <c r="JS18" s="1" t="s">
        <v>1853</v>
      </c>
      <c r="JT18" s="1" t="s">
        <v>1854</v>
      </c>
      <c r="JU18" s="1" t="s">
        <v>1855</v>
      </c>
      <c r="JV18" s="1" t="s">
        <v>1856</v>
      </c>
      <c r="JW18" s="1" t="s">
        <v>1857</v>
      </c>
      <c r="JX18" s="1" t="s">
        <v>1858</v>
      </c>
      <c r="JY18" s="1" t="s">
        <v>1859</v>
      </c>
      <c r="JZ18" s="1" t="s">
        <v>1860</v>
      </c>
      <c r="KA18" s="1" t="s">
        <v>1861</v>
      </c>
      <c r="KB18" s="1" t="s">
        <v>1862</v>
      </c>
      <c r="KC18" s="1" t="s">
        <v>1863</v>
      </c>
      <c r="KD18" s="1" t="s">
        <v>1864</v>
      </c>
      <c r="KE18" s="1" t="s">
        <v>1865</v>
      </c>
      <c r="KF18" s="1" t="s">
        <v>1866</v>
      </c>
      <c r="KG18" s="1" t="s">
        <v>1867</v>
      </c>
      <c r="KH18" s="1" t="s">
        <v>1868</v>
      </c>
      <c r="KI18" s="1" t="s">
        <v>1869</v>
      </c>
      <c r="KJ18" s="1" t="s">
        <v>1870</v>
      </c>
      <c r="KK18" s="1" t="s">
        <v>1871</v>
      </c>
      <c r="KL18" s="1" t="s">
        <v>1872</v>
      </c>
      <c r="KM18" s="1" t="s">
        <v>1873</v>
      </c>
      <c r="KN18" s="1" t="s">
        <v>1874</v>
      </c>
      <c r="KO18" s="1" t="s">
        <v>1875</v>
      </c>
      <c r="KP18" s="1" t="s">
        <v>1876</v>
      </c>
      <c r="KQ18" s="1" t="s">
        <v>1877</v>
      </c>
      <c r="KR18" s="1" t="s">
        <v>1878</v>
      </c>
      <c r="KS18" s="1" t="s">
        <v>1879</v>
      </c>
      <c r="KT18" s="1" t="s">
        <v>1880</v>
      </c>
      <c r="KU18" s="1" t="s">
        <v>1881</v>
      </c>
      <c r="KV18" s="1" t="s">
        <v>1882</v>
      </c>
      <c r="KW18" s="1" t="s">
        <v>1883</v>
      </c>
      <c r="KX18" s="1" t="s">
        <v>1884</v>
      </c>
      <c r="KY18" s="1" t="s">
        <v>1885</v>
      </c>
      <c r="KZ18" s="1" t="s">
        <v>1886</v>
      </c>
      <c r="LA18" s="1" t="s">
        <v>1887</v>
      </c>
      <c r="LB18" s="1" t="s">
        <v>1888</v>
      </c>
      <c r="LC18" s="1" t="s">
        <v>1889</v>
      </c>
      <c r="LD18" s="1" t="s">
        <v>1890</v>
      </c>
      <c r="LE18" s="1" t="s">
        <v>1891</v>
      </c>
      <c r="LF18" s="1" t="s">
        <v>1892</v>
      </c>
      <c r="LG18" s="1" t="s">
        <v>1893</v>
      </c>
      <c r="LH18" s="1" t="s">
        <v>1894</v>
      </c>
      <c r="LI18" s="1" t="s">
        <v>1895</v>
      </c>
      <c r="LJ18" s="1" t="s">
        <v>1896</v>
      </c>
      <c r="LK18" s="1" t="s">
        <v>1897</v>
      </c>
      <c r="LL18" s="1" t="s">
        <v>1898</v>
      </c>
      <c r="LM18" s="1" t="s">
        <v>1899</v>
      </c>
      <c r="LN18" s="1" t="s">
        <v>1900</v>
      </c>
      <c r="LO18" s="1" t="s">
        <v>1901</v>
      </c>
      <c r="LP18" s="1" t="s">
        <v>1902</v>
      </c>
      <c r="LQ18" s="1" t="s">
        <v>1903</v>
      </c>
      <c r="LR18" s="1" t="s">
        <v>1904</v>
      </c>
      <c r="LS18" s="1" t="s">
        <v>1905</v>
      </c>
      <c r="LT18" s="1" t="s">
        <v>1906</v>
      </c>
      <c r="LU18" s="1" t="s">
        <v>1907</v>
      </c>
      <c r="LV18" s="1" t="s">
        <v>1908</v>
      </c>
      <c r="LW18" s="1" t="s">
        <v>1909</v>
      </c>
      <c r="LX18" s="1" t="s">
        <v>1910</v>
      </c>
      <c r="LY18" s="1" t="s">
        <v>1911</v>
      </c>
      <c r="LZ18" s="1" t="s">
        <v>1912</v>
      </c>
      <c r="MA18" s="1" t="s">
        <v>1913</v>
      </c>
      <c r="MB18" s="1" t="s">
        <v>1914</v>
      </c>
      <c r="MC18" s="1" t="s">
        <v>1915</v>
      </c>
      <c r="MD18" s="1" t="s">
        <v>1916</v>
      </c>
      <c r="ME18" s="1" t="s">
        <v>1917</v>
      </c>
      <c r="MF18" s="1" t="s">
        <v>1918</v>
      </c>
      <c r="MG18" s="1" t="s">
        <v>1919</v>
      </c>
      <c r="MH18" s="1" t="s">
        <v>1920</v>
      </c>
      <c r="MI18" s="1" t="s">
        <v>1921</v>
      </c>
      <c r="MJ18" s="1" t="s">
        <v>1922</v>
      </c>
      <c r="MK18" s="1" t="s">
        <v>1923</v>
      </c>
      <c r="ML18" s="1" t="s">
        <v>1924</v>
      </c>
      <c r="MM18" s="1" t="s">
        <v>1925</v>
      </c>
      <c r="MN18" s="1" t="s">
        <v>1926</v>
      </c>
      <c r="MO18" s="1" t="s">
        <v>1927</v>
      </c>
      <c r="MP18" s="1" t="s">
        <v>1928</v>
      </c>
      <c r="MQ18" s="1" t="s">
        <v>1929</v>
      </c>
      <c r="MR18" s="1" t="s">
        <v>1930</v>
      </c>
      <c r="MS18" s="1" t="s">
        <v>1931</v>
      </c>
      <c r="MT18" s="1" t="s">
        <v>1932</v>
      </c>
      <c r="MU18" s="1" t="s">
        <v>1933</v>
      </c>
      <c r="MV18" s="1" t="s">
        <v>1934</v>
      </c>
      <c r="MW18" s="1" t="s">
        <v>1935</v>
      </c>
      <c r="MX18" s="1" t="s">
        <v>1936</v>
      </c>
      <c r="MY18" s="1" t="s">
        <v>1937</v>
      </c>
      <c r="MZ18" s="1" t="s">
        <v>1938</v>
      </c>
      <c r="NA18" s="1" t="s">
        <v>1939</v>
      </c>
      <c r="NB18" s="1" t="s">
        <v>1940</v>
      </c>
      <c r="NC18" s="1" t="s">
        <v>1941</v>
      </c>
      <c r="ND18" s="1" t="s">
        <v>1942</v>
      </c>
      <c r="NE18" s="1" t="s">
        <v>1943</v>
      </c>
      <c r="NF18" s="1" t="s">
        <v>1944</v>
      </c>
      <c r="NG18" s="1" t="s">
        <v>1945</v>
      </c>
      <c r="NH18" s="1" t="s">
        <v>1946</v>
      </c>
      <c r="NI18" s="1" t="s">
        <v>1947</v>
      </c>
      <c r="NJ18" s="1" t="s">
        <v>1948</v>
      </c>
      <c r="NK18" s="1" t="s">
        <v>1949</v>
      </c>
      <c r="NL18" s="1" t="s">
        <v>1950</v>
      </c>
      <c r="NM18" s="1" t="s">
        <v>1951</v>
      </c>
      <c r="NN18" s="1" t="s">
        <v>1952</v>
      </c>
      <c r="NO18" s="1" t="s">
        <v>1953</v>
      </c>
      <c r="NP18" s="1" t="s">
        <v>1954</v>
      </c>
      <c r="NQ18" s="1" t="s">
        <v>1955</v>
      </c>
      <c r="NR18" s="1" t="s">
        <v>1956</v>
      </c>
      <c r="NS18" s="1" t="s">
        <v>1957</v>
      </c>
      <c r="NT18" s="1" t="s">
        <v>1958</v>
      </c>
      <c r="NU18" s="1" t="s">
        <v>1959</v>
      </c>
      <c r="NV18" s="1" t="s">
        <v>1960</v>
      </c>
      <c r="NW18" s="1" t="s">
        <v>1961</v>
      </c>
      <c r="NX18" s="1" t="s">
        <v>1962</v>
      </c>
      <c r="NY18" s="1" t="s">
        <v>1963</v>
      </c>
      <c r="NZ18" s="1" t="s">
        <v>1964</v>
      </c>
      <c r="OA18" s="1" t="s">
        <v>1965</v>
      </c>
      <c r="OB18" s="1" t="s">
        <v>1966</v>
      </c>
      <c r="OC18" s="1" t="s">
        <v>1967</v>
      </c>
      <c r="OD18" s="1" t="s">
        <v>1968</v>
      </c>
      <c r="OE18" s="1" t="s">
        <v>1969</v>
      </c>
      <c r="OF18" s="1" t="s">
        <v>1970</v>
      </c>
      <c r="OG18" s="1" t="s">
        <v>1971</v>
      </c>
      <c r="OH18" s="1" t="s">
        <v>1972</v>
      </c>
      <c r="OI18" s="1" t="s">
        <v>1973</v>
      </c>
      <c r="OJ18" s="1" t="s">
        <v>1974</v>
      </c>
      <c r="OK18" s="1" t="s">
        <v>1975</v>
      </c>
      <c r="OL18" s="1" t="s">
        <v>1976</v>
      </c>
      <c r="OM18" s="1" t="s">
        <v>1977</v>
      </c>
      <c r="ON18" s="1" t="s">
        <v>1978</v>
      </c>
      <c r="OO18" s="1" t="s">
        <v>1979</v>
      </c>
      <c r="OP18" s="1" t="s">
        <v>1980</v>
      </c>
      <c r="OQ18" s="1" t="s">
        <v>1981</v>
      </c>
      <c r="OR18" s="1" t="s">
        <v>1982</v>
      </c>
      <c r="OS18" s="1" t="s">
        <v>1983</v>
      </c>
      <c r="OT18" s="1" t="s">
        <v>1984</v>
      </c>
      <c r="OU18" s="1" t="s">
        <v>1985</v>
      </c>
      <c r="OV18" s="1" t="s">
        <v>1986</v>
      </c>
      <c r="OW18" s="1" t="s">
        <v>1987</v>
      </c>
      <c r="OX18" s="1" t="s">
        <v>1988</v>
      </c>
      <c r="OY18" s="1" t="s">
        <v>1989</v>
      </c>
      <c r="OZ18" s="1" t="s">
        <v>1990</v>
      </c>
      <c r="PA18" s="1" t="s">
        <v>1991</v>
      </c>
      <c r="PB18" s="1" t="s">
        <v>1992</v>
      </c>
      <c r="PC18" s="1" t="s">
        <v>1993</v>
      </c>
      <c r="PD18" s="1" t="s">
        <v>1994</v>
      </c>
      <c r="PE18" s="1" t="s">
        <v>1995</v>
      </c>
      <c r="PF18" s="1" t="s">
        <v>1996</v>
      </c>
      <c r="PG18" s="1" t="s">
        <v>1997</v>
      </c>
      <c r="PH18" s="1" t="s">
        <v>1998</v>
      </c>
      <c r="PI18" s="1" t="s">
        <v>1999</v>
      </c>
      <c r="PJ18" s="1" t="s">
        <v>2000</v>
      </c>
      <c r="PK18" s="1" t="s">
        <v>2001</v>
      </c>
      <c r="PL18" s="1" t="s">
        <v>2002</v>
      </c>
      <c r="PM18" s="1" t="s">
        <v>2003</v>
      </c>
      <c r="PN18" s="1" t="s">
        <v>2004</v>
      </c>
      <c r="PO18" s="1" t="s">
        <v>2005</v>
      </c>
      <c r="PP18" s="1" t="s">
        <v>2006</v>
      </c>
      <c r="PQ18" s="1" t="s">
        <v>2007</v>
      </c>
      <c r="PR18" s="1" t="s">
        <v>2008</v>
      </c>
      <c r="PS18" s="1" t="s">
        <v>2009</v>
      </c>
      <c r="PT18" s="1" t="s">
        <v>2010</v>
      </c>
      <c r="PU18" s="1" t="s">
        <v>2011</v>
      </c>
      <c r="PV18" s="1" t="s">
        <v>2012</v>
      </c>
      <c r="PW18" s="1" t="s">
        <v>2013</v>
      </c>
      <c r="PX18" s="1" t="s">
        <v>2014</v>
      </c>
      <c r="PY18" s="1" t="s">
        <v>2015</v>
      </c>
      <c r="PZ18" s="1" t="s">
        <v>2016</v>
      </c>
      <c r="QA18" s="1" t="s">
        <v>2017</v>
      </c>
      <c r="QB18" s="1" t="s">
        <v>2018</v>
      </c>
      <c r="QC18" s="1" t="s">
        <v>2019</v>
      </c>
      <c r="QD18" s="1" t="s">
        <v>2020</v>
      </c>
      <c r="QE18" s="1" t="s">
        <v>2021</v>
      </c>
      <c r="QF18" s="1" t="s">
        <v>2022</v>
      </c>
      <c r="QG18" s="1" t="s">
        <v>2023</v>
      </c>
      <c r="QH18" s="1" t="s">
        <v>2024</v>
      </c>
      <c r="QI18" s="1" t="s">
        <v>2025</v>
      </c>
      <c r="QJ18" s="1" t="s">
        <v>2026</v>
      </c>
      <c r="QK18" s="1" t="s">
        <v>2027</v>
      </c>
      <c r="QL18" s="1" t="s">
        <v>2028</v>
      </c>
      <c r="QM18" s="1" t="s">
        <v>2029</v>
      </c>
      <c r="QN18" s="1" t="s">
        <v>2030</v>
      </c>
      <c r="QO18" s="1" t="s">
        <v>2031</v>
      </c>
      <c r="QP18" s="1" t="s">
        <v>2032</v>
      </c>
      <c r="QQ18" s="1" t="s">
        <v>2033</v>
      </c>
      <c r="QR18" s="1" t="s">
        <v>2034</v>
      </c>
      <c r="QS18" s="1" t="s">
        <v>2035</v>
      </c>
      <c r="QT18" s="1" t="s">
        <v>2036</v>
      </c>
      <c r="QU18" s="1" t="s">
        <v>2037</v>
      </c>
      <c r="QV18" s="1" t="s">
        <v>2038</v>
      </c>
      <c r="QW18" s="1" t="s">
        <v>2039</v>
      </c>
      <c r="QX18" s="1" t="s">
        <v>2040</v>
      </c>
      <c r="QY18" s="1" t="s">
        <v>2041</v>
      </c>
      <c r="QZ18" s="1" t="s">
        <v>2042</v>
      </c>
      <c r="RA18" s="1" t="s">
        <v>2043</v>
      </c>
      <c r="RB18" s="1" t="s">
        <v>2044</v>
      </c>
      <c r="RC18" s="1" t="s">
        <v>2045</v>
      </c>
      <c r="RD18" s="1" t="s">
        <v>2046</v>
      </c>
      <c r="RE18" s="1" t="s">
        <v>2047</v>
      </c>
      <c r="RF18" s="1" t="s">
        <v>2048</v>
      </c>
      <c r="RG18" s="1" t="s">
        <v>2049</v>
      </c>
      <c r="RH18" s="1" t="s">
        <v>2050</v>
      </c>
      <c r="RI18" s="1" t="s">
        <v>2051</v>
      </c>
      <c r="RJ18" s="1" t="s">
        <v>2052</v>
      </c>
      <c r="RK18" s="1" t="s">
        <v>2053</v>
      </c>
      <c r="RL18" s="1" t="s">
        <v>2054</v>
      </c>
      <c r="RM18" s="1" t="s">
        <v>2055</v>
      </c>
      <c r="RN18" s="1" t="s">
        <v>2056</v>
      </c>
      <c r="RO18" s="1" t="s">
        <v>2057</v>
      </c>
      <c r="RP18" s="1" t="s">
        <v>2058</v>
      </c>
      <c r="RQ18" s="1" t="s">
        <v>2059</v>
      </c>
      <c r="RR18" s="1" t="s">
        <v>2060</v>
      </c>
      <c r="RS18" s="1" t="s">
        <v>2061</v>
      </c>
      <c r="RT18" s="1" t="s">
        <v>2062</v>
      </c>
      <c r="RU18" s="1" t="s">
        <v>2063</v>
      </c>
      <c r="RV18" s="1" t="s">
        <v>2064</v>
      </c>
      <c r="RW18" s="1" t="s">
        <v>2065</v>
      </c>
      <c r="RX18" s="1" t="s">
        <v>2066</v>
      </c>
      <c r="RY18" s="1" t="s">
        <v>2067</v>
      </c>
      <c r="RZ18" s="1" t="s">
        <v>2068</v>
      </c>
      <c r="SA18" s="1" t="s">
        <v>2069</v>
      </c>
      <c r="SB18" s="1" t="s">
        <v>2070</v>
      </c>
      <c r="SC18" s="1" t="s">
        <v>2071</v>
      </c>
      <c r="SD18" s="1" t="s">
        <v>2072</v>
      </c>
      <c r="SE18" s="1" t="s">
        <v>2073</v>
      </c>
      <c r="SF18" s="1" t="s">
        <v>2074</v>
      </c>
      <c r="SG18" s="1" t="s">
        <v>2075</v>
      </c>
      <c r="SH18" s="1" t="s">
        <v>2076</v>
      </c>
      <c r="SI18" s="1" t="s">
        <v>2077</v>
      </c>
      <c r="SJ18" s="1" t="s">
        <v>2078</v>
      </c>
      <c r="SK18" s="1" t="s">
        <v>2079</v>
      </c>
      <c r="SL18" s="1" t="s">
        <v>2080</v>
      </c>
      <c r="SM18" s="1" t="s">
        <v>2081</v>
      </c>
      <c r="SN18" s="1" t="s">
        <v>2082</v>
      </c>
      <c r="SO18" s="1" t="s">
        <v>2083</v>
      </c>
      <c r="SP18" s="1" t="s">
        <v>2084</v>
      </c>
      <c r="SQ18" s="1" t="s">
        <v>2085</v>
      </c>
      <c r="SR18" s="1" t="s">
        <v>2086</v>
      </c>
      <c r="SS18" s="1" t="s">
        <v>2087</v>
      </c>
      <c r="ST18" s="1" t="s">
        <v>2088</v>
      </c>
      <c r="SU18" s="1" t="s">
        <v>2089</v>
      </c>
      <c r="SV18" s="1" t="s">
        <v>2090</v>
      </c>
      <c r="SW18" s="1" t="s">
        <v>2091</v>
      </c>
      <c r="SX18" s="1" t="s">
        <v>2092</v>
      </c>
      <c r="SY18" s="1" t="s">
        <v>2093</v>
      </c>
      <c r="SZ18" s="1" t="s">
        <v>2094</v>
      </c>
      <c r="TA18" s="1" t="s">
        <v>2095</v>
      </c>
      <c r="TB18" s="1" t="s">
        <v>2096</v>
      </c>
      <c r="TC18" s="1" t="s">
        <v>2097</v>
      </c>
      <c r="TD18" s="1" t="s">
        <v>2098</v>
      </c>
      <c r="TE18" s="1" t="s">
        <v>2099</v>
      </c>
      <c r="TF18" s="1" t="s">
        <v>2100</v>
      </c>
      <c r="TG18" s="1" t="s">
        <v>2101</v>
      </c>
      <c r="TH18" s="1" t="s">
        <v>2102</v>
      </c>
      <c r="TI18" s="1" t="s">
        <v>2103</v>
      </c>
      <c r="TJ18" s="1" t="s">
        <v>2104</v>
      </c>
      <c r="TK18" s="1" t="s">
        <v>2105</v>
      </c>
      <c r="TL18" s="1" t="s">
        <v>2106</v>
      </c>
      <c r="TM18" s="1" t="s">
        <v>2107</v>
      </c>
      <c r="TN18" s="1" t="s">
        <v>2108</v>
      </c>
      <c r="TO18" s="1" t="s">
        <v>2109</v>
      </c>
      <c r="TP18" s="1" t="s">
        <v>2110</v>
      </c>
      <c r="TQ18" s="1" t="s">
        <v>2111</v>
      </c>
      <c r="TR18" s="1" t="s">
        <v>2112</v>
      </c>
      <c r="TS18" s="1" t="s">
        <v>2113</v>
      </c>
      <c r="TT18" s="1" t="s">
        <v>2114</v>
      </c>
      <c r="TU18" s="1" t="s">
        <v>2115</v>
      </c>
      <c r="TV18" s="1" t="s">
        <v>2116</v>
      </c>
      <c r="TW18" s="1" t="s">
        <v>2117</v>
      </c>
      <c r="TX18" s="1" t="s">
        <v>2118</v>
      </c>
      <c r="TY18" s="1" t="s">
        <v>2119</v>
      </c>
      <c r="TZ18" s="1" t="s">
        <v>2120</v>
      </c>
      <c r="UA18" s="1" t="s">
        <v>2121</v>
      </c>
      <c r="UB18" s="1" t="s">
        <v>2122</v>
      </c>
      <c r="UC18" s="1" t="s">
        <v>2123</v>
      </c>
      <c r="UD18" s="1" t="s">
        <v>2124</v>
      </c>
      <c r="UE18" s="1" t="s">
        <v>2125</v>
      </c>
      <c r="UF18" s="1" t="s">
        <v>2126</v>
      </c>
      <c r="UG18" s="1" t="s">
        <v>2127</v>
      </c>
      <c r="UH18" s="1" t="s">
        <v>2128</v>
      </c>
      <c r="UI18" s="1" t="s">
        <v>2129</v>
      </c>
      <c r="UJ18" s="1" t="s">
        <v>2130</v>
      </c>
      <c r="UK18" s="1" t="s">
        <v>2131</v>
      </c>
      <c r="UL18" s="1" t="s">
        <v>2132</v>
      </c>
      <c r="UM18" s="1" t="s">
        <v>2133</v>
      </c>
      <c r="UN18" s="1" t="s">
        <v>2134</v>
      </c>
      <c r="UO18" s="1" t="s">
        <v>2135</v>
      </c>
      <c r="UP18" s="1" t="s">
        <v>2136</v>
      </c>
      <c r="UQ18" s="1" t="s">
        <v>2137</v>
      </c>
      <c r="UR18" s="1" t="s">
        <v>2138</v>
      </c>
      <c r="US18" s="1" t="s">
        <v>2139</v>
      </c>
      <c r="UT18" s="1" t="s">
        <v>2140</v>
      </c>
      <c r="UU18" s="1" t="s">
        <v>2141</v>
      </c>
      <c r="UV18" s="1" t="s">
        <v>2142</v>
      </c>
      <c r="UW18" s="1" t="s">
        <v>2143</v>
      </c>
      <c r="UX18" s="1" t="s">
        <v>2144</v>
      </c>
      <c r="UY18" s="1" t="s">
        <v>2145</v>
      </c>
      <c r="UZ18" s="1" t="s">
        <v>2146</v>
      </c>
      <c r="VA18" s="1" t="s">
        <v>2147</v>
      </c>
      <c r="VB18" s="1" t="s">
        <v>2148</v>
      </c>
      <c r="VC18" s="1" t="s">
        <v>2149</v>
      </c>
      <c r="VD18" s="1" t="s">
        <v>2150</v>
      </c>
      <c r="VE18" s="1" t="s">
        <v>2151</v>
      </c>
      <c r="VF18" s="1" t="s">
        <v>2152</v>
      </c>
      <c r="VG18" s="1" t="s">
        <v>2153</v>
      </c>
      <c r="VH18" s="1" t="s">
        <v>2154</v>
      </c>
      <c r="VI18" s="1" t="s">
        <v>2155</v>
      </c>
      <c r="VJ18" s="1" t="s">
        <v>2156</v>
      </c>
      <c r="VK18" s="1" t="s">
        <v>2157</v>
      </c>
      <c r="VL18" s="1" t="s">
        <v>2158</v>
      </c>
      <c r="VM18" s="1" t="s">
        <v>2159</v>
      </c>
      <c r="VN18" s="1" t="s">
        <v>2160</v>
      </c>
      <c r="VO18" s="1" t="s">
        <v>2161</v>
      </c>
      <c r="VP18" s="1" t="s">
        <v>2162</v>
      </c>
      <c r="VQ18" s="1" t="s">
        <v>2163</v>
      </c>
      <c r="VR18" s="1" t="s">
        <v>2164</v>
      </c>
      <c r="VS18" s="1" t="s">
        <v>2165</v>
      </c>
      <c r="VT18" s="1" t="s">
        <v>2166</v>
      </c>
      <c r="VU18" s="1" t="s">
        <v>2167</v>
      </c>
      <c r="VV18" s="1" t="s">
        <v>2168</v>
      </c>
      <c r="VW18" s="1" t="s">
        <v>2169</v>
      </c>
      <c r="VX18" s="1" t="s">
        <v>2170</v>
      </c>
      <c r="VY18" s="1" t="s">
        <v>2171</v>
      </c>
      <c r="VZ18" s="1" t="s">
        <v>2172</v>
      </c>
      <c r="WA18" s="1" t="s">
        <v>2173</v>
      </c>
      <c r="WB18" s="1" t="s">
        <v>2174</v>
      </c>
      <c r="WC18" s="1" t="s">
        <v>2175</v>
      </c>
      <c r="WD18" s="1" t="s">
        <v>2176</v>
      </c>
      <c r="WE18" s="1" t="s">
        <v>2177</v>
      </c>
      <c r="WF18" s="1" t="s">
        <v>2178</v>
      </c>
      <c r="WG18" s="1" t="s">
        <v>2179</v>
      </c>
      <c r="WH18" s="1" t="s">
        <v>2180</v>
      </c>
      <c r="WI18" s="1" t="s">
        <v>2181</v>
      </c>
      <c r="WJ18" s="1" t="s">
        <v>2182</v>
      </c>
      <c r="WK18" s="1" t="s">
        <v>2183</v>
      </c>
      <c r="WL18" s="1" t="s">
        <v>2184</v>
      </c>
      <c r="WM18" s="1" t="s">
        <v>2185</v>
      </c>
      <c r="WN18" s="1" t="s">
        <v>2186</v>
      </c>
      <c r="WO18" s="1" t="s">
        <v>2187</v>
      </c>
      <c r="WP18" s="1" t="s">
        <v>2188</v>
      </c>
      <c r="WQ18" s="1" t="s">
        <v>2189</v>
      </c>
      <c r="WR18" s="1" t="s">
        <v>2190</v>
      </c>
      <c r="WS18" s="1" t="s">
        <v>2191</v>
      </c>
      <c r="WT18" s="1" t="s">
        <v>2192</v>
      </c>
      <c r="WU18" s="1" t="s">
        <v>2193</v>
      </c>
      <c r="WV18" s="1" t="s">
        <v>2194</v>
      </c>
      <c r="WW18" s="1" t="s">
        <v>2195</v>
      </c>
      <c r="WX18" s="1" t="s">
        <v>2196</v>
      </c>
      <c r="WY18" s="1" t="s">
        <v>2197</v>
      </c>
      <c r="WZ18" s="1" t="s">
        <v>2198</v>
      </c>
      <c r="XA18" s="1" t="s">
        <v>2199</v>
      </c>
      <c r="XB18" s="1" t="s">
        <v>2200</v>
      </c>
      <c r="XC18" s="1" t="s">
        <v>2201</v>
      </c>
      <c r="XD18" s="1" t="s">
        <v>2202</v>
      </c>
      <c r="XE18" s="1" t="s">
        <v>2203</v>
      </c>
      <c r="XF18" s="1" t="s">
        <v>2204</v>
      </c>
      <c r="XG18" s="1" t="s">
        <v>2205</v>
      </c>
      <c r="XH18" s="1" t="s">
        <v>2206</v>
      </c>
      <c r="XI18" s="1" t="s">
        <v>2207</v>
      </c>
      <c r="XJ18" s="1" t="s">
        <v>2208</v>
      </c>
      <c r="XK18" s="1" t="s">
        <v>2209</v>
      </c>
      <c r="XL18" s="1" t="s">
        <v>2210</v>
      </c>
      <c r="XM18" s="1" t="s">
        <v>2211</v>
      </c>
      <c r="XN18" s="1" t="s">
        <v>2212</v>
      </c>
      <c r="XO18" s="1" t="s">
        <v>2213</v>
      </c>
      <c r="XP18" s="1" t="s">
        <v>2214</v>
      </c>
      <c r="XQ18" s="1" t="s">
        <v>2215</v>
      </c>
      <c r="XR18" s="1" t="s">
        <v>2216</v>
      </c>
      <c r="XS18" s="1" t="s">
        <v>2217</v>
      </c>
      <c r="XT18" s="1" t="s">
        <v>2218</v>
      </c>
      <c r="XU18" s="1" t="s">
        <v>2219</v>
      </c>
      <c r="XV18" s="1" t="s">
        <v>2220</v>
      </c>
      <c r="XW18" s="1" t="s">
        <v>2221</v>
      </c>
      <c r="XX18" s="1" t="s">
        <v>2222</v>
      </c>
      <c r="XY18" s="1" t="s">
        <v>2223</v>
      </c>
      <c r="XZ18" s="1" t="s">
        <v>2224</v>
      </c>
      <c r="YA18" s="1" t="s">
        <v>2225</v>
      </c>
      <c r="YB18" s="1" t="s">
        <v>2226</v>
      </c>
      <c r="YC18" s="1" t="s">
        <v>2227</v>
      </c>
      <c r="YD18" s="1" t="s">
        <v>2228</v>
      </c>
      <c r="YE18" s="1" t="s">
        <v>2229</v>
      </c>
      <c r="YF18" s="1" t="s">
        <v>2230</v>
      </c>
      <c r="YG18" s="1" t="s">
        <v>2231</v>
      </c>
      <c r="YH18" s="1" t="s">
        <v>2232</v>
      </c>
      <c r="YI18" s="1" t="s">
        <v>2233</v>
      </c>
      <c r="YJ18" s="1" t="s">
        <v>2234</v>
      </c>
      <c r="YK18" s="1" t="s">
        <v>2235</v>
      </c>
      <c r="YL18" s="1" t="s">
        <v>2236</v>
      </c>
      <c r="YM18" s="1" t="s">
        <v>2237</v>
      </c>
      <c r="YN18" s="1" t="s">
        <v>2238</v>
      </c>
      <c r="YO18" s="1" t="s">
        <v>2239</v>
      </c>
      <c r="YP18" s="1" t="s">
        <v>2240</v>
      </c>
      <c r="YQ18" s="1" t="s">
        <v>2241</v>
      </c>
      <c r="YR18" s="1" t="s">
        <v>2242</v>
      </c>
      <c r="YS18" s="1" t="s">
        <v>2243</v>
      </c>
      <c r="YT18" s="1" t="s">
        <v>2244</v>
      </c>
      <c r="YU18" s="1" t="s">
        <v>2245</v>
      </c>
      <c r="YV18" s="1" t="s">
        <v>2246</v>
      </c>
      <c r="YW18" s="1" t="s">
        <v>2247</v>
      </c>
      <c r="YX18" s="1" t="s">
        <v>2248</v>
      </c>
      <c r="YY18" s="1" t="s">
        <v>2249</v>
      </c>
      <c r="YZ18" s="1" t="s">
        <v>2250</v>
      </c>
      <c r="ZA18" s="1" t="s">
        <v>2251</v>
      </c>
      <c r="ZB18" s="1" t="s">
        <v>2252</v>
      </c>
      <c r="ZC18" s="1" t="s">
        <v>2253</v>
      </c>
      <c r="ZD18" s="1" t="s">
        <v>2254</v>
      </c>
      <c r="ZE18" s="1" t="s">
        <v>2255</v>
      </c>
      <c r="ZF18" s="1" t="s">
        <v>2256</v>
      </c>
      <c r="ZG18" s="1" t="s">
        <v>2257</v>
      </c>
      <c r="ZH18" s="1" t="s">
        <v>2258</v>
      </c>
      <c r="ZI18" s="1" t="s">
        <v>2259</v>
      </c>
      <c r="ZJ18" s="1" t="s">
        <v>2260</v>
      </c>
      <c r="ZK18" s="1" t="s">
        <v>2261</v>
      </c>
      <c r="ZL18" s="1" t="s">
        <v>2262</v>
      </c>
      <c r="ZM18" s="1" t="s">
        <v>2263</v>
      </c>
      <c r="ZN18" s="1" t="s">
        <v>2264</v>
      </c>
      <c r="ZO18" s="1" t="s">
        <v>2265</v>
      </c>
      <c r="ZP18" s="1" t="s">
        <v>2266</v>
      </c>
      <c r="ZQ18" s="1" t="s">
        <v>2267</v>
      </c>
      <c r="ZR18" s="1" t="s">
        <v>2268</v>
      </c>
      <c r="ZS18" s="1" t="s">
        <v>2269</v>
      </c>
      <c r="ZT18" s="1" t="s">
        <v>2270</v>
      </c>
      <c r="ZU18" s="1" t="s">
        <v>2271</v>
      </c>
      <c r="ZV18" s="1" t="s">
        <v>2272</v>
      </c>
      <c r="ZW18" s="1" t="s">
        <v>2273</v>
      </c>
      <c r="ZX18" s="1" t="s">
        <v>2274</v>
      </c>
      <c r="ZY18" s="1" t="s">
        <v>2275</v>
      </c>
      <c r="ZZ18" s="1" t="s">
        <v>2276</v>
      </c>
      <c r="AAA18" s="1" t="s">
        <v>2277</v>
      </c>
      <c r="AAB18" s="1" t="s">
        <v>2278</v>
      </c>
      <c r="AAC18" s="1" t="s">
        <v>2279</v>
      </c>
      <c r="AAD18" s="1" t="s">
        <v>2280</v>
      </c>
      <c r="AAE18" s="1" t="s">
        <v>2281</v>
      </c>
      <c r="AAF18" s="1" t="s">
        <v>2282</v>
      </c>
      <c r="AAG18" s="1" t="s">
        <v>2283</v>
      </c>
      <c r="AAH18" s="1" t="s">
        <v>2284</v>
      </c>
      <c r="AAI18" s="1" t="s">
        <v>2285</v>
      </c>
      <c r="AAJ18" s="1" t="s">
        <v>2286</v>
      </c>
      <c r="AAK18" s="1" t="s">
        <v>2287</v>
      </c>
      <c r="AAL18" s="1" t="s">
        <v>2288</v>
      </c>
      <c r="AAM18" s="1" t="s">
        <v>2289</v>
      </c>
      <c r="AAN18" s="1" t="s">
        <v>2290</v>
      </c>
      <c r="AAO18" s="1" t="s">
        <v>2291</v>
      </c>
      <c r="AAP18" s="1" t="s">
        <v>2292</v>
      </c>
      <c r="AAQ18" s="1" t="s">
        <v>2293</v>
      </c>
      <c r="AAR18" s="1" t="s">
        <v>2294</v>
      </c>
      <c r="AAS18" s="1" t="s">
        <v>2295</v>
      </c>
      <c r="AAT18" s="1" t="s">
        <v>2296</v>
      </c>
      <c r="AAU18" s="1" t="s">
        <v>2297</v>
      </c>
      <c r="AAV18" s="1" t="s">
        <v>2298</v>
      </c>
      <c r="AAW18" s="1" t="s">
        <v>2299</v>
      </c>
      <c r="AAX18" s="1" t="s">
        <v>2300</v>
      </c>
      <c r="AAY18" s="1" t="s">
        <v>2301</v>
      </c>
      <c r="AAZ18" s="1" t="s">
        <v>2302</v>
      </c>
      <c r="ABA18" s="1" t="s">
        <v>2303</v>
      </c>
      <c r="ABB18" s="1" t="s">
        <v>2304</v>
      </c>
      <c r="ABC18" s="1" t="s">
        <v>2305</v>
      </c>
      <c r="ABD18" s="1" t="s">
        <v>2306</v>
      </c>
      <c r="ABE18" s="1" t="s">
        <v>2307</v>
      </c>
      <c r="ABF18" s="1" t="s">
        <v>2308</v>
      </c>
      <c r="ABG18" s="1" t="s">
        <v>2309</v>
      </c>
      <c r="ABH18" s="1" t="s">
        <v>2310</v>
      </c>
      <c r="ABI18" s="1" t="s">
        <v>2311</v>
      </c>
      <c r="ABJ18" s="1" t="s">
        <v>2312</v>
      </c>
      <c r="ABK18" s="1" t="s">
        <v>2313</v>
      </c>
      <c r="ABL18" s="1" t="s">
        <v>2314</v>
      </c>
      <c r="ABM18" s="1" t="s">
        <v>2315</v>
      </c>
      <c r="ABN18" s="1" t="s">
        <v>2316</v>
      </c>
      <c r="ABO18" s="1" t="s">
        <v>2317</v>
      </c>
      <c r="ABP18" s="1" t="s">
        <v>2318</v>
      </c>
      <c r="ABQ18" s="1" t="s">
        <v>2319</v>
      </c>
      <c r="ABR18" s="1" t="s">
        <v>2320</v>
      </c>
      <c r="ABS18" s="1" t="s">
        <v>2321</v>
      </c>
      <c r="ABT18" s="1" t="s">
        <v>2322</v>
      </c>
      <c r="ABU18" s="1" t="s">
        <v>2323</v>
      </c>
      <c r="ABV18" s="1" t="s">
        <v>2324</v>
      </c>
      <c r="ABW18" s="1" t="s">
        <v>2325</v>
      </c>
      <c r="ABX18" s="1" t="s">
        <v>2326</v>
      </c>
      <c r="ABY18" s="1" t="s">
        <v>2327</v>
      </c>
      <c r="ABZ18" s="1" t="s">
        <v>2328</v>
      </c>
      <c r="ACA18" s="1" t="s">
        <v>2329</v>
      </c>
      <c r="ACB18" s="1" t="s">
        <v>2330</v>
      </c>
      <c r="ACC18" s="1" t="s">
        <v>2331</v>
      </c>
      <c r="ACD18" s="1" t="s">
        <v>2332</v>
      </c>
      <c r="ACE18" s="1" t="s">
        <v>2333</v>
      </c>
      <c r="ACF18" s="1" t="s">
        <v>2334</v>
      </c>
      <c r="ACG18" s="1" t="s">
        <v>2335</v>
      </c>
      <c r="ACH18" s="1" t="s">
        <v>2336</v>
      </c>
      <c r="ACI18" s="1" t="s">
        <v>2337</v>
      </c>
      <c r="ACJ18" s="1" t="s">
        <v>2338</v>
      </c>
      <c r="ACK18" s="1" t="s">
        <v>2339</v>
      </c>
      <c r="ACL18" s="1" t="s">
        <v>2340</v>
      </c>
      <c r="ACM18" s="1" t="s">
        <v>2341</v>
      </c>
      <c r="ACN18" s="1" t="s">
        <v>2342</v>
      </c>
      <c r="ACO18" s="1" t="s">
        <v>2343</v>
      </c>
      <c r="ACP18" s="1" t="s">
        <v>2344</v>
      </c>
      <c r="ACQ18" s="1" t="s">
        <v>2345</v>
      </c>
      <c r="ACR18" s="1" t="s">
        <v>2346</v>
      </c>
      <c r="ACS18" s="1" t="s">
        <v>2347</v>
      </c>
      <c r="ACT18" s="1" t="s">
        <v>2348</v>
      </c>
      <c r="ACU18" s="1" t="s">
        <v>2349</v>
      </c>
      <c r="ACV18" s="1" t="s">
        <v>2350</v>
      </c>
      <c r="ACW18" s="1" t="s">
        <v>2351</v>
      </c>
      <c r="ACX18" s="1" t="s">
        <v>2352</v>
      </c>
      <c r="ACY18" s="1" t="s">
        <v>2353</v>
      </c>
      <c r="ACZ18" s="1" t="s">
        <v>2354</v>
      </c>
      <c r="ADA18" s="1" t="s">
        <v>2355</v>
      </c>
      <c r="ADB18" s="1" t="s">
        <v>2356</v>
      </c>
      <c r="ADC18" s="1" t="s">
        <v>2357</v>
      </c>
      <c r="ADD18" s="1" t="s">
        <v>2358</v>
      </c>
      <c r="ADE18" s="1" t="s">
        <v>2359</v>
      </c>
      <c r="ADF18" s="1" t="s">
        <v>2360</v>
      </c>
      <c r="ADG18" s="1" t="s">
        <v>2361</v>
      </c>
      <c r="ADH18" s="1" t="s">
        <v>2362</v>
      </c>
      <c r="ADI18" s="1" t="s">
        <v>2363</v>
      </c>
      <c r="ADJ18" s="1" t="s">
        <v>2364</v>
      </c>
      <c r="ADK18" s="1" t="s">
        <v>2365</v>
      </c>
      <c r="ADL18" s="1" t="s">
        <v>2366</v>
      </c>
      <c r="ADM18" s="1" t="s">
        <v>2367</v>
      </c>
      <c r="ADN18" s="1" t="s">
        <v>2368</v>
      </c>
      <c r="ADO18" s="1" t="s">
        <v>2369</v>
      </c>
      <c r="ADP18" s="1" t="s">
        <v>2370</v>
      </c>
      <c r="ADQ18" s="1" t="s">
        <v>2371</v>
      </c>
      <c r="ADR18" s="1" t="s">
        <v>2372</v>
      </c>
      <c r="ADS18" s="1" t="s">
        <v>2373</v>
      </c>
      <c r="ADT18" s="1" t="s">
        <v>2374</v>
      </c>
      <c r="ADU18" s="1" t="s">
        <v>2375</v>
      </c>
      <c r="ADV18" s="1" t="s">
        <v>2376</v>
      </c>
      <c r="ADW18" s="1" t="s">
        <v>2377</v>
      </c>
      <c r="ADX18" s="1" t="s">
        <v>2378</v>
      </c>
      <c r="ADY18" s="1" t="s">
        <v>2379</v>
      </c>
      <c r="ADZ18" s="1" t="s">
        <v>2380</v>
      </c>
      <c r="AEA18" s="1" t="s">
        <v>2381</v>
      </c>
      <c r="AEB18" s="1" t="s">
        <v>2382</v>
      </c>
      <c r="AEC18" s="1" t="s">
        <v>2383</v>
      </c>
      <c r="AED18" s="1" t="s">
        <v>2384</v>
      </c>
      <c r="AEE18" s="1" t="s">
        <v>2385</v>
      </c>
      <c r="AEF18" s="1" t="s">
        <v>2386</v>
      </c>
      <c r="AEG18" s="1" t="s">
        <v>2387</v>
      </c>
      <c r="AEH18" s="1" t="s">
        <v>2388</v>
      </c>
      <c r="AEI18" s="1" t="s">
        <v>2389</v>
      </c>
      <c r="AEJ18" s="1" t="s">
        <v>2390</v>
      </c>
      <c r="AEK18" s="1" t="s">
        <v>2391</v>
      </c>
      <c r="AEL18" s="1" t="s">
        <v>2392</v>
      </c>
      <c r="AEM18" s="1" t="s">
        <v>2393</v>
      </c>
      <c r="AEN18" s="1" t="s">
        <v>2394</v>
      </c>
      <c r="AEO18" s="1" t="s">
        <v>2395</v>
      </c>
      <c r="AEP18" s="1" t="s">
        <v>2396</v>
      </c>
      <c r="AEQ18" s="1" t="s">
        <v>2397</v>
      </c>
      <c r="AER18" s="1" t="s">
        <v>2398</v>
      </c>
      <c r="AES18" s="1" t="s">
        <v>2399</v>
      </c>
      <c r="AET18" s="1" t="s">
        <v>2400</v>
      </c>
      <c r="AEU18" s="1" t="s">
        <v>2401</v>
      </c>
      <c r="AEV18" s="1" t="s">
        <v>2402</v>
      </c>
      <c r="AEW18" s="1" t="s">
        <v>2403</v>
      </c>
      <c r="AEX18" s="1" t="s">
        <v>2404</v>
      </c>
      <c r="AEY18" s="1" t="s">
        <v>2405</v>
      </c>
      <c r="AEZ18" s="1" t="s">
        <v>2406</v>
      </c>
      <c r="AFA18" s="1" t="s">
        <v>2407</v>
      </c>
      <c r="AFB18" s="1" t="s">
        <v>2408</v>
      </c>
      <c r="AFC18" s="1" t="s">
        <v>2409</v>
      </c>
      <c r="AFD18" s="1" t="s">
        <v>2410</v>
      </c>
      <c r="AFE18" s="1" t="s">
        <v>2411</v>
      </c>
      <c r="AFF18" s="1" t="s">
        <v>2412</v>
      </c>
      <c r="AFG18" s="1" t="s">
        <v>2413</v>
      </c>
      <c r="AFH18" s="1" t="s">
        <v>2414</v>
      </c>
      <c r="AFI18" s="1" t="s">
        <v>2415</v>
      </c>
      <c r="AFJ18" s="1" t="s">
        <v>2416</v>
      </c>
      <c r="AFK18" s="1" t="s">
        <v>2417</v>
      </c>
      <c r="AFL18" s="1" t="s">
        <v>2418</v>
      </c>
      <c r="AFM18" s="1" t="s">
        <v>2419</v>
      </c>
      <c r="AFN18" s="1" t="s">
        <v>2420</v>
      </c>
      <c r="AFO18" s="1" t="s">
        <v>2421</v>
      </c>
      <c r="AFP18" s="1" t="s">
        <v>2422</v>
      </c>
      <c r="AFQ18" s="1" t="s">
        <v>2423</v>
      </c>
      <c r="AFR18" s="1" t="s">
        <v>2424</v>
      </c>
      <c r="AFS18" s="1" t="s">
        <v>2425</v>
      </c>
      <c r="AFT18" s="1" t="s">
        <v>2426</v>
      </c>
      <c r="AFU18" s="1" t="s">
        <v>2427</v>
      </c>
      <c r="AFV18" s="1" t="s">
        <v>2428</v>
      </c>
      <c r="AFW18" s="1" t="s">
        <v>2429</v>
      </c>
      <c r="AFX18" s="1" t="s">
        <v>2430</v>
      </c>
      <c r="AFY18" s="1" t="s">
        <v>2431</v>
      </c>
      <c r="AFZ18" s="1" t="s">
        <v>2432</v>
      </c>
      <c r="AGA18" s="1" t="s">
        <v>2433</v>
      </c>
      <c r="AGB18" s="1" t="s">
        <v>2434</v>
      </c>
      <c r="AGC18" s="1" t="s">
        <v>2435</v>
      </c>
      <c r="AGD18" s="1" t="s">
        <v>2436</v>
      </c>
      <c r="AGE18" s="1" t="s">
        <v>2437</v>
      </c>
      <c r="AGF18" s="1" t="s">
        <v>2438</v>
      </c>
      <c r="AGG18" s="1" t="s">
        <v>2439</v>
      </c>
      <c r="AGH18" s="1" t="s">
        <v>2440</v>
      </c>
      <c r="AGI18" s="1" t="s">
        <v>2441</v>
      </c>
      <c r="AGJ18" s="1" t="s">
        <v>2442</v>
      </c>
      <c r="AGK18" s="1" t="s">
        <v>2443</v>
      </c>
      <c r="AGL18" s="1" t="s">
        <v>2444</v>
      </c>
      <c r="AGM18" s="1" t="s">
        <v>2445</v>
      </c>
      <c r="AGN18" s="1" t="s">
        <v>2446</v>
      </c>
      <c r="AGO18" s="1" t="s">
        <v>2447</v>
      </c>
      <c r="AGP18" s="1" t="s">
        <v>2448</v>
      </c>
      <c r="AGQ18" s="1" t="s">
        <v>2449</v>
      </c>
      <c r="AGR18" s="1" t="s">
        <v>2450</v>
      </c>
      <c r="AGS18" s="1" t="s">
        <v>2451</v>
      </c>
      <c r="AGT18" s="1" t="s">
        <v>2452</v>
      </c>
      <c r="AGU18" s="1" t="s">
        <v>2453</v>
      </c>
      <c r="AGV18" s="1" t="s">
        <v>2454</v>
      </c>
      <c r="AGW18" s="1" t="s">
        <v>2455</v>
      </c>
      <c r="AGX18" s="1" t="s">
        <v>2456</v>
      </c>
      <c r="AGY18" s="1" t="s">
        <v>2457</v>
      </c>
      <c r="AGZ18" s="1" t="s">
        <v>2458</v>
      </c>
      <c r="AHA18" s="1" t="s">
        <v>2459</v>
      </c>
      <c r="AHB18" s="1" t="s">
        <v>2460</v>
      </c>
      <c r="AHC18" s="1" t="s">
        <v>2461</v>
      </c>
      <c r="AHD18" s="1" t="s">
        <v>2462</v>
      </c>
      <c r="AHE18" s="1" t="s">
        <v>2463</v>
      </c>
      <c r="AHF18" s="1" t="s">
        <v>2464</v>
      </c>
      <c r="AHG18" s="1" t="s">
        <v>2465</v>
      </c>
      <c r="AHH18" s="1" t="s">
        <v>2466</v>
      </c>
      <c r="AHI18" s="1" t="s">
        <v>2467</v>
      </c>
      <c r="AHJ18" s="1" t="s">
        <v>2468</v>
      </c>
      <c r="AHK18" s="1" t="s">
        <v>2469</v>
      </c>
      <c r="AHL18" s="1" t="s">
        <v>2470</v>
      </c>
      <c r="AHM18" s="1" t="s">
        <v>2471</v>
      </c>
      <c r="AHN18" s="1" t="s">
        <v>2472</v>
      </c>
      <c r="AHO18" s="1" t="s">
        <v>2473</v>
      </c>
      <c r="AHP18" s="1" t="s">
        <v>2474</v>
      </c>
      <c r="AHQ18" s="1" t="s">
        <v>2475</v>
      </c>
      <c r="AHR18" s="1" t="s">
        <v>2476</v>
      </c>
      <c r="AHS18" s="1" t="s">
        <v>2477</v>
      </c>
      <c r="AHT18" s="1" t="s">
        <v>2478</v>
      </c>
      <c r="AHU18" s="1" t="s">
        <v>2479</v>
      </c>
      <c r="AHV18" s="1" t="s">
        <v>2480</v>
      </c>
      <c r="AHW18" s="1" t="s">
        <v>2481</v>
      </c>
      <c r="AHX18" s="1" t="s">
        <v>2482</v>
      </c>
      <c r="AHY18" s="1" t="s">
        <v>2483</v>
      </c>
      <c r="AHZ18" s="1" t="s">
        <v>2484</v>
      </c>
      <c r="AIA18" s="1" t="s">
        <v>2485</v>
      </c>
      <c r="AIB18" s="1" t="s">
        <v>2486</v>
      </c>
      <c r="AIC18" s="1" t="s">
        <v>2487</v>
      </c>
      <c r="AID18" s="1" t="s">
        <v>2488</v>
      </c>
      <c r="AIE18" s="1" t="s">
        <v>2489</v>
      </c>
      <c r="AIF18" s="1" t="s">
        <v>2490</v>
      </c>
      <c r="AIG18" s="1" t="s">
        <v>2491</v>
      </c>
      <c r="AIH18" s="1" t="s">
        <v>2492</v>
      </c>
      <c r="AII18" s="1" t="s">
        <v>2493</v>
      </c>
      <c r="AIJ18" s="1" t="s">
        <v>2494</v>
      </c>
      <c r="AIK18" s="1" t="s">
        <v>2495</v>
      </c>
      <c r="AIL18" s="1" t="s">
        <v>2496</v>
      </c>
      <c r="AIM18" s="1" t="s">
        <v>2497</v>
      </c>
      <c r="AIN18" s="1" t="s">
        <v>2498</v>
      </c>
      <c r="AIO18" s="1" t="s">
        <v>2499</v>
      </c>
      <c r="AIP18" s="1" t="s">
        <v>2500</v>
      </c>
      <c r="AIQ18" s="1" t="s">
        <v>2501</v>
      </c>
      <c r="AIR18" s="1" t="s">
        <v>2502</v>
      </c>
      <c r="AIS18" s="1" t="s">
        <v>2503</v>
      </c>
      <c r="AIT18" s="1" t="s">
        <v>2504</v>
      </c>
      <c r="AIU18" s="1" t="s">
        <v>2505</v>
      </c>
      <c r="AIV18" s="1" t="s">
        <v>2506</v>
      </c>
      <c r="AIW18" s="1" t="s">
        <v>2507</v>
      </c>
      <c r="AIX18" s="1" t="s">
        <v>2508</v>
      </c>
      <c r="AIY18" s="1" t="s">
        <v>2509</v>
      </c>
      <c r="AIZ18" s="1" t="s">
        <v>2510</v>
      </c>
      <c r="AJA18" s="1" t="s">
        <v>2511</v>
      </c>
      <c r="AJB18" s="1" t="s">
        <v>2512</v>
      </c>
      <c r="AJC18" s="1" t="s">
        <v>2513</v>
      </c>
      <c r="AJD18" s="1" t="s">
        <v>2514</v>
      </c>
      <c r="AJE18" s="1" t="s">
        <v>2515</v>
      </c>
      <c r="AJF18" s="1" t="s">
        <v>2516</v>
      </c>
      <c r="AJG18" s="1" t="s">
        <v>2517</v>
      </c>
      <c r="AJH18" s="1" t="s">
        <v>2518</v>
      </c>
      <c r="AJI18" s="1" t="s">
        <v>2519</v>
      </c>
      <c r="AJJ18" s="1" t="s">
        <v>2520</v>
      </c>
      <c r="AJK18" s="1" t="s">
        <v>2521</v>
      </c>
      <c r="AJL18" s="1" t="s">
        <v>2522</v>
      </c>
      <c r="AJM18" s="1" t="s">
        <v>2523</v>
      </c>
      <c r="AJN18" s="1" t="s">
        <v>2524</v>
      </c>
      <c r="AJO18" s="1" t="s">
        <v>2525</v>
      </c>
      <c r="AJP18" s="1" t="s">
        <v>2526</v>
      </c>
      <c r="AJQ18" s="1" t="s">
        <v>2527</v>
      </c>
      <c r="AJR18" s="1" t="s">
        <v>2528</v>
      </c>
      <c r="AJS18" s="1" t="s">
        <v>2529</v>
      </c>
      <c r="AJT18" s="1" t="s">
        <v>2530</v>
      </c>
      <c r="AJU18" s="1" t="s">
        <v>2531</v>
      </c>
      <c r="AJV18" s="1" t="s">
        <v>2532</v>
      </c>
      <c r="AJW18" s="1" t="s">
        <v>2533</v>
      </c>
      <c r="AJX18" s="1" t="s">
        <v>2534</v>
      </c>
      <c r="AJY18" s="1" t="s">
        <v>2535</v>
      </c>
      <c r="AJZ18" s="1" t="s">
        <v>2536</v>
      </c>
      <c r="AKA18" s="1" t="s">
        <v>2537</v>
      </c>
      <c r="AKB18" s="1" t="s">
        <v>2538</v>
      </c>
      <c r="AKC18" s="1" t="s">
        <v>2539</v>
      </c>
      <c r="AKD18" s="1" t="s">
        <v>2540</v>
      </c>
      <c r="AKE18" s="1" t="s">
        <v>2541</v>
      </c>
      <c r="AKF18" s="1" t="s">
        <v>2542</v>
      </c>
      <c r="AKG18" s="1" t="s">
        <v>2543</v>
      </c>
      <c r="AKH18" s="1" t="s">
        <v>2544</v>
      </c>
      <c r="AKI18" s="1" t="s">
        <v>2545</v>
      </c>
      <c r="AKJ18" s="1" t="s">
        <v>2546</v>
      </c>
      <c r="AKK18" s="1" t="s">
        <v>2547</v>
      </c>
      <c r="AKL18" s="1" t="s">
        <v>2548</v>
      </c>
      <c r="AKM18" s="1" t="s">
        <v>2549</v>
      </c>
      <c r="AKN18" s="1" t="s">
        <v>2550</v>
      </c>
      <c r="AKO18" s="1" t="s">
        <v>2551</v>
      </c>
      <c r="AKP18" s="1" t="s">
        <v>2552</v>
      </c>
      <c r="AKQ18" s="1" t="s">
        <v>2553</v>
      </c>
      <c r="AKR18" s="1" t="s">
        <v>2554</v>
      </c>
      <c r="AKS18" s="1" t="s">
        <v>2555</v>
      </c>
      <c r="AKT18" s="1" t="s">
        <v>2556</v>
      </c>
      <c r="AKU18" s="1" t="s">
        <v>2557</v>
      </c>
      <c r="AKV18" s="1" t="s">
        <v>2558</v>
      </c>
      <c r="AKW18" s="1" t="s">
        <v>2559</v>
      </c>
      <c r="AKX18" s="1" t="s">
        <v>2560</v>
      </c>
      <c r="AKY18" s="1" t="s">
        <v>2561</v>
      </c>
      <c r="AKZ18" s="1" t="s">
        <v>2562</v>
      </c>
      <c r="ALA18" s="1" t="s">
        <v>2563</v>
      </c>
      <c r="ALB18" s="1" t="s">
        <v>2564</v>
      </c>
      <c r="ALC18" s="1" t="s">
        <v>2565</v>
      </c>
      <c r="ALD18" s="1" t="s">
        <v>2566</v>
      </c>
      <c r="ALE18" s="1" t="s">
        <v>2567</v>
      </c>
      <c r="ALF18" s="1" t="s">
        <v>2568</v>
      </c>
      <c r="ALG18" s="1" t="s">
        <v>2569</v>
      </c>
      <c r="ALH18" s="1" t="s">
        <v>2570</v>
      </c>
      <c r="ALI18" s="1" t="s">
        <v>2571</v>
      </c>
      <c r="ALJ18" s="1" t="s">
        <v>2572</v>
      </c>
      <c r="ALK18" s="1" t="s">
        <v>2573</v>
      </c>
      <c r="ALL18" s="1" t="s">
        <v>2574</v>
      </c>
      <c r="ALM18" s="1" t="s">
        <v>2575</v>
      </c>
      <c r="ALN18" s="1" t="s">
        <v>2576</v>
      </c>
      <c r="ALO18" s="1" t="s">
        <v>2577</v>
      </c>
      <c r="ALP18" s="1" t="s">
        <v>2578</v>
      </c>
      <c r="ALQ18" s="1" t="s">
        <v>2579</v>
      </c>
      <c r="ALR18" s="1" t="s">
        <v>2580</v>
      </c>
      <c r="ALS18" s="1" t="s">
        <v>2581</v>
      </c>
      <c r="ALT18" s="1" t="s">
        <v>2582</v>
      </c>
      <c r="ALU18" s="1" t="s">
        <v>2583</v>
      </c>
      <c r="ALV18" s="1" t="s">
        <v>2584</v>
      </c>
      <c r="ALW18" s="1" t="s">
        <v>2585</v>
      </c>
      <c r="ALX18" s="1" t="s">
        <v>2586</v>
      </c>
      <c r="ALY18" s="1" t="s">
        <v>2587</v>
      </c>
      <c r="ALZ18" s="1" t="s">
        <v>2588</v>
      </c>
      <c r="AMA18" s="1" t="s">
        <v>2589</v>
      </c>
      <c r="AMB18" s="1" t="s">
        <v>2590</v>
      </c>
      <c r="AMC18" s="1" t="s">
        <v>2591</v>
      </c>
      <c r="AMD18" s="1" t="s">
        <v>2592</v>
      </c>
      <c r="AME18" s="1" t="s">
        <v>2593</v>
      </c>
      <c r="AMF18" s="1" t="s">
        <v>2594</v>
      </c>
      <c r="AMG18" s="1" t="s">
        <v>2595</v>
      </c>
      <c r="AMH18" s="1" t="s">
        <v>2596</v>
      </c>
    </row>
    <row r="19" spans="1:1022" ht="18.899999999999999" customHeight="1" thickBot="1" x14ac:dyDescent="0.5">
      <c r="G19" s="4"/>
      <c r="H19" s="4"/>
      <c r="I19" s="4"/>
      <c r="K19" s="5">
        <v>14</v>
      </c>
      <c r="L19" s="5" t="s">
        <v>240</v>
      </c>
      <c r="M19" s="5" t="s">
        <v>145</v>
      </c>
      <c r="DT19" s="39"/>
    </row>
    <row r="20" spans="1:1022" ht="18.899999999999999" customHeight="1" thickBot="1" x14ac:dyDescent="0.5">
      <c r="A20" s="27" t="s">
        <v>2597</v>
      </c>
      <c r="B20" s="27" t="s">
        <v>2598</v>
      </c>
      <c r="C20" s="27" t="s">
        <v>2599</v>
      </c>
      <c r="G20" s="27" t="s">
        <v>2600</v>
      </c>
      <c r="H20" s="27" t="s">
        <v>2601</v>
      </c>
      <c r="I20" s="4"/>
      <c r="K20" s="5">
        <v>15</v>
      </c>
      <c r="L20" s="5" t="s">
        <v>2602</v>
      </c>
      <c r="M20" s="5" t="s">
        <v>138</v>
      </c>
      <c r="O20" s="27" t="s">
        <v>128</v>
      </c>
      <c r="P20" s="27" t="s">
        <v>2603</v>
      </c>
      <c r="U20" s="28" t="s">
        <v>2604</v>
      </c>
    </row>
    <row r="21" spans="1:1022" ht="18.899999999999999" customHeight="1" x14ac:dyDescent="0.45">
      <c r="A21" s="5" t="s">
        <v>2605</v>
      </c>
      <c r="B21" s="5">
        <v>2</v>
      </c>
      <c r="C21" s="5" t="s">
        <v>2606</v>
      </c>
      <c r="G21" s="5" t="s">
        <v>2607</v>
      </c>
      <c r="H21" s="5" t="s">
        <v>2608</v>
      </c>
      <c r="I21" s="4"/>
      <c r="K21" s="5">
        <v>16</v>
      </c>
      <c r="L21" s="5" t="s">
        <v>2609</v>
      </c>
      <c r="M21" s="5" t="s">
        <v>145</v>
      </c>
      <c r="O21" s="5">
        <v>1</v>
      </c>
      <c r="P21" s="5" t="s">
        <v>2610</v>
      </c>
    </row>
    <row r="22" spans="1:1022" ht="18.899999999999999" customHeight="1" x14ac:dyDescent="0.45">
      <c r="A22" s="5" t="s">
        <v>2611</v>
      </c>
      <c r="B22" s="5">
        <v>4</v>
      </c>
      <c r="C22" s="5" t="s">
        <v>2605</v>
      </c>
      <c r="G22" s="5" t="s">
        <v>2608</v>
      </c>
      <c r="H22" s="5" t="s">
        <v>2607</v>
      </c>
      <c r="I22" s="4"/>
      <c r="K22" s="5">
        <v>17</v>
      </c>
      <c r="L22" s="5" t="s">
        <v>585</v>
      </c>
      <c r="M22" s="5" t="s">
        <v>145</v>
      </c>
      <c r="O22" s="5">
        <v>2</v>
      </c>
      <c r="P22" s="5" t="s">
        <v>2612</v>
      </c>
      <c r="U22" s="33" t="s">
        <v>2613</v>
      </c>
    </row>
    <row r="23" spans="1:1022" ht="18.899999999999999" customHeight="1" x14ac:dyDescent="0.45">
      <c r="G23" s="34" t="s">
        <v>2614</v>
      </c>
      <c r="H23" s="34" t="s">
        <v>2615</v>
      </c>
      <c r="I23" s="4"/>
      <c r="K23" s="5">
        <v>18</v>
      </c>
      <c r="L23" s="5" t="s">
        <v>191</v>
      </c>
      <c r="M23" s="5" t="s">
        <v>145</v>
      </c>
      <c r="O23" s="5">
        <v>3</v>
      </c>
      <c r="P23" s="5" t="s">
        <v>2616</v>
      </c>
      <c r="U23" s="2" t="s">
        <v>2617</v>
      </c>
    </row>
    <row r="24" spans="1:1022" ht="18.75" customHeight="1" x14ac:dyDescent="0.5">
      <c r="G24" s="34" t="s">
        <v>2615</v>
      </c>
      <c r="H24" s="34" t="s">
        <v>2614</v>
      </c>
      <c r="I24" s="4"/>
      <c r="K24" s="5">
        <v>19</v>
      </c>
      <c r="L24" s="5" t="s">
        <v>420</v>
      </c>
      <c r="M24" s="5" t="s">
        <v>145</v>
      </c>
      <c r="O24" s="5">
        <v>4</v>
      </c>
      <c r="P24" s="5" t="s">
        <v>2618</v>
      </c>
      <c r="U24" s="2" t="s">
        <v>2619</v>
      </c>
      <c r="AE24" s="41"/>
    </row>
    <row r="25" spans="1:1022" ht="18.899999999999999" customHeight="1" x14ac:dyDescent="0.45">
      <c r="G25" s="35" t="s">
        <v>2620</v>
      </c>
      <c r="H25" s="35" t="s">
        <v>2621</v>
      </c>
      <c r="I25" s="4"/>
      <c r="K25" s="5">
        <v>20</v>
      </c>
      <c r="L25" s="5" t="s">
        <v>2622</v>
      </c>
      <c r="M25" s="5" t="s">
        <v>145</v>
      </c>
      <c r="O25" s="5">
        <v>5</v>
      </c>
      <c r="P25" s="5" t="s">
        <v>2623</v>
      </c>
      <c r="U25" s="2" t="s">
        <v>2624</v>
      </c>
    </row>
    <row r="26" spans="1:1022" ht="18.899999999999999" customHeight="1" x14ac:dyDescent="0.45">
      <c r="G26" s="35" t="s">
        <v>2621</v>
      </c>
      <c r="H26" s="35" t="s">
        <v>2620</v>
      </c>
      <c r="I26" s="4"/>
      <c r="K26" s="5">
        <v>21</v>
      </c>
      <c r="L26" s="5" t="s">
        <v>159</v>
      </c>
      <c r="M26" s="5" t="s">
        <v>138</v>
      </c>
      <c r="O26" s="5">
        <v>6</v>
      </c>
      <c r="P26" s="5" t="s">
        <v>2625</v>
      </c>
      <c r="U26" s="2" t="s">
        <v>2626</v>
      </c>
    </row>
    <row r="27" spans="1:1022" ht="18.899999999999999" customHeight="1" x14ac:dyDescent="0.45">
      <c r="G27" s="34" t="s">
        <v>2627</v>
      </c>
      <c r="H27" s="34" t="s">
        <v>2628</v>
      </c>
      <c r="I27" s="4"/>
      <c r="K27" s="5">
        <v>22</v>
      </c>
      <c r="L27" s="5" t="s">
        <v>2629</v>
      </c>
      <c r="M27" s="5" t="s">
        <v>145</v>
      </c>
      <c r="O27" s="5">
        <v>7</v>
      </c>
      <c r="P27" s="5" t="s">
        <v>2630</v>
      </c>
      <c r="R27" s="44"/>
    </row>
    <row r="28" spans="1:1022" ht="18.899999999999999" customHeight="1" x14ac:dyDescent="0.45">
      <c r="G28" s="34" t="s">
        <v>2628</v>
      </c>
      <c r="H28" s="34" t="s">
        <v>2627</v>
      </c>
      <c r="I28" s="4"/>
      <c r="K28" s="5">
        <v>23</v>
      </c>
      <c r="L28" s="5" t="s">
        <v>513</v>
      </c>
      <c r="M28" s="5" t="s">
        <v>145</v>
      </c>
    </row>
    <row r="29" spans="1:1022" ht="18.899999999999999" customHeight="1" x14ac:dyDescent="0.45">
      <c r="G29" s="4"/>
      <c r="H29" s="4"/>
      <c r="I29" s="4"/>
      <c r="K29" s="5">
        <v>24</v>
      </c>
      <c r="L29" s="5" t="s">
        <v>2631</v>
      </c>
      <c r="M29" s="5" t="s">
        <v>145</v>
      </c>
      <c r="U29" s="42"/>
    </row>
    <row r="30" spans="1:1022" ht="18.899999999999999" customHeight="1" x14ac:dyDescent="0.45">
      <c r="G30" s="4"/>
      <c r="H30" s="4"/>
      <c r="I30" s="4"/>
      <c r="K30" s="5">
        <v>25</v>
      </c>
      <c r="L30" s="5" t="s">
        <v>2632</v>
      </c>
      <c r="M30" s="5" t="s">
        <v>145</v>
      </c>
      <c r="R30" s="43"/>
    </row>
    <row r="31" spans="1:1022" ht="18.899999999999999" customHeight="1" x14ac:dyDescent="0.45">
      <c r="F31" s="4"/>
      <c r="G31" s="4"/>
      <c r="H31" s="4"/>
      <c r="I31" s="4"/>
      <c r="K31" s="5">
        <v>26</v>
      </c>
      <c r="L31" s="5" t="s">
        <v>2633</v>
      </c>
      <c r="M31" s="5" t="s">
        <v>145</v>
      </c>
    </row>
    <row r="32" spans="1:1022" ht="19.25" customHeight="1" thickBot="1" x14ac:dyDescent="0.55000000000000004">
      <c r="A32" s="15" t="s">
        <v>2634</v>
      </c>
    </row>
    <row r="33" spans="1:21" ht="18" customHeight="1" thickBot="1" x14ac:dyDescent="0.55000000000000004">
      <c r="A33" s="86" t="s">
        <v>0</v>
      </c>
      <c r="B33" s="87"/>
      <c r="C33" s="87"/>
      <c r="D33" s="87"/>
      <c r="E33" s="88"/>
      <c r="F33" s="86" t="s">
        <v>2</v>
      </c>
      <c r="G33" s="87"/>
      <c r="H33" s="87"/>
      <c r="I33" s="87"/>
      <c r="J33" s="87"/>
      <c r="K33" s="87"/>
      <c r="L33" s="87"/>
      <c r="M33" s="87"/>
      <c r="N33" s="87"/>
      <c r="O33" s="87"/>
      <c r="P33" s="87"/>
      <c r="Q33" s="87"/>
      <c r="R33" s="87"/>
      <c r="S33" s="87"/>
      <c r="T33" s="87"/>
      <c r="U33" s="88"/>
    </row>
    <row r="34" spans="1:21" ht="19.25" customHeight="1" x14ac:dyDescent="0.45">
      <c r="A34" s="93" t="s">
        <v>2635</v>
      </c>
      <c r="B34" s="85"/>
      <c r="C34" s="85"/>
      <c r="D34" s="85"/>
      <c r="E34" s="85"/>
      <c r="F34" s="26" t="s">
        <v>2636</v>
      </c>
      <c r="G34" s="26"/>
    </row>
    <row r="35" spans="1:21" ht="19.25" customHeight="1" x14ac:dyDescent="0.45">
      <c r="A35" s="84" t="s">
        <v>2637</v>
      </c>
      <c r="B35" s="85"/>
      <c r="C35" s="85"/>
      <c r="D35" s="85"/>
      <c r="E35" s="85"/>
      <c r="F35" s="26" t="s">
        <v>2638</v>
      </c>
      <c r="G35" s="26"/>
    </row>
    <row r="36" spans="1:21" ht="19.25" customHeight="1" x14ac:dyDescent="0.45">
      <c r="A36" s="93" t="s">
        <v>2639</v>
      </c>
      <c r="B36" s="85"/>
      <c r="C36" s="85"/>
      <c r="D36" s="85"/>
      <c r="E36" s="85"/>
      <c r="F36" s="2" t="s">
        <v>2640</v>
      </c>
    </row>
    <row r="37" spans="1:21" ht="19.25" customHeight="1" x14ac:dyDescent="0.45">
      <c r="A37" s="93" t="s">
        <v>2641</v>
      </c>
      <c r="B37" s="85"/>
      <c r="C37" s="85"/>
      <c r="D37" s="85"/>
      <c r="E37" s="85"/>
      <c r="F37" s="2" t="s">
        <v>2642</v>
      </c>
    </row>
    <row r="38" spans="1:21" ht="19.25" customHeight="1" x14ac:dyDescent="0.45">
      <c r="B38" s="25"/>
      <c r="F38" s="26"/>
      <c r="G38" s="26"/>
    </row>
    <row r="39" spans="1:21" ht="19.25" customHeight="1" thickBot="1" x14ac:dyDescent="0.55000000000000004">
      <c r="A39" s="15" t="s">
        <v>2643</v>
      </c>
    </row>
    <row r="40" spans="1:21" ht="17.399999999999999" customHeight="1" thickBot="1" x14ac:dyDescent="0.5">
      <c r="A40" s="28" t="s">
        <v>2644</v>
      </c>
      <c r="B40" s="29" t="s">
        <v>2</v>
      </c>
      <c r="C40" s="29"/>
      <c r="D40" s="29"/>
      <c r="E40" s="30"/>
      <c r="F40" s="29" t="s">
        <v>2645</v>
      </c>
      <c r="G40" s="29" t="s">
        <v>2646</v>
      </c>
      <c r="H40" s="29" t="s">
        <v>2647</v>
      </c>
      <c r="I40" s="29"/>
      <c r="J40" s="29"/>
      <c r="K40" s="29"/>
      <c r="L40" s="29" t="s">
        <v>2646</v>
      </c>
      <c r="M40" s="29" t="s">
        <v>2647</v>
      </c>
      <c r="N40" s="29"/>
      <c r="O40" s="29"/>
      <c r="P40" s="29"/>
      <c r="Q40" s="29"/>
      <c r="R40" s="29"/>
      <c r="S40" s="29"/>
      <c r="T40" s="29"/>
    </row>
    <row r="41" spans="1:21" ht="17.399999999999999" customHeight="1" x14ac:dyDescent="0.45">
      <c r="A41" s="16" t="s">
        <v>2648</v>
      </c>
      <c r="B41" s="17" t="s">
        <v>2649</v>
      </c>
      <c r="C41" s="18"/>
      <c r="D41" s="18"/>
      <c r="E41" s="19"/>
      <c r="F41" s="16" t="s">
        <v>2648</v>
      </c>
      <c r="G41" s="16" t="s">
        <v>2650</v>
      </c>
      <c r="H41" s="22" t="str">
        <f t="array" ref="H41:K41">_xlfn.REGEXEXTRACT(G41,F41,1)</f>
        <v>2</v>
      </c>
      <c r="I41" s="22" t="str">
        <v>0</v>
      </c>
      <c r="J41" s="22" t="str">
        <v>2</v>
      </c>
      <c r="K41" s="22" t="str">
        <v>5</v>
      </c>
      <c r="L41" s="16" t="s">
        <v>2651</v>
      </c>
      <c r="M41" s="22" t="str">
        <f t="array" ref="M41:O41">_xlfn.REGEXEXTRACT(L41,F41,1)</f>
        <v>1</v>
      </c>
      <c r="N41" s="22" t="str">
        <v>3</v>
      </c>
      <c r="O41" s="22" t="str">
        <v>5</v>
      </c>
      <c r="P41" s="22"/>
      <c r="Q41" s="22"/>
      <c r="R41" s="22"/>
      <c r="S41" s="22"/>
      <c r="T41" s="22"/>
    </row>
    <row r="42" spans="1:21" ht="17.399999999999999" customHeight="1" x14ac:dyDescent="0.45">
      <c r="A42" s="16" t="s">
        <v>2652</v>
      </c>
      <c r="B42" s="17" t="s">
        <v>2653</v>
      </c>
      <c r="C42" s="18"/>
      <c r="D42" s="18"/>
      <c r="E42" s="19"/>
      <c r="F42" s="16" t="s">
        <v>2652</v>
      </c>
      <c r="G42" s="16" t="s">
        <v>2650</v>
      </c>
      <c r="H42" s="22" t="str">
        <f t="array" ref="H42">_xlfn.REGEXEXTRACT(G42,F42,1)</f>
        <v>2025</v>
      </c>
      <c r="I42" s="22"/>
      <c r="J42" s="22"/>
      <c r="K42" s="22"/>
      <c r="L42" s="16" t="s">
        <v>2651</v>
      </c>
      <c r="M42" s="22" t="str">
        <f t="array" ref="M42:N42">_xlfn.REGEXEXTRACT(L42,F42,1)</f>
        <v>1</v>
      </c>
      <c r="N42" s="22" t="str">
        <v>35</v>
      </c>
      <c r="O42" s="22"/>
      <c r="P42" s="22"/>
      <c r="Q42" s="22"/>
      <c r="R42" s="22"/>
      <c r="S42" s="22"/>
      <c r="T42" s="22"/>
    </row>
    <row r="43" spans="1:21" ht="17.399999999999999" customHeight="1" x14ac:dyDescent="0.45">
      <c r="A43" s="16" t="s">
        <v>2654</v>
      </c>
      <c r="B43" s="17" t="s">
        <v>2655</v>
      </c>
      <c r="C43" s="18"/>
      <c r="D43" s="18"/>
      <c r="E43" s="19"/>
      <c r="F43" s="16" t="s">
        <v>2656</v>
      </c>
      <c r="G43" s="16" t="s">
        <v>2657</v>
      </c>
      <c r="H43" s="22" t="str">
        <f t="array" ref="H43:I43">_xlfn.REGEXEXTRACT(G43,F43,1)</f>
        <v>A</v>
      </c>
      <c r="I43" s="22" t="str">
        <v>A2025</v>
      </c>
      <c r="J43" s="22"/>
      <c r="K43" s="22"/>
      <c r="L43" s="16" t="s">
        <v>2651</v>
      </c>
      <c r="M43" s="22" t="str">
        <f t="array" ref="M43">_xlfn.REGEXEXTRACT(L43,F43,1)</f>
        <v>A1</v>
      </c>
      <c r="N43" s="22"/>
      <c r="O43" s="22"/>
      <c r="P43" s="22"/>
      <c r="Q43" s="22"/>
      <c r="R43" s="22"/>
      <c r="S43" s="22"/>
      <c r="T43" s="22"/>
    </row>
    <row r="44" spans="1:21" ht="17.25" customHeight="1" x14ac:dyDescent="0.45">
      <c r="A44" s="16" t="s">
        <v>2658</v>
      </c>
      <c r="B44" s="17" t="s">
        <v>2659</v>
      </c>
      <c r="C44" s="18"/>
      <c r="D44" s="18"/>
      <c r="E44" s="19"/>
      <c r="F44" s="16" t="s">
        <v>2658</v>
      </c>
      <c r="G44" s="16" t="s">
        <v>2650</v>
      </c>
      <c r="H44" s="22" t="str">
        <f t="array" ref="H44:K44">_xlfn.REGEXEXTRACT(G44,F44,1)</f>
        <v>M</v>
      </c>
      <c r="I44" s="22" t="str">
        <v>E</v>
      </c>
      <c r="J44" s="22" t="str">
        <v>W</v>
      </c>
      <c r="K44" s="22" t="str">
        <v>C</v>
      </c>
      <c r="L44" s="16" t="s">
        <v>2651</v>
      </c>
      <c r="M44" s="22" t="str">
        <f t="array" ref="M44:Q44">_xlfn.REGEXEXTRACT(L44,F44,1)</f>
        <v>A</v>
      </c>
      <c r="N44" s="22" t="str">
        <v xml:space="preserve"> </v>
      </c>
      <c r="O44" s="22" t="str">
        <v>-</v>
      </c>
      <c r="P44" s="22" t="str">
        <v xml:space="preserve"> </v>
      </c>
      <c r="Q44" s="22" t="str">
        <v>C</v>
      </c>
      <c r="R44" s="22"/>
      <c r="S44" s="22"/>
      <c r="T44" s="22"/>
    </row>
    <row r="45" spans="1:21" ht="17.399999999999999" customHeight="1" x14ac:dyDescent="0.45">
      <c r="A45" s="16" t="s">
        <v>2660</v>
      </c>
      <c r="B45" s="17" t="s">
        <v>2661</v>
      </c>
      <c r="C45" s="18"/>
      <c r="D45" s="18"/>
      <c r="E45" s="19"/>
      <c r="F45" s="16" t="s">
        <v>2660</v>
      </c>
      <c r="G45" s="16" t="s">
        <v>2650</v>
      </c>
      <c r="H45" s="22" t="str">
        <f t="array" ref="H45">_xlfn.REGEXEXTRACT(G45,F45,1)</f>
        <v>MEWC</v>
      </c>
      <c r="I45" s="22"/>
      <c r="J45" s="22"/>
      <c r="K45" s="22"/>
      <c r="L45" s="16" t="s">
        <v>2651</v>
      </c>
      <c r="M45" s="22" t="str">
        <f t="array" ref="M45:N45">_xlfn.REGEXEXTRACT(L45,F45,1)</f>
        <v>A</v>
      </c>
      <c r="N45" s="22" t="str">
        <v xml:space="preserve"> - C</v>
      </c>
      <c r="O45" s="22"/>
      <c r="P45" s="22"/>
      <c r="Q45" s="22"/>
      <c r="R45" s="22"/>
      <c r="S45" s="22"/>
      <c r="T45" s="22"/>
    </row>
    <row r="46" spans="1:21" ht="17.399999999999999" customHeight="1" x14ac:dyDescent="0.45">
      <c r="A46" s="16" t="s">
        <v>2662</v>
      </c>
      <c r="B46" s="17" t="s">
        <v>2663</v>
      </c>
      <c r="C46" s="18"/>
      <c r="D46" s="18"/>
      <c r="E46" s="19"/>
      <c r="F46" s="16" t="s">
        <v>2664</v>
      </c>
      <c r="G46" s="16" t="s">
        <v>2650</v>
      </c>
      <c r="H46" s="22" t="str">
        <f t="array" ref="H46">_xlfn.REGEXEXTRACT(G46,F46,1)</f>
        <v>C2</v>
      </c>
      <c r="I46" s="22"/>
      <c r="J46" s="22"/>
      <c r="K46" s="22"/>
      <c r="L46" s="16" t="s">
        <v>2651</v>
      </c>
      <c r="M46" s="22" t="str">
        <f t="array" ref="M46">_xlfn.REGEXEXTRACT(L46,F46,1)</f>
        <v>C3</v>
      </c>
      <c r="N46" s="22"/>
      <c r="O46" s="22"/>
      <c r="P46" s="22"/>
      <c r="Q46" s="22"/>
      <c r="R46" s="22"/>
      <c r="S46" s="22"/>
      <c r="T46" s="22"/>
    </row>
    <row r="47" spans="1:21" ht="17.399999999999999" customHeight="1" x14ac:dyDescent="0.45">
      <c r="A47" s="16" t="s">
        <v>2665</v>
      </c>
      <c r="B47" s="17" t="s">
        <v>2666</v>
      </c>
      <c r="C47" s="18"/>
      <c r="D47" s="18"/>
      <c r="E47" s="19"/>
      <c r="F47" s="16" t="s">
        <v>2667</v>
      </c>
      <c r="G47" s="16" t="s">
        <v>2650</v>
      </c>
      <c r="H47" s="22" t="str">
        <f t="array" ref="H47">_xlfn.REGEXEXTRACT(G47,F47,1)</f>
        <v>C2025</v>
      </c>
      <c r="I47" s="22"/>
      <c r="J47" s="22"/>
      <c r="K47" s="22"/>
      <c r="L47" s="16" t="s">
        <v>2651</v>
      </c>
      <c r="M47" s="22" t="str">
        <f t="array" ref="M47">_xlfn.REGEXEXTRACT(L47,F47,1)</f>
        <v>C35</v>
      </c>
      <c r="N47" s="22"/>
      <c r="O47" s="22"/>
      <c r="P47" s="22"/>
      <c r="Q47" s="22"/>
      <c r="R47" s="22"/>
      <c r="S47" s="22"/>
      <c r="T47" s="22"/>
    </row>
    <row r="48" spans="1:21" ht="17.399999999999999" customHeight="1" x14ac:dyDescent="0.45">
      <c r="A48" s="16" t="s">
        <v>2668</v>
      </c>
      <c r="B48" s="17" t="s">
        <v>2669</v>
      </c>
      <c r="C48" s="18"/>
      <c r="D48" s="18"/>
      <c r="E48" s="19"/>
      <c r="F48" s="20" t="s">
        <v>2670</v>
      </c>
      <c r="G48" s="16" t="s">
        <v>2671</v>
      </c>
      <c r="H48" s="22" t="str">
        <f t="array" ref="H48:I48">_xlfn.REGEXEXTRACT(G48,F48,1)</f>
        <v>3</v>
      </c>
      <c r="I48" s="22" t="str">
        <v>-5</v>
      </c>
      <c r="J48" s="22"/>
      <c r="K48" s="22"/>
      <c r="L48" s="16" t="s">
        <v>2672</v>
      </c>
      <c r="M48" s="22" t="str">
        <f t="array" ref="M48:O48">_xlfn.REGEXEXTRACT(L48,F48,1)</f>
        <v>9</v>
      </c>
      <c r="N48" s="22" t="str">
        <v>-3</v>
      </c>
      <c r="O48" s="22" t="str">
        <v>0</v>
      </c>
      <c r="P48" s="22"/>
      <c r="Q48" s="22"/>
      <c r="R48" s="22"/>
      <c r="S48" s="22"/>
      <c r="T48" s="22"/>
    </row>
    <row r="49" spans="1:20" ht="17.399999999999999" customHeight="1" x14ac:dyDescent="0.45">
      <c r="A49" s="16" t="s">
        <v>2673</v>
      </c>
      <c r="B49" s="17" t="s">
        <v>2674</v>
      </c>
      <c r="C49" s="18"/>
      <c r="D49" s="18"/>
      <c r="E49" s="19"/>
      <c r="F49" s="16" t="s">
        <v>2673</v>
      </c>
      <c r="G49" s="16" t="s">
        <v>2675</v>
      </c>
      <c r="H49" s="22" t="str">
        <f t="array" ref="H49:K49">_xlfn.REGEXEXTRACT(G49,F49,1)</f>
        <v>a</v>
      </c>
      <c r="I49" s="22" t="str">
        <v>4</v>
      </c>
      <c r="J49" s="22" t="str">
        <v>_</v>
      </c>
      <c r="K49" s="22" t="str">
        <v>3</v>
      </c>
      <c r="L49" s="16" t="s">
        <v>2676</v>
      </c>
      <c r="M49" s="22" t="str">
        <f t="array" ref="M49:P49">_xlfn.REGEXEXTRACT(L49,F49,1)</f>
        <v>H</v>
      </c>
      <c r="N49" s="22" t="str">
        <v>i</v>
      </c>
      <c r="O49" s="22" t="str">
        <v>2</v>
      </c>
      <c r="P49" s="22" t="str">
        <v>u</v>
      </c>
      <c r="Q49" s="22"/>
      <c r="R49" s="22"/>
      <c r="S49" s="22"/>
      <c r="T49" s="22"/>
    </row>
    <row r="50" spans="1:20" ht="17.399999999999999" customHeight="1" x14ac:dyDescent="0.45">
      <c r="A50" s="16" t="s">
        <v>2677</v>
      </c>
      <c r="B50" s="17" t="s">
        <v>2678</v>
      </c>
      <c r="C50" s="18"/>
      <c r="D50" s="18"/>
      <c r="E50" s="19"/>
      <c r="F50" s="16" t="s">
        <v>2677</v>
      </c>
      <c r="G50" s="16" t="s">
        <v>2675</v>
      </c>
      <c r="H50" s="22" t="str">
        <f t="array" ref="H50:K50">_xlfn.REGEXEXTRACT(G50,F50,1)</f>
        <v>.</v>
      </c>
      <c r="I50" s="22" t="str">
        <v>!</v>
      </c>
      <c r="J50" s="22" t="str">
        <v>-</v>
      </c>
      <c r="K50" s="22" t="str">
        <v>_</v>
      </c>
      <c r="L50" s="16" t="s">
        <v>2676</v>
      </c>
      <c r="M50" s="22" t="str">
        <f t="array" ref="M50:N50">_xlfn.REGEXEXTRACT(L50,F50,1)</f>
        <v>,</v>
      </c>
      <c r="N50" s="22" t="str">
        <v>!</v>
      </c>
      <c r="O50" s="22"/>
      <c r="P50" s="22"/>
      <c r="Q50" s="22"/>
      <c r="R50" s="22"/>
      <c r="S50" s="22"/>
      <c r="T50" s="22"/>
    </row>
    <row r="51" spans="1:20" ht="17.399999999999999" customHeight="1" x14ac:dyDescent="0.45">
      <c r="A51" s="16" t="s">
        <v>2679</v>
      </c>
      <c r="B51" s="17" t="s">
        <v>2680</v>
      </c>
      <c r="C51" s="18"/>
      <c r="D51" s="18"/>
      <c r="E51" s="19"/>
      <c r="F51" s="16" t="s">
        <v>2679</v>
      </c>
      <c r="G51" s="16" t="s">
        <v>2650</v>
      </c>
      <c r="H51" s="22" t="e" vm="1">
        <f t="array" ref="H51">_xlfn.REGEXEXTRACT(G51,F51,1)</f>
        <v>#N/A</v>
      </c>
      <c r="I51" s="22"/>
      <c r="J51" s="22"/>
      <c r="K51" s="22"/>
      <c r="L51" s="16" t="s">
        <v>2651</v>
      </c>
      <c r="M51" s="22" t="str">
        <f t="array" ref="M51:N51">_xlfn.REGEXEXTRACT(L51,F51,1)</f>
        <v xml:space="preserve"> </v>
      </c>
      <c r="N51" s="22" t="str">
        <v xml:space="preserve"> </v>
      </c>
      <c r="O51" s="22"/>
      <c r="P51" s="22"/>
      <c r="Q51" s="22"/>
      <c r="R51" s="22"/>
      <c r="S51" s="22"/>
      <c r="T51" s="22"/>
    </row>
    <row r="52" spans="1:20" ht="17.399999999999999" customHeight="1" x14ac:dyDescent="0.45">
      <c r="A52" s="16" t="s">
        <v>2681</v>
      </c>
      <c r="B52" s="17" t="s">
        <v>2682</v>
      </c>
      <c r="C52" s="18"/>
      <c r="D52" s="18"/>
      <c r="E52" s="19"/>
      <c r="F52" s="16" t="s">
        <v>2681</v>
      </c>
      <c r="G52" s="16" t="s">
        <v>2683</v>
      </c>
      <c r="H52" s="22" t="str">
        <f t="array" ref="H52:I52">_xlfn.REGEXEXTRACT(G52,F52,1)</f>
        <v>x</v>
      </c>
      <c r="I52" s="22" t="str">
        <v>9</v>
      </c>
      <c r="J52" s="22"/>
      <c r="K52" s="22"/>
      <c r="L52" s="16" t="s">
        <v>2650</v>
      </c>
      <c r="M52" s="22" t="str">
        <f t="array" ref="M52:T52">_xlfn.REGEXEXTRACT(L52,F52,1)</f>
        <v>M</v>
      </c>
      <c r="N52" s="22" t="str">
        <v>E</v>
      </c>
      <c r="O52" s="22" t="str">
        <v>W</v>
      </c>
      <c r="P52" s="22" t="str">
        <v>C</v>
      </c>
      <c r="Q52" s="22" t="str">
        <v>2</v>
      </c>
      <c r="R52" s="22" t="str">
        <v>0</v>
      </c>
      <c r="S52" s="22" t="str">
        <v>2</v>
      </c>
      <c r="T52" s="22" t="str">
        <v>5</v>
      </c>
    </row>
    <row r="53" spans="1:20" ht="17.399999999999999" customHeight="1" x14ac:dyDescent="0.45">
      <c r="A53" s="16" t="s">
        <v>2684</v>
      </c>
      <c r="B53" s="17" t="s">
        <v>2685</v>
      </c>
      <c r="C53" s="18"/>
      <c r="D53" s="18"/>
      <c r="E53" s="19"/>
      <c r="F53" s="20" t="s">
        <v>2684</v>
      </c>
      <c r="G53" s="16" t="s">
        <v>2686</v>
      </c>
      <c r="H53" s="22" t="str">
        <f t="array" ref="H53:K53">_xlfn.REGEXEXTRACT(G53,F53,1)</f>
        <v>x</v>
      </c>
      <c r="I53" s="22" t="str">
        <v>😍</v>
      </c>
      <c r="J53" s="22" t="str">
        <v>🏴‍☠️</v>
      </c>
      <c r="K53" s="22" t="str">
        <v>👪</v>
      </c>
      <c r="L53" s="16" t="s">
        <v>2687</v>
      </c>
      <c r="M53" s="22" t="str">
        <f t="array" ref="M53:O53">_xlfn.REGEXEXTRACT(L53,F53,1)</f>
        <v>A</v>
      </c>
      <c r="N53" s="22" t="str">
        <v>B</v>
      </c>
      <c r="O53" s="22" t="str">
        <v>🍌</v>
      </c>
      <c r="P53" s="22"/>
      <c r="Q53" s="22"/>
      <c r="R53" s="22"/>
      <c r="S53" s="22"/>
      <c r="T53" s="22"/>
    </row>
    <row r="54" spans="1:20" ht="17.399999999999999" customHeight="1" x14ac:dyDescent="0.45">
      <c r="A54" s="16" t="s">
        <v>2688</v>
      </c>
      <c r="B54" s="17" t="s">
        <v>2689</v>
      </c>
      <c r="C54" s="18"/>
      <c r="D54" s="18"/>
      <c r="E54" s="19"/>
      <c r="F54" s="16" t="s">
        <v>2690</v>
      </c>
      <c r="G54" s="1" t="s">
        <v>2691</v>
      </c>
      <c r="H54" s="22" t="str">
        <f t="array" ref="H54">_xlfn.REGEXEXTRACT(G54,F54,1)</f>
        <v>hog</v>
      </c>
      <c r="I54" s="22"/>
      <c r="J54" s="22"/>
      <c r="K54" s="22"/>
      <c r="L54" s="16" t="s">
        <v>2692</v>
      </c>
      <c r="M54" s="22" t="e" vm="1">
        <f t="array" ref="M54">_xlfn.REGEXEXTRACT(L54,F54,1)</f>
        <v>#N/A</v>
      </c>
      <c r="N54" s="22"/>
      <c r="O54" s="22"/>
      <c r="P54" s="22"/>
      <c r="Q54" s="22"/>
      <c r="R54" s="22"/>
      <c r="S54" s="22"/>
      <c r="T54" s="22"/>
    </row>
    <row r="55" spans="1:20" ht="17.399999999999999" customHeight="1" x14ac:dyDescent="0.45">
      <c r="A55" s="16" t="s">
        <v>2693</v>
      </c>
      <c r="B55" s="17" t="s">
        <v>2694</v>
      </c>
      <c r="C55" s="18"/>
      <c r="D55" s="18"/>
      <c r="E55" s="19"/>
      <c r="F55" s="16" t="s">
        <v>2695</v>
      </c>
      <c r="G55" s="1" t="s">
        <v>2691</v>
      </c>
      <c r="H55" s="22" t="e" vm="1">
        <f t="array" ref="H55">_xlfn.REGEXEXTRACT(G55,F55,1)</f>
        <v>#N/A</v>
      </c>
      <c r="I55" s="22"/>
      <c r="J55" s="22"/>
      <c r="K55" s="22"/>
      <c r="L55" s="16" t="s">
        <v>2692</v>
      </c>
      <c r="M55" s="22" t="str">
        <f t="array" ref="M55">_xlfn.REGEXEXTRACT(L55,F55,1)</f>
        <v>bog</v>
      </c>
      <c r="N55" s="22"/>
      <c r="O55" s="22"/>
      <c r="P55" s="22"/>
      <c r="Q55" s="22"/>
      <c r="R55" s="22"/>
      <c r="S55" s="22"/>
      <c r="T55" s="22"/>
    </row>
    <row r="56" spans="1:20" ht="17.399999999999999" customHeight="1" x14ac:dyDescent="0.45">
      <c r="A56" s="16" t="s">
        <v>2696</v>
      </c>
      <c r="B56" s="17" t="s">
        <v>2697</v>
      </c>
      <c r="C56" s="18"/>
      <c r="D56" s="18"/>
      <c r="E56" s="19"/>
      <c r="F56" s="16" t="s">
        <v>2698</v>
      </c>
      <c r="G56" s="16" t="s">
        <v>2699</v>
      </c>
      <c r="H56" s="22" t="str">
        <f t="array" ref="H56:J56">_xlfn.REGEXEXTRACT(G56,F56,1)</f>
        <v>M</v>
      </c>
      <c r="I56" s="22" t="str">
        <v>E</v>
      </c>
      <c r="J56" s="22" t="str">
        <v>c</v>
      </c>
      <c r="K56" s="22"/>
      <c r="L56" s="16" t="s">
        <v>2651</v>
      </c>
      <c r="M56" s="22" t="str">
        <f t="array" ref="M56:N56">_xlfn.REGEXEXTRACT(L56,F56,1)</f>
        <v>A</v>
      </c>
      <c r="N56" s="22" t="str">
        <v>C</v>
      </c>
      <c r="O56" s="22"/>
      <c r="P56" s="22"/>
      <c r="Q56" s="22"/>
      <c r="R56" s="22"/>
      <c r="S56" s="22"/>
      <c r="T56" s="22"/>
    </row>
    <row r="57" spans="1:20" ht="17.399999999999999" customHeight="1" x14ac:dyDescent="0.45">
      <c r="A57" s="16" t="s">
        <v>2700</v>
      </c>
      <c r="B57" s="17" t="s">
        <v>2701</v>
      </c>
      <c r="C57" s="18"/>
      <c r="D57" s="18"/>
      <c r="E57" s="19"/>
      <c r="F57" s="16" t="s">
        <v>2702</v>
      </c>
      <c r="G57" s="16" t="s">
        <v>2703</v>
      </c>
      <c r="H57" s="22" t="str">
        <f t="array" ref="H57:I57">_xlfn.REGEXEXTRACT(G57,F57,1)</f>
        <v>xxx</v>
      </c>
      <c r="I57" s="22" t="str">
        <v>xxx</v>
      </c>
      <c r="J57" s="22"/>
      <c r="K57" s="22"/>
      <c r="L57" s="16" t="s">
        <v>2704</v>
      </c>
      <c r="M57" s="22" t="str">
        <f t="array" ref="M57">_xlfn.REGEXEXTRACT(L57,F57,1)</f>
        <v>xxx</v>
      </c>
      <c r="N57" s="22"/>
      <c r="O57" s="22"/>
      <c r="P57" s="22"/>
      <c r="Q57" s="22"/>
      <c r="R57" s="22"/>
      <c r="S57" s="22"/>
      <c r="T57" s="22"/>
    </row>
    <row r="58" spans="1:20" ht="17.399999999999999" customHeight="1" x14ac:dyDescent="0.45">
      <c r="A58" s="16" t="s">
        <v>2705</v>
      </c>
      <c r="B58" s="17" t="s">
        <v>2706</v>
      </c>
      <c r="C58" s="18"/>
      <c r="D58" s="18"/>
      <c r="E58" s="19"/>
      <c r="F58" s="16" t="s">
        <v>2707</v>
      </c>
      <c r="G58" s="16" t="s">
        <v>2703</v>
      </c>
      <c r="H58" s="22" t="str">
        <f t="array" ref="H58:K58">_xlfn.REGEXEXTRACT(G58,F58,1)</f>
        <v>xx</v>
      </c>
      <c r="I58" s="22" t="str">
        <v>xx</v>
      </c>
      <c r="J58" s="22" t="str">
        <v>xx</v>
      </c>
      <c r="K58" s="22" t="str">
        <v>x</v>
      </c>
      <c r="L58" s="16" t="s">
        <v>2708</v>
      </c>
      <c r="M58" s="22" t="str">
        <f t="array" ref="M58:Q58">_xlfn.REGEXEXTRACT(L58,F58,1)</f>
        <v>xx</v>
      </c>
      <c r="N58" s="22" t="str">
        <v>xx</v>
      </c>
      <c r="O58" s="22" t="str">
        <v>x</v>
      </c>
      <c r="P58" s="22" t="str">
        <v>xx</v>
      </c>
      <c r="Q58" s="22" t="str">
        <v>x</v>
      </c>
      <c r="R58" s="22"/>
      <c r="S58" s="22"/>
      <c r="T58" s="22"/>
    </row>
    <row r="59" spans="1:20" ht="35.25" customHeight="1" x14ac:dyDescent="0.45">
      <c r="A59" s="16" t="s">
        <v>2709</v>
      </c>
      <c r="B59" s="17" t="s">
        <v>2710</v>
      </c>
      <c r="C59" s="18"/>
      <c r="D59" s="18"/>
      <c r="E59" s="19"/>
      <c r="F59" s="16" t="s">
        <v>2711</v>
      </c>
      <c r="G59" s="21" t="s">
        <v>2712</v>
      </c>
      <c r="H59" s="22" t="str">
        <f t="array" ref="H59">_xlfn.REGEXEXTRACT(G59,F59,1)</f>
        <v>h</v>
      </c>
      <c r="I59" s="22"/>
      <c r="J59" s="22"/>
      <c r="K59" s="22"/>
      <c r="L59" s="16" t="s">
        <v>2650</v>
      </c>
      <c r="M59" s="22" t="str">
        <f t="array" ref="M59">_xlfn.REGEXEXTRACT(L59,F59,1)</f>
        <v>M</v>
      </c>
      <c r="N59" s="22"/>
      <c r="O59" s="22"/>
      <c r="P59" s="22"/>
      <c r="Q59" s="22"/>
      <c r="R59" s="22"/>
      <c r="S59" s="22"/>
      <c r="T59" s="22"/>
    </row>
    <row r="60" spans="1:20" ht="17.399999999999999" customHeight="1" x14ac:dyDescent="0.45">
      <c r="A60" s="16" t="s">
        <v>2709</v>
      </c>
      <c r="B60" s="17" t="s">
        <v>2710</v>
      </c>
      <c r="C60" s="18"/>
      <c r="D60" s="18"/>
      <c r="E60" s="19"/>
      <c r="F60" s="16" t="s">
        <v>2713</v>
      </c>
      <c r="G60" s="16" t="s">
        <v>2714</v>
      </c>
      <c r="H60" s="22" t="str">
        <f t="array" ref="H60">_xlfn.REGEXEXTRACT(G60,F60,1)</f>
        <v>a</v>
      </c>
      <c r="I60" s="22"/>
      <c r="J60" s="22"/>
      <c r="K60" s="22"/>
      <c r="L60" s="16" t="s">
        <v>2715</v>
      </c>
      <c r="M60" s="22" t="e" vm="1">
        <f t="array" ref="M60">_xlfn.REGEXEXTRACT(L60,F60,1)</f>
        <v>#N/A</v>
      </c>
      <c r="N60" s="22"/>
      <c r="O60" s="22"/>
      <c r="P60" s="22"/>
      <c r="Q60" s="22"/>
      <c r="R60" s="22"/>
      <c r="S60" s="22"/>
      <c r="T60" s="22"/>
    </row>
    <row r="61" spans="1:20" ht="35.75" customHeight="1" x14ac:dyDescent="0.45">
      <c r="A61" s="16" t="s">
        <v>2716</v>
      </c>
      <c r="B61" s="17" t="s">
        <v>2717</v>
      </c>
      <c r="C61" s="18"/>
      <c r="D61" s="18"/>
      <c r="E61" s="19"/>
      <c r="F61" s="16" t="s">
        <v>2718</v>
      </c>
      <c r="G61" s="21" t="s">
        <v>2712</v>
      </c>
      <c r="H61" s="22" t="str">
        <f t="array" ref="H61">_xlfn.REGEXEXTRACT(G61,F61,1)</f>
        <v>?</v>
      </c>
      <c r="I61" s="22"/>
      <c r="J61" s="22"/>
      <c r="K61" s="22"/>
      <c r="L61" s="16" t="s">
        <v>2715</v>
      </c>
      <c r="M61" s="22" t="str">
        <f t="array" ref="M61">_xlfn.REGEXEXTRACT(L61,F61,1)</f>
        <v>a</v>
      </c>
      <c r="N61" s="22"/>
      <c r="O61" s="22"/>
      <c r="P61" s="22"/>
      <c r="Q61" s="22"/>
      <c r="R61" s="22"/>
      <c r="S61" s="22"/>
      <c r="T61" s="22"/>
    </row>
    <row r="62" spans="1:20" ht="17.399999999999999" customHeight="1" x14ac:dyDescent="0.45">
      <c r="A62" s="16" t="s">
        <v>2719</v>
      </c>
      <c r="B62" s="17" t="s">
        <v>2720</v>
      </c>
      <c r="C62" s="18"/>
      <c r="D62" s="18"/>
      <c r="E62" s="19"/>
      <c r="F62" s="16" t="s">
        <v>2721</v>
      </c>
      <c r="G62" s="16" t="s">
        <v>2722</v>
      </c>
      <c r="H62" s="22" t="str">
        <f t="array" ref="H62:I62">_xlfn.REGEXEXTRACT(G62,F62,1)</f>
        <v>A1</v>
      </c>
      <c r="I62" s="22" t="str">
        <v>D9</v>
      </c>
      <c r="J62" s="22"/>
      <c r="K62" s="22"/>
      <c r="L62" s="16" t="s">
        <v>2723</v>
      </c>
      <c r="M62" s="22" t="e" vm="1">
        <f t="array" ref="M62">_xlfn.REGEXEXTRACT(L62,F62,1)</f>
        <v>#N/A</v>
      </c>
      <c r="N62" s="22"/>
      <c r="O62" s="22"/>
      <c r="P62" s="22"/>
      <c r="Q62" s="22"/>
      <c r="R62" s="22"/>
      <c r="S62" s="22"/>
      <c r="T62" s="22"/>
    </row>
    <row r="63" spans="1:20" ht="17.399999999999999" customHeight="1" x14ac:dyDescent="0.45">
      <c r="A63" s="16" t="s">
        <v>2719</v>
      </c>
      <c r="B63" s="17" t="s">
        <v>2720</v>
      </c>
      <c r="C63" s="18"/>
      <c r="D63" s="18"/>
      <c r="E63" s="19"/>
      <c r="F63" s="16" t="s">
        <v>2724</v>
      </c>
      <c r="G63" s="16" t="s">
        <v>2725</v>
      </c>
      <c r="H63" s="22" t="str">
        <f t="array" ref="H63">_xlfn.REGEXEXTRACT(G63,F63,1)</f>
        <v>cat</v>
      </c>
      <c r="I63" s="22"/>
      <c r="J63" s="22"/>
      <c r="K63" s="22"/>
      <c r="L63" s="16" t="s">
        <v>2726</v>
      </c>
      <c r="M63" s="22" t="e" vm="1">
        <f t="array" ref="M63">_xlfn.REGEXEXTRACT(L63,F63,1)</f>
        <v>#N/A</v>
      </c>
      <c r="N63" s="22"/>
      <c r="O63" s="22"/>
      <c r="P63" s="22"/>
      <c r="Q63" s="22"/>
      <c r="R63" s="22"/>
      <c r="S63" s="22"/>
      <c r="T63" s="22"/>
    </row>
    <row r="64" spans="1:20" ht="17.399999999999999" customHeight="1" x14ac:dyDescent="0.45">
      <c r="A64" s="16" t="s">
        <v>2727</v>
      </c>
      <c r="B64" s="17" t="s">
        <v>2728</v>
      </c>
      <c r="C64" s="18"/>
      <c r="D64" s="18"/>
      <c r="E64" s="19"/>
      <c r="F64" s="16" t="s">
        <v>2729</v>
      </c>
      <c r="G64" s="16" t="s">
        <v>2730</v>
      </c>
      <c r="H64" s="22" t="e" vm="1">
        <f t="array" ref="H64">_xlfn.REGEXEXTRACT(G64,F64,1)</f>
        <v>#N/A</v>
      </c>
      <c r="I64" s="22"/>
      <c r="J64" s="22"/>
      <c r="K64" s="22"/>
      <c r="L64" s="16" t="s">
        <v>2726</v>
      </c>
      <c r="M64" s="22" t="str">
        <f t="array" ref="M64">_xlfn.REGEXEXTRACT(L64,F64,1)</f>
        <v>cat</v>
      </c>
      <c r="N64" s="22"/>
      <c r="O64" s="22"/>
      <c r="P64" s="22"/>
      <c r="Q64" s="22"/>
      <c r="R64" s="22"/>
      <c r="S64" s="22"/>
      <c r="T64" s="22"/>
    </row>
    <row r="65" spans="1:21" ht="54.5" customHeight="1" x14ac:dyDescent="0.45">
      <c r="A65" s="24" t="s">
        <v>2731</v>
      </c>
      <c r="B65" s="17" t="s">
        <v>2732</v>
      </c>
      <c r="C65" s="18"/>
      <c r="D65" s="18"/>
      <c r="E65" s="19"/>
      <c r="F65" s="16" t="str">
        <f>_xlfn.UNICHAR(10)&amp;"."</f>
        <v xml:space="preserve">
.</v>
      </c>
      <c r="G65" s="21" t="s">
        <v>2712</v>
      </c>
      <c r="H65" s="22" t="str">
        <f t="array" ref="H65">_xlfn.REGEXEXTRACT(G65,F65,1)</f>
        <v xml:space="preserve">
y</v>
      </c>
      <c r="I65" s="22"/>
      <c r="J65" s="22"/>
      <c r="K65" s="22"/>
      <c r="L65" s="16" t="s">
        <v>2715</v>
      </c>
      <c r="M65" s="22" t="e" vm="1">
        <f t="array" ref="M65">_xlfn.REGEXEXTRACT(L65,F65,1)</f>
        <v>#N/A</v>
      </c>
      <c r="N65" s="22"/>
      <c r="O65" s="22"/>
      <c r="P65" s="22"/>
      <c r="Q65" s="22"/>
      <c r="R65" s="22"/>
      <c r="S65" s="22"/>
      <c r="T65" s="22"/>
    </row>
    <row r="66" spans="1:21" ht="43" customHeight="1" x14ac:dyDescent="0.45">
      <c r="A66" s="24" t="s">
        <v>2733</v>
      </c>
      <c r="B66" s="17" t="s">
        <v>2734</v>
      </c>
      <c r="C66" s="18"/>
      <c r="D66" s="18"/>
      <c r="E66" s="19"/>
      <c r="F66" s="21" t="s">
        <v>2733</v>
      </c>
      <c r="G66" s="37" t="s">
        <v>2735</v>
      </c>
      <c r="H66" s="22" t="str">
        <f t="array" ref="H66:J66">_xlfn.REGEXEXTRACT(G66,F66,1)</f>
        <v>2</v>
      </c>
      <c r="I66" s="22" t="str">
        <v>-3.2</v>
      </c>
      <c r="J66" s="22" t="str">
        <v>99.0323141</v>
      </c>
      <c r="K66" s="22"/>
      <c r="L66" s="16"/>
      <c r="M66" s="22"/>
      <c r="N66" s="36"/>
      <c r="O66" s="22"/>
      <c r="P66" s="22"/>
      <c r="Q66" s="22"/>
      <c r="R66" s="22"/>
      <c r="S66" s="22"/>
      <c r="T66" s="22"/>
    </row>
    <row r="67" spans="1:21" ht="17.399999999999999" customHeight="1" x14ac:dyDescent="0.45">
      <c r="A67" s="16" t="s">
        <v>2736</v>
      </c>
      <c r="B67" s="17" t="s">
        <v>2737</v>
      </c>
      <c r="C67" s="18"/>
      <c r="D67" s="18"/>
      <c r="E67" s="19"/>
      <c r="F67" s="16" t="s">
        <v>2736</v>
      </c>
      <c r="G67" s="16" t="s">
        <v>2722</v>
      </c>
      <c r="H67" s="22" t="str">
        <f t="array" ref="H67:J67">_xlfn.REGEXEXTRACT(G67,F67,1)</f>
        <v>A1</v>
      </c>
      <c r="I67" s="22" t="str">
        <v>LLO73</v>
      </c>
      <c r="J67" s="38" t="str">
        <v>D9</v>
      </c>
      <c r="K67" s="22"/>
      <c r="L67" s="16" t="s">
        <v>2723</v>
      </c>
      <c r="M67" s="22" t="str">
        <f t="array" ref="M67:O67">_xlfn.REGEXEXTRACT(L67,F67,1)</f>
        <v>A4</v>
      </c>
      <c r="N67" s="23" t="str">
        <v>VBZ4399999</v>
      </c>
      <c r="O67" s="22" t="str">
        <v>D1</v>
      </c>
      <c r="P67" s="22"/>
      <c r="Q67" s="22"/>
      <c r="R67" s="22"/>
      <c r="S67" s="22"/>
      <c r="T67" s="22"/>
    </row>
    <row r="68" spans="1:21" ht="19.25" customHeight="1" x14ac:dyDescent="0.5">
      <c r="C68" s="95"/>
      <c r="D68" s="95"/>
      <c r="E68" s="95"/>
    </row>
    <row r="69" spans="1:21" ht="19.25" customHeight="1" thickBot="1" x14ac:dyDescent="0.55000000000000004">
      <c r="A69" s="15" t="s">
        <v>2738</v>
      </c>
    </row>
    <row r="70" spans="1:21" ht="19.25" customHeight="1" thickBot="1" x14ac:dyDescent="0.55000000000000004">
      <c r="A70" s="86" t="s">
        <v>0</v>
      </c>
      <c r="B70" s="87"/>
      <c r="C70" s="87"/>
      <c r="D70" s="87"/>
      <c r="E70" s="88"/>
      <c r="F70" s="86" t="s">
        <v>2</v>
      </c>
      <c r="G70" s="87"/>
      <c r="H70" s="87"/>
      <c r="I70" s="87"/>
      <c r="J70" s="87"/>
      <c r="K70" s="87"/>
      <c r="L70" s="87"/>
      <c r="M70" s="87"/>
      <c r="N70" s="87"/>
      <c r="O70" s="87"/>
      <c r="P70" s="87"/>
      <c r="Q70" s="87"/>
      <c r="R70" s="87"/>
      <c r="S70" s="87"/>
      <c r="T70" s="87"/>
      <c r="U70" s="88"/>
    </row>
    <row r="71" spans="1:21" ht="19.25" customHeight="1" x14ac:dyDescent="0.45">
      <c r="A71" s="89" t="s">
        <v>2739</v>
      </c>
      <c r="B71" s="85"/>
      <c r="C71" s="85"/>
      <c r="D71" s="85"/>
      <c r="E71" s="85"/>
      <c r="F71" s="26" t="s">
        <v>2740</v>
      </c>
      <c r="G71" s="26"/>
    </row>
    <row r="72" spans="1:21" ht="19.25" customHeight="1" x14ac:dyDescent="0.45">
      <c r="A72" s="89" t="s">
        <v>2741</v>
      </c>
      <c r="B72" s="85"/>
      <c r="C72" s="85"/>
      <c r="D72" s="85"/>
      <c r="E72" s="85"/>
      <c r="F72" s="26" t="s">
        <v>2742</v>
      </c>
    </row>
    <row r="73" spans="1:21" ht="22.5" customHeight="1" x14ac:dyDescent="0.45">
      <c r="A73" s="89" t="s">
        <v>2743</v>
      </c>
      <c r="B73" s="85"/>
      <c r="C73" s="85"/>
      <c r="D73" s="85"/>
      <c r="E73" s="85"/>
      <c r="F73" s="26" t="s">
        <v>2744</v>
      </c>
    </row>
    <row r="74" spans="1:21" ht="19.25" customHeight="1" x14ac:dyDescent="0.45">
      <c r="A74" s="89" t="s">
        <v>2745</v>
      </c>
      <c r="B74" s="85"/>
      <c r="C74" s="85"/>
      <c r="D74" s="85"/>
      <c r="E74" s="85"/>
      <c r="F74" s="85"/>
      <c r="G74" s="85"/>
      <c r="H74" s="85"/>
      <c r="I74" s="85"/>
      <c r="J74" s="85"/>
      <c r="K74" s="85"/>
      <c r="L74" s="85"/>
      <c r="M74" s="94" t="s">
        <v>2746</v>
      </c>
      <c r="N74" s="85"/>
      <c r="O74" s="85"/>
      <c r="P74" s="85"/>
      <c r="Q74" s="85"/>
      <c r="R74" s="85"/>
      <c r="S74" s="85"/>
      <c r="T74" s="85"/>
      <c r="U74" s="85"/>
    </row>
  </sheetData>
  <mergeCells count="19">
    <mergeCell ref="A72:E72"/>
    <mergeCell ref="A74:L74"/>
    <mergeCell ref="B1:G1"/>
    <mergeCell ref="F70:U70"/>
    <mergeCell ref="M74:U74"/>
    <mergeCell ref="A36:E36"/>
    <mergeCell ref="A37:E37"/>
    <mergeCell ref="A73:E73"/>
    <mergeCell ref="C68:E68"/>
    <mergeCell ref="A33:E33"/>
    <mergeCell ref="A70:E70"/>
    <mergeCell ref="A5:E5"/>
    <mergeCell ref="B3:G3"/>
    <mergeCell ref="U8:V8"/>
    <mergeCell ref="A35:E35"/>
    <mergeCell ref="F33:U33"/>
    <mergeCell ref="A71:E71"/>
    <mergeCell ref="B2:G2"/>
    <mergeCell ref="A34:E34"/>
  </mergeCells>
  <hyperlinks>
    <hyperlink ref="A7" r:id="rId1" display="Guide to this file: https://youtu.be/MHZXi6s6fGk" xr:uid="{00000000-0004-0000-0000-000000000000}"/>
    <hyperlink ref="B7" r:id="rId2" display="Guide to this file: https://youtu.be/MHZXi6s6fGk" xr:uid="{00000000-0004-0000-0000-000001000000}"/>
    <hyperlink ref="C7" r:id="rId3" display="Guide to this file: https://youtu.be/MHZXi6s6fGk" xr:uid="{00000000-0004-0000-0000-000002000000}"/>
  </hyperlinks>
  <pageMargins left="0.7" right="0.7" top="0.75" bottom="0.75" header="0.3" footer="0.3"/>
  <pageSetup orientation="portrait"/>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setup_workbook">
                <anchor moveWithCells="1" sizeWithCells="1">
                  <from>
                    <xdr:col>7</xdr:col>
                    <xdr:colOff>158750</xdr:colOff>
                    <xdr:row>0</xdr:row>
                    <xdr:rowOff>31750</xdr:rowOff>
                  </from>
                  <to>
                    <xdr:col>9</xdr:col>
                    <xdr:colOff>101600</xdr:colOff>
                    <xdr:row>2</xdr:row>
                    <xdr:rowOff>25400</xdr:rowOff>
                  </to>
                </anchor>
              </controlPr>
            </control>
          </mc:Choice>
        </mc:AlternateContent>
        <mc:AlternateContent xmlns:mc="http://schemas.openxmlformats.org/markup-compatibility/2006">
          <mc:Choice Requires="x14">
            <control shapeId="1026" r:id="rId7" name="Button 2">
              <controlPr defaultSize="0" print="0" autoFill="0" autoPict="0" macro="[0]!safe_setup">
                <anchor moveWithCells="1" sizeWithCells="1">
                  <from>
                    <xdr:col>9</xdr:col>
                    <xdr:colOff>787400</xdr:colOff>
                    <xdr:row>0</xdr:row>
                    <xdr:rowOff>50800</xdr:rowOff>
                  </from>
                  <to>
                    <xdr:col>11</xdr:col>
                    <xdr:colOff>330200</xdr:colOff>
                    <xdr:row>2</xdr:row>
                    <xdr:rowOff>25400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DAFEEF-5B8F-4700-BC36-03661FA09440}">
  <sheetPr codeName="Sheet2">
    <tabColor theme="8" tint="0.79998168889431442"/>
  </sheetPr>
  <dimension ref="A1:S74"/>
  <sheetViews>
    <sheetView zoomScale="85" zoomScaleNormal="85" workbookViewId="0">
      <selection activeCell="A35" sqref="A35"/>
    </sheetView>
  </sheetViews>
  <sheetFormatPr defaultRowHeight="21" x14ac:dyDescent="0.5"/>
  <cols>
    <col min="1" max="1" width="54.5625" style="76" customWidth="1"/>
    <col min="2" max="2" width="124.1875" style="76" customWidth="1"/>
    <col min="3" max="3" width="58.8125" style="76" customWidth="1"/>
    <col min="4" max="4" width="230.75" style="76" customWidth="1"/>
    <col min="5" max="16384" width="9" style="76"/>
  </cols>
  <sheetData>
    <row r="1" spans="1:19" s="70" customFormat="1" ht="19.25" customHeight="1" thickBot="1" x14ac:dyDescent="0.55000000000000004">
      <c r="A1" s="66" t="s">
        <v>0</v>
      </c>
      <c r="B1" s="67" t="s">
        <v>2747</v>
      </c>
      <c r="C1" s="68" t="s">
        <v>4</v>
      </c>
      <c r="D1" s="68" t="s">
        <v>2748</v>
      </c>
      <c r="E1" s="68"/>
      <c r="F1" s="68"/>
      <c r="G1" s="68"/>
      <c r="H1" s="68"/>
      <c r="I1" s="68"/>
      <c r="J1" s="68"/>
      <c r="K1" s="68"/>
      <c r="L1" s="68"/>
      <c r="M1" s="68"/>
      <c r="N1" s="68"/>
      <c r="O1" s="68"/>
      <c r="P1" s="68"/>
      <c r="Q1" s="69"/>
      <c r="R1" s="98"/>
      <c r="S1" s="99"/>
    </row>
    <row r="2" spans="1:19" s="75" customFormat="1" ht="19.25" customHeight="1" x14ac:dyDescent="0.5">
      <c r="A2" s="71" t="s">
        <v>3535</v>
      </c>
      <c r="B2" s="72" t="inlineStr">
        <is>
          <t xml:space="preserve">Non-volatile INDIRECT: the contents of arr at an address or range. A single address gives one value; a range gives the array of contents where it overlaps arr; an array of addresses gives their contents element-wise. Empty cells return "" (never 0). A valid address or range lying entirely outside arr returns "oob". An invalid input returns "inv" - a non-address, or a range used as an element inside an array (a range is fine as a scalar input, but a range-within-an-array is not).</t>
        </is>
      </c>
      <c r="C2" s="73" t="inlineStr">
        <is>
          <t xml:space="preserve">'=LAMBDA(ad_or_rng, arr,
  LET(
    s_row, ROW(INDEX(arr, 1, 1)),
    s_col, COLUMN(INDEX(arr, 1, 1)),
    a_rows, ROWS(arr),
    a_cols, COLUMNS(arr),
    cell_at, LAMBDA(one,
      LET(box, IFERROR(z_ad_box(one), 0),
        IF(COUNT(box) &lt;&gt; 4, "inv",
        IF(OR(INDEX(box, 1) &lt;&gt; INDEX(box, 3), INDEX(box, 2) &lt;&gt; INDEX(box, 4)), "inv",
          LET(rel_r, INDEX(box, 1) - s_row + 1, rel_c, INDEX(box, 2) - s_col + 1,
            IF(OR(rel_r &lt; 1, rel_r &gt; a_rows, rel_c &lt; 1, rel_c &gt; a_cols), "oob",
              LET(cval, INDEX(arr, rel_r, rel_c), IF(cval = "", "", cval)))))))),
    box0, IFERROR(z_ad_box(ad_or_rng), 0),
    is_rng, IFERROR(AND(COUNT(box0) = 4, OR(INDEX(box0, 1) &lt;&gt; INDEX(box0, 3), INDEX(box0, 2) &lt;&gt; INDEX(box0, 4))), FALSE),
    IF(ROWS(ad_or_rng) * COLUMNS(ad_or_rng) &gt; 1, MAP(ad_or_rng, cell_at),
      IF(is_rng,
        LET(top, SUM(INDEX(box0, 1)), lft, SUM(INDEX(box0, 2)), bot, SUM(INDEX(box0, 3)), rgt, SUM(INDEX(box0, 4)),
            i_top, MAX(s_row, top), i_lft, MAX(s_col, lft),
            i_bot, MIN(s_row + a_rows - 1, bot), i_rgt, MIN(s_col + a_cols - 1, rgt),
            IF(OR(i_top &gt; i_bot, i_lft &gt; i_rgt), "oob",
              LET(block, TAKE(DROP(arr, i_top - s_row, i_lft - s_col), i_bot - i_top + 1, i_rgt - i_lft + 1),
                  IF(block = "", "", block)))),
        cell_at(ad_or_rng)))
  )
)</t>
        </is>
      </c>
      <c r="D2" s="74" t="inlineStr">
        <is>
          <t xml:space="preserve">Non-volatile alternative to INDIRECT: reads values out of arr by address. The lookup half of the old addr_lookup, split off so the direction is never ambiguous.
arr need not start at A1, and may be on another sheet (e.g. data!A4:F5). Addresses are absolute sheet coordinates, resolved against arr's own top-left corner, so the "C3" you would type on the sheet is the "C3" this reads.
Behaviour by input:
  single address inside arr        -&gt; the value there ("" if that cell is empty)
  range overlapping arr            -&gt; an array of the overlapping contents (clipped to arr)
  address or range fully outside arr -&gt; "oob"
  any non-address single value     -&gt; "inv"
  an array of addresses            -&gt; element-wise contents; an out-of-bounds address -&gt; "oob"; an empty in-bounds cell -&gt; ""; anything that is not a single address (a range element, or junk) -&gt; "inv"
Empty cells come back as "" rather than 0 - fake coerced zeros corrupt later aggregates. The three string sentinels are distinct: "" = an in-bounds cell that is blank; "oob" = a valid address/range that landed entirely outside arr; "inv" = the input was not a usable single address (a non-address, or a range used as an array element). A range is a valid scalar input (clipped to its overlap), but a range inside an array is invalid because it would nest an array within the array. Address parsing is shared with the library via z_ad_box.
Arguments:
  ad_or_rng - a numeric address, A1 string, A1 range, numeric range, or an array of single addresses.
  arr       - the source range to read from.
Returns:
  A single value, a rectangle of values, or an element-wise array of values; "oob" for a valid address/range that lands entirely outside arr; "inv" for a non-address or a range used as an array element; and "" only for an in-bounds empty cell.
Example:
  ad_to_cont("C3", B2:Z10)      -&gt;  the value at C3
  ad_to_cont("C3:D4", B2:Z10)   -&gt;  the 2x2 block C3:D4
  ad_to_cont(3000004, grid)     -&gt;  the value at C3... (numeric form)</t>
        </is>
      </c>
    </row>
    <row r="3" spans="1:19" s="75" customFormat="1" ht="19.25" customHeight="1" x14ac:dyDescent="0.5">
      <c r="A3" s="71" t="s">
        <v>3538</v>
      </c>
      <c r="B3" s="72" t="s">
        <v>3539</v>
      </c>
      <c r="C3" s="73" t="s">
        <v>3540</v>
      </c>
      <c r="D3" s="74" t="s">
        <v>3541</v>
      </c>
    </row>
    <row r="4" spans="1:19" s="75" customFormat="1" ht="19.25" customHeight="1" x14ac:dyDescent="0.5">
      <c r="A4" s="71" t="s">
        <v>2749</v>
      </c>
      <c r="B4" s="72" t="s">
        <v>3276</v>
      </c>
      <c r="C4" s="73" t="s">
        <v>3277</v>
      </c>
      <c r="D4" s="74" t="s">
        <v>3278</v>
      </c>
    </row>
    <row r="5" spans="1:19" s="75" customFormat="1" ht="19.25" customHeight="1" x14ac:dyDescent="0.5">
      <c r="A5" s="71" t="s">
        <v>2750</v>
      </c>
      <c r="B5" s="72" t="inlineStr">
        <is>
          <t xml:space="preserve">Moves a start address (numeric or A1) 'steps' (default 1) in an arrow direction (arrow glyph, its numeric equivalent, or a letter code like "R"/"UL"), bounded by board_rng (default whole sheet). Returns a NUMERIC address. Out of bounds, push_mode: 0 = report "oob;&lt;row&gt;;&lt;col&gt;" with the intended (possibly zero/negative) coordinates (default), 1 = stop at edge, -1 = stay at start.</t>
        </is>
      </c>
      <c r="C5" s="73" t="inlineStr">
        <is>
          <t xml:space="preserve">'=LAMBDA(start_ad, arrow, [steps], [board_rng], [push_mode],
  LET(
    step_n, IF(ISOMITTED(steps), 1, steps),
    mode, IF(ISOMITTED(push_mode), 0, push_mode),
    start_num, num_ad(start_ad),
    start_row, INT(start_num / 1000000),
    start_col, MOD(start_num, 1000000),
    arr_norm, z_dir_to_arrow(arrow),
    d_row, SWITCH(arr_norm, "←", 0, "↖", -1, "↗", -1, "→", 0, "↙", 1, "↓", 1, "↘", 1, "↑", -1),
    d_col, SWITCH(arr_norm, "←", -1, "↖", -1, "↗", 1, "→", 1, "↙", -1, "↓", 0, "↘", 1, "↑", 0),
    row_min, IF(ISOMITTED(board_rng), 1, MIN(ROW(board_rng))),
    row_max, IF(ISOMITTED(board_rng), 1048576, MAX(ROW(board_rng))),
    col_min, IF(ISOMITTED(board_rng), 1, MIN(COLUMN(board_rng))),
    col_max, IF(ISOMITTED(board_rng), 16384, MAX(COLUMN(board_rng))),
    try_row, start_row + d_row * step_n,
    try_col, start_col + d_col * step_n,
    push_row, MIN(MAX(try_row, row_min), row_max),
    push_col, MIN(MAX(try_col, col_min), col_max),
    oob, OR(try_row &lt;&gt; push_row, try_col &lt;&gt; push_col),
    IF(oob,
      SWITCH(mode,
        1, 1000000 * push_row + push_col,
        0, "oob;" &amp; try_row &amp; ";" &amp; try_col,
        -1, 1000000 * start_row + start_col,
        "oob;" &amp; try_row &amp; ";" &amp; try_col),
      1000000 * try_row + try_col)
  )
)</t>
        </is>
      </c>
      <c r="D5" s="74" t="inlineStr">
        <is>
          <t xml:space="preserve">Moves an address a number of steps in an arrow direction, constrained to a board. Computes in numeric-address space and RETURNS A NUMERIC address (use str_ad for the final A1 answer).
Arguments:
  start_ad    - starting cell as a numeric address or an A1 string (coerced with num_ad).
  arrow       - direction as a standard arrow (↑↓←→↖↗↙↘), its numeric equivalent (1, -1000000, ...), or a letter code (U D L R UL UR DL DR).
  [steps]     - number of steps (default 1).
  [board_rng] - bounding range (default whole sheet).
  [push_mode] - out-of-bounds behavior:
                  0 = report "oob" (default) - returns the string "oob;&lt;row&gt;;&lt;col&gt;"
                      where row/col are the INTENDED coordinates, kept even when
                      zero or negative so you can see where the move pointed.
                  1 = stop at edge - clamp to the nearest in-bounds cell.
                 -1 = stay at start - return the starting address unchanged.
Returns:
  The destination as a numeric address (mode 1 clamps to the edge, mode -1 stays
  put), or the string "oob;&lt;row&gt;;&lt;col&gt;" under the default mode 0. In the oob
  string, row and col are the intended landing coordinates (which may be 0 or
  negative), reported on both axes even if only one is out of bounds.
Example:
  arrow_move("A1", "→", 3)       -&gt; 1000004     (in bounds; str_ad -&gt; "D1")
  arrow_move("B1", "↖", 2)       -&gt; "oob;-1;0"  (row 1-2=-1, col 2-2=0, both off)
  arrow_move("B1", "↖", 2, , 1)  -&gt; 1000001     (stop at edge -&gt; A1)
  arrow_move("B1", "↖", 2, , -1) -&gt; 1000002     (stay at start -&gt; B1)</t>
        </is>
      </c>
    </row>
    <row r="6" spans="1:19" s="75" customFormat="1" ht="19.25" customHeight="1" x14ac:dyDescent="0.5">
      <c r="A6" s="71" t="s">
        <v>2751</v>
      </c>
      <c r="B6" s="72" t="s">
        <v>3619</v>
      </c>
      <c r="C6" s="73" t="inlineStr">
        <is>
          <t xml:space="preserve">'=LAMBDA(rng, start_ad, dir, [stopper],
  LET(
    start_num, num_ad(start_ad),
    start_row, INT(start_num / 1000000),
    start_col, MOD(start_num, 1000000),
    top_row, ROW(INDEX(rng, 1, 1)),
    left_col, COLUMN(INDEX(rng, 1, 1)),
    height, ROWS(rng),
    width, COLUMNS(rng),
    bottom_row, top_row + height - 1,
    right_col, left_col + width - 1,
    inside, AND(start_row &gt;= top_row, start_row &lt;= bottom_row, start_col &gt;= left_col, start_col &lt;= right_col),
    LET(_r, IF(NOT(inside), "X",
      LET(
        arrow_list, {"↑"; "↓"; "←"; "→"; "↖"; "↗"; "↘"; "↙"},
        row_steps, {-1; 1; 0; 0; -1; -1; 1; 1},
        col_steps, {0; 0; -1; 1; -1; 1; 1; -1},
        dir_index, XMATCH(z_dir_to_arrow(dir), arrow_list),
        row_delta, INDEX(row_steps, dir_index),
        col_delta, INDEX(col_steps, dir_index),
        row_limit, IF(row_delta &gt; 0, bottom_row - start_row, IF(row_delta &lt; 0, start_row - top_row, 1000000)),
        col_limit, IF(col_delta &gt; 0, right_col - start_col, IF(col_delta &lt; 0, start_col - left_col, 1000000)),
        max_steps, MIN(row_limit, col_limit),
        steps, SEQUENCE(max_steps + 1, , 0),
        trip_rows, start_row + steps * row_delta,
        trip_cols, start_col + steps * col_delta,
        num_list, 1000000 * trip_rows + trip_cols,
        val_list, MAP(num_list, LAMBDA(a, LET(v, ad_to_cont(a, rng), IF(OR(v = "", ISBLANK(v)), "", v)))),
        use_stop, NOT(ISOMITTED(stopper)),
        stop_pos, IF(use_stop, XMATCH(stopper, val_list, 0), NA()),
        keep_rows, IF(use_stop, IF(ISERROR(stop_pos), max_steps + 1, stop_pos), max_steps + 1),
        out_addrs, CHOOSEROWS(num_list, SEQUENCE(keep_rows)),
        out_vals, CHOOSEROWS(val_list, SEQUENCE(keep_rows)),
        HSTACK(out_addrs, out_vals)
      )
    ), IF(ISNA(_r), "", _r))
  )
)</t>
        </is>
      </c>
      <c r="D6" s="74" t="s">
        <v>3621</v>
      </c>
    </row>
    <row r="7" spans="1:19" s="75" customFormat="1" ht="19.25" customHeight="1" x14ac:dyDescent="0.5">
      <c r="A7" s="71" t="s">
        <v>2752</v>
      </c>
      <c r="B7" s="72" t="s">
        <v>2753</v>
      </c>
      <c r="C7" s="73" t="s">
        <v>3292</v>
      </c>
      <c r="D7" s="74" t="s">
        <v>3293</v>
      </c>
    </row>
    <row r="8" spans="1:19" s="75" customFormat="1" ht="19.25" customHeight="1" x14ac:dyDescent="0.5">
      <c r="A8" s="71" t="s">
        <v>2754</v>
      </c>
      <c r="B8" s="72" t="s">
        <v>2755</v>
      </c>
      <c r="C8" s="73" t="s">
        <v>2756</v>
      </c>
      <c r="D8" s="74" t="s">
        <v>2757</v>
      </c>
    </row>
    <row r="9" spans="1:19" s="75" customFormat="1" ht="19.25" customHeight="1" x14ac:dyDescent="0.5">
      <c r="A9" s="71" t="s">
        <v>3542</v>
      </c>
      <c r="B9" s="72" t="s">
        <v>3543</v>
      </c>
      <c r="C9" s="73" t="s">
        <v>3544</v>
      </c>
      <c r="D9" s="74" t="s">
        <v>3545</v>
      </c>
    </row>
    <row r="10" spans="1:19" s="75" customFormat="1" ht="19.25" customHeight="1" x14ac:dyDescent="0.5">
      <c r="A10" s="71" t="s">
        <v>2758</v>
      </c>
      <c r="B10" s="72" t="s">
        <v>2759</v>
      </c>
      <c r="C10" s="73" t="s">
        <v>2760</v>
      </c>
      <c r="D10" s="74" t="s">
        <v>2761</v>
      </c>
    </row>
    <row r="11" spans="1:19" s="75" customFormat="1" ht="19.25" customHeight="1" x14ac:dyDescent="0.5">
      <c r="A11" s="71" t="s">
        <v>2762</v>
      </c>
      <c r="B11" s="72" t="s">
        <v>2763</v>
      </c>
      <c r="C11" s="73" t="s">
        <v>2764</v>
      </c>
      <c r="D11" s="74" t="s">
        <v>2765</v>
      </c>
    </row>
    <row r="12" spans="1:19" s="75" customFormat="1" ht="19.25" customHeight="1" x14ac:dyDescent="0.5">
      <c r="A12" s="71" t="s">
        <v>2766</v>
      </c>
      <c r="B12" s="72" t="s">
        <v>2767</v>
      </c>
      <c r="C12" s="73" t="s">
        <v>2768</v>
      </c>
      <c r="D12" s="74" t="s">
        <v>2769</v>
      </c>
    </row>
    <row r="13" spans="1:19" s="75" customFormat="1" ht="19.25" customHeight="1" x14ac:dyDescent="0.5">
      <c r="A13" s="71" t="s">
        <v>2770</v>
      </c>
      <c r="B13" s="72" t="s">
        <v>2771</v>
      </c>
      <c r="C13" s="73" t="s">
        <v>3294</v>
      </c>
      <c r="D13" s="74" t="s">
        <v>3295</v>
      </c>
    </row>
    <row r="14" spans="1:19" s="75" customFormat="1" ht="19.25" customHeight="1" x14ac:dyDescent="0.5">
      <c r="A14" s="71" t="s">
        <v>2772</v>
      </c>
      <c r="B14" s="72" t="s">
        <v>2773</v>
      </c>
      <c r="C14" s="73" t="s">
        <v>2774</v>
      </c>
      <c r="D14" s="74" t="s">
        <v>2775</v>
      </c>
    </row>
    <row r="15" spans="1:19" s="75" customFormat="1" ht="19.25" customHeight="1" x14ac:dyDescent="0.5">
      <c r="A15" s="71" t="s">
        <v>2776</v>
      </c>
      <c r="B15" s="72" t="s">
        <v>2777</v>
      </c>
      <c r="C15" s="73" t="s">
        <v>2778</v>
      </c>
      <c r="D15" s="74" t="s">
        <v>2779</v>
      </c>
    </row>
    <row r="16" spans="1:19" s="75" customFormat="1" ht="19.25" customHeight="1" x14ac:dyDescent="0.5">
      <c r="A16" s="71" t="s">
        <v>3546</v>
      </c>
      <c r="B16" s="72" t="s">
        <v>3547</v>
      </c>
      <c r="C16" s="73" t="s">
        <v>3575</v>
      </c>
      <c r="D16" s="74" t="s">
        <v>3548</v>
      </c>
    </row>
    <row r="17" spans="1:4" s="75" customFormat="1" ht="19.25" customHeight="1" x14ac:dyDescent="0.5">
      <c r="A17" s="71" t="s">
        <v>2780</v>
      </c>
      <c r="B17" s="72" t="s">
        <v>2781</v>
      </c>
      <c r="C17" s="73" t="inlineStr">
        <is>
          <t xml:space="preserve">'=LAMBDA(array, [min_freq], LET(
   mf, IF(ISOMITTED(min_freq), 1, min_freq),
   vec0, TOCOL(array, 1),
   vec, LET(_v, FILTER(vec0, vec0 &lt;&gt; ""), IF(ISERROR(_v), NA(), _v)),
   u, LET(_u, UNIQUE(vec), IF(ISERROR(_u), NA(), _u)),
   cnt, IFERROR(MAP(u, LAMBDA(x, SUM(--(vec = x)))), NA()),
   tab, LET(_t, FILTER(HSTACK(u, cnt), cnt &gt;= mf), IF(ISERROR(_t), NA(), _t)),
   LET(_s, SORT(tab, {2, 1}, {-1, 1}), IF(ISERROR(_s), NA(), _s))
))</t>
        </is>
      </c>
      <c r="D17" s="74" t="s">
        <v>2783</v>
      </c>
    </row>
    <row r="18" spans="1:4" s="75" customFormat="1" ht="19.25" customHeight="1" x14ac:dyDescent="0.5">
      <c r="A18" s="71" t="s">
        <v>3655</v>
      </c>
      <c r="B18" s="72" t="s">
        <v>3656</v>
      </c>
      <c r="C18" s="73" t="s">
        <v>3657</v>
      </c>
      <c r="D18" s="74" t="s">
        <v>3658</v>
      </c>
    </row>
    <row r="19" spans="1:4" s="75" customFormat="1" ht="19.25" customHeight="1" x14ac:dyDescent="0.5">
      <c r="A19" s="71" t="s">
        <v>2784</v>
      </c>
      <c r="B19" s="72" t="s">
        <v>3549</v>
      </c>
      <c r="C19" s="73" t="s">
        <v>2785</v>
      </c>
      <c r="D19" s="74" t="s">
        <v>3550</v>
      </c>
    </row>
    <row r="20" spans="1:4" s="75" customFormat="1" ht="19.25" customHeight="1" x14ac:dyDescent="0.5">
      <c r="A20" s="71" t="s">
        <v>2786</v>
      </c>
      <c r="B20" s="72" t="s">
        <v>2787</v>
      </c>
      <c r="C20" s="73" t="s">
        <v>2788</v>
      </c>
      <c r="D20" s="74" t="s">
        <v>2789</v>
      </c>
    </row>
    <row r="21" spans="1:4" s="75" customFormat="1" ht="19.25" customHeight="1" x14ac:dyDescent="0.5">
      <c r="A21" s="71" t="s">
        <v>2790</v>
      </c>
      <c r="B21" s="72" t="s">
        <v>2791</v>
      </c>
      <c r="C21" s="73" t="s">
        <v>3296</v>
      </c>
      <c r="D21" s="74" t="s">
        <v>3297</v>
      </c>
    </row>
    <row r="22" spans="1:4" s="75" customFormat="1" ht="19.25" customHeight="1" x14ac:dyDescent="0.5">
      <c r="A22" s="71" t="s">
        <v>2792</v>
      </c>
      <c r="B22" s="72" t="s">
        <v>2793</v>
      </c>
      <c r="C22" s="73" t="s">
        <v>2794</v>
      </c>
      <c r="D22" s="74" t="s">
        <v>2795</v>
      </c>
    </row>
    <row r="23" spans="1:4" s="75" customFormat="1" ht="19.25" customHeight="1" x14ac:dyDescent="0.5">
      <c r="A23" s="71" t="s">
        <v>3577</v>
      </c>
      <c r="B23" s="72" t="s">
        <v>3622</v>
      </c>
      <c r="C23" s="73" t="s">
        <v>3623</v>
      </c>
      <c r="D23" s="74" t="s">
        <v>3624</v>
      </c>
    </row>
    <row r="24" spans="1:4" s="75" customFormat="1" ht="19.25" customHeight="1" x14ac:dyDescent="0.5">
      <c r="A24" s="71" t="s">
        <v>2796</v>
      </c>
      <c r="B24" s="72" t="s">
        <v>2797</v>
      </c>
      <c r="C24" s="73" t="s">
        <v>2798</v>
      </c>
      <c r="D24" s="74" t="s">
        <v>2799</v>
      </c>
    </row>
    <row r="25" spans="1:4" s="75" customFormat="1" ht="19.25" customHeight="1" x14ac:dyDescent="0.5">
      <c r="A25" s="71" t="s">
        <v>2800</v>
      </c>
      <c r="B25" s="72" t="s">
        <v>2801</v>
      </c>
      <c r="C25" s="73" t="s">
        <v>2802</v>
      </c>
      <c r="D25" s="74" t="s">
        <v>2803</v>
      </c>
    </row>
    <row r="26" spans="1:4" s="75" customFormat="1" ht="19.25" customHeight="1" x14ac:dyDescent="0.5">
      <c r="A26" s="71" t="s">
        <v>3551</v>
      </c>
      <c r="B26" s="72" t="s">
        <v>3625</v>
      </c>
      <c r="C26" s="73" t="s">
        <v>3626</v>
      </c>
      <c r="D26" s="74" t="s">
        <v>3627</v>
      </c>
    </row>
    <row r="27" spans="1:4" s="75" customFormat="1" ht="19.25" customHeight="1" x14ac:dyDescent="0.5">
      <c r="A27" s="71" t="s">
        <v>2804</v>
      </c>
      <c r="B27" s="72" t="s">
        <v>2805</v>
      </c>
      <c r="C27" s="73" t="s">
        <v>2806</v>
      </c>
      <c r="D27" s="74" t="s">
        <v>2807</v>
      </c>
    </row>
    <row r="28" spans="1:4" s="75" customFormat="1" ht="19.25" customHeight="1" x14ac:dyDescent="0.5">
      <c r="A28" s="71" t="s">
        <v>2808</v>
      </c>
      <c r="B28" s="72" t="s">
        <v>2809</v>
      </c>
      <c r="C28" s="73" t="s">
        <v>2810</v>
      </c>
      <c r="D28" s="74" t="s">
        <v>2811</v>
      </c>
    </row>
    <row r="29" spans="1:4" s="75" customFormat="1" ht="19.25" customHeight="1" x14ac:dyDescent="0.5">
      <c r="A29" s="71" t="s">
        <v>2812</v>
      </c>
      <c r="B29" s="72" t="s">
        <v>2813</v>
      </c>
      <c r="C29" s="73" t="s">
        <v>2814</v>
      </c>
      <c r="D29" s="74" t="s">
        <v>2815</v>
      </c>
    </row>
    <row r="30" spans="1:4" s="75" customFormat="1" ht="19.25" customHeight="1" x14ac:dyDescent="0.5">
      <c r="A30" s="71" t="s">
        <v>3552</v>
      </c>
      <c r="B30" s="72" t="s">
        <v>3553</v>
      </c>
      <c r="C30" s="73" t="s">
        <v>3473</v>
      </c>
      <c r="D30" s="74" t="s">
        <v>3554</v>
      </c>
    </row>
    <row r="31" spans="1:4" s="75" customFormat="1" ht="19.25" customHeight="1" x14ac:dyDescent="0.5">
      <c r="A31" s="71" t="s">
        <v>2816</v>
      </c>
      <c r="B31" s="72" t="s">
        <v>2817</v>
      </c>
      <c r="C31" s="73" t="s">
        <v>2818</v>
      </c>
      <c r="D31" s="74" t="s">
        <v>2819</v>
      </c>
    </row>
    <row r="32" spans="1:4" s="75" customFormat="1" ht="19.25" customHeight="1" x14ac:dyDescent="0.5">
      <c r="A32" s="71" t="s">
        <v>3628</v>
      </c>
      <c r="B32" s="72" t="s">
        <v>3629</v>
      </c>
      <c r="C32" s="73" t="s">
        <v>3630</v>
      </c>
      <c r="D32" s="74" t="s">
        <v>3631</v>
      </c>
    </row>
    <row r="33" spans="1:4" s="75" customFormat="1" ht="19.25" customHeight="1" x14ac:dyDescent="0.5">
      <c r="A33" s="71" t="s">
        <v>2820</v>
      </c>
      <c r="B33" s="72" t="s">
        <v>2821</v>
      </c>
      <c r="C33" s="73" t="s">
        <v>3298</v>
      </c>
      <c r="D33" s="74" t="s">
        <v>3299</v>
      </c>
    </row>
    <row r="34" spans="1:4" s="75" customFormat="1" ht="19.25" customHeight="1" x14ac:dyDescent="0.5">
      <c r="A34" s="71" t="s">
        <v>2822</v>
      </c>
      <c r="B34" s="72" t="s">
        <v>2823</v>
      </c>
      <c r="C34" s="73" t="s">
        <v>2824</v>
      </c>
      <c r="D34" s="74" t="s">
        <v>2825</v>
      </c>
    </row>
    <row r="35" spans="1:4" s="75" customFormat="1" ht="19.25" customHeight="1" x14ac:dyDescent="0.5">
      <c r="A35" s="71" t="s">
        <v>3578</v>
      </c>
      <c r="B35" s="72" t="s">
        <v>3579</v>
      </c>
      <c r="C35" s="73" t="s">
        <v>3580</v>
      </c>
      <c r="D35" s="74" t="s">
        <v>3581</v>
      </c>
    </row>
    <row r="36" spans="1:4" s="75" customFormat="1" ht="19.25" customHeight="1" x14ac:dyDescent="0.5">
      <c r="A36" s="71" t="s">
        <v>3582</v>
      </c>
      <c r="B36" s="72" t="s">
        <v>3583</v>
      </c>
      <c r="C36" s="73" t="s">
        <v>3584</v>
      </c>
      <c r="D36" s="74" t="s">
        <v>3585</v>
      </c>
    </row>
    <row r="37" spans="1:4" s="75" customFormat="1" ht="19.25" customHeight="1" x14ac:dyDescent="0.5">
      <c r="A37" s="71" t="s">
        <v>2826</v>
      </c>
      <c r="B37" s="72" t="s">
        <v>2827</v>
      </c>
      <c r="C37" s="73" t="inlineStr">
        <is>
          <t xml:space="preserve">'=LAMBDA(arr, n, [order_matters], [repeats_allowed], [countdown_n], [clean_input],
 IF(
  n &lt; 1,
  NA(),
  LET(
   ci_, IF(ISOMITTED(clean_input), 1, clean_input),
   flat_, IF(
    ci_ = 1,
    LET(r_, TOCOL(arr, 3), UNIQUE(FILTER(r_, r_ &lt;&gt; ""))),
    TOCOL(arr)
   ),
   m_, ROWS(flat_),
   om_, IF(ISOMITTED(order_matters), 0, order_matters),
   rep_, IF(ISOMITTED(repeats_allowed), 0, repeats_allowed),
   cd_, IF(ISOMITTED(countdown_n), 0, countdown_n),
   chars_, UNICHAR(SEQUENCE(, m_, 20001)),
   one_k_, LAMBDA(k_,
    IF(
     k_ &lt; 1,
     NA(),
     LET(
      seq_, SEQUENCE(, k_),
      built_, REDUCE(
       "",
       seq_,
       LAMBDA(acc_, step_,
        TOCOL(
         IFS(
          IF(
           om_ = 1,
           IF(rep_ = 1, 1, ISERR(FIND(chars_, acc_))),
           IF(
            rep_ = 1,
            RIGHT(acc_) &lt;= chars_,
            RIGHT(acc_) &lt; chars_
           )
          ),
          acc_ &amp; chars_
         ),
         3
        )
       )
      ),
      LET(_sel,
       MAP(UNICODE(MID(built_, seq_, 1)) - 20000, LAMBDA(pos_, INDEX(flat_, pos_))),
       IF(ISERROR(_sel), NA(), _sel))
     )
    )
   ),
   pad_, LAMBDA(x_, EXPAND(x_, ROWS(x_), n, "")),
   IF(
    cd_ = 0,
    pad_(one_k_(n)),
    LET(
     max_k_, IF(rep_ = 1, n, MIN(n, m_)),
     seed_, pad_(one_k_(max_k_)),
     IF(
      max_k_ = 1,
      seed_,
      REDUCE(
       seed_,
       SEQUENCE(max_k_ - 1, 1, max_k_ - 1, -1),
       LAMBDA(acc_, k_, VSTACK(acc_, pad_(one_k_(k_))))
      )
     )
    )
   )
  )
 )
)</t>
        </is>
      </c>
      <c r="D37" s="74" t="s">
        <v>2828</v>
      </c>
    </row>
    <row r="38" spans="1:4" s="75" customFormat="1" ht="19.25" customHeight="1" x14ac:dyDescent="0.5">
      <c r="A38" s="71" t="s">
        <v>2829</v>
      </c>
      <c r="B38" s="72" t="s">
        <v>2830</v>
      </c>
      <c r="C38" s="73" t="inlineStr">
        <is>
          <t xml:space="preserve">'=LAMBDA(data_rng, [as_row],
   LET(_r,
      LET(
         _flat, TOCOL(data_rng, 3),
         _clean, FILTER(_flat, _flat &lt;&gt; ""),
         _res, SORT(UNIQUE(_clean)),
         IF(IF(ISOMITTED(as_row), 0, as_row), TOROW(_res), _res)
      ),
      IF(ISERROR(_r), "", _r)
   )
)</t>
        </is>
      </c>
      <c r="D38" s="74" t="s">
        <v>2832</v>
      </c>
    </row>
    <row r="39" spans="1:4" s="75" customFormat="1" ht="19.25" customHeight="1" x14ac:dyDescent="0.5">
      <c r="A39" s="71" t="s">
        <v>2833</v>
      </c>
      <c r="B39" s="72" t="s">
        <v>2834</v>
      </c>
      <c r="C39" s="73" t="inlineStr">
        <is>
          <t xml:space="preserve">'=LAMBDA(val_a, val_b, [as_row],
   LET(_r,
      LET(
         list_a, set(val_a),
         list_b, set(val_b),
         res, FILTER(list_a, ISNA(XMATCH(list_a, list_b))),
         IF(IF(ISOMITTED(as_row), 0, as_row), TOROW(res), res)
      ),
      IF(ISERROR(_r), "", _r)
   )
)</t>
        </is>
      </c>
      <c r="D39" s="74" t="s">
        <v>2836</v>
      </c>
    </row>
    <row r="40" spans="1:4" s="75" customFormat="1" ht="19.25" customHeight="1" x14ac:dyDescent="0.5">
      <c r="A40" s="71" t="s">
        <v>2837</v>
      </c>
      <c r="B40" s="72" t="s">
        <v>2838</v>
      </c>
      <c r="C40" s="73" t="inlineStr">
        <is>
          <t xml:space="preserve">'=LAMBDA(val_a, val_b, [as_row],
   LET(_r,
      LET(
         list_a, set(val_a),
         list_b, set(val_b),
         res, FILTER(list_a, ISNUMBER(XMATCH(list_a, list_b))),
         IF(IF(ISOMITTED(as_row), 0, as_row), TOROW(res), res)
      ),
      IF(ISERROR(_r), "", _r)
   )
)</t>
        </is>
      </c>
      <c r="D40" s="74" t="s">
        <v>2840</v>
      </c>
    </row>
    <row r="41" spans="1:4" s="75" customFormat="1" ht="19.25" customHeight="1" x14ac:dyDescent="0.5">
      <c r="A41" s="71" t="s">
        <v>2841</v>
      </c>
      <c r="B41" s="72" t="s">
        <v>2842</v>
      </c>
      <c r="C41" s="73" t="s">
        <v>2843</v>
      </c>
      <c r="D41" s="74" t="s">
        <v>2844</v>
      </c>
    </row>
    <row r="42" spans="1:4" s="75" customFormat="1" ht="19.25" customHeight="1" x14ac:dyDescent="0.5">
      <c r="A42" s="71" t="s">
        <v>3632</v>
      </c>
      <c r="B42" s="72" t="s">
        <v>3633</v>
      </c>
      <c r="C42" s="73" t="inlineStr">
        <is>
          <t xml:space="preserve">'=LAMBDA(arr, dir, [fill], [steps], LET(
   s, IF(ISOMITTED(steps), 1, steps),
   wrap_mode, IF(ISOMITTED(fill), TRUE, fill = "wrap"),
   num_rows, ROWS(arr),
   num_cols, COLUMNS(arr),
   dir_norm, z_dir_to_arrow(dir),
   dir_list, {"U", "D", "L", "R", "UL", "UR", "DL", "DR", "↑", "↓", "←", "→", "↖", "↗", "↙", "↘", "⇑", "⇓", "⇐", "⇒", "⇖", "⇗", "⇙", "⇘"},
   delta_r, CHOOSE(
      XMATCH(dir_norm, dir_list),
      -1,
      1,
      0,
      0,
      -1,
      -1,
      1,
      1,
      -1,
      1,
      0,
      0,
      -1,
      -1,
      1,
      1,
      -1,
      1,
      0,
      0,
      -1,
      -1,
      1,
      1
   ),
   delta_c, CHOOSE(
      XMATCH(dir_norm, dir_list),
      0,
      0,
      -1,
      1,
      -1,
      1,
      -1,
      1,
      0,
      0,
      -1,
      1,
      -1,
      1,
      -1,
      1,
      0,
      0,
      -1,
      1,
      -1,
      1,
      -1,
      1
   ),
   d_row, delta_r * s,
   d_col, delta_c * s,
   result, IF(
      wrap_mode,
      MAKEARRAY(
         num_rows,
         num_cols,
         LAMBDA(i, j,
            INDEX(
               arr,
               MOD(i - 1 - d_row + num_rows, num_rows) + 1,
               MOD(j - 1 - d_col + num_cols, num_cols) + 1
            )
         )
      ),
      MAKEARRAY(
         num_rows,
         num_cols,
         LAMBDA(i, j, LET(
            src_r, i - d_row,
            src_c, j - d_col,
            IF(
               AND(src_r &gt;= 1, src_r &lt;= num_rows, src_c &gt;= 1, src_c &lt;= num_cols),
               INDEX(arr, src_r, src_c),
               fill
            )
         ))
      )
   ),
   IF(ISNA(result), "", result)
))</t>
        </is>
      </c>
      <c r="D42" s="74" t="s">
        <v>3635</v>
      </c>
    </row>
    <row r="43" spans="1:4" s="75" customFormat="1" ht="19.25" customHeight="1" x14ac:dyDescent="0.5">
      <c r="A43" s="71" t="s">
        <v>2845</v>
      </c>
      <c r="B43" s="72" t="s">
        <v>2846</v>
      </c>
      <c r="C43" s="73" t="s">
        <v>3300</v>
      </c>
      <c r="D43" s="74" t="s">
        <v>3301</v>
      </c>
    </row>
    <row r="44" spans="1:4" s="75" customFormat="1" ht="19.25" customHeight="1" x14ac:dyDescent="0.5">
      <c r="A44" s="71" t="s">
        <v>3555</v>
      </c>
      <c r="B44" s="72" t="s">
        <v>3556</v>
      </c>
      <c r="C44" s="73" t="s">
        <v>3576</v>
      </c>
      <c r="D44" s="74" t="s">
        <v>3557</v>
      </c>
    </row>
    <row r="45" spans="1:4" s="75" customFormat="1" ht="19.25" customHeight="1" x14ac:dyDescent="0.5">
      <c r="A45" s="71" t="s">
        <v>2849</v>
      </c>
      <c r="B45" s="72" t="s">
        <v>2850</v>
      </c>
      <c r="C45" s="73" t="s">
        <v>2851</v>
      </c>
      <c r="D45" s="74" t="s">
        <v>2852</v>
      </c>
    </row>
    <row r="46" spans="1:4" s="75" customFormat="1" ht="19.25" customHeight="1" x14ac:dyDescent="0.5">
      <c r="A46" s="71" t="s">
        <v>3558</v>
      </c>
      <c r="B46" s="72" t="s">
        <v>2847</v>
      </c>
      <c r="C46" s="73" t="s">
        <v>2848</v>
      </c>
      <c r="D46" s="74" t="s">
        <v>3559</v>
      </c>
    </row>
    <row r="47" spans="1:4" s="75" customFormat="1" ht="19.25" customHeight="1" x14ac:dyDescent="0.5">
      <c r="A47" s="71" t="s">
        <v>2853</v>
      </c>
      <c r="B47" s="72" t="s">
        <v>2854</v>
      </c>
      <c r="C47" s="73" t="s">
        <v>2855</v>
      </c>
      <c r="D47" s="74" t="s">
        <v>2856</v>
      </c>
    </row>
    <row r="48" spans="1:4" s="75" customFormat="1" ht="19.25" customHeight="1" x14ac:dyDescent="0.5">
      <c r="A48" s="71" t="s">
        <v>2857</v>
      </c>
      <c r="B48" s="72" t="s">
        <v>2858</v>
      </c>
      <c r="C48" s="73" t="s">
        <v>3302</v>
      </c>
      <c r="D48" s="74" t="s">
        <v>3303</v>
      </c>
    </row>
    <row r="49" spans="1:4" s="75" customFormat="1" ht="19.25" customHeight="1" x14ac:dyDescent="0.5">
      <c r="A49" s="71" t="s">
        <v>2859</v>
      </c>
      <c r="B49" s="72" t="s">
        <v>2860</v>
      </c>
      <c r="C49" s="73" t="s">
        <v>2861</v>
      </c>
      <c r="D49" s="74" t="s">
        <v>2862</v>
      </c>
    </row>
    <row r="50" spans="1:4" s="75" customFormat="1" ht="19.25" customHeight="1" x14ac:dyDescent="0.5">
      <c r="A50" s="71" t="s">
        <v>2863</v>
      </c>
      <c r="B50" s="72" t="s">
        <v>2864</v>
      </c>
      <c r="C50" s="73" t="inlineStr">
        <is>
          <t xml:space="preserve">'=LAMBDA(arr, function,
  LET(_r, z_xbyrow_ix(arr, function, 1, ROWS(arr)), IF(ISNA(_r), "", _r))
)</t>
        </is>
      </c>
      <c r="D50" s="74" t="s">
        <v>2866</v>
      </c>
    </row>
    <row r="51" spans="1:4" s="75" customFormat="1" ht="19.25" customHeight="1" x14ac:dyDescent="0.5">
      <c r="A51" s="71" t="s">
        <v>2867</v>
      </c>
      <c r="B51" s="72" t="s">
        <v>2868</v>
      </c>
      <c r="C51" s="73" t="s">
        <v>2869</v>
      </c>
      <c r="D51" s="74" t="s">
        <v>2870</v>
      </c>
    </row>
    <row r="52" spans="1:4" ht="19.25" customHeight="1" x14ac:dyDescent="0.5">
      <c r="A52" s="71" t="s">
        <v>2871</v>
      </c>
      <c r="B52" s="72" t="s">
        <v>2872</v>
      </c>
      <c r="C52" s="73" t="s">
        <v>2873</v>
      </c>
      <c r="D52" s="74" t="s">
        <v>2874</v>
      </c>
    </row>
    <row r="53" spans="1:4" ht="19.25" customHeight="1" x14ac:dyDescent="0.5">
      <c r="A53" s="71" t="s">
        <v>1</v>
      </c>
      <c r="B53" s="72" t="s">
        <v>2875</v>
      </c>
      <c r="C53" s="73" t="inlineStr">
        <is>
          <t xml:space="preserve">'=LAMBDA(arr, f_1, [f_2], [f_3], [f_4], [f_5], LET(
   nr, ROWS(arr),
   nc, COLUMNS(arr),
   filt2, IF(ISOMITTED(f_2), 1, f_2),
   filt3, IF(ISOMITTED(f_3), 1, f_3),
   filt4, IF(ISOMITTED(f_4), 1, f_4),
   filt5, IF(ISOMITTED(f_5), 1, f_5),
   as_row_mask, LAMBDA(g, IF(AND(ROWS(g) = nr, COLUMNS(g) = 1), g, 1)),
   as_col_mask, LAMBDA(g, IF(AND(COLUMNS(g) = nc, ROWS(g) = 1, nc &gt; 1), g, 1)),
   row_mask, SEQUENCE(nr, 1, 1, 0) * as_row_mask(f_1) * as_row_mask(filt2)
      * as_row_mask(filt3) * as_row_mask(filt4) * as_row_mask(filt5),
   col_mask, SEQUENCE(1, nc, 1, 0) * as_col_mask(f_1) * as_col_mask(filt2)
      * as_col_mask(filt3) * as_col_mask(filt4) * as_col_mask(filt5),
   LET(_r, FILTER(FILTER(arr, row_mask), col_mask), IF(ISERROR(_r), "", _r))
))</t>
        </is>
      </c>
      <c r="D53" s="74" t="s">
        <v>3</v>
      </c>
    </row>
    <row r="54" spans="1:4" ht="19.25" customHeight="1" x14ac:dyDescent="0.5">
      <c r="A54" s="71" t="s">
        <v>2876</v>
      </c>
      <c r="B54" s="72" t="s">
        <v>2877</v>
      </c>
      <c r="C54" s="73" t="s">
        <v>2878</v>
      </c>
      <c r="D54" s="74" t="s">
        <v>2879</v>
      </c>
    </row>
    <row r="55" spans="1:4" ht="19.25" customHeight="1" x14ac:dyDescent="0.5">
      <c r="A55" s="71" t="s">
        <v>2880</v>
      </c>
      <c r="B55" s="72" t="s">
        <v>2881</v>
      </c>
      <c r="C55" s="73" t="s">
        <v>2882</v>
      </c>
      <c r="D55" s="74" t="s">
        <v>2883</v>
      </c>
    </row>
    <row r="56" spans="1:4" ht="19.25" customHeight="1" x14ac:dyDescent="0.5">
      <c r="A56" s="71" t="s">
        <v>2884</v>
      </c>
      <c r="B56" s="72" t="s">
        <v>2885</v>
      </c>
      <c r="C56" s="73" t="s">
        <v>3304</v>
      </c>
      <c r="D56" s="74" t="s">
        <v>3305</v>
      </c>
    </row>
    <row r="57" spans="1:4" ht="19.25" customHeight="1" x14ac:dyDescent="0.5">
      <c r="A57" s="71" t="s">
        <v>2886</v>
      </c>
      <c r="B57" s="72" t="s">
        <v>2887</v>
      </c>
      <c r="C57" s="73" t="s">
        <v>3651</v>
      </c>
      <c r="D57" s="74" t="s">
        <v>3652</v>
      </c>
    </row>
    <row r="58" spans="1:4" ht="19.25" customHeight="1" x14ac:dyDescent="0.5">
      <c r="A58" s="71" t="s">
        <v>3659</v>
      </c>
      <c r="B58" s="72" t="s">
        <v>3660</v>
      </c>
      <c r="C58" s="73" t="s">
        <v>3661</v>
      </c>
      <c r="D58" s="74" t="s">
        <v>3662</v>
      </c>
    </row>
    <row r="59" spans="1:4" ht="19.25" customHeight="1" x14ac:dyDescent="0.5">
      <c r="A59" s="71" t="inlineStr">
        <is>
          <t xml:space="preserve">xtextjoin(arr, [delim], [str_arr_set])</t>
        </is>
      </c>
      <c r="B59" s="72" t="inlineStr">
        <is>
          <t xml:space="preserve">TEXTJOIN that can also split back into an array or set, and beats the arg-count and 32k-char limits. delim (default ";") both joins output and splits input. Blanks, errors and "" are ignored; explicit zeros are kept. str_arr_set: 1=string (default), 2=array, 3=sorted-unique set.</t>
        </is>
      </c>
      <c r="C59" s="73" t="inlineStr">
        <is>
          <t xml:space="preserve">'=LAMBDA(arr, [delim], [str_arr_set],
  LET(
    sep, IF(ISOMITTED(delim), ";", delim),
    mode, IF(ISOMITTED(str_arr_set), 1, str_arr_set),
    row_strings, BYROW(arr, LAMBDA(one_row,
      TEXTJOIN(sep, TRUE, IF(ISERROR(one_row &amp; ""), "", one_row &amp; "")))),
    has_any, SUM(--(row_strings &lt;&gt; "")) &gt; 0,
    IF(
      NOT(has_any),
      "",
      LET(
        used_rows, FILTER(row_strings, row_strings &lt;&gt; ""),
        stacked, REDUCE("", used_rows, LAMBDA(acc, one_str,
          VSTACK(acc, TEXTSPLIT(one_str, , sep, TRUE)))),
        tokens, DROP(stacked, 1),
        token_count, ROWS(tokens),
        IF(
          mode = 2,
          tokens,
          IF(
            mode = 3,
            SORT(UNIQUE(tokens)),
            IF(
              SUM(LEN(tokens)) + (token_count - 1) * LEN(sep) &gt; 32767,
              "TOO LONG",
              TEXTJOIN(sep, TRUE, tokens)
            )
          )
        )
      )
    )
  )
)</t>
        </is>
      </c>
      <c r="D59" s="74" t="inlineStr">
        <is>
          <t xml:space="preserve">A TEXTJOIN that reads a whole array (bypassing TEXTJOIN's ~252 argument limit) and can hand the result back as a joined string, a vertical array, or a sorted unique set. It is built to survive outputs larger than one cell can hold.
arr may be a single string or a 1D/2D array of strings; a 2D array is read in row-major order (left to right, top to bottom). Cells may hold single items, delim-separated lists, blanks, "", or errors. Blanks, "", and errors are ignored. Numbers become text; an explicit 0 is kept, but a blank cell never becomes a fake 0 (values are read with concatenation, which treats a blank as "" and a real zero as "0").
Arguments:
  arr           - the value(s) to join/split.
  [delim]       - delimiter used for BOTH the joined output and for splitting the input. Default ";".
  [str_arr_set] - output style: 1 = string (default), 2 = array, 3 = set.
Modes:
  1 string - one string, like TEXTJOIN but with no argument-count limit. If the result would exceed a cell's 32,767-character limit it returns "TOO LONG".
  2 array  - a vertical array of the items, as if the whole thing were joined and split again, but built one input row at a time so the total may exceed 32,767 characters.
  3 set    - the array output with UNIQUE then SORT applied.
To stay within Excel's limits on big inputs, each input row is joined and re-split on its own and the pieces are stacked, so no single intermediate string has to hold the whole output. Each individual input row must still fit in 32,767 characters.
Returns:
  A single string (mode 1), a vertical array (mode 2), or a sorted set (mode 3). Empty input returns "".
Examples:
  xtextjoin({"a;b";"c";"";"d;e"})               -&gt;  "a;b;c;d;e"
  xtextjoin({"a;b";"c";"d;e"}, ";", 2)          -&gt;  {"a";"b";"c";"d";"e"}
  xtextjoin({"b;a";"a;c"}, ";", 3)              -&gt;  {"a";"b";"c"}</t>
        </is>
      </c>
    </row>
    <row r="60" spans="1:4" ht="19.25" customHeight="1" x14ac:dyDescent="0.5">
      <c r="A60" s="71" t="s">
        <v>2892</v>
      </c>
      <c r="B60" s="72" t="s">
        <v>2893</v>
      </c>
      <c r="C60" s="73" t="s">
        <v>3306</v>
      </c>
      <c r="D60" s="74" t="s">
        <v>3307</v>
      </c>
    </row>
    <row r="61" spans="1:4" ht="19.25" customHeight="1" x14ac:dyDescent="0.5">
      <c r="A61" s="71" t="s">
        <v>3560</v>
      </c>
      <c r="B61" s="72" t="s">
        <v>3561</v>
      </c>
      <c r="C61" s="73" t="s">
        <v>3562</v>
      </c>
      <c r="D61" s="74" t="s">
        <v>3563</v>
      </c>
    </row>
    <row r="62" spans="1:4" ht="19.25" customHeight="1" x14ac:dyDescent="0.5">
      <c r="A62" s="71" t="s">
        <v>3478</v>
      </c>
      <c r="B62" s="72" t="s">
        <v>3564</v>
      </c>
      <c r="C62" s="73" t="s">
        <v>3565</v>
      </c>
      <c r="D62" s="74" t="s">
        <v>3566</v>
      </c>
    </row>
    <row r="63" spans="1:4" ht="19.25" customHeight="1" x14ac:dyDescent="0.5">
      <c r="A63" s="71" t="s">
        <v>3636</v>
      </c>
      <c r="B63" s="72" t="s">
        <v>3637</v>
      </c>
      <c r="C63" s="73" t="s">
        <v>3638</v>
      </c>
      <c r="D63" s="74" t="s">
        <v>3639</v>
      </c>
    </row>
    <row r="64" spans="1:4" ht="19.25" customHeight="1" x14ac:dyDescent="0.5">
      <c r="A64" s="71" t="s">
        <v>3640</v>
      </c>
      <c r="B64" s="72" t="s">
        <v>3641</v>
      </c>
      <c r="C64" s="73" t="s">
        <v>3642</v>
      </c>
      <c r="D64" s="74" t="s">
        <v>3643</v>
      </c>
    </row>
    <row r="65" spans="1:4" ht="19.25" customHeight="1" x14ac:dyDescent="0.5">
      <c r="A65" s="71" t="s">
        <v>3663</v>
      </c>
      <c r="B65" s="72" t="s">
        <v>3664</v>
      </c>
      <c r="C65" s="73" t="s">
        <v>3665</v>
      </c>
      <c r="D65" s="74" t="s">
        <v>3666</v>
      </c>
    </row>
    <row r="66" spans="1:4" ht="19.25" customHeight="1" x14ac:dyDescent="0.5">
      <c r="A66" s="71" t="s">
        <v>3667</v>
      </c>
      <c r="B66" s="72" t="s">
        <v>3668</v>
      </c>
      <c r="C66" s="73" t="s">
        <v>3669</v>
      </c>
      <c r="D66" s="74" t="s">
        <v>3670</v>
      </c>
    </row>
    <row r="67" spans="1:4" ht="19.25" customHeight="1" x14ac:dyDescent="0.5">
      <c r="A67" s="71" t="s">
        <v>3479</v>
      </c>
      <c r="B67" s="72" t="s">
        <v>3567</v>
      </c>
      <c r="C67" s="73" t="s">
        <v>3480</v>
      </c>
      <c r="D67" s="74" t="s">
        <v>3568</v>
      </c>
    </row>
    <row r="68" spans="1:4" ht="19.25" customHeight="1" x14ac:dyDescent="0.5">
      <c r="A68" s="71" t="s">
        <v>3569</v>
      </c>
      <c r="B68" s="72" t="s">
        <v>3570</v>
      </c>
      <c r="C68" s="73" t="s">
        <v>3571</v>
      </c>
      <c r="D68" s="74" t="s">
        <v>3572</v>
      </c>
    </row>
    <row r="69" spans="1:4" ht="19.25" customHeight="1" x14ac:dyDescent="0.5">
      <c r="A69" s="71" t="s">
        <v>2894</v>
      </c>
      <c r="B69" s="72" t="s">
        <v>2895</v>
      </c>
      <c r="C69" s="73" t="s">
        <v>2896</v>
      </c>
      <c r="D69" s="74" t="s">
        <v>2897</v>
      </c>
    </row>
    <row r="70" spans="1:4" ht="19.25" customHeight="1" x14ac:dyDescent="0.5">
      <c r="A70" s="71" t="s">
        <v>2898</v>
      </c>
      <c r="B70" s="72" t="s">
        <v>2899</v>
      </c>
      <c r="C70" s="73" t="s">
        <v>2900</v>
      </c>
      <c r="D70" s="74" t="s">
        <v>2901</v>
      </c>
    </row>
    <row r="71" spans="1:4" ht="19.25" customHeight="1" x14ac:dyDescent="0.5">
      <c r="A71" s="71" t="inlineStr">
        <is>
          <t xml:space="preserve">first_time(arr)</t>
        </is>
      </c>
      <c r="B71" s="72" t="inlineStr">
        <is>
          <t xml:space="preserve">For each cell, 1 if that value appears for the first time when arr is read in row-major order, 0 if it repeats an earlier value. Output is the same size and shape as arr.</t>
        </is>
      </c>
      <c r="C71" s="73" t="inlineStr">
        <is>
          <t xml:space="preserve">=LAMBDA(arr,
  LET(
    cols, COLUMNS(arr),
    flat, TOCOL(arr),
    n_items, ROWS(flat),
    first_seen, --(XMATCH(flat, flat) = SEQUENCE(n_items)),
    WRAPROWS(first_seen, cols)
  )
)</t>
        </is>
      </c>
      <c r="D71" s="74" t="inlineStr">
        <is>
          <t xml:space="preserve">Flags the first appearance of each distinct value. Reading arr in row-major order (left to right, top to bottom), a cell is 1 the first time its value is seen and 0 for every later repeat. The returned array has the same size and shape as arr.
Arguments:
  arr - a single value or a 1D/2D array.
Returns:
  An array the same size and shape as arr, of 1s (first occurrence) and 0s (repeat).
How it works: the input is flattened row-major, XMATCH finds the first position of each value, and a cell is 1 exactly where that first position equals the cell's own position. The flags are wrapped back into arr's shape with WRAPROWS.
Numbers and text are compared exactly (5 and "5" are different). Blank cells read as 0.
Examples:
  first_time({"A";"B";"A";"C";"B"})   -&gt;  {1;1;0;1;0}
  first_time({"A","B","A";"C","A","B"}) -&gt;  {1,1,0;1,0,0}</t>
        </is>
      </c>
    </row>
    <row r="72" spans="1:4" ht="19.25" customHeight="1" x14ac:dyDescent="0.5">
      <c r="A72" s="71" t="inlineStr">
        <is>
          <t xml:space="preserve">streak(arr)</t>
        </is>
      </c>
      <c r="B72" s="72" t="inlineStr">
        <is>
          <t xml:space="preserve">For each cell, a running count of consecutive equal values in row-major order: 1 when the value differs from the previous item, otherwise the previous count plus 1. Output is the same size and shape as arr.</t>
        </is>
      </c>
      <c r="C72" s="73" t="inlineStr">
        <is>
          <t xml:space="preserve">=LAMBDA(arr,
  LET(
    cols, COLUMNS(arr),
    flat, TOCOL(arr),
    n_items, ROWS(flat),
    same_as_prev, MAP(SEQUENCE(n_items), LAMBDA(i,
      IF(i = 1, FALSE, INDEX(flat, i) = INDEX(flat, i - 1)))),
    run_len, SCAN(0, same_as_prev, LAMBDA(acc, is_same, IF(is_same, acc + 1, 1))),
    WRAPROWS(run_len, cols)
  )
)</t>
        </is>
      </c>
      <c r="D72" s="74" t="inlineStr">
        <is>
          <t xml:space="preserve">Counts consecutive runs of equal values. Reading arr in row-major order (left to right, top to bottom), each cell is 1 when its value differs from the item just before it, and one more than the previous count when it matches - so the number tells you how many of that value have appeared in a row so far. The returned array has the same size and shape as arr.
Arguments:
  arr - a single value or a 1D/2D array.
Returns:
  An array the same size and shape as arr of run-length counts (each run restarts at 1).
How it works: the input is flattened row-major, each item is compared with the one before it, and SCAN turns that "same as previous" flag into a running counter that resets to 1 whenever the value changes. The counts are wrapped back into arr's shape with WRAPROWS.
Numbers and text are compared exactly (5 and "5" are different). Blank cells read as 0.
Examples:
  streak({"A";"B";"C";"C";"D";"D";"D";"E"})  -&gt;  {1;1;1;2;1;2;3;1}
  streak({"A","A";"B","A"})                  -&gt;  {1,2;1,1}</t>
        </is>
      </c>
    </row>
    <row r="73" spans="1:4" ht="19.25" customHeight="1" x14ac:dyDescent="0.5">
      <c r="A73" s="71" t="inlineStr">
        <is>
          <t xml:space="preserve">xbycol(arr, function)</t>
        </is>
      </c>
      <c r="B73" s="72" t="inlineStr">
        <is>
          <t xml:space="preserve">BYCOL that allows array-returning functions: each column's result is flattened to a column (TOCOL) and stacked side by side; ragged #N/A padding is blanked (IFNA). Use for per-column transforms that expand each item into a column.</t>
        </is>
      </c>
      <c r="C73" s="73" t="inlineStr">
        <is>
          <t xml:space="preserve">'=LAMBDA(arr, function,
  LET(_r, z_xbycol_ix(arr, function, 1, COLUMNS(arr)), IF(ISNA(_r), "", _r))
)</t>
        </is>
      </c>
      <c r="D73" s="74" t="inlineStr">
        <is>
          <t xml:space="preserve">BYCOL that allows the function to return an array per column. The by-column twin of xbyrow.
Built-in BYCOL and MAP require a single scalar per column. xbycol lifts that limit: it applies the function to each column, flattens each result to a single column with TOCOL, and stacks them side by side with HSTACK (divide-and-conquer, fast on wide inputs). The output is wrapped in IFNA so the #N/A padding from ragged columns shows as blank.
Arguments:
  arr      - the array to iterate over, one column at a time.
  function - a LAMBDA applied to each column; may return a scalar or an array.
Returns:
  One output column per input column. Each result is laid out vertically and stacked; ragged columns are padded with blanks (via IFNA).
Example:
  xbycol(B14#, LAMBDA(x, neighbors_list(x)))</t>
        </is>
      </c>
    </row>
    <row r="74" spans="1:4" ht="19.25" customHeight="1" x14ac:dyDescent="0.5">
      <c r="A74" s="71" t="inlineStr">
        <is>
          <t xml:space="preserve">z_xbycol_ix(arr, function, first, last)</t>
        </is>
      </c>
      <c r="B74" s="72" t="inlineStr">
        <is>
          <t xml:space="preserve">Private recursive worker for xbycol (don't call directly). Applies function to each column, flattens the result to a column with TOCOL, and HSTACKs the pieces via divide-and-conquer.</t>
        </is>
      </c>
      <c r="C74" s="73" t="inlineStr">
        <is>
          <t xml:space="preserve">=LAMBDA(arr, function, first, last,
  IF(first = last,
     TOCOL(
       IF(ROWS(arr) = 1,
          function(@CHOOSECOLS(arr, first)),
          function(CHOOSECOLS(arr, first)))),
     LET(
       mid_col, INT((first + last) / 2),
       HSTACK(
         z_xbycol_ix(arr, function, first, mid_col),
         z_xbycol_ix(arr, function, mid_col + 1, last)
       )
     )
  )
)</t>
        </is>
      </c>
      <c r="D74" s="74" t="inlineStr">
        <is>
          <t xml:space="preserve">Private recursive worker for xbycol - do not call directly.
Splits the column index range [first, last] in half, recurses on each half, and HSTACKs the pieces (divide-and-conquer). At a single column it applies function to that column (dereferencing a lone cell with @) and flattens the result to a column with TOCOL.
Arguments:
  arr      - the full array (passed through unchanged).
  function - the LAMBDA to apply to each column.
  first    - first column index of the current window.
  last     - last column index of the current window.
Returns:
  The stacked, one-column-per-input results for columns first..last. Called by xbycol as z_xbycol_ix(arr, function, 1, COLUMNS(arr)).</t>
        </is>
      </c>
    </row>
    <row r="75">
      <c r="A75" t="inlineStr">
        <is>
          <t xml:space="preserve">ad_col_n(ad_or_rng)</t>
        </is>
      </c>
      <c r="B75" s="72" t="inlineStr">
        <is>
          <t xml:space="preserve">Column number(s) of an address or range. A single address - numeric (66000045) or A1 ("AA99") - becomes its column number; a range string ("B8:D11") becomes a horizontal array of the columns it spans. In an array input each single address becomes its column number, while ranges and non-addresses pass through unchanged.</t>
        </is>
      </c>
      <c r="C75" s="73" t="inlineStr">
        <is>
          <t xml:space="preserve">=LAMBDA(ad_or_rng,
  LET(
    letters_to_col, LAMBDA(one, IFERROR(MOD(z_a1n(one &amp; "1"), 1000000), one)),
    col_of_1, LAMBDA(one,
      LET(box, IFERROR(z_ad_box(one), 0),
        IF(COUNT(box) = 4,
          LET(top, SUM(INDEX(box, 1)), lft, SUM(INDEX(box, 2)),
              bot, SUM(INDEX(box, 3)), rgt, SUM(INDEX(box, 4)),
            IF(AND(top = bot, lft = rgt, top &gt;= 1, lft &gt;= 1), lft, one)),
          letters_to_col(one)))),
    IF(ROWS(ad_or_rng) * COLUMNS(ad_or_rng) &gt; 1,
      MAP(ad_or_rng, col_of_1),
      LET(box, IFERROR(z_ad_box(ad_or_rng), 0),
        IF(COUNT(box) = 4,
          LET(top, SUM(INDEX(box, 1)), lft, SUM(INDEX(box, 2)), rgt, SUM(INDEX(box, 4)),
            IF(AND(top &gt;= 1, lft &gt;= 1),
               IF(lft = rgt, lft, SEQUENCE(rgt - lft + 1, 1, lft)),
               ad_or_rng)),
          letters_to_col(ad_or_rng))))
  )
)</t>
        </is>
      </c>
      <c r="D75" s="74" t="inlineStr">
        <is>
          <t xml:space="preserve">Column number(s) from an address, range, or bare column letter. The column-wise twin of ad_row_n. Uses the shared z_ad_box parser, so it accepts a numeric address (1e6*row+col, e.g. 66000045), an A1 string ("AA99"), an A1 range ("B8:D11") or a numeric range - plus a bare column-letter string.
Behaviour depends on the input:
  scalar single address        -&gt; its column number         (66000045 -&gt; 45, "AA99" -&gt; 27)
  scalar column letter A..XFD  -&gt; its column number         ("BDS" -&gt; 1475)
  scalar range                 -&gt; a VERTICAL array of the columns it spans   ("B8:D11" -&gt; {2;3;4})
  scalar non-address           -&gt; returned unchanged
  array of values (element-wise):
    each single address        -&gt; its column number
    each column letter A..XFD  -&gt; its column number
    a range, or any non-address-&gt; returned unchanged (a range is never expanded inside an array)
An address only counts when z_ad_box parses it AND its row and column are both &gt;= 1; a column letter counts when z_a1n accepts letter&amp;"1" (1-3 letters, column &lt;= 16384). Anything else passes straight through.
Arguments:
  ad_or_rng - a single address/range/column letter, or an array of them.
Returns:
  A column number, a vertical array of column numbers (scalar range only), the array of per-element results, or the input unchanged where it is not a single address or column letter.
See also ad_row_n (rows), ad_col_let (number -&gt; letters), ad_to_rc, num_ad.</t>
        </is>
      </c>
    </row>
    <row r="76">
      <c r="A76" t="inlineStr">
        <is>
          <t xml:space="preserve">ad_row_n(ad_or_rng)</t>
        </is>
      </c>
      <c r="B76" s="72" t="inlineStr">
        <is>
          <t xml:space="preserve">Row number(s) of an address or range. A single address - numeric (66000045) or A1 ("AA99") - becomes its row number; a range string ("B8:D11") becomes a vertical array of the rows it spans. In an array input each single address becomes its row number, while ranges and non-addresses pass through unchanged.</t>
        </is>
      </c>
      <c r="C76" s="73" t="inlineStr">
        <is>
          <t xml:space="preserve">=LAMBDA(ad_or_rng,
  LET(
    row_of_1, LAMBDA(one,
      LET(box, IFERROR(z_ad_box(one), 0),
        IF(COUNT(box) = 4,
          LET(top, SUM(INDEX(box, 1)), lft, SUM(INDEX(box, 2)),
              bot, SUM(INDEX(box, 3)), rgt, SUM(INDEX(box, 4)),
            IF(AND(top = bot, lft = rgt, top &gt;= 1, lft &gt;= 1), top, one)),
          one))),
    IF(ROWS(ad_or_rng) * COLUMNS(ad_or_rng) &gt; 1,
      MAP(ad_or_rng, row_of_1),
      LET(box, IFERROR(z_ad_box(ad_or_rng), 0),
        IF(COUNT(box) = 4,
          LET(top, SUM(INDEX(box, 1)), lft, SUM(INDEX(box, 2)), bot, SUM(INDEX(box, 3)),
            IF(AND(top &gt;= 1, lft &gt;= 1),
               IF(top = bot, top, SEQUENCE(bot - top + 1, 1, top)),
               ad_or_rng)),
          ad_or_rng)))
  )
)</t>
        </is>
      </c>
      <c r="D76" s="74" t="inlineStr">
        <is>
          <t xml:space="preserve">Row number(s) from an address or range. Uses the shared z_ad_box parser, so it accepts every address type the library uses: a numeric address (1e6*row+col, e.g. 66000045), an A1 string ("AA99"), an A1 range ("B8:D11") or a numeric range.
Behaviour depends on the input:
  scalar single address        -&gt; its row number            (66000045 -&gt; 66, "AA99" -&gt; 99)
  scalar range                 -&gt; a VERTICAL array of the rows it spans   ("B8:D11" -&gt; {8;9;10;11})
  scalar non-address           -&gt; returned unchanged
  array of values (element-wise):
    each single address        -&gt; its row number
    a range, or any non-address-&gt; returned unchanged (a range is never expanded inside an array)
A value only counts as an address when z_ad_box parses it AND its row and column are both &gt;= 1, so a plain data number that isn't a real address passes straight through.
Arguments:
  ad_or_rng - a single address/range, or an array of them.
Returns:
  A row number, a vertical array of row numbers (scalar range only), the array of per-element results, or the input unchanged where it is not a single address.
See also ad_col_n (columns), ad_to_rc (one address -&gt; {row, col}), num_ad.</t>
        </is>
      </c>
    </row>
    <row r="77">
      <c r="A77" t="inlineStr">
        <is>
          <t xml:space="preserve">ad_col_let(col_n_or_ad)</t>
        </is>
      </c>
      <c r="B77" s="72" t="inlineStr">
        <is>
          <t xml:space="preserve">Column letters from a column number OR an address. A scalar integer 1..16384 becomes its column-letter string (1475 -&gt; "BDS"); a valid numeric address (66000045) or A1 string address ("AA99") becomes its column's letters (-&gt; "AS", "AA"); anything else is returned unchanged. Over an array, each cell is converted the same way.</t>
        </is>
      </c>
      <c r="C77" s="73" t="inlineStr">
        <is>
          <t xml:space="preserve">=LAMBDA(col_n_or_ad,
  LET(
    col_to_let, LAMBDA(col, LET(a, ADDRESS(1, col, 4), LEFT(a, LEN(a) - 1))),
    addr_col, LAMBDA(one,
      LET(box, IFERROR(z_ad_box(one), 0),
        IF(COUNT(box) = 4,
          LET(top, SUM(INDEX(box, 1)), lft, SUM(INDEX(box, 2)),
              bot, SUM(INDEX(box, 3)), rgt, SUM(INDEX(box, 4)),
            IF(AND(top = bot, lft = rgt, top &gt;= 1, lft &gt;= 1), col_to_let(lft), one)),
          one))),
    to_let, LAMBDA(one,
      IF(ISNUMBER(one),
         IF(AND(one = INT(one), one &gt;= 1, one &lt;= 16384),
            col_to_let(one),
            addr_col(one)),
         addr_col(one))),
    IF(ROWS(col_n_or_ad) * COLUMNS(col_n_or_ad) &gt; 1,
       MAP(col_n_or_ad, to_let),
       to_let(col_n_or_ad))
  )
)</t>
        </is>
      </c>
      <c r="D77" s="74" t="inlineStr">
        <is>
          <t xml:space="preserve">Column-letter string(s) from either a column number or an address. Companion to ad_row_n / ad_col_n, and the inverse of ad_col_n.
Behaviour (element-wise over an array):
  integer 1..16384          -&gt; its column letters              (1 -&gt; "A", 27 -&gt; "AA", 1475 -&gt; "BDS", 16384 -&gt; "XFD")
  numeric address 1e6*r+c   -&gt; its COLUMN's letters            (66000045 -&gt; "AS", 1000001 -&gt; "A")
  A1 string address         -&gt; its COLUMN's letters            ("AA99" -&gt; "AA", "$D$3" -&gt; "D")
  anything else             -&gt; returned unchanged              (0, 16385, 1.5, a range, plain text, a bare column letter)
Precedence: a whole number in 1..16384 is read as a column index first (that is the common case and what a column number looks like); only larger numbers are tried as numeric addresses, so 66000045 reads as row 66 / column 45, not as a column index. Addresses are parsed with the shared z_ad_box, and letters are built from ADDRESS(1, col, 4) with the trailing row digit dropped - no lookup table. A range is not a single address, so it passes through unchanged.
Arguments:
  col_n_or_ad - a column number, a single address (numeric or A1), or an array of such values.
Returns:
  A column-letter string, the array of per-element results, or the input unchanged where it is neither a 1..16384 integer nor a single address.
See also ad_col_n (address/letter -&gt; column number), ad_row_n, rc_to_ad.</t>
        </is>
      </c>
    </row>
  </sheetData>
  <mergeCells count="1">
    <mergeCell ref="R1:S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F01A33-DA10-4490-A2DA-698E8E57AD4F}">
  <sheetPr codeName="Sheet52"/>
  <dimension ref="A1:E66"/>
  <sheetViews>
    <sheetView workbookViewId="0">
      <pane ySplit="4" topLeftCell="A32" activePane="bottomLeft" state="frozen"/>
      <selection pane="bottomLeft" activeCell="A36" sqref="A36"/>
    </sheetView>
  </sheetViews>
  <sheetFormatPr defaultRowHeight="21" x14ac:dyDescent="0.5"/>
  <cols>
    <col min="1" max="1" width="18" customWidth="1"/>
    <col min="2" max="4" width="8" customWidth="1"/>
    <col min="5" max="5" width="14" customWidth="1"/>
  </cols>
  <sheetData>
    <row r="1" spans="1:5" x14ac:dyDescent="0.5">
      <c r="A1" s="45" t="s">
        <v>2902</v>
      </c>
    </row>
    <row r="2" spans="1:5" x14ac:dyDescent="0.5">
      <c r="A2" s="46" t="s">
        <v>2903</v>
      </c>
    </row>
    <row r="4" spans="1:5" x14ac:dyDescent="0.5">
      <c r="A4" s="45" t="s">
        <v>2904</v>
      </c>
      <c r="B4" s="48" t="s">
        <v>2905</v>
      </c>
      <c r="C4" s="50" t="s">
        <v>2906</v>
      </c>
      <c r="D4" s="45" t="s">
        <v>2907</v>
      </c>
      <c r="E4" s="45" t="s">
        <v>2908</v>
      </c>
    </row>
    <row r="5" spans="1:5" x14ac:dyDescent="0.5">
      <c r="A5" s="77">
        <f>HYPERLINK("#'ad_col_let'!A1","ad_col_let")</f>
      </c>
      <c r="B5" s="48">
        <f>COUNTIF(ad_col_let!$A:$BZ,"PASS")</f>
      </c>
      <c r="C5" s="50">
        <f>COUNTIF(ad_col_let!$A:$BZ,"FAIL")</f>
      </c>
      <c r="D5" s="45">
        <f>B5+C5</f>
      </c>
      <c r="E5" s="45">
        <f>IF(C5&gt;0,"FAIL ("&amp;C5&amp;")",IF(D5=0,"-","all pass"))</f>
      </c>
    </row>
    <row r="6" spans="1:5" x14ac:dyDescent="0.5">
      <c r="A6" s="77">
        <f>HYPERLINK("#'ad_col_n'!A1","ad_col_n")</f>
      </c>
      <c r="B6" s="48">
        <f>COUNTIF(ad_col_n!$A:$BZ,"PASS")</f>
      </c>
      <c r="C6" s="50">
        <f>COUNTIF(ad_col_n!$A:$BZ,"FAIL")</f>
      </c>
      <c r="D6" s="45">
        <f>B6+C6</f>
      </c>
      <c r="E6" s="45">
        <f>IF(C6&gt;0,"FAIL ("&amp;C6&amp;")",IF(D6=0,"-","all pass"))</f>
      </c>
    </row>
    <row r="7" spans="1:5" x14ac:dyDescent="0.5">
      <c r="A7" s="77">
        <f>HYPERLINK("#'ad_row_n'!A1","ad_row_n")</f>
      </c>
      <c r="B7" s="48">
        <f>COUNTIF(ad_row_n!$A:$BZ,"PASS")</f>
      </c>
      <c r="C7" s="50">
        <f>COUNTIF(ad_row_n!$A:$BZ,"FAIL")</f>
      </c>
      <c r="D7" s="45">
        <f>B7+C7</f>
      </c>
      <c r="E7" s="45">
        <f>IF(C7&gt;0,"FAIL ("&amp;C7&amp;")",IF(D7=0,"-","all pass"))</f>
      </c>
    </row>
    <row r="8" spans="1:5" x14ac:dyDescent="0.5">
      <c r="A8" s="77">
        <f>HYPERLINK("#'ad_to_cont'!A1","ad_to_cont")</f>
      </c>
      <c r="B8" s="48">
        <f>COUNTIF(ad_to_cont!$A:$BZ,"PASS")</f>
      </c>
      <c r="C8" s="50">
        <f>COUNTIF(ad_to_cont!$A:$BZ,"FAIL")</f>
      </c>
      <c r="D8" s="45">
        <f>B8+C8</f>
      </c>
      <c r="E8" s="45">
        <f>IF(C8&gt;0,"FAIL ("&amp;C8&amp;")",IF(D8=0,"-","all pass"))</f>
      </c>
    </row>
    <row r="9" spans="1:5" x14ac:dyDescent="0.5">
      <c r="A9" s="77">
        <f>HYPERLINK("#'ad_to_rc'!A1","ad_to_rc")</f>
      </c>
      <c r="B9" s="48">
        <f>COUNTIF(ad_to_rc!$A:$BZ,"PASS")</f>
      </c>
      <c r="C9" s="50">
        <f>COUNTIF(ad_to_rc!$A:$BZ,"FAIL")</f>
      </c>
      <c r="D9" s="45">
        <f>B9+C9</f>
      </c>
      <c r="E9" s="45">
        <f>IF(C9&gt;0,"FAIL ("&amp;C9&amp;")",IF(D9=0,"-","all pass"))</f>
      </c>
    </row>
    <row r="10" spans="1:5" x14ac:dyDescent="0.5">
      <c r="A10" s="77">
        <f>HYPERLINK("#'arrow'!A1","arrow")</f>
      </c>
      <c r="B10" s="48">
        <f>COUNTIF(arrow!$A:$BZ,"PASS")</f>
      </c>
      <c r="C10" s="50">
        <f>COUNTIF(arrow!$A:$BZ,"FAIL")</f>
      </c>
      <c r="D10" s="45">
        <f>B10+C10</f>
      </c>
      <c r="E10" s="45">
        <f>IF(C10&gt;0,"FAIL ("&amp;C10&amp;")",IF(D10=0,"-","all pass"))</f>
      </c>
    </row>
    <row r="11" spans="1:5" x14ac:dyDescent="0.5">
      <c r="A11" s="77">
        <f>HYPERLINK("#'arrow_move'!A1","arrow_move")</f>
      </c>
      <c r="B11" s="48">
        <f>COUNTIF(arrow_move!$A:$BZ,"PASS")</f>
      </c>
      <c r="C11" s="50">
        <f>COUNTIF(arrow_move!$A:$BZ,"FAIL")</f>
      </c>
      <c r="D11" s="45">
        <f>B11+C11</f>
      </c>
      <c r="E11" s="45">
        <f>IF(C11&gt;0,"FAIL ("&amp;C11&amp;")",IF(D11=0,"-","all pass"))</f>
      </c>
    </row>
    <row r="12" spans="1:5" x14ac:dyDescent="0.5">
      <c r="A12" s="77">
        <f>HYPERLINK("#'arrow_trip'!A1","arrow_trip")</f>
      </c>
      <c r="B12" s="48">
        <f>COUNTIF(arrow_trip!$A:$BZ,"PASS")</f>
      </c>
      <c r="C12" s="50">
        <f>COUNTIF(arrow_trip!$A:$BZ,"FAIL")</f>
      </c>
      <c r="D12" s="45">
        <f>B12+C12</f>
      </c>
      <c r="E12" s="45">
        <f>IF(C12&gt;0,"FAIL ("&amp;C12&amp;")",IF(D12=0,"-","all pass"))</f>
      </c>
    </row>
    <row r="13" spans="1:5" x14ac:dyDescent="0.5">
      <c r="A13" s="77">
        <f>HYPERLINK("#'biggest'!A1","biggest")</f>
      </c>
      <c r="B13" s="48">
        <f>COUNTIF(biggest!$A:$BZ,"PASS")</f>
      </c>
      <c r="C13" s="50">
        <f>COUNTIF(biggest!$A:$BZ,"FAIL")</f>
      </c>
      <c r="D13" s="45">
        <f>B13+C13</f>
      </c>
      <c r="E13" s="45">
        <f>IF(C13&gt;0,"FAIL ("&amp;C13&amp;")",IF(D13=0,"-","all pass"))</f>
      </c>
    </row>
    <row r="14" spans="1:5" x14ac:dyDescent="0.5">
      <c r="A14" s="77">
        <f>HYPERLINK("#'clamp'!A1","clamp")</f>
      </c>
      <c r="B14" s="48">
        <f>COUNTIF(clamp!$A:$BZ,"PASS")</f>
      </c>
      <c r="C14" s="50">
        <f>COUNTIF(clamp!$A:$BZ,"FAIL")</f>
      </c>
      <c r="D14" s="45">
        <f>B14+C14</f>
      </c>
      <c r="E14" s="45">
        <f>IF(C14&gt;0,"FAIL ("&amp;C14&amp;")",IF(D14=0,"-","all pass"))</f>
      </c>
    </row>
    <row r="15" spans="1:5" x14ac:dyDescent="0.5">
      <c r="A15" s="77">
        <f>HYPERLINK("#'cont_to_ad'!A1","cont_to_ad")</f>
      </c>
      <c r="B15" s="48">
        <f>COUNTIF(cont_to_ad!$A:$BZ,"PASS")</f>
      </c>
      <c r="C15" s="50">
        <f>COUNTIF(cont_to_ad!$A:$BZ,"FAIL")</f>
      </c>
      <c r="D15" s="45">
        <f>B15+C15</f>
      </c>
      <c r="E15" s="45">
        <f>IF(C15&gt;0,"FAIL ("&amp;C15&amp;")",IF(D15=0,"-","all pass"))</f>
      </c>
    </row>
    <row r="16" spans="1:5" x14ac:dyDescent="0.5">
      <c r="A16" s="77">
        <f>HYPERLINK("#'count_substring'!A1","count_substring")</f>
      </c>
      <c r="B16" s="48">
        <f>COUNTIF(count_substring!$A:$BZ,"PASS")</f>
      </c>
      <c r="C16" s="50">
        <f>COUNTIF(count_substring!$A:$BZ,"FAIL")</f>
      </c>
      <c r="D16" s="45">
        <f>B16+C16</f>
      </c>
      <c r="E16" s="45">
        <f>IF(C16&gt;0,"FAIL ("&amp;C16&amp;")",IF(D16=0,"-","all pass"))</f>
      </c>
    </row>
    <row r="17" spans="1:5" x14ac:dyDescent="0.5">
      <c r="A17" s="77">
        <f>HYPERLINK("#'ctotal'!A1","ctotal")</f>
      </c>
      <c r="B17" s="48">
        <f>COUNTIF(ctotal!$A:$BZ,"PASS")</f>
      </c>
      <c r="C17" s="50">
        <f>COUNTIF(ctotal!$A:$BZ,"FAIL")</f>
      </c>
      <c r="D17" s="45">
        <f>B17+C17</f>
      </c>
      <c r="E17" s="45">
        <f>IF(C17&gt;0,"FAIL ("&amp;C17&amp;")",IF(D17=0,"-","all pass"))</f>
      </c>
    </row>
    <row r="18" spans="1:5" x14ac:dyDescent="0.5">
      <c r="A18" s="77">
        <f>HYPERLINK("#'cycles'!A1","cycles")</f>
      </c>
      <c r="B18" s="48">
        <f>COUNTIF(cycles!$A:$BZ,"PASS")</f>
      </c>
      <c r="C18" s="50">
        <f>COUNTIF(cycles!$A:$BZ,"FAIL")</f>
      </c>
      <c r="D18" s="45">
        <f>B18+C18</f>
      </c>
      <c r="E18" s="45">
        <f>IF(C18&gt;0,"FAIL ("&amp;C18&amp;")",IF(D18=0,"-","all pass"))</f>
      </c>
    </row>
    <row r="19" spans="1:5" x14ac:dyDescent="0.5">
      <c r="A19" s="77">
        <f>HYPERLINK("#'die_pips'!A1","die_pips")</f>
      </c>
      <c r="B19" s="48">
        <f>COUNTIF(die_pips!$A:$BZ,"PASS")</f>
      </c>
      <c r="C19" s="50">
        <f>COUNTIF(die_pips!$A:$BZ,"FAIL")</f>
      </c>
      <c r="D19" s="45">
        <f>B19+C19</f>
      </c>
      <c r="E19" s="45">
        <f>IF(C19&gt;0,"FAIL ("&amp;C19&amp;")",IF(D19=0,"-","all pass"))</f>
      </c>
    </row>
    <row r="20" spans="1:5" x14ac:dyDescent="0.5">
      <c r="A20" s="77">
        <f>HYPERLINK("#'dist'!A1","dist")</f>
      </c>
      <c r="B20" s="48">
        <f>COUNTIF(dist!$A:$BZ,"PASS")</f>
      </c>
      <c r="C20" s="50">
        <f>COUNTIF(dist!$A:$BZ,"FAIL")</f>
      </c>
      <c r="D20" s="45">
        <f>B20+C20</f>
      </c>
      <c r="E20" s="45">
        <f>IF(C20&gt;0,"FAIL ("&amp;C20&amp;")",IF(D20=0,"-","all pass"))</f>
      </c>
    </row>
    <row r="21" spans="1:5" x14ac:dyDescent="0.5">
      <c r="A21" s="77">
        <f>HYPERLINK("#'exists'!A1","exists")</f>
      </c>
      <c r="B21" s="48">
        <f>COUNTIF(exists!$A:$BZ,"PASS")</f>
      </c>
      <c r="C21" s="50">
        <f>COUNTIF(exists!$A:$BZ,"FAIL")</f>
      </c>
      <c r="D21" s="45">
        <f>B21+C21</f>
      </c>
      <c r="E21" s="45">
        <f>IF(C21&gt;0,"FAIL ("&amp;C21&amp;")",IF(D21=0,"-","all pass"))</f>
      </c>
    </row>
    <row r="22" spans="1:5" x14ac:dyDescent="0.5">
      <c r="A22" s="77">
        <f>HYPERLINK("#'expand_rng'!A1","expand_rng")</f>
      </c>
      <c r="B22" s="48">
        <f>COUNTIF(expand_rng!$A:$BZ,"PASS")</f>
      </c>
      <c r="C22" s="50">
        <f>COUNTIF(expand_rng!$A:$BZ,"FAIL")</f>
      </c>
      <c r="D22" s="45">
        <f>B22+C22</f>
      </c>
      <c r="E22" s="45">
        <f>IF(C22&gt;0,"FAIL ("&amp;C22&amp;")",IF(D22=0,"-","all pass"))</f>
      </c>
    </row>
    <row r="23" spans="1:5" x14ac:dyDescent="0.5">
      <c r="A23" s="77">
        <f>HYPERLINK("#'first_time'!A1","first_time")</f>
      </c>
      <c r="B23" s="48">
        <f>COUNTIF(first_time!$A:$BZ,"PASS")</f>
      </c>
      <c r="C23" s="50">
        <f>COUNTIF(first_time!$A:$BZ,"FAIL")</f>
      </c>
      <c r="D23" s="45">
        <f>B23+C23</f>
      </c>
      <c r="E23" s="45">
        <f>IF(C23&gt;0,"FAIL ("&amp;C23&amp;")",IF(D23=0,"-","all pass"))</f>
      </c>
    </row>
    <row r="24" spans="1:5" x14ac:dyDescent="0.5">
      <c r="A24" s="77">
        <f>HYPERLINK("#'freq_table'!A1","freq_table")</f>
      </c>
      <c r="B24" s="48">
        <f>COUNTIF(freq_table!$A:$BZ,"PASS")</f>
      </c>
      <c r="C24" s="50">
        <f>COUNTIF(freq_table!$A:$BZ,"FAIL")</f>
      </c>
      <c r="D24" s="45">
        <f>B24+C24</f>
      </c>
      <c r="E24" s="45">
        <f>IF(C24&gt;0,"FAIL ("&amp;C24&amp;")",IF(D24=0,"-","all pass"))</f>
      </c>
    </row>
    <row r="25" spans="1:5" x14ac:dyDescent="0.5">
      <c r="A25" s="77">
        <f>HYPERLINK("#'ftd_maze_cost'!A1","ftd_maze_cost")</f>
      </c>
      <c r="B25" s="48">
        <f>COUNTIF(ftd_maze_cost!$A:$BZ,"PASS")</f>
      </c>
      <c r="C25" s="50">
        <f>COUNTIF(ftd_maze_cost!$A:$BZ,"FAIL")</f>
      </c>
      <c r="D25" s="45">
        <f>B25+C25</f>
      </c>
      <c r="E25" s="45">
        <f>IF(C25&gt;0,"FAIL ("&amp;C25&amp;")",IF(D25=0,"-","all pass"))</f>
      </c>
    </row>
    <row r="26" spans="1:5" x14ac:dyDescent="0.5">
      <c r="A26" s="77">
        <f>HYPERLINK("#'is_unique'!A1","is_unique")</f>
      </c>
      <c r="B26" s="48">
        <f>COUNTIF(is_unique!$A:$BZ,"PASS")</f>
      </c>
      <c r="C26" s="50">
        <f>COUNTIF(is_unique!$A:$BZ,"FAIL")</f>
      </c>
      <c r="D26" s="45">
        <f>B26+C26</f>
      </c>
      <c r="E26" s="45">
        <f>IF(C26&gt;0,"FAIL ("&amp;C26&amp;")",IF(D26=0,"-","all pass"))</f>
      </c>
    </row>
    <row r="27" spans="1:5" x14ac:dyDescent="0.5">
      <c r="A27" s="77">
        <f>HYPERLINK("#'knight_moves'!A1","knight_moves")</f>
      </c>
      <c r="B27" s="48">
        <f>COUNTIF(knight_moves!$A:$BZ,"PASS")</f>
      </c>
      <c r="C27" s="50">
        <f>COUNTIF(knight_moves!$A:$BZ,"FAIL")</f>
      </c>
      <c r="D27" s="45">
        <f>B27+C27</f>
      </c>
      <c r="E27" s="45">
        <f>IF(C27&gt;0,"FAIL ("&amp;C27&amp;")",IF(D27=0,"-","all pass"))</f>
      </c>
    </row>
    <row r="28" spans="1:5" x14ac:dyDescent="0.5">
      <c r="A28" s="77">
        <f>HYPERLINK("#'label_lookup'!A1","label_lookup")</f>
      </c>
      <c r="B28" s="48">
        <f>COUNTIF(label_lookup!$A:$BZ,"PASS")</f>
      </c>
      <c r="C28" s="50">
        <f>COUNTIF(label_lookup!$A:$BZ,"FAIL")</f>
      </c>
      <c r="D28" s="45">
        <f>B28+C28</f>
      </c>
      <c r="E28" s="45">
        <f>IF(C28&gt;0,"FAIL ("&amp;C28&amp;")",IF(D28=0,"-","all pass"))</f>
      </c>
    </row>
    <row r="29" spans="1:5" x14ac:dyDescent="0.5">
      <c r="A29" s="77">
        <f>HYPERLINK("#'load_array'!A1","load_array")</f>
      </c>
      <c r="B29" s="48">
        <f>COUNTIF(load_array!$A:$BZ,"PASS")</f>
      </c>
      <c r="C29" s="50">
        <f>COUNTIF(load_array!$A:$BZ,"FAIL")</f>
      </c>
      <c r="D29" s="45">
        <f>B29+C29</f>
      </c>
      <c r="E29" s="45">
        <f>IF(C29&gt;0,"FAIL ("&amp;C29&amp;")",IF(D29=0,"-","all pass"))</f>
      </c>
    </row>
    <row r="30" spans="1:5" x14ac:dyDescent="0.5">
      <c r="A30" s="77">
        <f>HYPERLINK("#'make_change'!A1","make_change")</f>
      </c>
      <c r="B30" s="48">
        <f>COUNTIF(make_change!$A:$BZ,"PASS")</f>
      </c>
      <c r="C30" s="50">
        <f>COUNTIF(make_change!$A:$BZ,"FAIL")</f>
      </c>
      <c r="D30" s="45">
        <f>B30+C30</f>
      </c>
      <c r="E30" s="45">
        <f>IF(C30&gt;0,"FAIL ("&amp;C30&amp;")",IF(D30=0,"-","all pass"))</f>
      </c>
    </row>
    <row r="31" spans="1:5" x14ac:dyDescent="0.5">
      <c r="A31" s="77">
        <f>HYPERLINK("#'neighbors_count'!A1","neighbors_count")</f>
      </c>
      <c r="B31" s="48">
        <f>COUNTIF(neighbors_count!$A:$BZ,"PASS")</f>
      </c>
      <c r="C31" s="50">
        <f>COUNTIF(neighbors_count!$A:$BZ,"FAIL")</f>
      </c>
      <c r="D31" s="45">
        <f>B31+C31</f>
      </c>
      <c r="E31" s="45">
        <f>IF(C31&gt;0,"FAIL ("&amp;C31&amp;")",IF(D31=0,"-","all pass"))</f>
      </c>
    </row>
    <row r="32" spans="1:5" x14ac:dyDescent="0.5">
      <c r="A32" s="77">
        <f>HYPERLINK("#'neighbors_list'!A1","neighbors_list")</f>
      </c>
      <c r="B32" s="48">
        <f>COUNTIF(neighbors_list!$A:$BZ,"PASS")</f>
      </c>
      <c r="C32" s="50">
        <f>COUNTIF(neighbors_list!$A:$BZ,"FAIL")</f>
      </c>
      <c r="D32" s="45">
        <f>B32+C32</f>
      </c>
      <c r="E32" s="45">
        <f>IF(C32&gt;0,"FAIL ("&amp;C32&amp;")",IF(D32=0,"-","all pass"))</f>
      </c>
    </row>
    <row r="33" spans="1:5" x14ac:dyDescent="0.5">
      <c r="A33" s="77">
        <f>HYPERLINK("#'num_ad'!A1","num_ad")</f>
      </c>
      <c r="B33" s="48">
        <f>COUNTIF(num_ad!$A:$BZ,"PASS")</f>
      </c>
      <c r="C33" s="50">
        <f>COUNTIF(num_ad!$A:$BZ,"FAIL")</f>
      </c>
      <c r="D33" s="45">
        <f>B33+C33</f>
      </c>
      <c r="E33" s="45">
        <f>IF(C33&gt;0,"FAIL ("&amp;C33&amp;")",IF(D33=0,"-","all pass"))</f>
      </c>
    </row>
    <row r="34" spans="1:5" x14ac:dyDescent="0.5">
      <c r="A34" s="77">
        <f>HYPERLINK("#'offset_letter'!A1","offset_letter")</f>
      </c>
      <c r="B34" s="48">
        <f>COUNTIF(offset_letter!$A:$BZ,"PASS")</f>
      </c>
      <c r="C34" s="50">
        <f>COUNTIF(offset_letter!$A:$BZ,"FAIL")</f>
      </c>
      <c r="D34" s="45">
        <f>B34+C34</f>
      </c>
      <c r="E34" s="45">
        <f>IF(C34&gt;0,"FAIL ("&amp;C34&amp;")",IF(D34=0,"-","all pass"))</f>
      </c>
    </row>
    <row r="35" spans="1:5" x14ac:dyDescent="0.5">
      <c r="A35" s="77">
        <f>HYPERLINK("#'only_letters'!A1","only_letters")</f>
      </c>
      <c r="B35" s="48">
        <f>COUNTIF(only_letters!$A:$BZ,"PASS")</f>
      </c>
      <c r="C35" s="50">
        <f>COUNTIF(only_letters!$A:$BZ,"FAIL")</f>
      </c>
      <c r="D35" s="45">
        <f>B35+C35</f>
      </c>
      <c r="E35" s="45">
        <f>IF(C35&gt;0,"FAIL ("&amp;C35&amp;")",IF(D35=0,"-","all pass"))</f>
      </c>
    </row>
    <row r="36" spans="1:5" x14ac:dyDescent="0.5">
      <c r="A36" s="77">
        <f>HYPERLINK("#'only_numbers'!A1","only_numbers")</f>
      </c>
      <c r="B36" s="48">
        <f>COUNTIF(only_numbers!$A:$BZ,"PASS")</f>
      </c>
      <c r="C36" s="50">
        <f>COUNTIF(only_numbers!$A:$BZ,"FAIL")</f>
      </c>
      <c r="D36" s="45">
        <f>B36+C36</f>
      </c>
      <c r="E36" s="45">
        <f>IF(C36&gt;0,"FAIL ("&amp;C36&amp;")",IF(D36=0,"-","all pass"))</f>
      </c>
    </row>
    <row r="37" spans="1:5" x14ac:dyDescent="0.5">
      <c r="A37" s="77">
        <f>HYPERLINK("#'rc_to_ad'!A1","rc_to_ad")</f>
      </c>
      <c r="B37" s="48">
        <f>COUNTIF(rc_to_ad!$A:$BZ,"PASS")</f>
      </c>
      <c r="C37" s="50">
        <f>COUNTIF(rc_to_ad!$A:$BZ,"FAIL")</f>
      </c>
      <c r="D37" s="45">
        <f>B37+C37</f>
      </c>
      <c r="E37" s="45">
        <f>IF(C37&gt;0,"FAIL ("&amp;C37&amp;")",IF(D37=0,"-","all pass"))</f>
      </c>
    </row>
    <row r="38" spans="1:5" x14ac:dyDescent="0.5">
      <c r="A38" s="77">
        <f>HYPERLINK("#'rev'!A1","rev")</f>
      </c>
      <c r="B38" s="48">
        <f>COUNTIF(rev!$A:$BZ,"PASS")</f>
      </c>
      <c r="C38" s="50">
        <f>COUNTIF(rev!$A:$BZ,"FAIL")</f>
      </c>
      <c r="D38" s="45">
        <f>B38+C38</f>
      </c>
      <c r="E38" s="45">
        <f>IF(C38&gt;0,"FAIL ("&amp;C38&amp;")",IF(D38=0,"-","all pass"))</f>
      </c>
    </row>
    <row r="39" spans="1:5" x14ac:dyDescent="0.5">
      <c r="A39" s="77">
        <f>HYPERLINK("#'rotate_arrow'!A1","rotate_arrow")</f>
      </c>
      <c r="B39" s="48">
        <f>COUNTIF(rotate_arrow!$A:$BZ,"PASS")</f>
      </c>
      <c r="C39" s="50">
        <f>COUNTIF(rotate_arrow!$A:$BZ,"FAIL")</f>
      </c>
      <c r="D39" s="45">
        <f>B39+C39</f>
      </c>
      <c r="E39" s="45">
        <f>IF(C39&gt;0,"FAIL ("&amp;C39&amp;")",IF(D39=0,"-","all pass"))</f>
      </c>
    </row>
    <row r="40" spans="1:5" x14ac:dyDescent="0.5">
      <c r="A40" s="77">
        <f>HYPERLINK("#'route_cost'!A1","route_cost")</f>
      </c>
      <c r="B40" s="48">
        <f>COUNTIF(route_cost!$A:$BZ,"PASS")</f>
      </c>
      <c r="C40" s="50">
        <f>COUNTIF(route_cost!$A:$BZ,"FAIL")</f>
      </c>
      <c r="D40" s="45">
        <f>B40+C40</f>
      </c>
      <c r="E40" s="45">
        <f>IF(C40&gt;0,"FAIL ("&amp;C40&amp;")",IF(D40=0,"-","all pass"))</f>
      </c>
    </row>
    <row r="41" spans="1:5" x14ac:dyDescent="0.5">
      <c r="A41" s="77">
        <f>HYPERLINK("#'save_array'!A1","save_array")</f>
      </c>
      <c r="B41" s="48">
        <f>COUNTIF(save_array!$A:$BZ,"PASS")</f>
      </c>
      <c r="C41" s="50">
        <f>COUNTIF(save_array!$A:$BZ,"FAIL")</f>
      </c>
      <c r="D41" s="45">
        <f>B41+C41</f>
      </c>
      <c r="E41" s="45">
        <f>IF(C41&gt;0,"FAIL ("&amp;C41&amp;")",IF(D41=0,"-","all pass"))</f>
      </c>
    </row>
    <row r="42" spans="1:5" x14ac:dyDescent="0.5">
      <c r="A42" s="77">
        <f>HYPERLINK("#'scan2'!A1","scan2")</f>
      </c>
      <c r="B42" s="48">
        <f>COUNTIF(scan2!$A:$BZ,"PASS")</f>
      </c>
      <c r="C42" s="50">
        <f>COUNTIF(scan2!$A:$BZ,"FAIL")</f>
      </c>
      <c r="D42" s="45">
        <f>B42+C42</f>
      </c>
      <c r="E42" s="45">
        <f>IF(C42&gt;0,"FAIL ("&amp;C42&amp;")",IF(D42=0,"-","all pass"))</f>
      </c>
    </row>
    <row r="43" spans="1:5" x14ac:dyDescent="0.5">
      <c r="A43" s="77">
        <f>HYPERLINK("#'scan3'!A1","scan3")</f>
      </c>
      <c r="B43" s="48">
        <f>COUNTIF(scan3!$A:$BZ,"PASS")</f>
      </c>
      <c r="C43" s="50">
        <f>COUNTIF(scan3!$A:$BZ,"FAIL")</f>
      </c>
      <c r="D43" s="45">
        <f>B43+C43</f>
      </c>
      <c r="E43" s="45">
        <f>IF(C43&gt;0,"FAIL ("&amp;C43&amp;")",IF(D43=0,"-","all pass"))</f>
      </c>
    </row>
    <row r="44" spans="1:5" x14ac:dyDescent="0.5">
      <c r="A44" s="77">
        <f>HYPERLINK("#'selections'!A1","selections")</f>
      </c>
      <c r="B44" s="48">
        <f>COUNTIF(selections!$A:$BZ,"PASS")</f>
      </c>
      <c r="C44" s="50">
        <f>COUNTIF(selections!$A:$BZ,"FAIL")</f>
      </c>
      <c r="D44" s="45">
        <f>B44+C44</f>
      </c>
      <c r="E44" s="45">
        <f>IF(C44&gt;0,"FAIL ("&amp;C44&amp;")",IF(D44=0,"-","all pass"))</f>
      </c>
    </row>
    <row r="45" spans="1:5" x14ac:dyDescent="0.5">
      <c r="A45" s="77">
        <f>HYPERLINK("#'set'!A1","set")</f>
      </c>
      <c r="B45" s="48">
        <f>COUNTIF(set!$A:$BZ,"PASS")</f>
      </c>
      <c r="C45" s="50">
        <f>COUNTIF(set!$A:$BZ,"FAIL")</f>
      </c>
      <c r="D45" s="45">
        <f>B45+C45</f>
      </c>
      <c r="E45" s="45">
        <f>IF(C45&gt;0,"FAIL ("&amp;C45&amp;")",IF(D45=0,"-","all pass"))</f>
      </c>
    </row>
    <row r="46" spans="1:5" x14ac:dyDescent="0.5">
      <c r="A46" s="77">
        <f>HYPERLINK("#'set_d'!A1","set_d")</f>
      </c>
      <c r="B46" s="48">
        <f>COUNTIF(set_d!$A:$BZ,"PASS")</f>
      </c>
      <c r="C46" s="50">
        <f>COUNTIF(set_d!$A:$BZ,"FAIL")</f>
      </c>
      <c r="D46" s="45">
        <f>B46+C46</f>
      </c>
      <c r="E46" s="45">
        <f>IF(C46&gt;0,"FAIL ("&amp;C46&amp;")",IF(D46=0,"-","all pass"))</f>
      </c>
    </row>
    <row r="47" spans="1:5" x14ac:dyDescent="0.5">
      <c r="A47" s="77">
        <f>HYPERLINK("#'set_i'!A1","set_i")</f>
      </c>
      <c r="B47" s="48">
        <f>COUNTIF(set_i!$A:$BZ,"PASS")</f>
      </c>
      <c r="C47" s="50">
        <f>COUNTIF(set_i!$A:$BZ,"FAIL")</f>
      </c>
      <c r="D47" s="45">
        <f>B47+C47</f>
      </c>
      <c r="E47" s="45">
        <f>IF(C47&gt;0,"FAIL ("&amp;C47&amp;")",IF(D47=0,"-","all pass"))</f>
      </c>
    </row>
    <row r="48" spans="1:5" x14ac:dyDescent="0.5">
      <c r="A48" s="77">
        <f>HYPERLINK("#'set_u'!A1","set_u")</f>
      </c>
      <c r="B48" s="48">
        <f>COUNTIF(set_u!$A:$BZ,"PASS")</f>
      </c>
      <c r="C48" s="50">
        <f>COUNTIF(set_u!$A:$BZ,"FAIL")</f>
      </c>
      <c r="D48" s="45">
        <f>B48+C48</f>
      </c>
      <c r="E48" s="45">
        <f>IF(C48&gt;0,"FAIL ("&amp;C48&amp;")",IF(D48=0,"-","all pass"))</f>
      </c>
    </row>
    <row r="49" spans="1:5" x14ac:dyDescent="0.5">
      <c r="A49" s="77">
        <f>HYPERLINK("#'shift_arr'!A1","shift_arr")</f>
      </c>
      <c r="B49" s="48">
        <f>COUNTIF(shift_arr!$A:$BZ,"PASS")</f>
      </c>
      <c r="C49" s="50">
        <f>COUNTIF(shift_arr!$A:$BZ,"FAIL")</f>
      </c>
      <c r="D49" s="45">
        <f>B49+C49</f>
      </c>
      <c r="E49" s="45">
        <f>IF(C49&gt;0,"FAIL ("&amp;C49&amp;")",IF(D49=0,"-","all pass"))</f>
      </c>
    </row>
    <row r="50" spans="1:5" x14ac:dyDescent="0.5">
      <c r="A50" s="77">
        <f>HYPERLINK("#'smallest'!A1","smallest")</f>
      </c>
      <c r="B50" s="48">
        <f>COUNTIF(smallest!$A:$BZ,"PASS")</f>
      </c>
      <c r="C50" s="50">
        <f>COUNTIF(smallest!$A:$BZ,"FAIL")</f>
      </c>
      <c r="D50" s="45">
        <f>B50+C50</f>
      </c>
      <c r="E50" s="45">
        <f>IF(C50&gt;0,"FAIL ("&amp;C50&amp;")",IF(D50=0,"-","all pass"))</f>
      </c>
    </row>
    <row r="51" spans="1:5" x14ac:dyDescent="0.5">
      <c r="A51" s="77">
        <f>HYPERLINK("#'str_ad'!A1","str_ad")</f>
      </c>
      <c r="B51" s="48">
        <f>COUNTIF(str_ad!$A:$BZ,"PASS")</f>
      </c>
      <c r="C51" s="50">
        <f>COUNTIF(str_ad!$A:$BZ,"FAIL")</f>
      </c>
      <c r="D51" s="45">
        <f>B51+C51</f>
      </c>
      <c r="E51" s="45">
        <f>IF(C51&gt;0,"FAIL ("&amp;C51&amp;")",IF(D51=0,"-","all pass"))</f>
      </c>
    </row>
    <row r="52" spans="1:5" x14ac:dyDescent="0.5">
      <c r="A52" s="77">
        <f>HYPERLINK("#'str_rev'!A1","str_rev")</f>
      </c>
      <c r="B52" s="48">
        <f>COUNTIF(str_rev!$A:$BZ,"PASS")</f>
      </c>
      <c r="C52" s="50">
        <f>COUNTIF(str_rev!$A:$BZ,"FAIL")</f>
      </c>
      <c r="D52" s="45">
        <f>B52+C52</f>
      </c>
      <c r="E52" s="45">
        <f>IF(C52&gt;0,"FAIL ("&amp;C52&amp;")",IF(D52=0,"-","all pass"))</f>
      </c>
    </row>
    <row r="53" spans="1:5" x14ac:dyDescent="0.5">
      <c r="A53" s="77">
        <f>HYPERLINK("#'str_to_arr'!A1","str_to_arr")</f>
      </c>
      <c r="B53" s="48">
        <f>COUNTIF(str_to_arr!$A:$BZ,"PASS")</f>
      </c>
      <c r="C53" s="50">
        <f>COUNTIF(str_to_arr!$A:$BZ,"FAIL")</f>
      </c>
      <c r="D53" s="45">
        <f>B53+C53</f>
      </c>
      <c r="E53" s="45">
        <f>IF(C53&gt;0,"FAIL ("&amp;C53&amp;")",IF(D53=0,"-","all pass"))</f>
      </c>
    </row>
    <row r="54" spans="1:5" x14ac:dyDescent="0.5">
      <c r="A54" s="77">
        <f>HYPERLINK("#'streak'!A1","streak")</f>
      </c>
      <c r="B54" s="48">
        <f>COUNTIF(streak!$A:$BZ,"PASS")</f>
      </c>
      <c r="C54" s="50">
        <f>COUNTIF(streak!$A:$BZ,"FAIL")</f>
      </c>
      <c r="D54" s="45">
        <f>B54+C54</f>
      </c>
      <c r="E54" s="45">
        <f>IF(C54&gt;0,"FAIL ("&amp;C54&amp;")",IF(D54=0,"-","all pass"))</f>
      </c>
    </row>
    <row r="55" spans="1:5" x14ac:dyDescent="0.5">
      <c r="A55" s="77">
        <f>HYPERLINK("#'textbetween'!A1","textbetween")</f>
      </c>
      <c r="B55" s="48">
        <f>COUNTIF(textbetween!$A:$BZ,"PASS")</f>
      </c>
      <c r="C55" s="50">
        <f>COUNTIF(textbetween!$A:$BZ,"FAIL")</f>
      </c>
      <c r="D55" s="45">
        <f>B55+C55</f>
      </c>
      <c r="E55" s="45">
        <f>IF(C55&gt;0,"FAIL ("&amp;C55&amp;")",IF(D55=0,"-","all pass"))</f>
      </c>
    </row>
    <row r="56" spans="1:5" x14ac:dyDescent="0.5">
      <c r="A56" s="77">
        <f>HYPERLINK("#'transform_array'!A1","transform_array")</f>
      </c>
      <c r="B56" s="48">
        <f>COUNTIF(transform_array!$A:$BZ,"PASS")</f>
      </c>
      <c r="C56" s="50">
        <f>COUNTIF(transform_array!$A:$BZ,"FAIL")</f>
      </c>
      <c r="D56" s="45">
        <f>B56+C56</f>
      </c>
      <c r="E56" s="45">
        <f>IF(C56&gt;0,"FAIL ("&amp;C56&amp;")",IF(D56=0,"-","all pass"))</f>
      </c>
    </row>
    <row r="57" spans="1:5" x14ac:dyDescent="0.5">
      <c r="A57" s="77">
        <f>HYPERLINK("#'update_arr'!A1","update_arr")</f>
      </c>
      <c r="B57" s="48">
        <f>COUNTIF(update_arr!$A:$BZ,"PASS")</f>
      </c>
      <c r="C57" s="50">
        <f>COUNTIF(update_arr!$A:$BZ,"FAIL")</f>
      </c>
      <c r="D57" s="45">
        <f>B57+C57</f>
      </c>
      <c r="E57" s="45">
        <f>IF(C57&gt;0,"FAIL ("&amp;C57&amp;")",IF(D57=0,"-","all pass"))</f>
      </c>
    </row>
    <row r="58" spans="1:5" x14ac:dyDescent="0.5">
      <c r="A58" s="77">
        <f>HYPERLINK("#'xbycol'!A1","xbycol")</f>
      </c>
      <c r="B58" s="48">
        <f>COUNTIF(xbycol!$A:$BZ,"PASS")</f>
      </c>
      <c r="C58" s="50">
        <f>COUNTIF(xbycol!$A:$BZ,"FAIL")</f>
      </c>
      <c r="D58" s="45">
        <f>B58+C58</f>
      </c>
      <c r="E58" s="45">
        <f>IF(C58&gt;0,"FAIL ("&amp;C58&amp;")",IF(D58=0,"-","all pass"))</f>
      </c>
    </row>
    <row r="59" spans="1:5" x14ac:dyDescent="0.5">
      <c r="A59" s="77">
        <f>HYPERLINK("#'xbyrow'!A1","xbyrow")</f>
      </c>
      <c r="B59" s="48">
        <f>COUNTIF(xbyrow!$A:$BZ,"PASS")</f>
      </c>
      <c r="C59" s="50">
        <f>COUNTIF(xbyrow!$A:$BZ,"FAIL")</f>
      </c>
      <c r="D59" s="45">
        <f>B59+C59</f>
      </c>
      <c r="E59" s="45">
        <f>IF(C59&gt;0,"FAIL ("&amp;C59&amp;")",IF(D59=0,"-","all pass"))</f>
      </c>
    </row>
    <row r="60" spans="1:5" x14ac:dyDescent="0.5">
      <c r="A60" s="77">
        <f>HYPERLINK("#'xcountif'!A1","xcountif")</f>
      </c>
      <c r="B60" s="48">
        <f>COUNTIF(xcountif!$A:$BZ,"PASS")</f>
      </c>
      <c r="C60" s="50">
        <f>COUNTIF(xcountif!$A:$BZ,"FAIL")</f>
      </c>
      <c r="D60" s="45">
        <f>B60+C60</f>
      </c>
      <c r="E60" s="45">
        <f>IF(C60&gt;0,"FAIL ("&amp;C60&amp;")",IF(D60=0,"-","all pass"))</f>
      </c>
    </row>
    <row r="61" spans="1:5" x14ac:dyDescent="0.5">
      <c r="A61" s="77">
        <f>HYPERLINK("#'xdec2bin'!A1","xdec2bin")</f>
      </c>
      <c r="B61" s="48">
        <f>COUNTIF(xdec2bin!$A:$BZ,"PASS")</f>
      </c>
      <c r="C61" s="50">
        <f>COUNTIF(xdec2bin!$A:$BZ,"FAIL")</f>
      </c>
      <c r="D61" s="45">
        <f>B61+C61</f>
      </c>
      <c r="E61" s="45">
        <f>IF(C61&gt;0,"FAIL ("&amp;C61&amp;")",IF(D61=0,"-","all pass"))</f>
      </c>
    </row>
    <row r="62" spans="1:5" x14ac:dyDescent="0.5">
      <c r="A62" s="77">
        <f>HYPERLINK("#'xfilter'!A1","xfilter")</f>
      </c>
      <c r="B62" s="48">
        <f>COUNTIF(xfilter!$A:$BZ,"PASS")</f>
      </c>
      <c r="C62" s="50">
        <f>COUNTIF(xfilter!$A:$BZ,"FAIL")</f>
      </c>
      <c r="D62" s="45">
        <f>B62+C62</f>
      </c>
      <c r="E62" s="45">
        <f>IF(C62&gt;0,"FAIL ("&amp;C62&amp;")",IF(D62=0,"-","all pass"))</f>
      </c>
    </row>
    <row r="63" spans="1:5" x14ac:dyDescent="0.5">
      <c r="A63" s="77">
        <f>HYPERLINK("#'xmod'!A1","xmod")</f>
      </c>
      <c r="B63" s="48">
        <f>COUNTIF(xmod!$A:$BZ,"PASS")</f>
      </c>
      <c r="C63" s="50">
        <f>COUNTIF(xmod!$A:$BZ,"FAIL")</f>
      </c>
      <c r="D63" s="45">
        <f>B63+C63</f>
      </c>
      <c r="E63" s="45">
        <f>IF(C63&gt;0,"FAIL ("&amp;C63&amp;")",IF(D63=0,"-","all pass"))</f>
      </c>
    </row>
    <row r="64" spans="1:5" x14ac:dyDescent="0.5">
      <c r="A64" s="77">
        <f>HYPERLINK("#'xn'!A1","xn")</f>
      </c>
      <c r="B64" s="48">
        <f>COUNTIF(xn!$A:$BZ,"PASS")</f>
      </c>
      <c r="C64" s="50">
        <f>COUNTIF(xn!$A:$BZ,"FAIL")</f>
      </c>
      <c r="D64" s="45">
        <f>B64+C64</f>
      </c>
      <c r="E64" s="45">
        <f>IF(C64&gt;0,"FAIL ("&amp;C64&amp;")",IF(D64=0,"-","all pass"))</f>
      </c>
    </row>
    <row r="65" spans="2:5" x14ac:dyDescent="0.5">
      <c r="A65" s="77">
        <f>HYPERLINK("#'xrank'!A1","xrank")</f>
      </c>
      <c r="B65" s="48">
        <f>COUNTIF(xrank!$A:$BZ,"PASS")</f>
      </c>
      <c r="C65" s="50">
        <f>COUNTIF(xrank!$A:$BZ,"FAIL")</f>
      </c>
      <c r="D65" s="45">
        <f>B65+C65</f>
      </c>
      <c r="E65" s="45">
        <f>IF(C65&gt;0,"FAIL ("&amp;C65&amp;")",IF(D65=0,"-","all pass"))</f>
      </c>
    </row>
    <row r="66" spans="2:5" x14ac:dyDescent="0.5">
      <c r="A66" s="77">
        <f>HYPERLINK("#'xsequence'!A1","xsequence")</f>
      </c>
      <c r="B66" s="48">
        <f>COUNTIF(xsequence!$A:$BZ,"PASS")</f>
      </c>
      <c r="C66" s="50">
        <f>COUNTIF(xsequence!$A:$BZ,"FAIL")</f>
      </c>
      <c r="D66" s="45">
        <f>B66+C66</f>
      </c>
      <c r="E66" s="45">
        <f>IF(C66&gt;0,"FAIL ("&amp;C66&amp;")",IF(D66=0,"-","all pass"))</f>
      </c>
    </row>
    <row r="67">
      <c r="A67" s="77">
        <f>HYPERLINK("#'xtextjoin'!A1","xtextjoin")</f>
      </c>
      <c r="B67" s="48">
        <f>COUNTIF(xtextjoin!$A:$BZ,"PASS")</f>
      </c>
      <c r="C67" s="50">
        <f>COUNTIF(xtextjoin!$A:$BZ,"FAIL")</f>
      </c>
      <c r="D67" s="45">
        <f>B67+C67</f>
      </c>
      <c r="E67" s="45">
        <f>IF(C67&gt;0,"FAIL ("&amp;C67&amp;")",IF(D67=0,"-","all pass"))</f>
      </c>
    </row>
    <row r="68">
      <c r="A68" s="77">
        <f>HYPERLINK("#'xtocol'!A1","xtocol")</f>
      </c>
      <c r="B68" s="48">
        <f>COUNTIF(xtocol!$A:$BZ,"PASS")</f>
      </c>
      <c r="C68" s="50">
        <f>COUNTIF(xtocol!$A:$BZ,"FAIL")</f>
      </c>
      <c r="D68" s="45">
        <f>B68+C68</f>
      </c>
      <c r="E68" s="45">
        <f>IF(C68&gt;0,"FAIL ("&amp;C68&amp;")",IF(D68=0,"-","all pass"))</f>
      </c>
    </row>
    <row r="69">
      <c r="A69" s="101" t="inlineStr">
        <is>
          <t xml:space="preserve">TOTAL</t>
        </is>
      </c>
      <c r="B69" s="48">
        <f>SUM(B5:B68)</f>
      </c>
      <c r="C69" s="50">
        <f>SUM(C5:C68)</f>
      </c>
      <c r="D69" s="45">
        <f>SUM(D5:D68)</f>
      </c>
      <c r="E69" s="45">
        <f>IF(C69&gt;0,C69&amp;" FAILING","ALL PASS")</f>
      </c>
    </row>
    <row r="70">
      <c r="A70"/>
      <c r="B70" s="48"/>
      <c r="C70" s="50"/>
      <c r="D70" s="45"/>
      <c r="E70" s="45"/>
    </row>
    <row r="71">
      <c r="A71"/>
      <c r="B71" s="48"/>
      <c r="C71" s="50"/>
      <c r="D71" s="45"/>
      <c r="E71" s="45"/>
    </row>
    <row r="72">
      <c r="A72"/>
      <c r="B72" s="48"/>
      <c r="C72" s="50"/>
      <c r="D72" s="45"/>
      <c r="E72" s="45"/>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A5EC08-FD3E-45E3-A504-A0FEEC70E0AA}">
  <sheetPr codeName="Sheet107"/>
  <dimension ref="A1:F83"/>
  <sheetViews>
    <sheetView topLeftCell="A58" workbookViewId="0">
      <selection activeCell="C39" sqref="C39"/>
    </sheetView>
  </sheetViews>
  <sheetFormatPr defaultRowHeight="21" x14ac:dyDescent="0.5"/>
  <cols>
    <col min="1" max="1" width="12.625" bestFit="1" customWidth="1"/>
    <col min="2" max="2" width="21.875" bestFit="1" customWidth="1"/>
    <col min="3" max="3" width="50.125" bestFit="1" customWidth="1"/>
    <col min="4" max="5" width="64.9375" style="56" bestFit="1" customWidth="1"/>
    <col min="6" max="6" width="6" bestFit="1" customWidth="1"/>
  </cols>
  <sheetData>
    <row r="1" spans="1:6" x14ac:dyDescent="0.5">
      <c r="A1" s="15" t="s">
        <v>3308</v>
      </c>
    </row>
    <row r="2" spans="1:6" x14ac:dyDescent="0.5">
      <c r="A2" t="s">
        <v>3573</v>
      </c>
    </row>
    <row r="4" spans="1:6" x14ac:dyDescent="0.5">
      <c r="A4" s="15" t="s">
        <v>7</v>
      </c>
      <c r="B4" s="15" t="s">
        <v>3309</v>
      </c>
      <c r="C4" s="15" t="s">
        <v>8</v>
      </c>
      <c r="D4" s="57" t="s">
        <v>10</v>
      </c>
      <c r="E4" s="57" t="s">
        <v>11</v>
      </c>
      <c r="F4" s="15" t="s">
        <v>3310</v>
      </c>
    </row>
    <row r="5" spans="1:6" x14ac:dyDescent="0.5">
      <c r="A5">
        <v>1</v>
      </c>
      <c r="B5" t="s">
        <v>3311</v>
      </c>
      <c r="C5" t="s">
        <v>3312</v>
      </c>
      <c r="D5" s="56" t="s">
        <v>3313</v>
      </c>
      <c r="E5" s="56" t="s">
        <v>3313</v>
      </c>
      <c r="F5" s="58" t="s">
        <v>3314</v>
      </c>
    </row>
    <row r="6" spans="1:6" x14ac:dyDescent="0.5">
      <c r="A6">
        <v>2</v>
      </c>
      <c r="B6" t="s">
        <v>3311</v>
      </c>
      <c r="C6" t="s">
        <v>3315</v>
      </c>
      <c r="D6" s="56" t="s">
        <v>3316</v>
      </c>
      <c r="E6" s="56" t="s">
        <v>3316</v>
      </c>
      <c r="F6" s="58" t="s">
        <v>3314</v>
      </c>
    </row>
    <row r="7" spans="1:6" x14ac:dyDescent="0.5">
      <c r="A7">
        <v>3</v>
      </c>
      <c r="B7" t="s">
        <v>3311</v>
      </c>
      <c r="C7" t="s">
        <v>3317</v>
      </c>
      <c r="D7" s="56" t="s">
        <v>3318</v>
      </c>
      <c r="E7" s="56" t="s">
        <v>3318</v>
      </c>
      <c r="F7" s="58" t="s">
        <v>3314</v>
      </c>
    </row>
    <row r="8" spans="1:6" x14ac:dyDescent="0.5">
      <c r="A8">
        <v>4</v>
      </c>
      <c r="B8" t="s">
        <v>3319</v>
      </c>
      <c r="C8" t="s">
        <v>3320</v>
      </c>
      <c r="D8" s="56" t="s">
        <v>3321</v>
      </c>
      <c r="E8" s="56" t="s">
        <v>3321</v>
      </c>
      <c r="F8" s="58" t="s">
        <v>3314</v>
      </c>
    </row>
    <row r="9" spans="1:6" x14ac:dyDescent="0.5">
      <c r="A9">
        <v>5</v>
      </c>
      <c r="B9" t="s">
        <v>3319</v>
      </c>
      <c r="C9" t="s">
        <v>3322</v>
      </c>
      <c r="D9" s="56" t="s">
        <v>3323</v>
      </c>
      <c r="E9" s="56" t="s">
        <v>3323</v>
      </c>
      <c r="F9" s="58" t="s">
        <v>3314</v>
      </c>
    </row>
    <row r="10" spans="1:6" x14ac:dyDescent="0.5">
      <c r="A10">
        <v>6</v>
      </c>
      <c r="B10" t="s">
        <v>3319</v>
      </c>
      <c r="C10" t="s">
        <v>3324</v>
      </c>
      <c r="D10" s="56" t="s">
        <v>3325</v>
      </c>
      <c r="E10" s="56" t="s">
        <v>3325</v>
      </c>
      <c r="F10" s="58" t="s">
        <v>3314</v>
      </c>
    </row>
    <row r="11" spans="1:6" x14ac:dyDescent="0.5">
      <c r="A11">
        <v>7</v>
      </c>
      <c r="B11" t="s">
        <v>3326</v>
      </c>
      <c r="C11" t="s">
        <v>3327</v>
      </c>
      <c r="D11" s="56" t="s">
        <v>3328</v>
      </c>
      <c r="E11" s="56" t="s">
        <v>3328</v>
      </c>
      <c r="F11" s="58" t="s">
        <v>3314</v>
      </c>
    </row>
    <row r="12" spans="1:6" x14ac:dyDescent="0.5">
      <c r="A12">
        <v>8</v>
      </c>
      <c r="B12" t="s">
        <v>3326</v>
      </c>
      <c r="C12" t="s">
        <v>3329</v>
      </c>
      <c r="D12" s="56" t="s">
        <v>3328</v>
      </c>
      <c r="E12" s="56" t="s">
        <v>3328</v>
      </c>
      <c r="F12" s="58" t="s">
        <v>3314</v>
      </c>
    </row>
    <row r="13" spans="1:6" x14ac:dyDescent="0.5">
      <c r="A13">
        <v>9</v>
      </c>
      <c r="B13" t="s">
        <v>3326</v>
      </c>
      <c r="C13" t="s">
        <v>3330</v>
      </c>
      <c r="D13" s="56" t="s">
        <v>3328</v>
      </c>
      <c r="E13" s="56" t="s">
        <v>3328</v>
      </c>
      <c r="F13" s="58" t="s">
        <v>3314</v>
      </c>
    </row>
    <row r="14" spans="1:6" x14ac:dyDescent="0.5">
      <c r="A14">
        <v>10</v>
      </c>
      <c r="B14" t="s">
        <v>3331</v>
      </c>
      <c r="C14" t="s">
        <v>3332</v>
      </c>
      <c r="D14" s="56" t="s">
        <v>3333</v>
      </c>
      <c r="E14" s="56" t="s">
        <v>3333</v>
      </c>
      <c r="F14" s="58" t="s">
        <v>3314</v>
      </c>
    </row>
    <row r="15" spans="1:6" x14ac:dyDescent="0.5">
      <c r="A15">
        <v>11</v>
      </c>
      <c r="B15" t="s">
        <v>3331</v>
      </c>
      <c r="C15" t="s">
        <v>3334</v>
      </c>
      <c r="D15" s="56" t="s">
        <v>3328</v>
      </c>
      <c r="E15" s="56" t="s">
        <v>3328</v>
      </c>
      <c r="F15" s="58" t="s">
        <v>3314</v>
      </c>
    </row>
    <row r="16" spans="1:6" x14ac:dyDescent="0.5">
      <c r="A16">
        <v>12</v>
      </c>
      <c r="B16" t="s">
        <v>3360</v>
      </c>
      <c r="C16" t="s">
        <v>3361</v>
      </c>
      <c r="D16" s="56" t="s">
        <v>3362</v>
      </c>
      <c r="E16" s="56" t="s">
        <v>3362</v>
      </c>
      <c r="F16" s="58" t="s">
        <v>3314</v>
      </c>
    </row>
    <row r="17" spans="1:6" x14ac:dyDescent="0.5">
      <c r="A17">
        <v>13</v>
      </c>
      <c r="B17" t="s">
        <v>3360</v>
      </c>
      <c r="C17" t="s">
        <v>3363</v>
      </c>
      <c r="D17" s="56" t="s">
        <v>136</v>
      </c>
      <c r="E17" s="56" t="s">
        <v>136</v>
      </c>
      <c r="F17" s="58" t="s">
        <v>3314</v>
      </c>
    </row>
    <row r="18" spans="1:6" x14ac:dyDescent="0.5">
      <c r="A18">
        <v>14</v>
      </c>
      <c r="B18" t="s">
        <v>3360</v>
      </c>
      <c r="C18" t="s">
        <v>3364</v>
      </c>
      <c r="D18" s="56" t="s">
        <v>156</v>
      </c>
      <c r="E18" s="56" t="s">
        <v>156</v>
      </c>
      <c r="F18" s="58" t="s">
        <v>3314</v>
      </c>
    </row>
    <row r="19" spans="1:6" x14ac:dyDescent="0.5">
      <c r="A19">
        <v>15</v>
      </c>
      <c r="B19" t="s">
        <v>3360</v>
      </c>
      <c r="C19" t="s">
        <v>3365</v>
      </c>
      <c r="D19" s="56" t="s">
        <v>3366</v>
      </c>
      <c r="E19" s="56" t="s">
        <v>3366</v>
      </c>
      <c r="F19" s="58" t="s">
        <v>3314</v>
      </c>
    </row>
    <row r="20" spans="1:6" x14ac:dyDescent="0.5">
      <c r="A20">
        <v>16</v>
      </c>
      <c r="B20" t="s">
        <v>3360</v>
      </c>
      <c r="C20" t="s">
        <v>3367</v>
      </c>
      <c r="D20" s="56" t="s">
        <v>3328</v>
      </c>
      <c r="E20" s="56" t="s">
        <v>3328</v>
      </c>
      <c r="F20" s="58" t="s">
        <v>3314</v>
      </c>
    </row>
    <row r="21" spans="1:6" x14ac:dyDescent="0.5">
      <c r="A21">
        <v>17</v>
      </c>
      <c r="B21" t="s">
        <v>3360</v>
      </c>
      <c r="C21" t="s">
        <v>3368</v>
      </c>
      <c r="D21" s="56" t="s">
        <v>3288</v>
      </c>
      <c r="E21" s="56" t="s">
        <v>3288</v>
      </c>
      <c r="F21" s="58" t="s">
        <v>3314</v>
      </c>
    </row>
    <row r="22" spans="1:6" x14ac:dyDescent="0.5">
      <c r="A22">
        <v>18</v>
      </c>
      <c r="B22" t="s">
        <v>3369</v>
      </c>
      <c r="C22" t="s">
        <v>3370</v>
      </c>
      <c r="D22" s="56" t="s">
        <v>3371</v>
      </c>
      <c r="E22" s="56" t="s">
        <v>3371</v>
      </c>
      <c r="F22" s="58" t="s">
        <v>3314</v>
      </c>
    </row>
    <row r="23" spans="1:6" x14ac:dyDescent="0.5">
      <c r="A23">
        <v>19</v>
      </c>
      <c r="B23" t="s">
        <v>3369</v>
      </c>
      <c r="C23" t="s">
        <v>3372</v>
      </c>
      <c r="D23" s="56" t="s">
        <v>3373</v>
      </c>
      <c r="E23" s="56" t="s">
        <v>3373</v>
      </c>
      <c r="F23" s="58" t="s">
        <v>3314</v>
      </c>
    </row>
    <row r="24" spans="1:6" x14ac:dyDescent="0.5">
      <c r="A24">
        <v>20</v>
      </c>
      <c r="B24" t="s">
        <v>3369</v>
      </c>
      <c r="C24" t="s">
        <v>3374</v>
      </c>
      <c r="D24" s="56" t="s">
        <v>3375</v>
      </c>
      <c r="E24" s="56" t="s">
        <v>3375</v>
      </c>
      <c r="F24" s="58" t="s">
        <v>3314</v>
      </c>
    </row>
    <row r="25" spans="1:6" x14ac:dyDescent="0.5">
      <c r="A25">
        <v>21</v>
      </c>
      <c r="B25" t="s">
        <v>3376</v>
      </c>
      <c r="C25" t="s">
        <v>3377</v>
      </c>
      <c r="D25" s="56" t="s">
        <v>3328</v>
      </c>
      <c r="E25" s="56" t="s">
        <v>3328</v>
      </c>
      <c r="F25" s="58" t="s">
        <v>3314</v>
      </c>
    </row>
    <row r="26" spans="1:6" x14ac:dyDescent="0.5">
      <c r="A26">
        <v>22</v>
      </c>
      <c r="B26" t="s">
        <v>3376</v>
      </c>
      <c r="C26" t="s">
        <v>3378</v>
      </c>
      <c r="D26" s="56" t="s">
        <v>3328</v>
      </c>
      <c r="E26" s="56" t="s">
        <v>3328</v>
      </c>
      <c r="F26" s="58" t="s">
        <v>3314</v>
      </c>
    </row>
    <row r="27" spans="1:6" x14ac:dyDescent="0.5">
      <c r="A27">
        <v>23</v>
      </c>
      <c r="B27" t="s">
        <v>3379</v>
      </c>
      <c r="C27" t="s">
        <v>3380</v>
      </c>
      <c r="D27" s="56" t="s">
        <v>3321</v>
      </c>
      <c r="E27" s="56" t="s">
        <v>3321</v>
      </c>
      <c r="F27" s="58" t="s">
        <v>3314</v>
      </c>
    </row>
    <row r="28" spans="1:6" x14ac:dyDescent="0.5">
      <c r="A28">
        <v>24</v>
      </c>
      <c r="B28" t="s">
        <v>3379</v>
      </c>
      <c r="C28" t="s">
        <v>3381</v>
      </c>
      <c r="D28" s="56" t="s">
        <v>3325</v>
      </c>
      <c r="E28" s="56" t="s">
        <v>3325</v>
      </c>
      <c r="F28" s="58" t="s">
        <v>3314</v>
      </c>
    </row>
    <row r="29" spans="1:6" x14ac:dyDescent="0.5">
      <c r="A29">
        <v>25</v>
      </c>
      <c r="B29" t="s">
        <v>3382</v>
      </c>
      <c r="C29" t="s">
        <v>3383</v>
      </c>
      <c r="D29" s="56" t="s">
        <v>2631</v>
      </c>
      <c r="E29" s="56" t="s">
        <v>2631</v>
      </c>
      <c r="F29" s="58" t="s">
        <v>3314</v>
      </c>
    </row>
    <row r="30" spans="1:6" x14ac:dyDescent="0.5">
      <c r="A30">
        <v>26</v>
      </c>
      <c r="B30" t="s">
        <v>3382</v>
      </c>
      <c r="C30" t="s">
        <v>3384</v>
      </c>
      <c r="D30" s="56" t="s">
        <v>3385</v>
      </c>
      <c r="E30" s="56" t="s">
        <v>3385</v>
      </c>
      <c r="F30" s="58" t="s">
        <v>3314</v>
      </c>
    </row>
    <row r="31" spans="1:6" x14ac:dyDescent="0.5">
      <c r="A31">
        <v>27</v>
      </c>
      <c r="B31" t="s">
        <v>3382</v>
      </c>
      <c r="C31" t="s">
        <v>3386</v>
      </c>
      <c r="D31" s="56" t="s">
        <v>3328</v>
      </c>
      <c r="E31" s="56" t="s">
        <v>3328</v>
      </c>
      <c r="F31" s="58" t="s">
        <v>3314</v>
      </c>
    </row>
    <row r="32" spans="1:6" x14ac:dyDescent="0.5">
      <c r="A32">
        <v>28</v>
      </c>
      <c r="B32" t="s">
        <v>3387</v>
      </c>
      <c r="C32" t="s">
        <v>3388</v>
      </c>
      <c r="D32" s="56" t="s">
        <v>2631</v>
      </c>
      <c r="E32" s="56" t="s">
        <v>2631</v>
      </c>
      <c r="F32" s="58" t="s">
        <v>3314</v>
      </c>
    </row>
    <row r="33" spans="1:6" x14ac:dyDescent="0.5">
      <c r="A33">
        <v>29</v>
      </c>
      <c r="B33" t="s">
        <v>3387</v>
      </c>
      <c r="C33" t="s">
        <v>3389</v>
      </c>
      <c r="D33" s="56" t="s">
        <v>2631</v>
      </c>
      <c r="E33" s="56" t="s">
        <v>2631</v>
      </c>
      <c r="F33" s="58" t="s">
        <v>3314</v>
      </c>
    </row>
    <row r="34" spans="1:6" x14ac:dyDescent="0.5">
      <c r="A34">
        <v>30</v>
      </c>
      <c r="B34" t="s">
        <v>3387</v>
      </c>
      <c r="C34" t="s">
        <v>3390</v>
      </c>
      <c r="D34" s="56" t="s">
        <v>3385</v>
      </c>
      <c r="E34" s="56" t="s">
        <v>3385</v>
      </c>
      <c r="F34" s="58" t="s">
        <v>3314</v>
      </c>
    </row>
    <row r="35" spans="1:6" x14ac:dyDescent="0.5">
      <c r="A35">
        <v>31</v>
      </c>
      <c r="B35" t="s">
        <v>3387</v>
      </c>
      <c r="C35" t="s">
        <v>3391</v>
      </c>
      <c r="D35" s="56" t="s">
        <v>3385</v>
      </c>
      <c r="E35" s="56" t="s">
        <v>3385</v>
      </c>
      <c r="F35" s="58" t="s">
        <v>3314</v>
      </c>
    </row>
    <row r="36" spans="1:6" x14ac:dyDescent="0.5">
      <c r="A36">
        <v>32</v>
      </c>
      <c r="B36" t="s">
        <v>3392</v>
      </c>
      <c r="C36" t="s">
        <v>3393</v>
      </c>
      <c r="D36" s="56" t="s">
        <v>3328</v>
      </c>
      <c r="E36" s="56" t="s">
        <v>3328</v>
      </c>
      <c r="F36" s="58" t="s">
        <v>3314</v>
      </c>
    </row>
    <row r="37" spans="1:6" x14ac:dyDescent="0.5">
      <c r="A37">
        <v>33</v>
      </c>
      <c r="B37" t="s">
        <v>3392</v>
      </c>
      <c r="C37" t="s">
        <v>3394</v>
      </c>
      <c r="D37" s="56" t="s">
        <v>3328</v>
      </c>
      <c r="E37" s="56" t="s">
        <v>3328</v>
      </c>
      <c r="F37" s="58" t="s">
        <v>3314</v>
      </c>
    </row>
    <row r="38" spans="1:6" x14ac:dyDescent="0.5">
      <c r="A38">
        <v>34</v>
      </c>
      <c r="B38" t="s">
        <v>3392</v>
      </c>
      <c r="C38" t="s">
        <v>3395</v>
      </c>
      <c r="D38" s="56" t="s">
        <v>3349</v>
      </c>
      <c r="E38" s="56" t="s">
        <v>3349</v>
      </c>
      <c r="F38" s="58" t="s">
        <v>3314</v>
      </c>
    </row>
    <row r="39" spans="1:6" x14ac:dyDescent="0.5">
      <c r="A39">
        <v>35</v>
      </c>
      <c r="B39" t="s">
        <v>3392</v>
      </c>
      <c r="C39" t="s">
        <v>3396</v>
      </c>
      <c r="D39" s="56" t="s">
        <v>3350</v>
      </c>
      <c r="E39" s="56" t="s">
        <v>3350</v>
      </c>
      <c r="F39" s="58" t="s">
        <v>3314</v>
      </c>
    </row>
    <row r="40" spans="1:6" x14ac:dyDescent="0.5">
      <c r="A40">
        <v>36</v>
      </c>
      <c r="B40" t="s">
        <v>3392</v>
      </c>
      <c r="C40" t="s">
        <v>3397</v>
      </c>
      <c r="D40" s="56" t="s">
        <v>2937</v>
      </c>
      <c r="E40" s="56" t="s">
        <v>2937</v>
      </c>
      <c r="F40" s="58" t="s">
        <v>3314</v>
      </c>
    </row>
    <row r="41" spans="1:6" x14ac:dyDescent="0.5">
      <c r="A41">
        <v>37</v>
      </c>
      <c r="B41" t="s">
        <v>3392</v>
      </c>
      <c r="C41" t="s">
        <v>3398</v>
      </c>
      <c r="D41" s="56" t="s">
        <v>136</v>
      </c>
      <c r="E41" s="56" t="s">
        <v>136</v>
      </c>
      <c r="F41" s="58" t="s">
        <v>3314</v>
      </c>
    </row>
    <row r="42" spans="1:6" x14ac:dyDescent="0.5">
      <c r="A42">
        <v>38</v>
      </c>
      <c r="B42" t="s">
        <v>3392</v>
      </c>
      <c r="C42" t="s">
        <v>3399</v>
      </c>
      <c r="D42" s="56" t="s">
        <v>2938</v>
      </c>
      <c r="E42" s="56" t="s">
        <v>2938</v>
      </c>
      <c r="F42" s="58" t="s">
        <v>3314</v>
      </c>
    </row>
    <row r="43" spans="1:6" x14ac:dyDescent="0.5">
      <c r="A43">
        <v>39</v>
      </c>
      <c r="B43" t="s">
        <v>3392</v>
      </c>
      <c r="C43" t="s">
        <v>3400</v>
      </c>
      <c r="D43" s="56" t="s">
        <v>577</v>
      </c>
      <c r="E43" s="56" t="s">
        <v>577</v>
      </c>
      <c r="F43" s="58" t="s">
        <v>3314</v>
      </c>
    </row>
    <row r="44" spans="1:6" x14ac:dyDescent="0.5">
      <c r="A44">
        <v>40</v>
      </c>
      <c r="B44" t="s">
        <v>3401</v>
      </c>
      <c r="C44" t="s">
        <v>3402</v>
      </c>
      <c r="D44" s="56" t="s">
        <v>3328</v>
      </c>
      <c r="E44" s="56" t="s">
        <v>3328</v>
      </c>
      <c r="F44" s="58" t="s">
        <v>3314</v>
      </c>
    </row>
    <row r="45" spans="1:6" x14ac:dyDescent="0.5">
      <c r="A45">
        <v>41</v>
      </c>
      <c r="B45" t="s">
        <v>3401</v>
      </c>
      <c r="C45" t="s">
        <v>3403</v>
      </c>
      <c r="D45" s="56" t="s">
        <v>3328</v>
      </c>
      <c r="E45" s="56" t="s">
        <v>3328</v>
      </c>
      <c r="F45" s="58" t="s">
        <v>3314</v>
      </c>
    </row>
    <row r="46" spans="1:6" x14ac:dyDescent="0.5">
      <c r="A46">
        <v>42</v>
      </c>
      <c r="B46" t="s">
        <v>3401</v>
      </c>
      <c r="C46" t="s">
        <v>3404</v>
      </c>
      <c r="D46" s="56" t="s">
        <v>2937</v>
      </c>
      <c r="E46" s="56" t="s">
        <v>2937</v>
      </c>
      <c r="F46" s="58" t="s">
        <v>3314</v>
      </c>
    </row>
    <row r="47" spans="1:6" x14ac:dyDescent="0.5">
      <c r="A47">
        <v>43</v>
      </c>
      <c r="B47" t="s">
        <v>3401</v>
      </c>
      <c r="C47" t="s">
        <v>3398</v>
      </c>
      <c r="D47" s="56" t="s">
        <v>136</v>
      </c>
      <c r="E47" s="56" t="s">
        <v>136</v>
      </c>
      <c r="F47" s="58" t="s">
        <v>3314</v>
      </c>
    </row>
    <row r="48" spans="1:6" x14ac:dyDescent="0.5">
      <c r="A48">
        <v>44</v>
      </c>
      <c r="B48" t="s">
        <v>3401</v>
      </c>
      <c r="C48" t="s">
        <v>3405</v>
      </c>
      <c r="D48" s="56" t="s">
        <v>3406</v>
      </c>
      <c r="E48" s="56" t="s">
        <v>3406</v>
      </c>
      <c r="F48" s="58" t="s">
        <v>3314</v>
      </c>
    </row>
    <row r="49" spans="1:6" x14ac:dyDescent="0.5">
      <c r="A49">
        <v>45</v>
      </c>
      <c r="B49" t="s">
        <v>3401</v>
      </c>
      <c r="C49" t="s">
        <v>3407</v>
      </c>
      <c r="D49" s="56" t="s">
        <v>2938</v>
      </c>
      <c r="E49" s="56" t="s">
        <v>2938</v>
      </c>
      <c r="F49" s="58" t="s">
        <v>3314</v>
      </c>
    </row>
    <row r="50" spans="1:6" x14ac:dyDescent="0.5">
      <c r="A50">
        <v>46</v>
      </c>
      <c r="B50" t="s">
        <v>3401</v>
      </c>
      <c r="C50" t="s">
        <v>3400</v>
      </c>
      <c r="D50" s="56" t="s">
        <v>577</v>
      </c>
      <c r="E50" s="56" t="s">
        <v>577</v>
      </c>
      <c r="F50" s="58" t="s">
        <v>3314</v>
      </c>
    </row>
    <row r="51" spans="1:6" x14ac:dyDescent="0.5">
      <c r="A51">
        <v>47</v>
      </c>
      <c r="B51" t="s">
        <v>3401</v>
      </c>
      <c r="C51" t="s">
        <v>3408</v>
      </c>
      <c r="D51" s="56" t="s">
        <v>3409</v>
      </c>
      <c r="E51" s="56" t="s">
        <v>3409</v>
      </c>
      <c r="F51" s="58" t="s">
        <v>3314</v>
      </c>
    </row>
    <row r="52" spans="1:6" x14ac:dyDescent="0.5">
      <c r="A52">
        <v>48</v>
      </c>
      <c r="B52" t="s">
        <v>3410</v>
      </c>
      <c r="C52" t="s">
        <v>3411</v>
      </c>
      <c r="D52" s="56" t="s">
        <v>3328</v>
      </c>
      <c r="E52" s="56" t="s">
        <v>3328</v>
      </c>
      <c r="F52" s="58" t="s">
        <v>3314</v>
      </c>
    </row>
    <row r="53" spans="1:6" x14ac:dyDescent="0.5">
      <c r="A53">
        <v>49</v>
      </c>
      <c r="B53" t="s">
        <v>3410</v>
      </c>
      <c r="C53" t="s">
        <v>3412</v>
      </c>
      <c r="D53" s="56" t="s">
        <v>3328</v>
      </c>
      <c r="E53" s="56" t="s">
        <v>3328</v>
      </c>
      <c r="F53" s="58" t="s">
        <v>3314</v>
      </c>
    </row>
    <row r="54" spans="1:6" x14ac:dyDescent="0.5">
      <c r="A54">
        <v>50</v>
      </c>
      <c r="B54" t="s">
        <v>3410</v>
      </c>
      <c r="C54" t="s">
        <v>3395</v>
      </c>
      <c r="D54" s="56" t="s">
        <v>3352</v>
      </c>
      <c r="E54" s="56" t="s">
        <v>3352</v>
      </c>
      <c r="F54" s="58" t="s">
        <v>3314</v>
      </c>
    </row>
    <row r="55" spans="1:6" x14ac:dyDescent="0.5">
      <c r="A55">
        <v>51</v>
      </c>
      <c r="B55" t="s">
        <v>3410</v>
      </c>
      <c r="C55" t="s">
        <v>3413</v>
      </c>
      <c r="D55" s="56" t="s">
        <v>2925</v>
      </c>
      <c r="E55" s="56" t="s">
        <v>2925</v>
      </c>
      <c r="F55" s="58" t="s">
        <v>3314</v>
      </c>
    </row>
    <row r="56" spans="1:6" x14ac:dyDescent="0.5">
      <c r="A56">
        <v>52</v>
      </c>
      <c r="B56" t="s">
        <v>3410</v>
      </c>
      <c r="C56" t="s">
        <v>3414</v>
      </c>
      <c r="D56" s="56" t="s">
        <v>3063</v>
      </c>
      <c r="E56" s="56" t="s">
        <v>3063</v>
      </c>
      <c r="F56" s="58" t="s">
        <v>3314</v>
      </c>
    </row>
    <row r="57" spans="1:6" x14ac:dyDescent="0.5">
      <c r="A57">
        <v>53</v>
      </c>
      <c r="B57" t="s">
        <v>3410</v>
      </c>
      <c r="C57" t="s">
        <v>3415</v>
      </c>
      <c r="D57" s="56" t="s">
        <v>3321</v>
      </c>
      <c r="E57" s="56" t="s">
        <v>3321</v>
      </c>
      <c r="F57" s="58" t="s">
        <v>3314</v>
      </c>
    </row>
    <row r="58" spans="1:6" x14ac:dyDescent="0.5">
      <c r="A58">
        <v>54</v>
      </c>
      <c r="B58" t="s">
        <v>3416</v>
      </c>
      <c r="C58" t="s">
        <v>3417</v>
      </c>
      <c r="D58" s="56" t="s">
        <v>137</v>
      </c>
      <c r="E58" s="56" t="s">
        <v>137</v>
      </c>
      <c r="F58" s="58" t="s">
        <v>3314</v>
      </c>
    </row>
    <row r="59" spans="1:6" x14ac:dyDescent="0.5">
      <c r="A59">
        <v>55</v>
      </c>
      <c r="B59" t="s">
        <v>3416</v>
      </c>
      <c r="C59" t="s">
        <v>3418</v>
      </c>
      <c r="D59" s="56" t="s">
        <v>2633</v>
      </c>
      <c r="E59" s="56" t="s">
        <v>2633</v>
      </c>
      <c r="F59" s="58" t="s">
        <v>3314</v>
      </c>
    </row>
    <row r="60" spans="1:6" x14ac:dyDescent="0.5">
      <c r="A60">
        <v>56</v>
      </c>
      <c r="B60" t="s">
        <v>3416</v>
      </c>
      <c r="C60" t="s">
        <v>3419</v>
      </c>
      <c r="D60" s="56" t="s">
        <v>3420</v>
      </c>
      <c r="E60" s="56" t="s">
        <v>3420</v>
      </c>
      <c r="F60" s="58" t="s">
        <v>3314</v>
      </c>
    </row>
    <row r="61" spans="1:6" x14ac:dyDescent="0.5">
      <c r="A61">
        <v>57</v>
      </c>
      <c r="B61" t="s">
        <v>3416</v>
      </c>
      <c r="C61" t="s">
        <v>3421</v>
      </c>
      <c r="D61" s="56" t="s">
        <v>3422</v>
      </c>
      <c r="E61" s="56" t="s">
        <v>3422</v>
      </c>
      <c r="F61" s="58" t="s">
        <v>3314</v>
      </c>
    </row>
    <row r="62" spans="1:6" x14ac:dyDescent="0.5">
      <c r="A62">
        <v>58</v>
      </c>
      <c r="B62" t="s">
        <v>3423</v>
      </c>
      <c r="C62" t="s">
        <v>3424</v>
      </c>
      <c r="D62" s="56" t="s">
        <v>3328</v>
      </c>
      <c r="E62" s="56" t="s">
        <v>3328</v>
      </c>
      <c r="F62" s="58" t="s">
        <v>3314</v>
      </c>
    </row>
    <row r="63" spans="1:6" x14ac:dyDescent="0.5">
      <c r="A63">
        <v>59</v>
      </c>
      <c r="B63" t="s">
        <v>3423</v>
      </c>
      <c r="C63" t="s">
        <v>3425</v>
      </c>
      <c r="D63" s="56" t="s">
        <v>3328</v>
      </c>
      <c r="E63" s="56" t="s">
        <v>3328</v>
      </c>
      <c r="F63" s="58" t="s">
        <v>3314</v>
      </c>
    </row>
    <row r="64" spans="1:6" x14ac:dyDescent="0.5">
      <c r="A64">
        <v>60</v>
      </c>
      <c r="B64" t="s">
        <v>3426</v>
      </c>
      <c r="C64" t="s">
        <v>3427</v>
      </c>
      <c r="D64" s="56" t="s">
        <v>3428</v>
      </c>
      <c r="E64" s="56" t="s">
        <v>3428</v>
      </c>
      <c r="F64" s="58" t="s">
        <v>3314</v>
      </c>
    </row>
    <row r="65" spans="1:6" x14ac:dyDescent="0.5">
      <c r="A65">
        <v>61</v>
      </c>
      <c r="B65" t="s">
        <v>3426</v>
      </c>
      <c r="C65" t="s">
        <v>3429</v>
      </c>
      <c r="D65" s="56" t="s">
        <v>3318</v>
      </c>
      <c r="E65" s="56" t="s">
        <v>3318</v>
      </c>
      <c r="F65" s="58" t="s">
        <v>3314</v>
      </c>
    </row>
    <row r="66" spans="1:6" x14ac:dyDescent="0.5">
      <c r="A66">
        <v>62</v>
      </c>
      <c r="B66" t="s">
        <v>3430</v>
      </c>
      <c r="C66" t="s">
        <v>3431</v>
      </c>
      <c r="D66" s="56" t="s">
        <v>3328</v>
      </c>
      <c r="E66" s="56" t="s">
        <v>3328</v>
      </c>
      <c r="F66" s="58" t="s">
        <v>3314</v>
      </c>
    </row>
    <row r="67" spans="1:6" x14ac:dyDescent="0.5">
      <c r="A67">
        <v>63</v>
      </c>
      <c r="B67" t="s">
        <v>3432</v>
      </c>
      <c r="C67" t="s">
        <v>3433</v>
      </c>
      <c r="D67" s="56" t="s">
        <v>3328</v>
      </c>
      <c r="E67" s="56" t="s">
        <v>3328</v>
      </c>
      <c r="F67" s="58" t="s">
        <v>3314</v>
      </c>
    </row>
    <row r="68" spans="1:6" x14ac:dyDescent="0.5">
      <c r="A68">
        <v>64</v>
      </c>
      <c r="B68" t="s">
        <v>3432</v>
      </c>
      <c r="C68" t="s">
        <v>3434</v>
      </c>
      <c r="D68" s="56" t="s">
        <v>3328</v>
      </c>
      <c r="E68" s="56" t="s">
        <v>3328</v>
      </c>
      <c r="F68" s="58" t="s">
        <v>3314</v>
      </c>
    </row>
    <row r="69" spans="1:6" x14ac:dyDescent="0.5">
      <c r="A69">
        <v>65</v>
      </c>
      <c r="B69" t="s">
        <v>3432</v>
      </c>
      <c r="C69" t="s">
        <v>3474</v>
      </c>
      <c r="D69" s="56" t="s">
        <v>3328</v>
      </c>
      <c r="E69" s="56" t="s">
        <v>3328</v>
      </c>
      <c r="F69" s="58" t="s">
        <v>3314</v>
      </c>
    </row>
    <row r="70" spans="1:6" x14ac:dyDescent="0.5">
      <c r="A70">
        <v>66</v>
      </c>
      <c r="B70" t="s">
        <v>3432</v>
      </c>
      <c r="C70" t="s">
        <v>3475</v>
      </c>
      <c r="D70" s="56" t="s">
        <v>3328</v>
      </c>
      <c r="E70" s="56" t="s">
        <v>3328</v>
      </c>
      <c r="F70" s="58" t="s">
        <v>3314</v>
      </c>
    </row>
    <row r="71" spans="1:6" x14ac:dyDescent="0.5">
      <c r="A71">
        <v>67</v>
      </c>
      <c r="B71" t="s">
        <v>3432</v>
      </c>
      <c r="C71" t="s">
        <v>3476</v>
      </c>
      <c r="D71" s="56" t="s">
        <v>3328</v>
      </c>
      <c r="E71" s="56" t="s">
        <v>3328</v>
      </c>
      <c r="F71" s="58" t="s">
        <v>3314</v>
      </c>
    </row>
    <row r="72" spans="1:6" x14ac:dyDescent="0.5">
      <c r="A72">
        <v>68</v>
      </c>
      <c r="B72" t="s">
        <v>3432</v>
      </c>
      <c r="C72" t="s">
        <v>3477</v>
      </c>
      <c r="D72" s="56" t="s">
        <v>3328</v>
      </c>
      <c r="E72" s="56" t="s">
        <v>3328</v>
      </c>
      <c r="F72" s="58" t="s">
        <v>3314</v>
      </c>
    </row>
    <row r="73" spans="1:6" x14ac:dyDescent="0.5">
      <c r="A73">
        <v>69</v>
      </c>
      <c r="B73" t="s">
        <v>3435</v>
      </c>
      <c r="C73" t="s">
        <v>3436</v>
      </c>
      <c r="D73" s="56" t="s">
        <v>3328</v>
      </c>
      <c r="E73" s="56" t="s">
        <v>3328</v>
      </c>
      <c r="F73" s="58" t="s">
        <v>3314</v>
      </c>
    </row>
    <row r="74" spans="1:6" x14ac:dyDescent="0.5">
      <c r="A74">
        <v>70</v>
      </c>
      <c r="B74" t="s">
        <v>3437</v>
      </c>
      <c r="C74" t="s">
        <v>3438</v>
      </c>
      <c r="D74" s="56" t="s">
        <v>161</v>
      </c>
      <c r="E74" s="56" t="s">
        <v>161</v>
      </c>
      <c r="F74" s="58" t="s">
        <v>3314</v>
      </c>
    </row>
    <row r="75" spans="1:6" x14ac:dyDescent="0.5">
      <c r="A75">
        <v>71</v>
      </c>
      <c r="B75" t="s">
        <v>3437</v>
      </c>
      <c r="C75" t="s">
        <v>3439</v>
      </c>
      <c r="D75" s="56" t="s">
        <v>3226</v>
      </c>
      <c r="E75" s="56" t="s">
        <v>3226</v>
      </c>
      <c r="F75" s="58" t="s">
        <v>3314</v>
      </c>
    </row>
    <row r="76" spans="1:6" x14ac:dyDescent="0.5">
      <c r="A76">
        <v>72</v>
      </c>
      <c r="B76" t="s">
        <v>3440</v>
      </c>
      <c r="C76" t="s">
        <v>3441</v>
      </c>
      <c r="D76" s="56" t="s">
        <v>3328</v>
      </c>
      <c r="E76" s="56" t="s">
        <v>3328</v>
      </c>
      <c r="F76" s="58" t="s">
        <v>3314</v>
      </c>
    </row>
    <row r="77" spans="1:6" x14ac:dyDescent="0.5">
      <c r="A77">
        <v>73</v>
      </c>
      <c r="B77" t="s">
        <v>3440</v>
      </c>
      <c r="C77" t="s">
        <v>3442</v>
      </c>
      <c r="D77" s="56" t="s">
        <v>3328</v>
      </c>
      <c r="E77" s="56" t="s">
        <v>3328</v>
      </c>
      <c r="F77" s="58" t="s">
        <v>3314</v>
      </c>
    </row>
    <row r="78" spans="1:6" x14ac:dyDescent="0.5">
      <c r="A78">
        <v>74</v>
      </c>
      <c r="B78" t="s">
        <v>3440</v>
      </c>
      <c r="C78" t="s">
        <v>3443</v>
      </c>
      <c r="D78" s="56" t="s">
        <v>3357</v>
      </c>
      <c r="E78" s="56" t="s">
        <v>3357</v>
      </c>
      <c r="F78" s="58" t="s">
        <v>3314</v>
      </c>
    </row>
    <row r="79" spans="1:6" x14ac:dyDescent="0.5">
      <c r="A79">
        <v>75</v>
      </c>
      <c r="B79" t="s">
        <v>3440</v>
      </c>
      <c r="C79" t="s">
        <v>3444</v>
      </c>
      <c r="D79" s="56" t="s">
        <v>3358</v>
      </c>
      <c r="E79" s="56" t="s">
        <v>3358</v>
      </c>
      <c r="F79" s="58" t="s">
        <v>3314</v>
      </c>
    </row>
    <row r="80" spans="1:6" x14ac:dyDescent="0.5">
      <c r="A80">
        <v>76</v>
      </c>
      <c r="B80" t="s">
        <v>3440</v>
      </c>
      <c r="C80" t="s">
        <v>3445</v>
      </c>
      <c r="D80" s="56" t="s">
        <v>3222</v>
      </c>
      <c r="E80" s="56" t="s">
        <v>3222</v>
      </c>
      <c r="F80" s="58" t="s">
        <v>3314</v>
      </c>
    </row>
    <row r="81" spans="1:6" x14ac:dyDescent="0.5">
      <c r="A81">
        <v>77</v>
      </c>
      <c r="B81" t="s">
        <v>3440</v>
      </c>
      <c r="C81" t="s">
        <v>3446</v>
      </c>
      <c r="D81" s="56" t="s">
        <v>3447</v>
      </c>
      <c r="E81" s="56" t="s">
        <v>3447</v>
      </c>
      <c r="F81" s="58" t="s">
        <v>3314</v>
      </c>
    </row>
    <row r="82" spans="1:6" x14ac:dyDescent="0.5">
      <c r="A82">
        <v>78</v>
      </c>
      <c r="B82" t="s">
        <v>3440</v>
      </c>
      <c r="C82" t="s">
        <v>3448</v>
      </c>
      <c r="D82" s="56" t="s">
        <v>3222</v>
      </c>
      <c r="E82" s="56" t="s">
        <v>3222</v>
      </c>
      <c r="F82" s="58" t="s">
        <v>3314</v>
      </c>
    </row>
    <row r="83" spans="1:6" x14ac:dyDescent="0.5">
      <c r="A83">
        <v>79</v>
      </c>
      <c r="B83" t="s">
        <v>3440</v>
      </c>
      <c r="C83" t="s">
        <v>3449</v>
      </c>
      <c r="D83" s="56" t="s">
        <v>3450</v>
      </c>
      <c r="E83" s="56" t="s">
        <v>3450</v>
      </c>
      <c r="F83" s="58" t="s">
        <v>3314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323993-9BCE-401B-BDC7-9C98DE9556E6}">
  <sheetPr codeName="Sheet53"/>
  <dimension ref="A1:S60"/>
  <sheetViews>
    <sheetView topLeftCell="A18" workbookViewId="0">
      <selection activeCell="B21" sqref="B21"/>
    </sheetView>
  </sheetViews>
  <sheetFormatPr defaultRowHeight="21" x14ac:dyDescent="0.5"/>
  <cols>
    <col min="1" max="1" width="4" customWidth="1"/>
    <col min="2" max="2" width="26" customWidth="1"/>
    <col min="4" max="6" width="5" customWidth="1"/>
    <col min="11" max="11" width="6" customWidth="1"/>
    <col min="13" max="14" width="6" customWidth="1"/>
    <col min="16" max="17" width="6" customWidth="1"/>
    <col min="19" max="19" width="9" customWidth="1"/>
  </cols>
  <sheetData>
    <row r="1" spans="1:19" ht="231" customHeight="1" x14ac:dyDescent="0.5">
      <c r="A1" s="45" t="s">
        <v>0</v>
      </c>
      <c r="B1" s="83" t="str" cm="1">
        <f t="array" aca="1" ref="B1" ca="1">_xlfn.LET(_xlpm.fn, CELL("filename",$A$1), _xlpm.nm, MID(_xlpm.fn, FIND("]", _xlpm.fn) + 1, 255), _xlfn.XLOOKUP(_xlpm.nm &amp; "(*", Lamb!$A$2:$A$1000, Lamb!$A$2:$A$1000, "", 2))</f>
        <v>ad_to_cont(ad_or_rng, arr)</v>
      </c>
      <c r="C1" s="79"/>
      <c r="D1" s="79"/>
      <c r="E1" s="79"/>
      <c r="F1" s="80"/>
      <c r="H1" s="45" t="s">
        <v>2</v>
      </c>
      <c r="I1" s="78" t="str" cm="1">
        <f t="array" aca="1" ref="I1" ca="1">_xlfn.LET(_xlpm.fn, CELL("filename",$A$1), _xlpm.nm, MID(_xlpm.fn, FIND("]", _xlpm.fn) + 1, 255), _xlfn.XLOOKUP(_xlpm.nm &amp; "(*", Lamb!$A$2:$A$1000, Lamb!$D$2:$D$1000, "", 2))</f>
        <v>Non-volatile alternative to INDIRECT: reads values out of arr by address. The lookup half of the old addr_lookup, split off so the direction is never ambiguous.
arr need not start at A1, and may be on another sheet (e.g. data!A4:F5). Addresses are absolute sheet coordinates, resolved against arr's own top-left corner, so the "C3" you would type on the sheet is the "C3" this reads.
Behaviour by input:
  single address inside arr      -&gt; the value there
  range overlapping arr          -&gt; an array of the overlapping contents
  address/range not touching arr -&gt; ""
  any other single value         -&gt; ""
  an array of addresses          -&gt; element-wise contents; any element that is not a single address (a range, junk) -&gt; ""
Empty cells come back as "" rather than 0 - fake coerced zeros corrupt later aggregates. Address parsing is shared with the library via z_ad_box.
Arguments:
  ad_or_rng - a numeric address, A1 string, A1 range, numeric range, or an array of single addresses.
  arr       - the source range to read from.
Returns:
  A single value, a rectangle of values, or an element-wise array of values; "" wherever there is no valid, overlapping address.
Example:
  ad_to_cont("C3", B2:Z10)      -&gt;  the value at C3
  ad_to_cont("C3:D4", B2:Z10)   -&gt;  the 2x2 block C3:D4
  ad_to_cont(3000004, grid)     -&gt;  the value at C3... (numeric form)</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=LAMBDA(ad_or_rng, arr,
  LET(
    s_row, ROW(INDEX(arr, 1, 1)),
    s_col, COLUMN(INDEX(arr, 1, 1)),
    a_rows, ROWS(arr),
    a_cols, COLUMNS(arr),
    cell_at, LAMBDA(one, IFERROR(
      LET(box, z_ad_box(one),
        IF(OR(INDEX(box, 1) &lt;&gt; INDEX(box, 3), INDEX(box, 2) &lt;&gt; INDEX(box, 4)), "",
          LET(rel_r, INDEX(box, 1) - s_row + 1, rel_c, INDEX(box, 2) - s_col + 1,
            IF(OR(rel_r &lt; 1, rel_r &gt; a_rows, rel_c &lt; 1, rel_c &gt; a_cols), "",
              LET(cval, INDEX(arr, rel_r, rel_c), IF(cval = "", "", cval)))))), "")),
    box0, IFERROR(z_ad_box(ad_or_rng), 0),
    is_rng, IFERROR(AND(COUNT(box0) = 4, OR(INDEX(box0, 1) &lt;&gt; INDEX(box0, 3), INDEX(box0, 2) &lt;&gt; INDEX(box0, 4))), FALSE),
    IF(ROWS(ad_or_rng) * COLUMNS(ad_or_rng) &gt; 1, MAP(ad_or_rng, cell_at),
      IF(is_rng,
        LET(top, SUM(INDEX(box0, 1)), lft, SUM(INDEX(box0, 2)), bot, SUM(INDEX(box0, 3)), rgt, SUM(INDEX(box0, 4)),
            i_top, MAX(s_row, top), i_lft, MAX(s_col, lft),
            i_bot, MIN(s_row + a_rows - 1, bot), i_rgt, MIN(s_col + a_cols - 1, rgt),
            IF(OR(i_top &gt; i_bot, i_lft &gt; i_rgt), "",
              LET(block, TAKE(DROP(arr, i_top - s_row, i_lft - s_col), i_bot - i_top + 1, i_rgt - i_lft + 1),
                  IF(block = "", "", block)))),
        cell_at(ad_or_rng)))
  )
)</v>
      </c>
      <c r="C2" s="82"/>
      <c r="D2" s="82"/>
      <c r="E2" s="82"/>
      <c r="F2" s="82"/>
      <c r="G2" s="82"/>
      <c r="H2" s="82"/>
      <c r="I2" s="82"/>
      <c r="J2" s="82"/>
      <c r="K2" s="82"/>
      <c r="L2" s="82"/>
      <c r="M2" s="82"/>
      <c r="N2" s="82"/>
      <c r="O2" s="82"/>
      <c r="P2" s="82"/>
      <c r="Q2" s="82"/>
      <c r="R2" s="82"/>
    </row>
    <row r="4" spans="1:19" x14ac:dyDescent="0.5">
      <c r="A4" s="45" t="inlineStr">
        <is>
          <t xml:space="preserve">ad_to_cont(ad_or_rng, arr) - non-volatile INDIRECT: contents of arr at an address or range. In-bounds empty cell -&gt; ""; a valid address/range fully outside arr -&gt; "oob"; a non-address, or a range used as an array element -&gt; "inv". Fixture: D7:F9 holds 10..90.</t>
        </is>
      </c>
      <c r="S4" s="45">
        <f>COUNTIF(S11:S60,"PASS")&amp;" / 13 PASS"</f>
      </c>
    </row>
    <row r="5" spans="1:19" x14ac:dyDescent="0.5">
      <c r="B5" s="45" t="s">
        <v>8</v>
      </c>
      <c r="M5" s="48" t="s">
        <v>10</v>
      </c>
      <c r="P5" s="49" t="s">
        <v>11</v>
      </c>
      <c r="S5" s="50" t="s">
        <v>12</v>
      </c>
    </row>
    <row r="6" spans="1:19" x14ac:dyDescent="0.5">
      <c r="D6" s="45" t="s">
        <v>2910</v>
      </c>
      <c r="K6" s="45" t="s">
        <v>2911</v>
      </c>
    </row>
    <row r="7" spans="1:19" x14ac:dyDescent="0.5">
      <c r="D7" s="51">
        <v>10</v>
      </c>
      <c r="E7" s="51">
        <v>20</v>
      </c>
      <c r="F7" s="51">
        <v>30</v>
      </c>
      <c r="I7">
        <v>0</v>
      </c>
      <c r="K7" s="51" t="s">
        <v>2912</v>
      </c>
    </row>
    <row r="8" spans="1:19" x14ac:dyDescent="0.5">
      <c r="D8" s="51">
        <v>40</v>
      </c>
      <c r="E8" s="51">
        <v>50</v>
      </c>
      <c r="F8" s="51">
        <v>60</v>
      </c>
      <c r="H8">
        <v>1</v>
      </c>
      <c r="K8" s="51" t="s">
        <v>2913</v>
      </c>
    </row>
    <row r="9" spans="1:19" x14ac:dyDescent="0.5">
      <c r="D9" s="51">
        <v>70</v>
      </c>
      <c r="E9" s="51">
        <v>80</v>
      </c>
      <c r="F9" s="51">
        <v>90</v>
      </c>
    </row>
    <row r="10" spans="1:19" x14ac:dyDescent="0.5">
      <c r="E10" s="51"/>
    </row>
    <row r="11" spans="1:19" x14ac:dyDescent="0.5">
      <c r="B11" s="47" t="s">
        <v>3491</v>
      </c>
      <c r="E11" s="51"/>
      <c r="K11" t="inlineStr">
        <is>
          <t xml:space="preserve">D7</t>
        </is>
      </c>
      <c r="M11" s="52">
        <v>50</v>
      </c>
      <c r="N11" s="52"/>
      <c r="P11" s="53" cm="1">
        <f t="array" ref="P11">ad_to_cont("E8",D7:F9)</f>
        <v>50</v>
      </c>
      <c r="Q11" s="53"/>
      <c r="S11" s="54" t="str">
        <f>IF(P11=M11,"PASS","FAIL")</f>
        <v>PASS</v>
      </c>
    </row>
    <row r="12" spans="1:19" x14ac:dyDescent="0.5">
      <c r="B12" s="47"/>
      <c r="E12" s="51"/>
      <c r="K12" t="inlineStr">
        <is>
          <t xml:space="preserve">Z99</t>
        </is>
      </c>
      <c r="M12" s="52"/>
      <c r="N12" s="52"/>
      <c r="P12" s="53"/>
      <c r="Q12" s="53"/>
      <c r="S12" s="54"/>
    </row>
    <row r="13" spans="1:19" x14ac:dyDescent="0.5">
      <c r="B13" s="47" t="s">
        <v>2914</v>
      </c>
      <c r="E13" s="51"/>
      <c r="M13" s="52">
        <v>50</v>
      </c>
      <c r="N13" s="52"/>
      <c r="P13" s="53" cm="1">
        <f t="array" ref="P13">ad_to_cont(8000005,D7:F9)</f>
        <v>50</v>
      </c>
      <c r="Q13" s="53"/>
      <c r="S13" s="54" t="str">
        <f>IF(P13=M13,"PASS","FAIL")</f>
        <v>PASS</v>
      </c>
    </row>
    <row r="14" spans="1:19" x14ac:dyDescent="0.5">
      <c r="E14" s="51"/>
      <c r="K14" t="inlineStr">
        <is>
          <t xml:space="preserve">D7</t>
        </is>
      </c>
      <c r="M14" s="52"/>
      <c r="N14" s="52"/>
      <c r="P14" s="53"/>
      <c r="Q14" s="53"/>
      <c r="S14" s="54"/>
    </row>
    <row r="15" spans="1:19" x14ac:dyDescent="0.5">
      <c r="B15" s="47" t="s">
        <v>3492</v>
      </c>
      <c r="E15" s="51"/>
      <c r="K15" t="inlineStr">
        <is>
          <t xml:space="preserve">D7:E8</t>
        </is>
      </c>
      <c r="M15" s="52">
        <v>10</v>
      </c>
      <c r="N15" s="52">
        <v>20</v>
      </c>
      <c r="P15" s="53" cm="1">
        <f t="array" ref="P15:Q16">ad_to_cont("D7:E8",D7:F9)</f>
        <v>10</v>
      </c>
      <c r="Q15" s="53">
        <v>20</v>
      </c>
      <c r="S15" s="54" t="str" cm="1">
        <f t="array" ref="S15">IF(AND(M15:N16=P15:Q16),"PASS","FAIL")</f>
        <v>PASS</v>
      </c>
    </row>
    <row r="16" spans="1:19" x14ac:dyDescent="0.5">
      <c r="B16" s="47"/>
      <c r="E16" s="51"/>
      <c r="M16" s="52">
        <v>40</v>
      </c>
      <c r="N16" s="52">
        <v>50</v>
      </c>
      <c r="P16" s="53">
        <v>40</v>
      </c>
      <c r="Q16" s="53">
        <v>50</v>
      </c>
      <c r="S16" s="54"/>
    </row>
    <row r="17" spans="2:19" x14ac:dyDescent="0.5">
      <c r="E17" s="51"/>
      <c r="K17">
        <f>REPT("z",300)</f>
      </c>
      <c r="M17" s="52"/>
      <c r="N17" s="52"/>
      <c r="P17" s="53"/>
      <c r="Q17" s="53"/>
      <c r="S17" s="54"/>
    </row>
    <row r="18" spans="2:19" x14ac:dyDescent="0.5">
      <c r="B18" s="47" t="s">
        <v>3493</v>
      </c>
      <c r="E18" s="51"/>
      <c r="M18" s="52">
        <v>10</v>
      </c>
      <c r="N18" s="52">
        <v>20</v>
      </c>
      <c r="P18" s="53" cm="1">
        <f t="array" ref="P18:Q19">ad_to_cont("7000004:8000005",D7:F9)</f>
        <v>10</v>
      </c>
      <c r="Q18" s="53">
        <v>20</v>
      </c>
      <c r="S18" s="54" t="str" cm="1">
        <f t="array" ref="S18">IF(AND(M18:N19=P18:Q19),"PASS","FAIL")</f>
        <v>PASS</v>
      </c>
    </row>
    <row r="19" spans="2:19" x14ac:dyDescent="0.5">
      <c r="B19" s="47"/>
      <c r="E19" s="51"/>
      <c r="M19" s="52">
        <v>40</v>
      </c>
      <c r="N19" s="52">
        <v>50</v>
      </c>
      <c r="P19" s="53">
        <v>40</v>
      </c>
      <c r="Q19" s="53">
        <v>50</v>
      </c>
      <c r="S19" s="54"/>
    </row>
    <row r="20" spans="2:19" x14ac:dyDescent="0.5">
      <c r="E20" s="51"/>
      <c r="M20" s="52"/>
      <c r="N20" s="52"/>
      <c r="P20" s="53"/>
      <c r="Q20" s="53"/>
      <c r="S20" s="54"/>
    </row>
    <row r="21" spans="2:19" x14ac:dyDescent="0.5">
      <c r="B21" s="47" t="s">
        <v>2915</v>
      </c>
      <c r="E21" s="51"/>
      <c r="M21" s="52">
        <v>10</v>
      </c>
      <c r="N21" s="52"/>
      <c r="P21" s="53" cm="1">
        <f t="array" ref="P21:P22">ad_to_cont(K7:K8,D7:F9)</f>
        <v>10</v>
      </c>
      <c r="Q21" s="53"/>
      <c r="S21" s="54" t="str" cm="1">
        <f t="array" ref="S21">IF(AND(M21:M22=P21:P22),"PASS","FAIL")</f>
        <v>PASS</v>
      </c>
    </row>
    <row r="22" spans="2:19" x14ac:dyDescent="0.5">
      <c r="E22" s="51"/>
      <c r="M22" s="52">
        <v>90</v>
      </c>
      <c r="N22" s="52"/>
      <c r="P22" s="53">
        <v>90</v>
      </c>
      <c r="Q22" s="53"/>
      <c r="S22" s="54"/>
    </row>
    <row r="23" spans="2:19" x14ac:dyDescent="0.5">
      <c r="E23" s="51"/>
      <c r="M23" s="52"/>
      <c r="N23" s="52"/>
      <c r="P23" s="53"/>
      <c r="Q23" s="53"/>
      <c r="S23" s="54"/>
    </row>
    <row r="24" spans="2:19" x14ac:dyDescent="0.5">
      <c r="B24" s="47" t="inlineStr">
        <is>
          <t xml:space="preserve">out of bounds "Z99" -&gt; "oob"</t>
        </is>
      </c>
      <c r="E24" s="51"/>
      <c r="M24" s="52" t="inlineStr">
        <is>
          <t xml:space="preserve">oob</t>
        </is>
      </c>
      <c r="N24" s="52"/>
      <c r="P24" s="53" t="str" cm="1">
        <f t="array" ref="P24">ad_to_cont("Z99",D7:F9)</f>
        <v/>
      </c>
      <c r="Q24" s="53"/>
      <c r="S24" s="54" t="str">
        <f>IF(P24=M24,"PASS","FAIL")</f>
        <v>PASS</v>
      </c>
    </row>
    <row r="25" spans="2:19" x14ac:dyDescent="0.5">
      <c r="B25" s="47"/>
      <c r="E25" s="51"/>
      <c r="M25" s="52"/>
      <c r="N25" s="52"/>
      <c r="P25" s="53"/>
      <c r="Q25" s="53"/>
      <c r="S25" s="54"/>
    </row>
    <row r="26" spans="2:19" x14ac:dyDescent="0.5">
      <c r="B26" s="47" t="s">
        <v>3495</v>
      </c>
      <c r="E26" s="51"/>
      <c r="M26" s="52"/>
      <c r="N26" s="52"/>
      <c r="P26" s="53" t="str" cm="1">
        <f t="array" ref="P26">ad_to_cont("H7",H7:H8)</f>
        <v/>
      </c>
      <c r="Q26" s="53"/>
      <c r="S26" s="54" t="str">
        <f>IF(AND(P26="",NOT(P26=0)),"PASS","FAIL")</f>
        <v>PASS</v>
      </c>
    </row>
    <row r="27" spans="2:19" x14ac:dyDescent="0.5">
      <c r="E27" s="51"/>
      <c r="M27" s="52"/>
      <c r="N27" s="52"/>
      <c r="P27" s="53"/>
      <c r="Q27" s="53"/>
      <c r="S27" s="54"/>
    </row>
    <row r="28" spans="2:19" x14ac:dyDescent="0.5">
      <c r="B28" s="47" t="s">
        <v>3496</v>
      </c>
      <c r="E28" s="51"/>
      <c r="M28" s="52">
        <v>0</v>
      </c>
      <c r="N28" s="52"/>
      <c r="P28" s="53" cm="1">
        <f t="array" ref="P28">ad_to_cont("I7",I7)</f>
        <v>0</v>
      </c>
      <c r="Q28" s="53"/>
      <c r="S28" s="54" t="str">
        <f>IF(AND(P28=0,NOT(P28="")),"PASS","FAIL")</f>
        <v>PASS</v>
      </c>
    </row>
    <row r="29" spans="2:19" x14ac:dyDescent="0.5">
      <c r="B29" s="47"/>
      <c r="E29" s="51"/>
      <c r="M29" s="52"/>
      <c r="N29" s="52"/>
      <c r="P29" s="53"/>
      <c r="Q29" s="53"/>
      <c r="S29" s="54"/>
    </row>
    <row r="30" spans="2:19" x14ac:dyDescent="0.5">
      <c r="B30" s="47"/>
      <c r="E30" s="51"/>
      <c r="M30" s="52"/>
      <c r="N30" s="52"/>
      <c r="P30" s="53"/>
      <c r="Q30" s="53"/>
      <c r="S30" s="54"/>
    </row>
    <row r="31" spans="2:19" x14ac:dyDescent="0.5">
      <c r="B31" s="47" t="inlineStr">
        <is>
          <t xml:space="preserve">range no overlap "A1:B2" -&gt; "oob"</t>
        </is>
      </c>
      <c r="E31" s="51"/>
      <c r="M31" s="52" t="inlineStr">
        <is>
          <t xml:space="preserve">oob</t>
        </is>
      </c>
      <c r="N31" s="52"/>
      <c r="P31" s="53" cm="1">
        <f t="array" ref="P31">ad_to_cont("A1:B2",D7:F9)</f>
        <v>0</v>
      </c>
      <c r="Q31" s="53"/>
      <c r="S31" s="54">
        <f>IF(P31=M31,"PASS","FAIL")</f>
      </c>
    </row>
    <row r="32" spans="2:19" x14ac:dyDescent="0.5">
      <c r="B32" s="47"/>
      <c r="E32" s="51"/>
      <c r="M32" s="52"/>
      <c r="N32" s="52"/>
      <c r="P32" s="53"/>
      <c r="Q32" s="53"/>
      <c r="S32" s="54"/>
    </row>
    <row r="33" spans="2:19" x14ac:dyDescent="0.5">
      <c r="B33" s="47" t="inlineStr">
        <is>
          <t xml:space="preserve">addr array {D7;Z99} -&gt; {10;"oob"}</t>
        </is>
      </c>
      <c r="E33" s="51"/>
      <c r="M33" s="52">
        <v>10</v>
      </c>
      <c r="N33" s="52"/>
      <c r="P33" s="53" cm="1">
        <f t="array" ref="P33:P34">ad_to_cont(K11:K12,D7:F9)</f>
        <v>0</v>
      </c>
      <c r="Q33" s="53"/>
      <c r="S33" s="54" cm="1">
        <f t="array" ref="S33">IF(AND(M33:M34=P33:P34),"PASS","FAIL")</f>
        <v>0</v>
      </c>
    </row>
    <row r="34" spans="2:19" x14ac:dyDescent="0.5">
      <c r="B34" s="47"/>
      <c r="E34" s="51"/>
      <c r="M34" s="52" t="inlineStr">
        <is>
          <t xml:space="preserve">oob</t>
        </is>
      </c>
      <c r="N34" s="52"/>
      <c r="P34" s="53"/>
      <c r="Q34" s="53"/>
      <c r="S34" s="54"/>
    </row>
    <row r="35" spans="2:19" ht="21.5" customHeight="1" x14ac:dyDescent="0.5">
      <c r="B35" s="47" t="inlineStr">
        <is>
          <t xml:space="preserve">non-address "hello" -&gt; "inv"</t>
        </is>
      </c>
      <c r="M35" s="52" t="inlineStr">
        <is>
          <t xml:space="preserve">inv</t>
        </is>
      </c>
      <c r="P35" s="53" cm="1">
        <f t="array" ref="P35">ad_to_cont("hello",D7:F9)</f>
        <v>0</v>
      </c>
      <c r="S35" s="54">
        <f>IF(P35=M35,"PASS","FAIL")</f>
      </c>
    </row>
    <row r="37">
      <c r="B37" t="inlineStr">
        <is>
          <t xml:space="preserve">array w/ range elt {D7;D7:E8} -&gt; {10;"inv"}</t>
        </is>
      </c>
      <c r="M37" s="52">
        <v>10</v>
      </c>
      <c r="P37" s="53" cm="1">
        <f t="array" ref="P37:P38">ad_to_cont(K14:K15,D7:F9)</f>
        <v>0</v>
      </c>
      <c r="S37" s="54" cm="1">
        <f t="array" ref="S37">IF(AND(M37:M38=P37:P38),"PASS","FAIL")</f>
        <v>0</v>
      </c>
    </row>
    <row r="38" spans="2:19" x14ac:dyDescent="0.5">
      <c r="B38" s="47"/>
      <c r="M38" s="52" t="inlineStr">
        <is>
          <t xml:space="preserve">inv</t>
        </is>
      </c>
      <c r="N38" s="52"/>
      <c r="Q38" s="53"/>
    </row>
    <row r="39" spans="2:19" x14ac:dyDescent="0.5">
      <c r="B39" s="47" t="inlineStr">
        <is>
          <t xml:space="preserve">&gt;255-char value survives (IFERROR would blank it)</t>
        </is>
      </c>
      <c r="M39" s="52">
        <f>REPT("z",300)</f>
      </c>
      <c r="N39" s="52"/>
      <c r="P39" cm="1">
        <f t="array" ref="P39">ad_to_cont("K17",K17)</f>
        <v>0</v>
      </c>
      <c r="Q39" s="53"/>
      <c r="S39" cm="1">
        <f t="array" ref="S39">IF(AND(M39=P39),"PASS","FAIL")</f>
        <v>0</v>
      </c>
    </row>
    <row r="40" spans="2:19" x14ac:dyDescent="0.5">
      <c r="B40" s="47"/>
      <c r="M40" s="52"/>
      <c r="N40" s="52"/>
      <c r="Q40" s="53"/>
    </row>
    <row r="41" spans="2:19" x14ac:dyDescent="0.5">
      <c r="M41" s="52"/>
      <c r="N41" s="52"/>
      <c r="Q41" s="53"/>
    </row>
    <row r="42" spans="2:19" x14ac:dyDescent="0.5">
      <c r="B42" s="47"/>
      <c r="M42" s="52"/>
      <c r="N42" s="52"/>
      <c r="Q42" s="53"/>
    </row>
    <row r="43" spans="2:19" x14ac:dyDescent="0.5">
      <c r="M43" s="52"/>
      <c r="N43" s="52"/>
      <c r="Q43" s="53"/>
    </row>
    <row r="44" spans="2:19" x14ac:dyDescent="0.5">
      <c r="M44" s="52"/>
      <c r="N44" s="52"/>
      <c r="Q44" s="53"/>
    </row>
    <row r="45" spans="2:19" x14ac:dyDescent="0.5">
      <c r="M45" s="52"/>
      <c r="N45" s="52"/>
      <c r="Q45" s="53"/>
    </row>
    <row r="46" spans="2:19" x14ac:dyDescent="0.5">
      <c r="M46" s="52"/>
      <c r="N46" s="52"/>
      <c r="Q46" s="53"/>
    </row>
    <row r="47" spans="2:19" x14ac:dyDescent="0.5">
      <c r="M47" s="52"/>
      <c r="N47" s="52"/>
      <c r="Q47" s="53"/>
    </row>
    <row r="48" spans="2:19" x14ac:dyDescent="0.5">
      <c r="M48" s="52"/>
      <c r="N48" s="52"/>
      <c r="Q48" s="53"/>
    </row>
    <row r="49" spans="13:17" x14ac:dyDescent="0.5">
      <c r="M49" s="52"/>
      <c r="N49" s="52"/>
      <c r="Q49" s="53"/>
    </row>
    <row r="50" spans="13:17" x14ac:dyDescent="0.5">
      <c r="M50" s="52"/>
      <c r="N50" s="52"/>
      <c r="Q50" s="53"/>
    </row>
    <row r="51" spans="13:17" x14ac:dyDescent="0.5">
      <c r="M51" s="52"/>
      <c r="N51" s="52"/>
      <c r="Q51" s="53"/>
    </row>
    <row r="52" spans="13:17" x14ac:dyDescent="0.5">
      <c r="M52" s="52"/>
      <c r="N52" s="52"/>
      <c r="Q52" s="53"/>
    </row>
    <row r="53" spans="13:17" x14ac:dyDescent="0.5">
      <c r="M53" s="52"/>
      <c r="N53" s="52"/>
      <c r="Q53" s="53"/>
    </row>
    <row r="54" spans="13:17" x14ac:dyDescent="0.5">
      <c r="M54" s="52"/>
      <c r="N54" s="52"/>
      <c r="Q54" s="53"/>
    </row>
    <row r="55" spans="13:17" x14ac:dyDescent="0.5">
      <c r="M55" s="52"/>
      <c r="N55" s="52"/>
      <c r="Q55" s="53"/>
    </row>
    <row r="56" spans="13:17" x14ac:dyDescent="0.5">
      <c r="M56" s="52"/>
      <c r="N56" s="52"/>
      <c r="Q56" s="53"/>
    </row>
    <row r="57" spans="13:17" x14ac:dyDescent="0.5">
      <c r="M57" s="52"/>
      <c r="N57" s="52"/>
      <c r="Q57" s="53"/>
    </row>
    <row r="58" spans="13:17" x14ac:dyDescent="0.5">
      <c r="M58" s="52"/>
      <c r="N58" s="52"/>
      <c r="Q58" s="53"/>
    </row>
    <row r="59" spans="13:17" x14ac:dyDescent="0.5">
      <c r="M59" s="52"/>
      <c r="N59" s="52"/>
      <c r="Q59" s="53"/>
    </row>
    <row r="60" spans="13:17" x14ac:dyDescent="0.5">
      <c r="M60" s="52"/>
      <c r="N60" s="52"/>
      <c r="Q60" s="53"/>
    </row>
  </sheetData>
  <mergeCells count="3">
    <mergeCell ref="I1:R1"/>
    <mergeCell ref="B2:R2"/>
    <mergeCell ref="B1:F1"/>
  </mergeCell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09191E-7754-4237-BBF1-5F5488E75658}">
  <sheetPr codeName="Sheet127"/>
  <dimension ref="A1:S19"/>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ad_to_rc(ad, [as_row])</v>
      </c>
      <c r="C1" s="79"/>
      <c r="D1" s="79"/>
      <c r="E1" s="79"/>
      <c r="F1" s="80"/>
      <c r="H1" s="45" t="s">
        <v>2</v>
      </c>
      <c r="I1" s="78" t="str" cm="1">
        <f t="array" aca="1" ref="I1" ca="1">_xlfn.LET(_xlpm.fn, CELL("filename",$A$1), _xlpm.nm, MID(_xlpm.fn, FIND("]", _xlpm.fn) + 1, 255), _xlfn.XLOOKUP(_xlpm.nm &amp; "(*", Lamb!$A$2:$A$1000, Lamb!$D$2:$D$1000, "", 2))</f>
        <v>Split one cell address into its row and column numbers. The inverse of rc_to_ad.
The address is autodetected: pass a numeric address (3000004) or an A1 string ("D3"). Parsing is shared with the rest of the library via z_ad_box, so "$D$3", "Sheet1!D3" and lower case all work.
Single cells only. A range (of either type), a multi-cell array, or any value that is not a valid single address returns #VALUE! - z_ad_box gives a box whose top = bottom and left = right exactly when the input is a single cell, and that is what this checks.
Arguments:
  ad       - a single cell address, numeric or A1 string.
  [as_row] - 0 (default) returns a 2-row vertical array; 1 returns a 2-column horizontal array.
Returns:
  The row and column as two numbers, in that order - vertical by default, horizontal when as_row = 1. #VALUE! for a range, an array, or a non-address.
Example:
  ad_to_rc("D3")      -&gt;  {3; 4}
  ad_to_rc(3000004)   -&gt;  {3; 4}
  ad_to_rc("D3", 1)   -&gt;  {3, 4}
  ad_to_rc("A1:B4")   -&gt;  #VALUE!
  ad_to_rc("hi")      -&gt;  #VALUE!</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=LAMBDA(ad, [as_row],
  LET(
    wide, IF(ISOMITTED(as_row), 0, as_row),
    single, ROWS(ad) * COLUMNS(ad) = 1,
    box, IFERROR(z_ad_box(ad), 0),
    ok, IFERROR(AND(single, COUNT(box) = 4, INDEX(box, 1) = INDEX(box, 3), INDEX(box, 2) = INDEX(box, 4)), FALSE),
    IF(NOT(ok), #VALUE!,
       IF(wide, HSTACK(INDEX(box, 1), INDEX(box, 2)),
                VSTACK(INDEX(box, 1), INDEX(box, 2))))
  )
)</v>
      </c>
      <c r="C2" s="82"/>
      <c r="D2" s="82"/>
      <c r="E2" s="82"/>
      <c r="F2" s="82"/>
      <c r="G2" s="82"/>
      <c r="H2" s="82"/>
      <c r="I2" s="82"/>
      <c r="J2" s="82"/>
      <c r="K2" s="82"/>
      <c r="L2" s="82"/>
      <c r="M2" s="82"/>
      <c r="N2" s="82"/>
      <c r="O2" s="82"/>
      <c r="P2" s="82"/>
      <c r="Q2" s="82"/>
      <c r="R2" s="82"/>
    </row>
    <row r="4" spans="1:19" x14ac:dyDescent="0.5">
      <c r="A4" s="45" t="s">
        <v>3497</v>
      </c>
      <c r="J4" s="45" t="str">
        <f>COUNTIF(J6:J20,"PASS")&amp;" / 7 PASS"</f>
        <v>7 / 7 PASS</v>
      </c>
    </row>
    <row r="5" spans="1:19" x14ac:dyDescent="0.5">
      <c r="A5" s="45" t="s">
        <v>7</v>
      </c>
      <c r="B5" s="45" t="s">
        <v>8</v>
      </c>
      <c r="D5" s="45" t="s">
        <v>9</v>
      </c>
      <c r="F5" s="48" t="s">
        <v>10</v>
      </c>
      <c r="H5" s="49" t="s">
        <v>11</v>
      </c>
      <c r="J5" s="50" t="s">
        <v>12</v>
      </c>
    </row>
    <row r="6" spans="1:19" x14ac:dyDescent="0.5">
      <c r="A6" s="46">
        <v>1</v>
      </c>
      <c r="B6" s="47" t="s">
        <v>3457</v>
      </c>
      <c r="D6" s="51" t="s">
        <v>3057</v>
      </c>
      <c r="F6" s="52">
        <v>3</v>
      </c>
      <c r="G6" s="52"/>
      <c r="H6" s="53" cm="1">
        <f t="array" ref="H6:H7">ad_to_rc(D6)</f>
        <v>3</v>
      </c>
      <c r="I6" s="53"/>
      <c r="J6" s="54" t="str" cm="1">
        <f t="array" ref="J6">IF(AND(F6:F7=H6:H7),"PASS","FAIL")</f>
        <v>PASS</v>
      </c>
    </row>
    <row r="7" spans="1:19" x14ac:dyDescent="0.5">
      <c r="B7" s="47"/>
      <c r="D7" s="51"/>
      <c r="F7" s="52">
        <v>4</v>
      </c>
      <c r="G7" s="52"/>
      <c r="H7" s="53">
        <v>4</v>
      </c>
      <c r="I7" s="53"/>
      <c r="J7" s="54"/>
    </row>
    <row r="8" spans="1:19" x14ac:dyDescent="0.5">
      <c r="A8" s="46">
        <v>2</v>
      </c>
      <c r="B8" s="47" t="s">
        <v>3458</v>
      </c>
      <c r="D8" s="51">
        <v>3000004</v>
      </c>
      <c r="F8" s="52">
        <v>3</v>
      </c>
      <c r="G8" s="52"/>
      <c r="H8" s="53" cm="1">
        <f t="array" ref="H8:H9">ad_to_rc(D8)</f>
        <v>3</v>
      </c>
      <c r="I8" s="53"/>
      <c r="J8" s="54" t="str" cm="1">
        <f t="array" ref="J8">IF(AND(F8:F9=H8:H9),"PASS","FAIL")</f>
        <v>PASS</v>
      </c>
    </row>
    <row r="9" spans="1:19" x14ac:dyDescent="0.5">
      <c r="B9" s="47"/>
      <c r="D9" s="51"/>
      <c r="F9" s="52">
        <v>4</v>
      </c>
      <c r="G9" s="52"/>
      <c r="H9" s="53">
        <v>4</v>
      </c>
      <c r="I9" s="53"/>
      <c r="J9" s="54"/>
    </row>
    <row r="10" spans="1:19" x14ac:dyDescent="0.5">
      <c r="A10" s="46">
        <v>3</v>
      </c>
      <c r="B10" s="47" t="s">
        <v>3459</v>
      </c>
      <c r="D10" s="51" t="s">
        <v>3460</v>
      </c>
      <c r="F10" s="52">
        <v>3</v>
      </c>
      <c r="G10" s="52"/>
      <c r="H10" s="53" cm="1">
        <f t="array" ref="H10:H11">ad_to_rc(D10)</f>
        <v>3</v>
      </c>
      <c r="I10" s="53"/>
      <c r="J10" s="54" t="str" cm="1">
        <f t="array" ref="J10">IF(AND(F10:F11=H10:H11),"PASS","FAIL")</f>
        <v>PASS</v>
      </c>
    </row>
    <row r="11" spans="1:19" x14ac:dyDescent="0.5">
      <c r="B11" s="47"/>
      <c r="D11" s="51"/>
      <c r="F11" s="52">
        <v>4</v>
      </c>
      <c r="G11" s="52"/>
      <c r="H11" s="53">
        <v>4</v>
      </c>
      <c r="I11" s="53"/>
      <c r="J11" s="54"/>
    </row>
    <row r="12" spans="1:19" x14ac:dyDescent="0.5">
      <c r="A12" s="46">
        <v>4</v>
      </c>
      <c r="B12" s="47" t="s">
        <v>3461</v>
      </c>
      <c r="D12" s="51" t="s">
        <v>3057</v>
      </c>
      <c r="E12">
        <v>1</v>
      </c>
      <c r="F12" s="52">
        <v>3</v>
      </c>
      <c r="G12" s="52">
        <v>4</v>
      </c>
      <c r="H12" s="53" cm="1">
        <f t="array" ref="H12:I12">ad_to_rc(D12,E12)</f>
        <v>3</v>
      </c>
      <c r="I12" s="53">
        <v>4</v>
      </c>
      <c r="J12" s="54" t="str" cm="1">
        <f t="array" ref="J12">IF(AND(F12:G12=H12:I12),"PASS","FAIL")</f>
        <v>PASS</v>
      </c>
    </row>
    <row r="13" spans="1:19" x14ac:dyDescent="0.5">
      <c r="B13" s="47"/>
      <c r="D13" s="51"/>
      <c r="F13" s="52"/>
      <c r="G13" s="52"/>
      <c r="H13" s="53"/>
      <c r="I13" s="53"/>
      <c r="J13" s="54"/>
    </row>
    <row r="14" spans="1:19" x14ac:dyDescent="0.5">
      <c r="A14" s="46">
        <v>5</v>
      </c>
      <c r="B14" s="47" t="s">
        <v>3462</v>
      </c>
      <c r="D14" s="51" t="s">
        <v>3063</v>
      </c>
      <c r="F14" s="52">
        <v>3</v>
      </c>
      <c r="G14" s="52"/>
      <c r="H14" s="53" cm="1">
        <f t="array" ref="H14">ERROR.TYPE(ad_to_rc(D14))</f>
        <v>3</v>
      </c>
      <c r="I14" s="53"/>
      <c r="J14" s="54" t="str">
        <f>IF(H14=F14,"PASS","FAIL")</f>
        <v>PASS</v>
      </c>
    </row>
    <row r="15" spans="1:19" x14ac:dyDescent="0.5">
      <c r="B15" s="47"/>
      <c r="D15" s="51"/>
      <c r="F15" s="52"/>
      <c r="G15" s="52"/>
      <c r="H15" s="53"/>
      <c r="I15" s="53"/>
      <c r="J15" s="54"/>
    </row>
    <row r="16" spans="1:19" x14ac:dyDescent="0.5">
      <c r="A16" s="46">
        <v>6</v>
      </c>
      <c r="B16" s="47" t="s">
        <v>3463</v>
      </c>
      <c r="D16" s="51">
        <v>4</v>
      </c>
      <c r="F16" s="52">
        <v>3</v>
      </c>
      <c r="G16" s="52"/>
      <c r="H16" s="53" cm="1">
        <f t="array" ref="H16">ERROR.TYPE(ad_to_rc(D16))</f>
        <v>3</v>
      </c>
      <c r="I16" s="53"/>
      <c r="J16" s="54" t="str">
        <f>IF(H16=F16,"PASS","FAIL")</f>
        <v>PASS</v>
      </c>
    </row>
    <row r="17" spans="1:10" x14ac:dyDescent="0.5">
      <c r="A17" s="55"/>
      <c r="B17" s="47"/>
      <c r="D17" s="51"/>
      <c r="F17" s="52"/>
      <c r="G17" s="52"/>
      <c r="H17" s="53"/>
      <c r="I17" s="53"/>
      <c r="J17" s="54"/>
    </row>
    <row r="18" spans="1:10" x14ac:dyDescent="0.5">
      <c r="A18">
        <v>7</v>
      </c>
      <c r="B18" s="47" t="s">
        <v>3464</v>
      </c>
      <c r="D18" s="51" t="s">
        <v>3465</v>
      </c>
      <c r="F18" s="52">
        <v>1048576</v>
      </c>
      <c r="G18" s="52"/>
      <c r="H18" s="53" cm="1">
        <f t="array" ref="H18:H19">ad_to_rc(D18)</f>
        <v>1048576</v>
      </c>
      <c r="I18" s="53"/>
      <c r="J18" s="54" t="str" cm="1">
        <f t="array" ref="J18">IF(AND(F18:F19=H18:H19),"PASS","FAIL")</f>
        <v>PASS</v>
      </c>
    </row>
    <row r="19" spans="1:10" x14ac:dyDescent="0.5">
      <c r="B19" s="47"/>
      <c r="D19" s="51"/>
      <c r="F19" s="52">
        <v>16384</v>
      </c>
      <c r="G19" s="52"/>
      <c r="H19" s="53">
        <v>16384</v>
      </c>
      <c r="I19" s="53"/>
      <c r="J19" s="54"/>
    </row>
  </sheetData>
  <mergeCells count="3">
    <mergeCell ref="B1:F1"/>
    <mergeCell ref="I1:R1"/>
    <mergeCell ref="B2:R2"/>
  </mergeCell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DC1EE-2E4A-4EA3-93BB-7BCA9F9EED7F}">
  <sheetPr codeName="Sheet54"/>
  <dimension ref="A1:S18"/>
  <sheetViews>
    <sheetView zoomScale="85" zoomScaleNormal="85" workbookViewId="0">
      <selection activeCell="D3" sqref="D3"/>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arrow(str)</v>
      </c>
      <c r="C1" s="79"/>
      <c r="D1" s="79"/>
      <c r="E1" s="79"/>
      <c r="F1" s="80"/>
      <c r="H1" s="45" t="s">
        <v>2</v>
      </c>
      <c r="I1" s="78" t="str" cm="1">
        <f t="array" aca="1" ref="I1" ca="1">_xlfn.LET(_xlpm.fn, CELL("filename",$A$1), _xlpm.nm, MID(_xlpm.fn, FIND("]", _xlpm.fn) + 1, 255), _xlfn.XLOOKUP(_xlpm.nm &amp; "(*", Lamb!$A$2:$A$1000, Lamb!$D$2:$D$1000, "", 2))</f>
        <v>Converts a direction keyword or symbol into the standard arrow character.
Arguments:
  str - direction as text: a letter code ("U", "DL"), a compass point ("NE"), or a non-standard arrow glyph (⇧, 🖢, ➶).
Returns:
  The matching standard arrow, one of: ↑ ↓ ← → ↖ ↗ ↙ ↘ ↺ ↻ ↕ ↔ ⤡ ⤢. Returns "" if str is not found in the table.
Notes:
  Exact lookup against the Prep!V13:ALY14 table; used to normalise direction inputs for the other grid lambdas. The IFNA wrapper turns an unmatched lookup into "" instead of #N/A.</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=LAMBDA(str, IFNA(XLOOKUP(TRUE, EXACT(str, Prep!$V$13:$ALY$13), Prep!$V$14:$ALY$14), ""))</v>
      </c>
      <c r="C2" s="82"/>
      <c r="D2" s="82"/>
      <c r="E2" s="82"/>
      <c r="F2" s="82"/>
      <c r="G2" s="82"/>
      <c r="H2" s="82"/>
      <c r="I2" s="82"/>
      <c r="J2" s="82"/>
      <c r="K2" s="82"/>
      <c r="L2" s="82"/>
      <c r="M2" s="82"/>
      <c r="N2" s="82"/>
      <c r="O2" s="82"/>
      <c r="P2" s="82"/>
      <c r="Q2" s="82"/>
      <c r="R2" s="82"/>
    </row>
    <row r="4" spans="1:19" x14ac:dyDescent="0.5">
      <c r="A4" s="45" t="s">
        <v>2916</v>
      </c>
      <c r="J4" s="45" t="str">
        <f>COUNTIF(J6:J18,"PASS")&amp;" / 7 PASS"</f>
        <v>7 / 7 PASS</v>
      </c>
    </row>
    <row r="5" spans="1:19" x14ac:dyDescent="0.5">
      <c r="A5" s="45" t="s">
        <v>7</v>
      </c>
      <c r="B5" s="45" t="s">
        <v>8</v>
      </c>
      <c r="D5" s="45" t="s">
        <v>9</v>
      </c>
      <c r="F5" s="48" t="s">
        <v>10</v>
      </c>
      <c r="H5" s="49" t="s">
        <v>11</v>
      </c>
      <c r="J5" s="50" t="s">
        <v>12</v>
      </c>
    </row>
    <row r="6" spans="1:19" x14ac:dyDescent="0.5">
      <c r="A6" s="46">
        <v>1</v>
      </c>
      <c r="B6" s="47" t="s">
        <v>2917</v>
      </c>
      <c r="D6" s="51" t="s">
        <v>159</v>
      </c>
      <c r="F6" s="52" t="s">
        <v>160</v>
      </c>
      <c r="H6" s="53" t="str" cm="1">
        <f t="array" ref="H6">arrow(D6)</f>
        <v>↑</v>
      </c>
      <c r="J6" s="54" t="str">
        <f>IF(H6=F6,"PASS","FAIL")</f>
        <v>PASS</v>
      </c>
    </row>
    <row r="8" spans="1:19" x14ac:dyDescent="0.5">
      <c r="A8" s="46">
        <v>2</v>
      </c>
      <c r="B8" s="47" t="s">
        <v>2918</v>
      </c>
      <c r="D8" s="51" t="s">
        <v>437</v>
      </c>
      <c r="F8" s="52" t="s">
        <v>434</v>
      </c>
      <c r="H8" s="53" t="str" cm="1">
        <f t="array" ref="H8">arrow(D8)</f>
        <v>↙</v>
      </c>
      <c r="J8" s="54" t="str">
        <f>IF(H8=F8,"PASS","FAIL")</f>
        <v>PASS</v>
      </c>
    </row>
    <row r="10" spans="1:19" x14ac:dyDescent="0.5">
      <c r="A10" s="46">
        <v>3</v>
      </c>
      <c r="B10" s="47" t="s">
        <v>2919</v>
      </c>
      <c r="D10" s="51" t="s">
        <v>259</v>
      </c>
      <c r="F10" s="52" t="s">
        <v>254</v>
      </c>
      <c r="H10" s="53" t="str" cm="1">
        <f t="array" ref="H10">arrow(D10)</f>
        <v>↗</v>
      </c>
      <c r="J10" s="54" t="str">
        <f>IF(H10=F10,"PASS","FAIL")</f>
        <v>PASS</v>
      </c>
    </row>
    <row r="12" spans="1:19" x14ac:dyDescent="0.5">
      <c r="A12" s="46">
        <v>4</v>
      </c>
      <c r="B12" s="47" t="s">
        <v>2920</v>
      </c>
      <c r="D12" s="51" t="s">
        <v>241</v>
      </c>
      <c r="F12" s="52" t="s">
        <v>160</v>
      </c>
      <c r="H12" s="53" t="str" cm="1">
        <f t="array" ref="H12">arrow(D12)</f>
        <v>↑</v>
      </c>
      <c r="J12" s="54" t="str">
        <f>IF(H12=F12,"PASS","FAIL")</f>
        <v>PASS</v>
      </c>
    </row>
    <row r="14" spans="1:19" x14ac:dyDescent="0.5">
      <c r="A14" s="46">
        <v>5</v>
      </c>
      <c r="B14" s="47" t="s">
        <v>2921</v>
      </c>
      <c r="D14" s="51" t="s">
        <v>232</v>
      </c>
      <c r="F14" s="52" t="s">
        <v>160</v>
      </c>
      <c r="H14" s="53" t="str" cm="1">
        <f t="array" ref="H14">arrow(D14)</f>
        <v>↑</v>
      </c>
      <c r="J14" s="54" t="str">
        <f>IF(H14=F14,"PASS","FAIL")</f>
        <v>PASS</v>
      </c>
    </row>
    <row r="16" spans="1:19" x14ac:dyDescent="0.5">
      <c r="A16" s="46">
        <v>6</v>
      </c>
      <c r="B16" s="47" t="s">
        <v>2922</v>
      </c>
      <c r="D16" s="51" t="s">
        <v>249</v>
      </c>
      <c r="F16" s="52" t="s">
        <v>160</v>
      </c>
      <c r="H16" s="53" t="str" cm="1">
        <f t="array" ref="H16">arrow(D16)</f>
        <v>↑</v>
      </c>
      <c r="J16" s="54" t="str">
        <f>IF(H16=F16,"PASS","FAIL")</f>
        <v>PASS</v>
      </c>
    </row>
    <row r="18" spans="1:10" x14ac:dyDescent="0.5">
      <c r="A18" s="46">
        <v>7</v>
      </c>
      <c r="B18" s="47" t="s">
        <v>3274</v>
      </c>
      <c r="D18" s="51" t="s">
        <v>3275</v>
      </c>
      <c r="F18" s="52" t="str">
        <f>""</f>
        <v/>
      </c>
      <c r="H18" s="53" t="str" cm="1">
        <f t="array" ref="H18">arrow(D18)</f>
        <v/>
      </c>
      <c r="J18" s="54" t="str">
        <f>IF(H18=F18,"PASS","FAIL")</f>
        <v>PASS</v>
      </c>
    </row>
  </sheetData>
  <mergeCells count="3">
    <mergeCell ref="I1:R1"/>
    <mergeCell ref="B2:R2"/>
    <mergeCell ref="B1:F1"/>
  </mergeCell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9F2CA3-888E-4BBB-9FD2-4E8041410071}">
  <sheetPr codeName="Sheet55"/>
  <dimension ref="A1:S20"/>
  <sheetViews>
    <sheetView workbookViewId="0">
      <selection activeCell="S1" sqref="S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9" customWidth="1"/>
  </cols>
  <sheetData>
    <row r="1" spans="1:19" ht="294" customHeight="1" x14ac:dyDescent="0.5">
      <c r="A1" s="45" t="s">
        <v>0</v>
      </c>
      <c r="B1" s="83" t="str" cm="1">
        <f t="array" aca="1" ref="B1" ca="1">_xlfn.LET(_xlpm.fn, CELL("filename",$A$1), _xlpm.nm, MID(_xlpm.fn, FIND("]", _xlpm.fn) + 1, 255), _xlfn.XLOOKUP(_xlpm.nm &amp; "(*", Lamb!$A$2:$A$1000, Lamb!$A$2:$A$1000, "", 2))</f>
        <v>arrow_move(start_ad, arrow, [steps], [board_rng], [push_mode])</v>
      </c>
      <c r="C1" s="79"/>
      <c r="D1" s="79"/>
      <c r="E1" s="79"/>
      <c r="F1" s="80"/>
      <c r="H1" s="45" t="s">
        <v>2</v>
      </c>
      <c r="I1" s="78" t="str" cm="1">
        <f t="array" aca="1" ref="I1" ca="1">_xlfn.LET(_xlpm.fn, CELL("filename",$A$1), _xlpm.nm, MID(_xlpm.fn, FIND("]", _xlpm.fn) + 1, 255), _xlfn.XLOOKUP(_xlpm.nm &amp; "(*", Lamb!$A$2:$A$1000, Lamb!$D$2:$D$1000, "", 2))</f>
        <v>Moves an address a number of steps in an arrow direction, constrained to a board. Computes in numeric-address space and RETURNS A NUMERIC address (use str_ad for the final A1 answer).
Arguments:
  start_ad    - starting cell as a numeric address or an A1 string (coerced with num_ad).
  arrow       - direction as a standard arrow (↑↓←→↖↗↙↘), its numeric equivalent (1, -1000000, ...), or a letter code (U D L R UL UR DL DR).
  [steps]     - number of steps (default 1).
  [board_rng] - bounding range (default whole sheet).
  [push_mode] - out-of-bounds behavior: 1 = stop at edge (default), 0 = stay at start, -1 = return "oob".
Returns:
  The destination as a numeric address (or "oob" under push_mode -1).
Example:
  arrow_move("A1", "→", 3) -&gt; 1000004   (str_ad -&gt; "D1")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=LAMBDA(start_ad, arrow, [steps], [board_rng], [push_mode],
  LET(
    step_n, IF(ISOMITTED(steps), 1, steps),
    mode, IF(ISOMITTED(push_mode), 1, push_mode),
    start_num, num_ad(start_ad),
    start_row, INT(start_num / 1000000),
    start_col, MOD(start_num, 1000000),
    arr_norm, z_dir_to_arrow(arrow),
    d_row, SWITCH(arr_norm, "←", 0, "↖", -1, "↗", -1, "→", 0, "↙", 1, "↓", 1, "↘", 1, "↑", -1),
    d_col, SWITCH(arr_norm, "←", -1, "↖", -1, "↗", 1, "→", 1, "↙", -1, "↓", 0, "↘", 1, "↑", 0),
    row_min, IF(ISOMITTED(board_rng), 1, MIN(ROW(board_rng))),
    row_max, IF(ISOMITTED(board_rng), 1048576, MAX(ROW(board_rng))),
    col_min, IF(ISOMITTED(board_rng), 1, MIN(COLUMN(board_rng))),
    col_max, IF(ISOMITTED(board_rng), 16384, MAX(COLUMN(board_rng))),
    try_row, start_row + d_row * step_n,
    try_col, start_col + d_col * step_n,
    push_row, MIN(MAX(try_row, row_min), row_max),
    push_col, MIN(MAX(try_col, col_min), col_max),
    oob, OR(try_row &lt;&gt; push_row, try_col &lt;&gt; push_col),
    IF(oob,
      SWITCH(mode,
        1, 1000000 * push_row + push_col,
        0, 1000000 * start_row + start_col,
        -1, "oob",
        1000000 * push_row + push_col),
      1000000 * try_row + try_col)
  )
)</v>
      </c>
      <c r="C2" s="82"/>
      <c r="D2" s="82"/>
      <c r="E2" s="82"/>
      <c r="F2" s="82"/>
      <c r="G2" s="82"/>
      <c r="H2" s="82"/>
      <c r="I2" s="82"/>
      <c r="J2" s="82"/>
      <c r="K2" s="82"/>
      <c r="L2" s="82"/>
      <c r="M2" s="82"/>
      <c r="N2" s="82"/>
      <c r="O2" s="82"/>
      <c r="P2" s="82"/>
      <c r="Q2" s="82"/>
      <c r="R2" s="82"/>
    </row>
    <row r="4" spans="1:19" x14ac:dyDescent="0.5">
      <c r="A4" s="45" t="inlineStr">
        <is>
          <t xml:space="preserve">arrow_move(start_ad,arrow,[steps],[board_rng],[push_mode]) - returns NUMERIC address. push_mode: 0 report "oob;&lt;row&gt;;&lt;col&gt;" with intended coords (default), 1 stop-at-edge, -1 stay-at-start</t>
        </is>
      </c>
      <c r="P4" s="45">
        <f>COUNTIF(P6:P60,"PASS")&amp;" / 10 PASS"</f>
      </c>
    </row>
    <row r="5" spans="1:19" x14ac:dyDescent="0.5">
      <c r="A5" s="45" t="s">
        <v>7</v>
      </c>
      <c r="B5" s="45" t="s">
        <v>8</v>
      </c>
      <c r="D5" s="45" t="s">
        <v>9</v>
      </c>
      <c r="L5" s="48" t="s">
        <v>10</v>
      </c>
      <c r="N5" s="49" t="s">
        <v>11</v>
      </c>
      <c r="P5" s="50" t="s">
        <v>12</v>
      </c>
    </row>
    <row r="6" spans="1:19" x14ac:dyDescent="0.5">
      <c r="A6" s="46">
        <v>1</v>
      </c>
      <c r="B6" s="47" t="s">
        <v>2924</v>
      </c>
      <c r="D6" s="51" t="s">
        <v>2925</v>
      </c>
      <c r="F6" s="51" t="s">
        <v>192</v>
      </c>
      <c r="H6" s="51">
        <v>3</v>
      </c>
      <c r="L6" s="52">
        <v>1000004</v>
      </c>
      <c r="N6" s="53" cm="1">
        <f t="array" ref="N6">arrow_move(D6,F6,H6)</f>
        <v>1000004</v>
      </c>
      <c r="P6" s="54" t="str">
        <f>IF(N6=L6,"PASS","FAIL")</f>
        <v>PASS</v>
      </c>
    </row>
    <row r="8" spans="1:19" x14ac:dyDescent="0.5">
      <c r="A8" s="46">
        <v>2</v>
      </c>
      <c r="B8" s="47" t="s">
        <v>2926</v>
      </c>
      <c r="D8" s="51" t="s">
        <v>2925</v>
      </c>
      <c r="F8" s="51" t="s">
        <v>181</v>
      </c>
      <c r="H8" s="51">
        <v>2</v>
      </c>
      <c r="L8" s="52">
        <v>3000001</v>
      </c>
      <c r="N8" s="53" cm="1">
        <f t="array" ref="N8">arrow_move(D8,F8,H8)</f>
        <v>3000001</v>
      </c>
      <c r="P8" s="54" t="str">
        <f>IF(N8=L8,"PASS","FAIL")</f>
        <v>PASS</v>
      </c>
    </row>
    <row r="10" spans="1:19" x14ac:dyDescent="0.5">
      <c r="A10" s="46">
        <v>3</v>
      </c>
      <c r="B10" s="47" t="s">
        <v>2927</v>
      </c>
      <c r="D10" s="51" t="s">
        <v>2928</v>
      </c>
      <c r="F10" s="51" t="s">
        <v>160</v>
      </c>
      <c r="H10" s="51">
        <v>5</v>
      </c>
      <c r="J10">
        <v>1</v>
      </c>
      <c r="L10" s="52">
        <v>1000001</v>
      </c>
      <c r="N10" s="53" cm="1">
        <f t="array" ref="N10">arrow_move(D10,F10,H10,,J10)</f>
        <v>0</v>
      </c>
      <c r="P10" s="54" t="str">
        <f>IF(N10=L10,"PASS","FAIL")</f>
        <v>PASS</v>
      </c>
    </row>
    <row r="12" spans="1:19" x14ac:dyDescent="0.5">
      <c r="A12" s="46">
        <v>4</v>
      </c>
      <c r="B12" s="47" t="inlineStr">
        <is>
          <t xml:space="preserve">A3 up 5, push=0 -&gt; oob;-2;1</t>
        </is>
      </c>
      <c r="D12" s="51" t="s">
        <v>2928</v>
      </c>
      <c r="F12" s="51" t="s">
        <v>160</v>
      </c>
      <c r="H12" s="51">
        <v>5</v>
      </c>
      <c r="J12" s="51">
        <v>0</v>
      </c>
      <c r="L12" s="52" t="inlineStr">
        <is>
          <t xml:space="preserve">oob;-2;1</t>
        </is>
      </c>
      <c r="N12" s="53" cm="1">
        <f t="array" ref="N12">arrow_move(D12,F12,H12,,J12)</f>
        <v>3000001</v>
      </c>
      <c r="P12" s="54" t="str">
        <f>IF(N12=L12,"PASS","FAIL")</f>
        <v>PASS</v>
      </c>
    </row>
    <row r="14" spans="1:19" x14ac:dyDescent="0.5">
      <c r="A14" s="46">
        <v>5</v>
      </c>
      <c r="B14" s="47" t="inlineStr">
        <is>
          <t xml:space="preserve">A3 up 5, push=-1 stay@start</t>
        </is>
      </c>
      <c r="D14" s="51" t="s">
        <v>2928</v>
      </c>
      <c r="F14" s="51" t="s">
        <v>160</v>
      </c>
      <c r="H14" s="51">
        <v>5</v>
      </c>
      <c r="J14" s="51">
        <v>-1</v>
      </c>
      <c r="L14" s="52">
        <v>3000001</v>
      </c>
      <c r="N14" s="53" t="str" cm="1">
        <f t="array" ref="N14">arrow_move(D14,F14,H14,,J14)</f>
        <v>oob</v>
      </c>
      <c r="P14" s="54" t="str">
        <f>IF(N14=L14,"PASS","FAIL")</f>
        <v>PASS</v>
      </c>
    </row>
    <row r="16" spans="1:19" x14ac:dyDescent="0.5">
      <c r="A16" s="46">
        <v>6</v>
      </c>
      <c r="B16" s="47" t="s">
        <v>3599</v>
      </c>
      <c r="D16" s="51" t="s">
        <v>2925</v>
      </c>
      <c r="F16" s="51">
        <v>1</v>
      </c>
      <c r="H16" s="51">
        <v>3</v>
      </c>
      <c r="L16" s="52">
        <v>1000004</v>
      </c>
      <c r="N16" s="53" cm="1">
        <f t="array" ref="N16">arrow_move(D16,F16,H16)</f>
        <v>1000004</v>
      </c>
      <c r="P16" s="54" t="str">
        <f>IF(N16=L16,"PASS","FAIL")</f>
        <v>PASS</v>
      </c>
    </row>
    <row r="18" spans="1:16" x14ac:dyDescent="0.5">
      <c r="A18" s="46">
        <v>7</v>
      </c>
      <c r="B18" s="47" t="s">
        <v>3600</v>
      </c>
      <c r="D18" s="51" t="s">
        <v>2925</v>
      </c>
      <c r="F18" s="51">
        <v>1000000</v>
      </c>
      <c r="H18" s="51">
        <v>2</v>
      </c>
      <c r="L18" s="52">
        <v>3000001</v>
      </c>
      <c r="N18" s="53" cm="1">
        <f t="array" ref="N18">arrow_move(D18,F18,H18)</f>
        <v>3000001</v>
      </c>
      <c r="P18" s="54" t="str">
        <f>IF(N18=L18,"PASS","FAIL")</f>
        <v>PASS</v>
      </c>
    </row>
    <row r="20" spans="1:16" x14ac:dyDescent="0.5">
      <c r="A20" s="46">
        <v>8</v>
      </c>
      <c r="B20" s="47" t="s">
        <v>3601</v>
      </c>
      <c r="D20" s="51" t="s">
        <v>2925</v>
      </c>
      <c r="F20" s="51" t="s">
        <v>191</v>
      </c>
      <c r="H20" s="51">
        <v>3</v>
      </c>
      <c r="L20" s="52">
        <v>1000004</v>
      </c>
      <c r="N20" s="53" cm="1">
        <f t="array" ref="N20">arrow_move(D20,F20,H20)</f>
        <v>1000004</v>
      </c>
      <c r="P20" s="54" t="str">
        <f>IF(N20=L20,"PASS","FAIL")</f>
        <v>PASS</v>
      </c>
    </row>
    <row r="22">
      <c r="A22">
        <v>9</v>
      </c>
      <c r="B22" s="47" t="inlineStr">
        <is>
          <t xml:space="preserve">B1 UL 2 (default -&gt; oob)</t>
        </is>
      </c>
      <c r="D22" s="51" t="inlineStr">
        <is>
          <t xml:space="preserve">B1</t>
        </is>
      </c>
      <c r="F22" s="51" t="inlineStr">
        <is>
          <t xml:space="preserve">UL</t>
        </is>
      </c>
      <c r="H22" s="51">
        <v>2</v>
      </c>
      <c r="L22" s="52" t="inlineStr">
        <is>
          <t xml:space="preserve">oob;-1;0</t>
        </is>
      </c>
      <c r="N22" s="53" cm="1">
        <f t="array" ref="N22">arrow_move(D22,F22,H22)</f>
        <v>0</v>
      </c>
      <c r="P22" s="54">
        <f>IF(N22=L22,"PASS","FAIL")</f>
      </c>
    </row>
    <row r="24">
      <c r="A24">
        <v>10</v>
      </c>
      <c r="B24" s="47" t="inlineStr">
        <is>
          <t xml:space="preserve">B2 up 5 in A1:D4 board (default oob)</t>
        </is>
      </c>
      <c r="D24" s="51" t="inlineStr">
        <is>
          <t xml:space="preserve">B2</t>
        </is>
      </c>
      <c r="F24" s="51" t="inlineStr">
        <is>
          <t xml:space="preserve">U</t>
        </is>
      </c>
      <c r="H24" s="51">
        <v>5</v>
      </c>
      <c r="L24" s="52" t="inlineStr">
        <is>
          <t xml:space="preserve">oob;-3;2</t>
        </is>
      </c>
      <c r="N24" s="53" cm="1">
        <f t="array" ref="N24">arrow_move(D24,F24,H24,A1:D4)</f>
        <v>0</v>
      </c>
      <c r="P24" s="54">
        <f>IF(N24=L24,"PASS","FAIL")</f>
      </c>
    </row>
  </sheetData>
  <mergeCells count="3">
    <mergeCell ref="I1:R1"/>
    <mergeCell ref="B2:R2"/>
    <mergeCell ref="B1:F1"/>
  </mergeCell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3AE070-87FC-472F-A8AD-D61E8E332925}">
  <sheetPr codeName="Sheet56"/>
  <dimension ref="A1:S39"/>
  <sheetViews>
    <sheetView topLeftCell="A2" workbookViewId="0">
      <selection activeCell="I1" sqref="I1:R1"/>
    </sheetView>
  </sheetViews>
  <sheetFormatPr defaultRowHeight="21" x14ac:dyDescent="0.5"/>
  <cols>
    <col min="1" max="1" width="4" customWidth="1"/>
    <col min="2" max="2" width="26" customWidth="1"/>
    <col min="4" max="8" width="4" customWidth="1"/>
    <col min="9" max="9" width="2" customWidth="1"/>
    <col min="10" max="10" width="10" customWidth="1"/>
    <col min="11" max="11" width="6" customWidth="1"/>
    <col min="12" max="12" width="2" customWidth="1"/>
    <col min="13" max="13" width="10" customWidth="1"/>
    <col min="14" max="14" width="6" customWidth="1"/>
    <col min="15" max="15" width="2" customWidth="1"/>
    <col min="16" max="16" width="9" customWidth="1"/>
  </cols>
  <sheetData>
    <row r="1" spans="1:19" ht="210" customHeight="1" x14ac:dyDescent="0.5">
      <c r="A1" s="45" t="s">
        <v>0</v>
      </c>
      <c r="B1" s="83" t="str" cm="1">
        <f t="array" aca="1" ref="B1" ca="1">_xlfn.LET(_xlpm.fn, CELL("filename",$A$1), _xlpm.nm, MID(_xlpm.fn, FIND("]", _xlpm.fn) + 1, 255), _xlfn.XLOOKUP(_xlpm.nm &amp; "(*", Lamb!$A$2:$A$1000, Lamb!$A$2:$A$1000, "", 2))</f>
        <v>arrow_trip(rng, start_ad, dir, [stopper])</v>
      </c>
      <c r="C1" s="79"/>
      <c r="D1" s="79"/>
      <c r="E1" s="79"/>
      <c r="F1" s="80"/>
      <c r="H1" s="45" t="s">
        <v>2</v>
      </c>
      <c r="I1" s="78" t="str" cm="1">
        <f t="array" aca="1" ref="I1" ca="1">_xlfn.LET(_xlpm.fn, CELL("filename",$A$1), _xlpm.nm, MID(_xlpm.fn, FIND("]", _xlpm.fn) + 1, 255), _xlfn.XLOOKUP(_xlpm.nm &amp; "(*", Lamb!$A$2:$A$1000, Lamb!$D$2:$D$1000, "", 2))</f>
        <v>Traces a straight path from a start cell in one arrow direction until the board edge or an optional stopping value.
Arguments:
  rng       - the board range to travel across.
  start_ad  - starting cell as a numeric address or A1 string (coerced with num_ad).
  dir       - direction as a standard arrow (↑↓←→↖↗↙↘), its numeric equivalent (1, -1000000, ...), or a letter code (U D L R UL UR DL DR).
  [stopper] - a value that halts the trip when encountered (inclusive).
Returns:
  A 2-column array: NUMERIC addresses in column 1 and their values in column 2, starting at the start cell. Returns "X" if the start is outside rng, or "" if dir is not a recognized arrow.</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=LAMBDA(rng, start_ad, dir, [stopper],
  LET(
    start_num, num_ad(start_ad),
    start_row, INT(start_num / 1000000),
    start_col, MOD(start_num, 1000000),
    top_row, ROW(INDEX(rng, 1, 1)),
    left_col, COLUMN(INDEX(rng, 1, 1)),
    height, ROWS(rng),
    width, COLUMNS(rng),
    bottom_row, top_row + height - 1,
    right_col, left_col + width - 1,
    inside, AND(start_row &gt;= top_row, start_row &lt;= bottom_row, start_col &gt;= left_col, start_col &lt;= right_col),
    IFNA(IF(NOT(inside), "X",
      LET(
        arrow_list, {"↑"; "↓"; "←"; "→"; "↖"; "↗"; "↘"; "↙"},
        row_steps, {-1; 1; 0; 0; -1; -1; 1; 1},
        col_steps, {0; 0; -1; 1; -1; 1; 1; -1},
        dir_index, XMATCH(z_dir_to_arrow(dir), arrow_list),
        row_delta, INDEX(row_steps, dir_index),
        col_delta, INDEX(col_steps, dir_index),
        row_limit, IF(row_delta &gt; 0, bottom_row - start_row, IF(row_delta &lt; 0, start_row - top_row, 1000000)),
        col_limit, IF(col_delta &gt; 0, right_col - start_col, IF(col_delta &lt; 0, start_col - left_col, 1000000)),
        max_steps, MIN(row_limit, col_limit),
        steps, SEQUENCE(max_steps + 1, , 0),
        trip_rows, start_row + steps * row_delta,
        trip_cols, start_col + steps * col_delta,
        num_list, 1000000 * trip_rows + trip_cols,
        val_list, MAP(num_list, LAMBDA(a, LET(v, ad_to_cont(a, rng), IF(OR(v = "", ISBLANK(v)), "", v)))),
        use_stop, NOT(ISOMITTED(stopper)),
        stop_pos, IF(use_stop, XMATCH(stopper, val_list, 0), NA()),
        keep_rows, IF(use_stop, IF(ISERROR(stop_pos), max_steps + 1, stop_pos), max_steps + 1),
        out_addrs, CHOOSEROWS(num_list, SEQUENCE(keep_rows)),
        out_vals, CHOOSEROWS(val_list, SEQUENCE(keep_rows)),
        HSTACK(out_addrs, out_vals)
      )
    ), "")
  )
)</v>
      </c>
      <c r="C2" s="82"/>
      <c r="D2" s="82"/>
      <c r="E2" s="82"/>
      <c r="F2" s="82"/>
      <c r="G2" s="82"/>
      <c r="H2" s="82"/>
      <c r="I2" s="82"/>
      <c r="J2" s="82"/>
      <c r="K2" s="82"/>
      <c r="L2" s="82"/>
      <c r="M2" s="82"/>
      <c r="N2" s="82"/>
      <c r="O2" s="82"/>
      <c r="P2" s="82"/>
      <c r="Q2" s="82"/>
      <c r="R2" s="82"/>
    </row>
    <row r="4" spans="1:19" x14ac:dyDescent="0.5">
      <c r="A4" s="45" t="s">
        <v>2932</v>
      </c>
      <c r="P4" s="45">
        <f>COUNTIF(P9:P60,"PASS")&amp;" / 8 PASS"</f>
      </c>
    </row>
    <row r="5" spans="1:19" x14ac:dyDescent="0.5">
      <c r="B5" s="45" t="s">
        <v>8</v>
      </c>
      <c r="J5" s="48" t="s">
        <v>2933</v>
      </c>
      <c r="K5" s="48" t="s">
        <v>2934</v>
      </c>
      <c r="M5" s="49" t="s">
        <v>2935</v>
      </c>
      <c r="N5" s="49" t="s">
        <v>2934</v>
      </c>
      <c r="P5" s="50" t="s">
        <v>12</v>
      </c>
    </row>
    <row r="6" spans="1:19" x14ac:dyDescent="0.5">
      <c r="B6" s="45" t="s">
        <v>2936</v>
      </c>
    </row>
    <row r="7" spans="1:19" x14ac:dyDescent="0.5">
      <c r="D7" s="51" t="s">
        <v>2937</v>
      </c>
      <c r="E7" s="51" t="s">
        <v>2938</v>
      </c>
      <c r="F7" s="51" t="s">
        <v>2631</v>
      </c>
      <c r="G7" s="51" t="s">
        <v>2939</v>
      </c>
      <c r="H7" s="51" t="s">
        <v>2940</v>
      </c>
    </row>
    <row r="9" spans="1:19" x14ac:dyDescent="0.5">
      <c r="B9" s="47" t="s">
        <v>2941</v>
      </c>
      <c r="J9" s="52">
        <v>7000004</v>
      </c>
      <c r="K9" s="52" t="s">
        <v>2937</v>
      </c>
      <c r="M9" s="53" cm="1">
        <f t="array" ref="M9:N13">arrow_trip(D7:H7,"D7","→")</f>
        <v>7000004</v>
      </c>
      <c r="N9" s="53" t="str">
        <v>a</v>
      </c>
      <c r="P9" s="54" t="str" cm="1">
        <f t="array" ref="P9">IF(AND(J9:K13=M9:N13),"PASS","FAIL")</f>
        <v>PASS</v>
      </c>
    </row>
    <row r="10" spans="1:19" x14ac:dyDescent="0.5">
      <c r="J10" s="52">
        <v>7000005</v>
      </c>
      <c r="K10" s="52" t="s">
        <v>2938</v>
      </c>
      <c r="M10" s="53">
        <v>7000005</v>
      </c>
      <c r="N10" s="53" t="str">
        <v>b</v>
      </c>
    </row>
    <row r="11" spans="1:19" x14ac:dyDescent="0.5">
      <c r="J11" s="52">
        <v>7000006</v>
      </c>
      <c r="K11" s="52" t="s">
        <v>2631</v>
      </c>
      <c r="M11" s="53">
        <v>7000006</v>
      </c>
      <c r="N11" s="53" t="str">
        <v>X</v>
      </c>
    </row>
    <row r="12" spans="1:19" x14ac:dyDescent="0.5">
      <c r="J12" s="52">
        <v>7000007</v>
      </c>
      <c r="K12" s="52" t="s">
        <v>2939</v>
      </c>
      <c r="M12" s="53">
        <v>7000007</v>
      </c>
      <c r="N12" s="53" t="str">
        <v>d</v>
      </c>
    </row>
    <row r="13" spans="1:19" x14ac:dyDescent="0.5">
      <c r="J13" s="52">
        <v>7000008</v>
      </c>
      <c r="K13" s="52" t="s">
        <v>2940</v>
      </c>
      <c r="M13" s="53">
        <v>7000008</v>
      </c>
      <c r="N13" s="53" t="str">
        <v>e</v>
      </c>
    </row>
    <row r="15" spans="1:19" x14ac:dyDescent="0.5">
      <c r="B15" s="47" t="s">
        <v>2942</v>
      </c>
      <c r="J15" s="52">
        <v>7000004</v>
      </c>
      <c r="K15" s="52" t="s">
        <v>2937</v>
      </c>
      <c r="M15" s="53" cm="1">
        <f t="array" ref="M15:N17">arrow_trip(D7:H7,"D7","→","X")</f>
        <v>7000004</v>
      </c>
      <c r="N15" s="53" t="str">
        <v>a</v>
      </c>
      <c r="P15" s="54" t="str" cm="1">
        <f t="array" ref="P15">IF(AND(J15:K17=M15:N17),"PASS","FAIL")</f>
        <v>PASS</v>
      </c>
    </row>
    <row r="16" spans="1:19" x14ac:dyDescent="0.5">
      <c r="J16" s="52">
        <v>7000005</v>
      </c>
      <c r="K16" s="52" t="s">
        <v>2938</v>
      </c>
      <c r="M16" s="53">
        <v>7000005</v>
      </c>
      <c r="N16" s="53" t="str">
        <v>b</v>
      </c>
    </row>
    <row r="17" spans="2:16" x14ac:dyDescent="0.5">
      <c r="J17" s="52">
        <v>7000006</v>
      </c>
      <c r="K17" s="52" t="s">
        <v>2631</v>
      </c>
      <c r="M17" s="53">
        <v>7000006</v>
      </c>
      <c r="N17" s="53" t="str">
        <v>X</v>
      </c>
    </row>
    <row r="19" spans="2:16" x14ac:dyDescent="0.5">
      <c r="B19" s="47" t="s">
        <v>2943</v>
      </c>
      <c r="J19" s="52">
        <v>7000004</v>
      </c>
      <c r="K19" s="52" t="s">
        <v>2937</v>
      </c>
      <c r="M19" s="53" cm="1">
        <f t="array" ref="M19:N23">arrow_trip(D7:H7,"D7","→","Z")</f>
        <v>7000004</v>
      </c>
      <c r="N19" s="53" t="str">
        <v>a</v>
      </c>
      <c r="P19" s="54" t="str" cm="1">
        <f t="array" ref="P19">IF(AND(J19:K23=M19:N23),"PASS","FAIL")</f>
        <v>PASS</v>
      </c>
    </row>
    <row r="20" spans="2:16" x14ac:dyDescent="0.5">
      <c r="J20" s="52">
        <v>7000005</v>
      </c>
      <c r="K20" s="52" t="s">
        <v>2938</v>
      </c>
      <c r="M20" s="53">
        <v>7000005</v>
      </c>
      <c r="N20" s="53" t="str">
        <v>b</v>
      </c>
    </row>
    <row r="21" spans="2:16" x14ac:dyDescent="0.5">
      <c r="J21" s="52">
        <v>7000006</v>
      </c>
      <c r="K21" s="52" t="s">
        <v>2631</v>
      </c>
      <c r="M21" s="53">
        <v>7000006</v>
      </c>
      <c r="N21" s="53" t="str">
        <v>X</v>
      </c>
    </row>
    <row r="22" spans="2:16" x14ac:dyDescent="0.5">
      <c r="J22" s="52">
        <v>7000007</v>
      </c>
      <c r="K22" s="52" t="s">
        <v>2939</v>
      </c>
      <c r="M22" s="53">
        <v>7000007</v>
      </c>
      <c r="N22" s="53" t="str">
        <v>d</v>
      </c>
    </row>
    <row r="23" spans="2:16" x14ac:dyDescent="0.5">
      <c r="J23" s="52">
        <v>7000008</v>
      </c>
      <c r="K23" s="52" t="s">
        <v>2940</v>
      </c>
      <c r="M23" s="53">
        <v>7000008</v>
      </c>
      <c r="N23" s="53" t="str">
        <v>e</v>
      </c>
    </row>
    <row r="25" spans="2:16" x14ac:dyDescent="0.5">
      <c r="B25" s="47" t="s">
        <v>3279</v>
      </c>
      <c r="J25" s="52" t="s">
        <v>2631</v>
      </c>
      <c r="M25" s="53" t="str" cm="1">
        <f t="array" ref="M25">arrow_trip(D7:H7,"D6","→")</f>
        <v>X</v>
      </c>
      <c r="P25" s="54" t="str">
        <f>IF(M25="X","PASS","FAIL")</f>
        <v>PASS</v>
      </c>
    </row>
    <row r="27" spans="2:16" x14ac:dyDescent="0.5">
      <c r="B27" s="47" t="s">
        <v>3280</v>
      </c>
      <c r="J27" s="52" t="str">
        <f>""</f>
        <v/>
      </c>
      <c r="M27" s="53" t="str" cm="1">
        <f t="array" ref="M27">arrow_trip(D7:H7,"D7","Z")</f>
        <v/>
      </c>
      <c r="P27" s="54" t="str">
        <f>IF(M27="","PASS","FAIL")</f>
        <v>PASS</v>
      </c>
    </row>
    <row r="29" spans="2:16" x14ac:dyDescent="0.5">
      <c r="B29" s="47" t="s">
        <v>3602</v>
      </c>
      <c r="J29" s="52">
        <v>7000004</v>
      </c>
      <c r="K29" s="52" t="s">
        <v>2937</v>
      </c>
      <c r="M29" s="53" cm="1">
        <f t="array" ref="M29:N33">arrow_trip(D7:H7,"D7",1)</f>
        <v>7000004</v>
      </c>
      <c r="N29" t="str">
        <v>a</v>
      </c>
      <c r="P29" s="54" t="str" cm="1">
        <f t="array" ref="P29">IF(AND(J29:K33=M29:N33),"PASS","FAIL")</f>
        <v>PASS</v>
      </c>
    </row>
    <row r="30" spans="2:16" x14ac:dyDescent="0.5">
      <c r="J30" s="52">
        <v>7000005</v>
      </c>
      <c r="K30" s="52" t="s">
        <v>2938</v>
      </c>
      <c r="M30">
        <v>7000005</v>
      </c>
      <c r="N30" t="str">
        <v>b</v>
      </c>
    </row>
    <row r="31" spans="2:16" x14ac:dyDescent="0.5">
      <c r="J31" s="52">
        <v>7000006</v>
      </c>
      <c r="K31" s="52" t="s">
        <v>2631</v>
      </c>
      <c r="M31">
        <v>7000006</v>
      </c>
      <c r="N31" t="str">
        <v>X</v>
      </c>
    </row>
    <row r="32" spans="2:16" x14ac:dyDescent="0.5">
      <c r="J32" s="52">
        <v>7000007</v>
      </c>
      <c r="K32" s="52" t="s">
        <v>2939</v>
      </c>
      <c r="M32">
        <v>7000007</v>
      </c>
      <c r="N32" t="str">
        <v>d</v>
      </c>
    </row>
    <row r="33" spans="2:16" x14ac:dyDescent="0.5">
      <c r="J33" s="52">
        <v>7000008</v>
      </c>
      <c r="K33" s="52" t="s">
        <v>2940</v>
      </c>
      <c r="M33">
        <v>7000008</v>
      </c>
      <c r="N33" t="str">
        <v>e</v>
      </c>
    </row>
    <row r="35" spans="2:16" x14ac:dyDescent="0.5">
      <c r="B35" s="47" t="s">
        <v>3603</v>
      </c>
      <c r="J35" s="52">
        <v>7000004</v>
      </c>
      <c r="K35" s="52" t="s">
        <v>2937</v>
      </c>
      <c r="M35" s="53" cm="1">
        <f t="array" ref="M35:N39">arrow_trip(D7:H7,"D7","R")</f>
        <v>7000004</v>
      </c>
      <c r="N35" t="str">
        <v>a</v>
      </c>
      <c r="P35" s="54" t="str" cm="1">
        <f t="array" ref="P35">IF(AND(J35:K39=M35:N39),"PASS","FAIL")</f>
        <v>PASS</v>
      </c>
    </row>
    <row r="36" spans="2:16" x14ac:dyDescent="0.5">
      <c r="J36" s="52">
        <v>7000005</v>
      </c>
      <c r="K36" s="52" t="s">
        <v>2938</v>
      </c>
      <c r="M36">
        <v>7000005</v>
      </c>
      <c r="N36" t="str">
        <v>b</v>
      </c>
    </row>
    <row r="37" spans="2:16" x14ac:dyDescent="0.5">
      <c r="J37" s="52">
        <v>7000006</v>
      </c>
      <c r="K37" s="52" t="s">
        <v>2631</v>
      </c>
      <c r="M37">
        <v>7000006</v>
      </c>
      <c r="N37" t="str">
        <v>X</v>
      </c>
    </row>
    <row r="38" spans="2:16" x14ac:dyDescent="0.5">
      <c r="J38" s="52">
        <v>7000007</v>
      </c>
      <c r="K38" s="52" t="s">
        <v>2939</v>
      </c>
      <c r="M38">
        <v>7000007</v>
      </c>
      <c r="N38" t="str">
        <v>d</v>
      </c>
    </row>
    <row r="39" spans="2:16" x14ac:dyDescent="0.5">
      <c r="J39" s="52">
        <v>7000008</v>
      </c>
      <c r="K39" s="52" t="s">
        <v>2940</v>
      </c>
      <c r="M39">
        <v>7000008</v>
      </c>
      <c r="N39" t="str">
        <v>e</v>
      </c>
    </row>
    <row r="41">
      <c r="D41" t="inlineStr">
        <is>
          <t xml:space="preserve">a</t>
        </is>
      </c>
      <c r="E41">
        <f>REPT("z",300)</f>
      </c>
    </row>
    <row r="44">
      <c r="B44" t="inlineStr">
        <is>
          <t xml:space="preserve">&gt;255-char value survives (IFERROR/IFNA would blank it)</t>
        </is>
      </c>
      <c r="J44">
        <v>41000004</v>
      </c>
      <c r="K44" t="inlineStr">
        <is>
          <t xml:space="preserve">a</t>
        </is>
      </c>
      <c r="M44" cm="1">
        <f t="array" ref="M44:N45">arrow_trip(D41:E41,"D41","R")</f>
        <v>0</v>
      </c>
      <c r="P44" cm="1">
        <f t="array" ref="P44">IF(AND(J44:K45=M44:N45),"PASS","FAIL")</f>
        <v>0</v>
      </c>
    </row>
    <row r="45">
      <c r="J45">
        <v>41000005</v>
      </c>
      <c r="K45">
        <f>REPT("z",300)</f>
      </c>
    </row>
  </sheetData>
  <mergeCells count="3">
    <mergeCell ref="I1:R1"/>
    <mergeCell ref="B2:R2"/>
    <mergeCell ref="B1:F1"/>
  </mergeCell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81A58-B70E-4589-90AB-10C64CF85AAB}">
  <sheetPr codeName="Sheet57"/>
  <dimension ref="A1:S15"/>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biggest(check, return)</v>
      </c>
      <c r="C1" s="79"/>
      <c r="D1" s="79"/>
      <c r="E1" s="79"/>
      <c r="F1" s="80"/>
      <c r="H1" s="45" t="s">
        <v>2</v>
      </c>
      <c r="I1" s="78" t="str" cm="1">
        <f t="array" aca="1" ref="I1" ca="1">_xlfn.LET(_xlpm.fn, CELL("filename",$A$1), _xlpm.nm, MID(_xlpm.fn, FIND("]", _xlpm.fn) + 1, 255), _xlfn.XLOOKUP(_xlpm.nm &amp; "(*", Lamb!$A$2:$A$1000, Lamb!$D$2:$D$1000, "", 2))</f>
        <v>Returns the value paired with the maximum of a checked array.
Arguments:
  check  - array of numbers to take the maximum of.
  return - array (parallel to check) to return the matching value from.
Returns:
  The element of return aligned with the first occurrence of MAX(check), or "" if no match is found (e.g. an empty or all-text check).
Example:
  biggest(scores, names)  -&gt;  the name with the highest score</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=LAMBDA(check, return, IFNA(XLOOKUP(MAX(check), check, return), ""))</v>
      </c>
      <c r="C2" s="82"/>
      <c r="D2" s="82"/>
      <c r="E2" s="82"/>
      <c r="F2" s="82"/>
      <c r="G2" s="82"/>
      <c r="H2" s="82"/>
      <c r="I2" s="82"/>
      <c r="J2" s="82"/>
      <c r="K2" s="82"/>
      <c r="L2" s="82"/>
      <c r="M2" s="82"/>
      <c r="N2" s="82"/>
      <c r="O2" s="82"/>
      <c r="P2" s="82"/>
      <c r="Q2" s="82"/>
      <c r="R2" s="82"/>
    </row>
    <row r="4" spans="1:19" x14ac:dyDescent="0.5">
      <c r="A4" s="45" t="s">
        <v>2944</v>
      </c>
      <c r="L4" s="45" t="str">
        <f>COUNTIF(L6:L15,"PASS")&amp;" / 3 PASS"</f>
        <v>3 / 3 PASS</v>
      </c>
    </row>
    <row r="5" spans="1:19" x14ac:dyDescent="0.5">
      <c r="A5" s="45" t="s">
        <v>7</v>
      </c>
      <c r="B5" s="45" t="s">
        <v>8</v>
      </c>
      <c r="D5" s="45" t="s">
        <v>9</v>
      </c>
      <c r="H5" s="48" t="s">
        <v>10</v>
      </c>
      <c r="J5" s="49" t="s">
        <v>11</v>
      </c>
      <c r="L5" s="50" t="s">
        <v>12</v>
      </c>
    </row>
    <row r="6" spans="1:19" x14ac:dyDescent="0.5">
      <c r="A6" s="46">
        <v>1</v>
      </c>
      <c r="B6" s="47" t="s">
        <v>2945</v>
      </c>
      <c r="D6" s="51">
        <v>30</v>
      </c>
      <c r="F6" s="51" t="s">
        <v>2937</v>
      </c>
      <c r="H6" s="52" t="s">
        <v>2938</v>
      </c>
      <c r="J6" s="53" t="str" cm="1">
        <f t="array" ref="J6">biggest(D6:D8,F6:F8)</f>
        <v>b</v>
      </c>
      <c r="L6" s="54" t="str">
        <f>IF(J6=H6,"PASS","FAIL")</f>
        <v>PASS</v>
      </c>
    </row>
    <row r="7" spans="1:19" x14ac:dyDescent="0.5">
      <c r="A7" s="55"/>
      <c r="B7" s="55"/>
      <c r="D7" s="51">
        <v>70</v>
      </c>
      <c r="F7" s="51" t="s">
        <v>2938</v>
      </c>
    </row>
    <row r="8" spans="1:19" x14ac:dyDescent="0.5">
      <c r="A8" s="55"/>
      <c r="B8" s="55"/>
      <c r="D8" s="51">
        <v>50</v>
      </c>
      <c r="F8" s="51" t="s">
        <v>2946</v>
      </c>
    </row>
    <row r="10" spans="1:19" x14ac:dyDescent="0.5">
      <c r="A10" s="46">
        <v>2</v>
      </c>
      <c r="B10" s="47" t="s">
        <v>2947</v>
      </c>
      <c r="D10" s="51">
        <v>5</v>
      </c>
      <c r="F10" s="51" t="s">
        <v>2948</v>
      </c>
      <c r="H10" s="52" t="s">
        <v>2949</v>
      </c>
      <c r="J10" s="53" t="str" cm="1">
        <f t="array" ref="J10">biggest(D10:D13,F10:F13)</f>
        <v>q</v>
      </c>
      <c r="L10" s="54" t="str">
        <f>IF(J10=H10,"PASS","FAIL")</f>
        <v>PASS</v>
      </c>
    </row>
    <row r="11" spans="1:19" x14ac:dyDescent="0.5">
      <c r="A11" s="55"/>
      <c r="B11" s="55"/>
      <c r="D11" s="51">
        <v>9</v>
      </c>
      <c r="F11" s="51" t="s">
        <v>2949</v>
      </c>
    </row>
    <row r="12" spans="1:19" x14ac:dyDescent="0.5">
      <c r="A12" s="55"/>
      <c r="B12" s="55"/>
      <c r="D12" s="51">
        <v>9</v>
      </c>
      <c r="F12" s="51" t="s">
        <v>2950</v>
      </c>
    </row>
    <row r="13" spans="1:19" x14ac:dyDescent="0.5">
      <c r="A13" s="55"/>
      <c r="B13" s="55"/>
      <c r="D13" s="51">
        <v>2</v>
      </c>
      <c r="F13" s="51" t="s">
        <v>2951</v>
      </c>
    </row>
    <row r="15" spans="1:19" x14ac:dyDescent="0.5">
      <c r="A15" s="46">
        <v>3</v>
      </c>
      <c r="B15" s="47" t="s">
        <v>3281</v>
      </c>
      <c r="D15" s="51" t="s">
        <v>2957</v>
      </c>
      <c r="F15" s="51" t="s">
        <v>3282</v>
      </c>
      <c r="H15" s="52" t="str">
        <f>""</f>
        <v/>
      </c>
      <c r="J15" s="53" t="str" cm="1">
        <f t="array" ref="J15">biggest(D15,F15)</f>
        <v/>
      </c>
      <c r="L15" s="54" t="str">
        <f>IF(J15=H15,"PASS","FAIL")</f>
        <v>PASS</v>
      </c>
    </row>
  </sheetData>
  <mergeCells count="3">
    <mergeCell ref="I1:R1"/>
    <mergeCell ref="B2:R2"/>
    <mergeCell ref="B1:F1"/>
  </mergeCell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D6150B-A4DE-4D4A-816C-23E4C4580757}">
  <sheetPr codeName="Sheet58"/>
  <dimension ref="A1:S19"/>
  <sheetViews>
    <sheetView topLeftCell="B1" zoomScale="115" zoomScaleNormal="115" workbookViewId="0">
      <selection activeCell="B1" sqref="B1:F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clamp(num_or_arr, [bottom], [top])</v>
      </c>
      <c r="C1" s="79"/>
      <c r="D1" s="79"/>
      <c r="E1" s="79"/>
      <c r="F1" s="80"/>
      <c r="H1" s="45" t="s">
        <v>2</v>
      </c>
      <c r="I1" s="100" t="str" cm="1">
        <f t="array" aca="1" ref="I1" ca="1">_xlfn.LET(_xlpm.fn, CELL("filename",$A$1), _xlpm.nm, MID(_xlpm.fn, FIND("]", _xlpm.fn) + 1, 255), _xlfn.XLOOKUP(_xlpm.nm &amp; "(*", Lamb!$A$2:$A$1000, Lamb!$D$2:$D$1000, "", 2))</f>
        <v>Constrains a number or array of numbers to a minimum and/or maximum.
Arguments:
  num_or_arr - a number or an array to clamp.
  [bottom]   - lower bound (default: no lower limit).
  [top]      - upper bound (default: no upper limit).
Returns:
  The clamped value, or an array of the same shape. Text cells and "" are returned as "". Errors pass through unchanged.
Example:
  clamp(vals, 0, 100)</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=LAMBDA(num_or_arr, [bottom], [top], LET(
   clamp_one, LAMBDA(x,
      IF(
         ISERROR(x),
         x,
         IF(
            OR(x = "", ISTEXT(x)),
            "",
            LET(
               hi, IF(ISOMITTED(top), x, MIN(top, x)),
               lo, IF(ISOMITTED(bottom), hi, MAX(bottom, hi)),
               lo
            )
         )
      )
   ),
   IF(
      AND(ROWS(num_or_arr) = 1, COLUMNS(num_or_arr) = 1),
      clamp_one(num_or_arr),
      MAP(num_or_arr, clamp_one)
   )
))</v>
      </c>
      <c r="C2" s="82"/>
      <c r="D2" s="82"/>
      <c r="E2" s="82"/>
      <c r="F2" s="82"/>
      <c r="G2" s="82"/>
      <c r="H2" s="82"/>
      <c r="I2" s="82"/>
      <c r="J2" s="82"/>
      <c r="K2" s="82"/>
      <c r="L2" s="82"/>
      <c r="M2" s="82"/>
      <c r="N2" s="82"/>
      <c r="O2" s="82"/>
      <c r="P2" s="82"/>
      <c r="Q2" s="82"/>
      <c r="R2" s="82"/>
    </row>
    <row r="4" spans="1:19" x14ac:dyDescent="0.5">
      <c r="A4" s="45" t="s">
        <v>2952</v>
      </c>
      <c r="N4" s="45" t="str">
        <f>COUNTIF(N6:N21,"PASS")&amp;" / 5 PASS"</f>
        <v>5 / 5 PASS</v>
      </c>
    </row>
    <row r="5" spans="1:19" x14ac:dyDescent="0.5">
      <c r="A5" s="45" t="s">
        <v>7</v>
      </c>
      <c r="B5" s="45" t="s">
        <v>8</v>
      </c>
      <c r="D5" s="45" t="s">
        <v>9</v>
      </c>
      <c r="J5" s="48" t="s">
        <v>10</v>
      </c>
      <c r="L5" s="49" t="s">
        <v>11</v>
      </c>
      <c r="N5" s="50" t="s">
        <v>12</v>
      </c>
    </row>
    <row r="6" spans="1:19" x14ac:dyDescent="0.5">
      <c r="A6" s="46">
        <v>1</v>
      </c>
      <c r="B6" s="47" t="s">
        <v>2953</v>
      </c>
      <c r="D6" s="51">
        <v>5</v>
      </c>
      <c r="F6" s="51">
        <v>0</v>
      </c>
      <c r="H6" s="51">
        <v>100</v>
      </c>
      <c r="J6" s="52">
        <v>5</v>
      </c>
      <c r="L6" s="53" cm="1">
        <f t="array" ref="L6:L8">clamp(D6:D8,F6,H6)</f>
        <v>5</v>
      </c>
      <c r="N6" s="54" t="str" cm="1">
        <f t="array" ref="N6">IF(AND(J6:J8=L6:L8),"PASS","FAIL")</f>
        <v>PASS</v>
      </c>
    </row>
    <row r="7" spans="1:19" x14ac:dyDescent="0.5">
      <c r="A7" s="55"/>
      <c r="B7" s="55"/>
      <c r="D7" s="51">
        <v>-3</v>
      </c>
      <c r="J7" s="52">
        <v>0</v>
      </c>
      <c r="L7" s="53">
        <v>0</v>
      </c>
    </row>
    <row r="8" spans="1:19" x14ac:dyDescent="0.5">
      <c r="A8" s="55"/>
      <c r="B8" s="55"/>
      <c r="D8" s="51">
        <v>120</v>
      </c>
      <c r="J8" s="52">
        <v>100</v>
      </c>
      <c r="L8" s="53">
        <v>100</v>
      </c>
    </row>
    <row r="10" spans="1:19" x14ac:dyDescent="0.5">
      <c r="A10" s="46">
        <v>2</v>
      </c>
      <c r="B10" s="47" t="s">
        <v>2954</v>
      </c>
      <c r="D10" s="51">
        <v>150</v>
      </c>
      <c r="F10" s="51">
        <v>100</v>
      </c>
      <c r="J10" s="52">
        <v>100</v>
      </c>
      <c r="L10" s="53" cm="1">
        <f t="array" ref="L10">clamp(D10,,F10)</f>
        <v>100</v>
      </c>
      <c r="N10" s="54" t="str">
        <f>IF(L10=J10,"PASS","FAIL")</f>
        <v>PASS</v>
      </c>
    </row>
    <row r="12" spans="1:19" x14ac:dyDescent="0.5">
      <c r="A12" s="46">
        <v>3</v>
      </c>
      <c r="B12" s="47" t="s">
        <v>2955</v>
      </c>
      <c r="D12" s="51">
        <v>-5</v>
      </c>
      <c r="F12" s="51">
        <v>0</v>
      </c>
      <c r="J12" s="52">
        <v>0</v>
      </c>
      <c r="L12" s="53" cm="1">
        <f t="array" ref="L12">clamp(D12,F12)</f>
        <v>0</v>
      </c>
      <c r="N12" s="54" t="str">
        <f>IF(L12=J12,"PASS","FAIL")</f>
        <v>PASS</v>
      </c>
    </row>
    <row r="14" spans="1:19" x14ac:dyDescent="0.5">
      <c r="A14" s="46">
        <v>4</v>
      </c>
      <c r="B14" s="47" t="s">
        <v>2956</v>
      </c>
      <c r="D14" s="51">
        <v>5</v>
      </c>
      <c r="F14" s="51">
        <v>0</v>
      </c>
      <c r="H14" s="51">
        <v>10</v>
      </c>
      <c r="J14" s="52">
        <v>5</v>
      </c>
      <c r="L14" s="53" cm="1">
        <f t="array" ref="L14:L17">clamp(D14:D17,F14,H14)</f>
        <v>5</v>
      </c>
      <c r="N14" s="54" t="str" cm="1">
        <f t="array" ref="N14">IF(AND(J14:J17=L14:L17),"PASS","FAIL")</f>
        <v>PASS</v>
      </c>
    </row>
    <row r="15" spans="1:19" x14ac:dyDescent="0.5">
      <c r="A15" s="55"/>
      <c r="B15" s="55"/>
      <c r="D15" s="51" t="s">
        <v>2957</v>
      </c>
      <c r="J15" s="52"/>
      <c r="L15" s="53" t="str">
        <v/>
      </c>
    </row>
    <row r="16" spans="1:19" x14ac:dyDescent="0.5">
      <c r="A16" s="55"/>
      <c r="B16" s="55"/>
      <c r="D16" s="51"/>
      <c r="J16" s="52"/>
      <c r="L16" s="53" t="str">
        <v/>
      </c>
    </row>
    <row r="17" spans="1:14" x14ac:dyDescent="0.5">
      <c r="A17" s="55"/>
      <c r="B17" s="55"/>
      <c r="D17" s="51">
        <v>8</v>
      </c>
      <c r="J17" s="52">
        <v>8</v>
      </c>
      <c r="L17" s="53">
        <v>8</v>
      </c>
    </row>
    <row r="19" spans="1:14" x14ac:dyDescent="0.5">
      <c r="A19" s="46">
        <v>5</v>
      </c>
      <c r="B19" s="47" t="s">
        <v>2958</v>
      </c>
      <c r="D19" s="51" t="e">
        <f>NA()</f>
        <v>#N/A</v>
      </c>
      <c r="F19" s="51">
        <v>0</v>
      </c>
      <c r="H19" s="51">
        <v>10</v>
      </c>
      <c r="J19" s="52" t="e">
        <v>#N/A</v>
      </c>
      <c r="L19" s="53" t="e" cm="1">
        <f t="array" ref="L19">clamp(D19,F19,H19)</f>
        <v>#N/A</v>
      </c>
      <c r="N19" s="54" t="str">
        <f>IF(ISNA(L19),"PASS","FAIL")</f>
        <v>PASS</v>
      </c>
    </row>
  </sheetData>
  <mergeCells count="3">
    <mergeCell ref="I1:R1"/>
    <mergeCell ref="B2:R2"/>
    <mergeCell ref="B1:F1"/>
  </mergeCell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80C3C-4064-4991-88CD-0324A675971D}">
  <sheetPr codeName="Sheet130"/>
  <dimension ref="A1:S30"/>
  <sheetViews>
    <sheetView workbookViewId="0">
      <selection activeCell="D17" sqref="D17"/>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cont_to_ad(cont, arr, [str])</v>
      </c>
      <c r="C1" s="79"/>
      <c r="D1" s="79"/>
      <c r="E1" s="79"/>
      <c r="F1" s="80"/>
      <c r="H1" s="45" t="s">
        <v>2</v>
      </c>
      <c r="I1" s="78" t="str" cm="1">
        <f t="array" aca="1" ref="I1" ca="1">_xlfn.LET(_xlpm.fn, CELL("filename",$A$1), _xlpm.nm, MID(_xlpm.fn, FIND("]", _xlpm.fn) + 1, 255), _xlfn.XLOOKUP(_xlpm.nm &amp; "(*", Lamb!$A$2:$A$1000, Lamb!$D$2:$D$1000, "", 2))</f>
        <v>Reverse lookup: value to address. The other half of the old addr_lookup, split off so the direction is never ambiguous.
arr need not start at A1, and may be on another sheet. Addresses returned are absolute sheet coordinates matching arr's real position. Scanning is row-major (left to right, then down), so the first match is the top-left-most occurrence.
Matching follows Excel's = operator, i.e. the same rules as XMATCH: case-insensitive for text, and type-strict between text and numbers (searching 5 does not match the text "5").
A value found once returns a single address (a number, or an A1 string when str = 1). A value found more than once returns every address in row-major order, joined by ";" into one string ("1000001;2000003" or "A1;C2") - a delimited string rather than a spilled array, so the result stays a single value even inside an array. A value not found returns "".
Arguments:
  cont  - the value to find, or an array of values.
  arr   - the range to search.
  [str] - 0 (default) returns numeric addresses; 1 returns A1 strings.
Returns:
  The address of the match, a ";"-joined list of addresses for multiple matches, or "" when not found; element-wise over an array of values.
Example:
  cont_to_ad(50, B2:Z10)        -&gt;  the numeric address of the first 50
  cont_to_ad(50, B2:Z10, 1)     -&gt;  the A1 address of the first 50
  cont_to_ad("x", grid)         -&gt;  "1000001;3000004"  (two matches)</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=LAMBDA(cont, arr, [str],
  LET(
    want_str, IF(ISOMITTED(str), 0, str),
    s_row, ROW(INDEX(arr, 1, 1)),
    s_col, COLUMN(INDEX(arr, 1, 1)),
    a_rows, ROWS(arr),
    a_cols, COLUMNS(arr),
    ncell, a_rows * a_cols,
    flat, TOROW(arr),
    idx, SEQUENCE(1, ncell),
    abs_row, s_row + INT((idx - 1) / a_cols),
    abs_col, s_col + MOD(idx - 1, a_cols),
    addr, IF(want_str, ADDRESS(abs_row, abs_col, 4), 1000000 * abs_row + abs_col),
    one_val, LAMBDA(target,
      LET(hit, flat = target, hit_count, SUM(--hit),
        IF(hit_count = 0, "",
          IF(hit_count = 1, INDEX(FILTER(addr, hit), 1),
            TEXTJOIN(";", TRUE, FILTER(addr, hit)))))),
    IF(ROWS(cont) * COLUMNS(cont) &gt; 1, MAP(cont, one_val), one_val(cont))
  )
)</v>
      </c>
      <c r="C2" s="82"/>
      <c r="D2" s="82"/>
      <c r="E2" s="82"/>
      <c r="F2" s="82"/>
      <c r="G2" s="82"/>
      <c r="H2" s="82"/>
      <c r="I2" s="82"/>
      <c r="J2" s="82"/>
      <c r="K2" s="82"/>
      <c r="L2" s="82"/>
      <c r="M2" s="82"/>
      <c r="N2" s="82"/>
      <c r="O2" s="82"/>
      <c r="P2" s="82"/>
      <c r="Q2" s="82"/>
      <c r="R2" s="82"/>
    </row>
    <row r="4" spans="1:19" x14ac:dyDescent="0.5">
      <c r="A4" s="45" t="s">
        <v>3498</v>
      </c>
      <c r="J4" s="45" t="str">
        <f>COUNTIF(J11:J40,"PASS")&amp;" / 5 PASS"</f>
        <v>5 / 5 PASS</v>
      </c>
    </row>
    <row r="5" spans="1:19" x14ac:dyDescent="0.5">
      <c r="A5" s="45" t="s">
        <v>7</v>
      </c>
      <c r="B5" s="45" t="s">
        <v>8</v>
      </c>
      <c r="D5" s="45" t="s">
        <v>9</v>
      </c>
      <c r="F5" s="48" t="s">
        <v>10</v>
      </c>
      <c r="H5" s="49" t="s">
        <v>11</v>
      </c>
      <c r="J5" s="50" t="s">
        <v>12</v>
      </c>
    </row>
    <row r="6" spans="1:19" x14ac:dyDescent="0.5">
      <c r="A6" s="46"/>
      <c r="B6" s="47"/>
      <c r="D6" s="51"/>
      <c r="F6" s="52"/>
      <c r="H6" s="53"/>
      <c r="J6" s="54"/>
    </row>
    <row r="7" spans="1:19" x14ac:dyDescent="0.5">
      <c r="B7" s="47"/>
      <c r="D7" s="51">
        <v>5</v>
      </c>
      <c r="E7">
        <v>7</v>
      </c>
      <c r="F7" s="52">
        <v>9</v>
      </c>
      <c r="H7" s="53"/>
      <c r="J7" s="54"/>
    </row>
    <row r="8" spans="1:19" x14ac:dyDescent="0.5">
      <c r="A8" s="46"/>
      <c r="B8" s="47"/>
      <c r="D8" s="51">
        <v>7</v>
      </c>
      <c r="E8">
        <v>5</v>
      </c>
      <c r="F8" s="52">
        <v>1</v>
      </c>
      <c r="H8" s="53"/>
      <c r="J8" s="54"/>
    </row>
    <row r="9" spans="1:19" x14ac:dyDescent="0.5">
      <c r="B9" s="47"/>
      <c r="D9" s="51"/>
      <c r="F9" s="52"/>
      <c r="H9" s="53"/>
      <c r="J9" s="54"/>
    </row>
    <row r="10" spans="1:19" x14ac:dyDescent="0.5">
      <c r="A10" s="46" t="s">
        <v>7</v>
      </c>
      <c r="B10" s="47" t="s">
        <v>8</v>
      </c>
      <c r="D10" s="51" t="s">
        <v>9</v>
      </c>
      <c r="F10" s="52" t="s">
        <v>10</v>
      </c>
      <c r="H10" s="53" t="s">
        <v>11</v>
      </c>
      <c r="J10" s="54" t="s">
        <v>12</v>
      </c>
    </row>
    <row r="11" spans="1:19" x14ac:dyDescent="0.5">
      <c r="A11">
        <v>1</v>
      </c>
      <c r="B11" s="47" t="s">
        <v>3499</v>
      </c>
      <c r="D11" s="51"/>
      <c r="F11" s="52">
        <v>7000006</v>
      </c>
      <c r="H11" s="53" cm="1">
        <f t="array" ref="H11">cont_to_ad(9,D7:F8)</f>
        <v>7000006</v>
      </c>
      <c r="J11" s="54" t="str">
        <f>IF(H11=F11,"PASS","FAIL")</f>
        <v>PASS</v>
      </c>
    </row>
    <row r="12" spans="1:19" x14ac:dyDescent="0.5">
      <c r="A12" s="46"/>
      <c r="B12" s="47"/>
      <c r="D12" s="51"/>
      <c r="F12" s="52"/>
      <c r="H12" s="53"/>
      <c r="J12" s="54"/>
    </row>
    <row r="13" spans="1:19" x14ac:dyDescent="0.5">
      <c r="A13">
        <v>2</v>
      </c>
      <c r="B13" s="47" t="s">
        <v>3500</v>
      </c>
      <c r="D13" s="51"/>
      <c r="F13" s="52" t="s">
        <v>3501</v>
      </c>
      <c r="H13" s="53" t="str" cm="1">
        <f t="array" ref="H13">cont_to_ad(7,D7:F8)</f>
        <v>7000005;8000004</v>
      </c>
      <c r="J13" s="54" t="str">
        <f>IF(H13=F13,"PASS","FAIL")</f>
        <v>PASS</v>
      </c>
    </row>
    <row r="14" spans="1:19" x14ac:dyDescent="0.5">
      <c r="A14" s="46"/>
      <c r="B14" s="47"/>
      <c r="D14" s="51"/>
      <c r="F14" s="52"/>
      <c r="H14" s="53"/>
      <c r="J14" s="54"/>
    </row>
    <row r="15" spans="1:19" x14ac:dyDescent="0.5">
      <c r="A15">
        <v>3</v>
      </c>
      <c r="B15" s="47" t="s">
        <v>3502</v>
      </c>
      <c r="D15" s="51"/>
      <c r="F15" s="52" t="s">
        <v>3503</v>
      </c>
      <c r="H15" s="53" t="str" cm="1">
        <f t="array" ref="H15">cont_to_ad(9,D7:F8,1)</f>
        <v>F7</v>
      </c>
      <c r="J15" s="54" t="str">
        <f>IF(H15=F15,"PASS","FAIL")</f>
        <v>PASS</v>
      </c>
    </row>
    <row r="16" spans="1:19" x14ac:dyDescent="0.5">
      <c r="A16" s="46"/>
      <c r="B16" s="47"/>
      <c r="D16" s="51"/>
      <c r="F16" s="52"/>
      <c r="H16" s="53"/>
      <c r="J16" s="54"/>
    </row>
    <row r="17" spans="1:10" x14ac:dyDescent="0.5">
      <c r="A17" s="55">
        <v>4</v>
      </c>
      <c r="B17" s="47" t="s">
        <v>3504</v>
      </c>
      <c r="D17" s="51"/>
      <c r="F17" s="52"/>
      <c r="H17" s="53" t="str" cm="1">
        <f t="array" ref="H17">cont_to_ad(100,D7:F8)</f>
        <v/>
      </c>
      <c r="J17" s="54" t="str">
        <f>IF(H17=F17,"PASS","FAIL")</f>
        <v>PASS</v>
      </c>
    </row>
    <row r="18" spans="1:10" x14ac:dyDescent="0.5">
      <c r="B18" s="47"/>
      <c r="D18" s="51"/>
      <c r="F18" s="52"/>
      <c r="H18" s="53"/>
      <c r="J18" s="54"/>
    </row>
    <row r="19" spans="1:10" x14ac:dyDescent="0.5">
      <c r="A19">
        <v>5</v>
      </c>
      <c r="B19" s="47" t="s">
        <v>3505</v>
      </c>
      <c r="D19" s="51"/>
      <c r="F19" s="52">
        <v>7000006</v>
      </c>
      <c r="H19" s="53" cm="1">
        <f t="array" ref="H19:H20">cont_to_ad(_xlfn.VSTACK(9,1),D7:F8)</f>
        <v>7000006</v>
      </c>
      <c r="J19" s="54" t="str" cm="1">
        <f t="array" ref="J19">IF(AND(F19:F20=H19:H20),"PASS","FAIL")</f>
        <v>PASS</v>
      </c>
    </row>
    <row r="20" spans="1:10" x14ac:dyDescent="0.5">
      <c r="B20" s="47"/>
      <c r="D20" s="51"/>
      <c r="F20" s="52">
        <v>8000006</v>
      </c>
      <c r="H20" s="53">
        <v>8000006</v>
      </c>
      <c r="J20" s="54"/>
    </row>
    <row r="21" spans="1:10" x14ac:dyDescent="0.5">
      <c r="B21" s="47"/>
      <c r="D21" s="51"/>
      <c r="F21" s="52"/>
      <c r="H21" s="53"/>
      <c r="J21" s="54"/>
    </row>
    <row r="22" spans="1:10" x14ac:dyDescent="0.5">
      <c r="B22" s="47"/>
      <c r="D22" s="51"/>
      <c r="F22" s="52"/>
      <c r="H22" s="53"/>
      <c r="J22" s="54"/>
    </row>
    <row r="23" spans="1:10" x14ac:dyDescent="0.5">
      <c r="B23" s="47"/>
      <c r="D23" s="51"/>
      <c r="F23" s="52"/>
      <c r="H23" s="53"/>
      <c r="J23" s="54"/>
    </row>
    <row r="24" spans="1:10" x14ac:dyDescent="0.5">
      <c r="B24" s="47"/>
      <c r="D24" s="51"/>
      <c r="F24" s="52"/>
      <c r="H24" s="53"/>
      <c r="J24" s="54"/>
    </row>
    <row r="25" spans="1:10" x14ac:dyDescent="0.5">
      <c r="B25" s="47"/>
      <c r="D25" s="51"/>
      <c r="F25" s="52"/>
      <c r="H25" s="53"/>
      <c r="J25" s="54"/>
    </row>
    <row r="26" spans="1:10" x14ac:dyDescent="0.5">
      <c r="B26" s="47"/>
      <c r="D26" s="51"/>
      <c r="F26" s="52"/>
      <c r="H26" s="53"/>
      <c r="J26" s="54"/>
    </row>
    <row r="27" spans="1:10" x14ac:dyDescent="0.5">
      <c r="B27" s="47"/>
      <c r="D27" s="51"/>
      <c r="F27" s="52"/>
      <c r="H27" s="53"/>
      <c r="J27" s="54"/>
    </row>
    <row r="28" spans="1:10" x14ac:dyDescent="0.5">
      <c r="B28" s="47"/>
      <c r="D28" s="51"/>
      <c r="F28" s="52"/>
      <c r="H28" s="53"/>
      <c r="J28" s="54"/>
    </row>
    <row r="29" spans="1:10" x14ac:dyDescent="0.5">
      <c r="B29" s="47"/>
      <c r="D29" s="51"/>
      <c r="F29" s="52"/>
      <c r="H29" s="53"/>
      <c r="J29" s="54"/>
    </row>
    <row r="30" spans="1:10" x14ac:dyDescent="0.5">
      <c r="B30" s="47"/>
      <c r="D30" s="51"/>
      <c r="F30" s="52"/>
      <c r="H30" s="53"/>
      <c r="J30" s="54"/>
    </row>
  </sheetData>
  <mergeCells count="3">
    <mergeCell ref="I1:R1"/>
    <mergeCell ref="B2:R2"/>
    <mergeCell ref="B1:F1"/>
  </mergeCell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EAB86B-F6C6-4DCE-A1D0-B324AFB9417D}">
  <sheetPr codeName="Sheet59"/>
  <dimension ref="A1:S18"/>
  <sheetViews>
    <sheetView topLeftCell="A2" zoomScale="85" zoomScaleNormal="85" workbookViewId="0">
      <selection activeCell="T2" sqref="T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count_substring(str, sub, [case_sensitive])</v>
      </c>
      <c r="C1" s="79"/>
      <c r="D1" s="79"/>
      <c r="E1" s="79"/>
      <c r="F1" s="80"/>
      <c r="H1" s="45" t="s">
        <v>2</v>
      </c>
      <c r="I1" s="78" t="str" cm="1">
        <f t="array" aca="1" ref="I1" ca="1">_xlfn.LET(_xlpm.fn, CELL("filename",$A$1), _xlpm.nm, MID(_xlpm.fn, FIND("]", _xlpm.fn) + 1, 255), _xlfn.XLOOKUP(_xlpm.nm &amp; "(*", Lamb!$A$2:$A$1000, Lamb!$D$2:$D$1000, "", 2))</f>
        <v>Counts occurrences of one substring inside another string.
Arguments:
  str              - the text to search in.
  sub              - the substring to count.
  [case_sensitive] - 1 for case-sensitive, 0 to ignore case (default 0).
Returns:
  The count of non-overlapping occurrences. If str OR sub is an array (not both), returns an array of counts. Non-text cells count as 0.
Example:
  count_substring("banana", "a")  -&gt;  3</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=LAMBDA(input_text, sub, [case_sensitive], LET(
   cs, IF(ISOMITTED(case_sensitive), 0, case_sensitive),
   norm, LAMBDA(t, IF(cs = 1, t, LOWER(t))),
   count_one, LAMBDA(txt, subtxt, LET(
      t_norm, norm(txt),
      s_norm, norm(subtxt),
      IF(
         s_norm = "",
         0,
         (LEN(t_norm) - LEN(SUBSTITUTE(t_norm, s_norm, ""))) / LEN(s_norm)
      )
   )),
   input_is_array, ROWS(input_text) * COLUMNS(input_text) &gt; 1,
   sub_is_array, ROWS(sub) * COLUMNS(sub) &gt; 1,
   is_text_or_num, LAMBDA(v, IFERROR(ISNUMBER(v) + ISTEXT(v), 0)),
   IF(
      input_is_array * sub_is_array,
      VALUE("both text args are arrays"),
      IF(
         input_is_array,
         MAP(
            input_text,
            LAMBDA(t, IF(is_text_or_num(t), IFERROR(count_one(t, sub), 0), 0))
         ),
         IF(
            sub_is_array,
            MAP(
               sub,
               LAMBDA(s,
                  IF(
                     is_text_or_num(input_text),
                     IFERROR(count_one(input_text, s), 0),
                     0
                  )
               )
            ),
            IF(
               is_text_or_num(input_text),
               IFERROR(count_one(input_text, sub), 0),
               0
            )
         )
      )
   )
))</v>
      </c>
      <c r="C2" s="82"/>
      <c r="D2" s="82"/>
      <c r="E2" s="82"/>
      <c r="F2" s="82"/>
      <c r="G2" s="82"/>
      <c r="H2" s="82"/>
      <c r="I2" s="82"/>
      <c r="J2" s="82"/>
      <c r="K2" s="82"/>
      <c r="L2" s="82"/>
      <c r="M2" s="82"/>
      <c r="N2" s="82"/>
      <c r="O2" s="82"/>
      <c r="P2" s="82"/>
      <c r="Q2" s="82"/>
      <c r="R2" s="82"/>
    </row>
    <row r="4" spans="1:19" x14ac:dyDescent="0.5">
      <c r="A4" s="45" t="s">
        <v>2959</v>
      </c>
      <c r="N4" s="45" t="str">
        <f>COUNTIF(N6:N20,"PASS")&amp;" / 6 PASS"</f>
        <v>6 / 6 PASS</v>
      </c>
    </row>
    <row r="5" spans="1:19" x14ac:dyDescent="0.5">
      <c r="A5" s="45" t="s">
        <v>7</v>
      </c>
      <c r="B5" s="45" t="s">
        <v>8</v>
      </c>
      <c r="D5" s="45" t="s">
        <v>9</v>
      </c>
      <c r="J5" s="48" t="s">
        <v>10</v>
      </c>
      <c r="L5" s="49" t="s">
        <v>11</v>
      </c>
      <c r="N5" s="50" t="s">
        <v>12</v>
      </c>
    </row>
    <row r="6" spans="1:19" x14ac:dyDescent="0.5">
      <c r="A6" s="46">
        <v>1</v>
      </c>
      <c r="B6" s="47" t="s">
        <v>2960</v>
      </c>
      <c r="D6" s="51" t="s">
        <v>2961</v>
      </c>
      <c r="F6" s="51" t="s">
        <v>2937</v>
      </c>
      <c r="J6" s="52">
        <v>3</v>
      </c>
      <c r="L6" s="53" cm="1">
        <f t="array" ref="L6">count_substring(D6,F6)</f>
        <v>3</v>
      </c>
      <c r="N6" s="54" t="str">
        <f>IF(L6=J6,"PASS","FAIL")</f>
        <v>PASS</v>
      </c>
    </row>
    <row r="8" spans="1:19" x14ac:dyDescent="0.5">
      <c r="A8" s="46">
        <v>2</v>
      </c>
      <c r="B8" s="47" t="s">
        <v>2962</v>
      </c>
      <c r="D8" s="51" t="s">
        <v>2961</v>
      </c>
      <c r="F8" s="51" t="s">
        <v>2963</v>
      </c>
      <c r="J8" s="52">
        <v>2</v>
      </c>
      <c r="L8" s="53" cm="1">
        <f t="array" ref="L8">count_substring(D8,F8)</f>
        <v>2</v>
      </c>
      <c r="N8" s="54" t="str">
        <f>IF(L8=J8,"PASS","FAIL")</f>
        <v>PASS</v>
      </c>
    </row>
    <row r="10" spans="1:19" x14ac:dyDescent="0.5">
      <c r="A10" s="46">
        <v>3</v>
      </c>
      <c r="B10" s="47" t="s">
        <v>2964</v>
      </c>
      <c r="D10" s="51" t="s">
        <v>2965</v>
      </c>
      <c r="F10" s="51" t="s">
        <v>2937</v>
      </c>
      <c r="H10" s="51">
        <v>1</v>
      </c>
      <c r="J10" s="52">
        <v>2</v>
      </c>
      <c r="L10" s="53" cm="1">
        <f t="array" ref="L10">count_substring(D10,F10,H10)</f>
        <v>2</v>
      </c>
      <c r="N10" s="54" t="str">
        <f>IF(L10=J10,"PASS","FAIL")</f>
        <v>PASS</v>
      </c>
    </row>
    <row r="12" spans="1:19" x14ac:dyDescent="0.5">
      <c r="A12" s="46">
        <v>4</v>
      </c>
      <c r="B12" s="47" t="s">
        <v>2966</v>
      </c>
      <c r="D12" s="51" t="s">
        <v>2965</v>
      </c>
      <c r="F12" s="51" t="s">
        <v>2937</v>
      </c>
      <c r="J12" s="52">
        <v>4</v>
      </c>
      <c r="L12" s="53" cm="1">
        <f t="array" ref="L12">count_substring(D12,F12)</f>
        <v>4</v>
      </c>
      <c r="N12" s="54" t="str">
        <f>IF(L12=J12,"PASS","FAIL")</f>
        <v>PASS</v>
      </c>
    </row>
    <row r="14" spans="1:19" x14ac:dyDescent="0.5">
      <c r="A14" s="46">
        <v>5</v>
      </c>
      <c r="B14" s="47" t="s">
        <v>2967</v>
      </c>
      <c r="D14" s="51" t="s">
        <v>2961</v>
      </c>
      <c r="F14" s="51" t="s">
        <v>2937</v>
      </c>
      <c r="J14" s="52">
        <v>3</v>
      </c>
      <c r="L14" s="53" cm="1">
        <f t="array" ref="L14:L15">count_substring(D14,F14:F15)</f>
        <v>3</v>
      </c>
      <c r="N14" s="54" t="str" cm="1">
        <f t="array" ref="N14">IF(AND(J14:J15=L14:L15),"PASS","FAIL")</f>
        <v>PASS</v>
      </c>
    </row>
    <row r="15" spans="1:19" x14ac:dyDescent="0.5">
      <c r="A15" s="55"/>
      <c r="B15" s="55"/>
      <c r="F15" s="51" t="s">
        <v>2968</v>
      </c>
      <c r="J15" s="52">
        <v>2</v>
      </c>
      <c r="L15" s="53">
        <v>2</v>
      </c>
    </row>
    <row r="17" spans="1:14" x14ac:dyDescent="0.5">
      <c r="A17" s="46">
        <v>6</v>
      </c>
      <c r="B17" s="47" t="s">
        <v>2969</v>
      </c>
      <c r="D17" s="51" t="s">
        <v>2961</v>
      </c>
      <c r="F17" s="51" t="s">
        <v>2937</v>
      </c>
      <c r="J17" s="52">
        <v>3</v>
      </c>
      <c r="L17" s="53" cm="1">
        <f t="array" ref="L17:L18">count_substring(D17:D18,F17)</f>
        <v>3</v>
      </c>
      <c r="N17" s="54" t="str" cm="1">
        <f t="array" ref="N17">IF(AND(J17:J18=L17:L18),"PASS","FAIL")</f>
        <v>PASS</v>
      </c>
    </row>
    <row r="18" spans="1:14" x14ac:dyDescent="0.5">
      <c r="A18" s="55"/>
      <c r="B18" s="55"/>
      <c r="D18" s="51" t="s">
        <v>2970</v>
      </c>
      <c r="J18" s="52">
        <v>1</v>
      </c>
      <c r="L18" s="53">
        <v>1</v>
      </c>
    </row>
  </sheetData>
  <mergeCells count="3">
    <mergeCell ref="I1:R1"/>
    <mergeCell ref="B2:R2"/>
    <mergeCell ref="B1:F1"/>
  </mergeCell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FA3AF-4C1A-4D57-A793-34CD305891E5}">
  <sheetPr codeName="Sheet60"/>
  <dimension ref="A1:S18"/>
  <sheetViews>
    <sheetView workbookViewId="0"/>
  </sheetViews>
  <sheetFormatPr defaultRowHeight="21" x14ac:dyDescent="0.5"/>
  <cols>
    <col min="1" max="1" width="4" customWidth="1"/>
    <col min="2" max="2" width="30" customWidth="1"/>
    <col min="4" max="7" width="11" customWidth="1"/>
    <col min="8" max="8" width="3" customWidth="1"/>
    <col min="9" max="12" width="11" customWidth="1"/>
    <col min="13" max="13" width="3" customWidth="1"/>
    <col min="14" max="17" width="11" customWidth="1"/>
    <col min="18" max="18" width="3" customWidth="1"/>
    <col min="19" max="19" width="9" customWidth="1"/>
  </cols>
  <sheetData>
    <row r="1" spans="1:19" ht="210" customHeight="1" x14ac:dyDescent="0.5">
      <c r="A1" s="45" t="s">
        <v>0</v>
      </c>
      <c r="B1" s="83" t="str" cm="1">
        <f t="array" aca="1" ref="B1" ca="1">_xlfn.LET(_xlpm.fn, CELL("filename",$A$1), _xlpm.nm, MID(_xlpm.fn, FIND("]", _xlpm.fn) + 1, 255), _xlfn.XLOOKUP(_xlpm.nm &amp; "(*", Lamb!$A$2:$A$1000, Lamb!$A$2:$A$1000, "", 2))</f>
        <v>ctotal(arr)</v>
      </c>
      <c r="C1" s="79"/>
      <c r="D1" s="79"/>
      <c r="E1" s="79"/>
      <c r="F1" s="80"/>
      <c r="H1" s="45" t="s">
        <v>2</v>
      </c>
      <c r="I1" s="78" t="str" cm="1">
        <f t="array" aca="1" ref="I1" ca="1">_xlfn.LET(_xlpm.fn, CELL("filename",$A$1), _xlpm.nm, MID(_xlpm.fn, FIND("]", _xlpm.fn) + 1, 255), _xlfn.XLOOKUP(_xlpm.nm &amp; "(*", Lamb!$A$2:$A$1000, Lamb!$D$2:$D$1000, "", 2))</f>
        <v>Running cumulative total of an array.
Arguments:
  arr - an array of numbers.
Returns:
  An array the same size as arr; each element is the sum of that element and all elements before it (row-major order).
Example:
  ctotal({1;2;3})  -&gt;  {1;3;6}</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=LAMBDA(arr, SCAN(0, arr, LAMBDA(a, b, a + b)))</v>
      </c>
      <c r="C2" s="82"/>
      <c r="D2" s="82"/>
      <c r="E2" s="82"/>
      <c r="F2" s="82"/>
      <c r="G2" s="82"/>
      <c r="H2" s="82"/>
      <c r="I2" s="82"/>
      <c r="J2" s="82"/>
      <c r="K2" s="82"/>
      <c r="L2" s="82"/>
      <c r="M2" s="82"/>
      <c r="N2" s="82"/>
      <c r="O2" s="82"/>
      <c r="P2" s="82"/>
      <c r="Q2" s="82"/>
      <c r="R2" s="82"/>
    </row>
    <row r="4" spans="1:19" x14ac:dyDescent="0.5">
      <c r="A4" s="45" t="s">
        <v>2971</v>
      </c>
      <c r="S4" s="45" t="str">
        <f>COUNTIF(S6:S20,"PASS")&amp;" / 4 PASS"</f>
        <v>4 / 4 PASS</v>
      </c>
    </row>
    <row r="5" spans="1:19" x14ac:dyDescent="0.5">
      <c r="A5" s="45" t="s">
        <v>7</v>
      </c>
      <c r="B5" s="45" t="s">
        <v>8</v>
      </c>
      <c r="D5" s="45" t="s">
        <v>9</v>
      </c>
      <c r="I5" s="48" t="s">
        <v>10</v>
      </c>
      <c r="N5" s="49" t="s">
        <v>11</v>
      </c>
      <c r="S5" s="50" t="s">
        <v>12</v>
      </c>
    </row>
    <row r="6" spans="1:19" x14ac:dyDescent="0.5">
      <c r="A6" s="46">
        <v>1</v>
      </c>
      <c r="B6" s="47" t="s">
        <v>2972</v>
      </c>
      <c r="D6" s="51">
        <v>1</v>
      </c>
      <c r="I6" s="52">
        <v>1</v>
      </c>
      <c r="N6" s="53" cm="1">
        <f t="array" ref="N6:N8">ctotal(D6:D8)</f>
        <v>1</v>
      </c>
      <c r="S6" s="54" t="str" cm="1">
        <f t="array" ref="S6">IF(AND(I6:I8=N6:N8),"PASS","FAIL")</f>
        <v>PASS</v>
      </c>
    </row>
    <row r="7" spans="1:19" x14ac:dyDescent="0.5">
      <c r="A7" s="55"/>
      <c r="B7" s="55"/>
      <c r="D7" s="51">
        <v>2</v>
      </c>
      <c r="I7" s="52">
        <v>3</v>
      </c>
      <c r="N7" s="53">
        <v>3</v>
      </c>
    </row>
    <row r="8" spans="1:19" x14ac:dyDescent="0.5">
      <c r="A8" s="55"/>
      <c r="B8" s="55"/>
      <c r="D8" s="51">
        <v>3</v>
      </c>
      <c r="I8" s="52">
        <v>6</v>
      </c>
      <c r="N8" s="53">
        <v>6</v>
      </c>
    </row>
    <row r="10" spans="1:19" x14ac:dyDescent="0.5">
      <c r="A10" s="46">
        <v>2</v>
      </c>
      <c r="B10" s="47" t="s">
        <v>2973</v>
      </c>
      <c r="D10" s="51">
        <v>5</v>
      </c>
      <c r="I10" s="52">
        <v>5</v>
      </c>
      <c r="N10" s="53" cm="1">
        <f t="array" ref="N10:N12">ctotal(D10:D12)</f>
        <v>5</v>
      </c>
      <c r="S10" s="54" t="str" cm="1">
        <f t="array" ref="S10">IF(AND(I10:I12=N10:N12),"PASS","FAIL")</f>
        <v>PASS</v>
      </c>
    </row>
    <row r="11" spans="1:19" x14ac:dyDescent="0.5">
      <c r="A11" s="55"/>
      <c r="B11" s="55"/>
      <c r="D11" s="51">
        <v>-2</v>
      </c>
      <c r="I11" s="52">
        <v>3</v>
      </c>
      <c r="N11" s="53">
        <v>3</v>
      </c>
    </row>
    <row r="12" spans="1:19" x14ac:dyDescent="0.5">
      <c r="A12" s="55"/>
      <c r="B12" s="55"/>
      <c r="D12" s="51">
        <v>10</v>
      </c>
      <c r="I12" s="52">
        <v>13</v>
      </c>
      <c r="N12" s="53">
        <v>13</v>
      </c>
    </row>
    <row r="14" spans="1:19" x14ac:dyDescent="0.5">
      <c r="A14" s="46">
        <v>3</v>
      </c>
      <c r="B14" s="47" t="s">
        <v>2974</v>
      </c>
      <c r="D14" s="51">
        <v>1</v>
      </c>
      <c r="I14" s="52">
        <v>1</v>
      </c>
      <c r="N14" s="53" cm="1">
        <f t="array" ref="N14:N16">ctotal(D14:D16)</f>
        <v>1</v>
      </c>
      <c r="S14" s="54" t="str" cm="1">
        <f t="array" ref="S14">IF(AND(I14:I16=N14:N16),"PASS","FAIL")</f>
        <v>PASS</v>
      </c>
    </row>
    <row r="15" spans="1:19" x14ac:dyDescent="0.5">
      <c r="A15" s="55"/>
      <c r="B15" s="55"/>
      <c r="D15" s="51"/>
      <c r="I15" s="52">
        <v>1</v>
      </c>
      <c r="N15" s="53">
        <v>1</v>
      </c>
    </row>
    <row r="16" spans="1:19" x14ac:dyDescent="0.5">
      <c r="A16" s="55"/>
      <c r="B16" s="55"/>
      <c r="D16" s="51">
        <v>3</v>
      </c>
      <c r="I16" s="52">
        <v>4</v>
      </c>
      <c r="N16" s="53">
        <v>4</v>
      </c>
    </row>
    <row r="18" spans="1:19" x14ac:dyDescent="0.5">
      <c r="A18" s="46">
        <v>4</v>
      </c>
      <c r="B18" s="47" t="s">
        <v>2975</v>
      </c>
      <c r="D18" s="51">
        <v>1</v>
      </c>
      <c r="E18" s="51">
        <v>2</v>
      </c>
      <c r="F18" s="51">
        <v>3</v>
      </c>
      <c r="G18" s="51">
        <v>4</v>
      </c>
      <c r="I18" s="52">
        <v>1</v>
      </c>
      <c r="J18" s="52">
        <v>3</v>
      </c>
      <c r="K18" s="52">
        <v>6</v>
      </c>
      <c r="L18" s="52">
        <v>10</v>
      </c>
      <c r="N18" s="53" cm="1">
        <f t="array" ref="N18:Q18">ctotal(D18:G18)</f>
        <v>1</v>
      </c>
      <c r="O18" s="53">
        <v>3</v>
      </c>
      <c r="P18" s="53">
        <v>6</v>
      </c>
      <c r="Q18" s="53">
        <v>10</v>
      </c>
      <c r="S18" s="54" t="str" cm="1">
        <f t="array" ref="S18">IF(AND(I18:L18=N18:Q18),"PASS","FAIL")</f>
        <v>PASS</v>
      </c>
    </row>
  </sheetData>
  <mergeCells count="3">
    <mergeCell ref="I1:R1"/>
    <mergeCell ref="B2:R2"/>
    <mergeCell ref="B1:F1"/>
  </mergeCell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E94DAF-5321-4CCF-9671-E1427AAD7FA6}">
  <sheetPr codeName="Sheet61"/>
  <dimension ref="A1:S18"/>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9" width="11" customWidth="1"/>
    <col min="10" max="10" width="3" customWidth="1"/>
    <col min="11" max="12" width="11" customWidth="1"/>
    <col min="13" max="13" width="3" customWidth="1"/>
    <col min="14" max="14" width="9" customWidth="1"/>
  </cols>
  <sheetData>
    <row r="1" spans="1:19" ht="231" customHeight="1" x14ac:dyDescent="0.5">
      <c r="A1" s="45" t="s">
        <v>0</v>
      </c>
      <c r="B1" s="83" t="str" cm="1">
        <f t="array" aca="1" ref="B1" ca="1">_xlfn.LET(_xlpm.fn, CELL("filename",$A$1), _xlpm.nm, MID(_xlpm.fn, FIND("]", _xlpm.fn) + 1, 255), _xlfn.XLOOKUP(_xlpm.nm &amp; "(*", Lamb!$A$2:$A$1000, Lamb!$A$2:$A$1000, "", 2))</f>
        <v>cycles(outer_n, inner_n)</v>
      </c>
      <c r="C1" s="79"/>
      <c r="D1" s="79"/>
      <c r="E1" s="79"/>
      <c r="F1" s="80"/>
      <c r="H1" s="45" t="s">
        <v>2</v>
      </c>
      <c r="I1" s="78" t="str" cm="1">
        <f t="array" aca="1" ref="I1" ca="1">_xlfn.LET(_xlpm.fn, CELL("filename",$A$1), _xlpm.nm, MID(_xlpm.fn, FIND("]", _xlpm.fn) + 1, 255), _xlfn.XLOOKUP(_xlpm.nm &amp; "(*", Lamb!$A$2:$A$1000, Lamb!$D$2:$D$1000, "", 2))</f>
        <v>Generates the index pairs of two nested loops.
Arguments:
  outer_n - number of outer iterations.
  inner_n - number of inner iterations.
Returns:
  A 2-column array with outer_n*inner_n rows. Column 1 holds the outer index (each value repeated inner_n times); column 2 holds the inner index cycling 1..inner_n.
Example:
  cycles(3, 2)  -&gt;  {1,1; 1,2; 2,1; 2,2; 3,1; 3,2}</v>
      </c>
      <c r="J1" s="79"/>
      <c r="K1" s="79"/>
      <c r="L1" s="79"/>
      <c r="M1" s="79"/>
      <c r="N1" s="79"/>
      <c r="O1" s="79"/>
      <c r="P1" s="79"/>
      <c r="Q1" s="79"/>
      <c r="R1" s="80"/>
      <c r="S1" s="77" t="str">
        <f>HYPERLINK("#lambda_tests!A1","&lt;- test summary")</f>
        <v>&lt;- test summary</v>
      </c>
    </row>
    <row r="2" spans="1:19" ht="84" customHeight="1" x14ac:dyDescent="0.5">
      <c r="A2" s="45" t="s">
        <v>4</v>
      </c>
      <c r="B2" s="81" t="str" cm="1">
        <f t="array" aca="1" ref="B2" ca="1">_xlfn.LET(_xlpm.fn, CELL("filename",$A$1), _xlpm.nm, MID(_xlpm.fn, FIND("]", _xlpm.fn) + 1, 255), _xlfn.XLOOKUP(_xlpm.nm &amp; "(*", Lamb!$A$2:$A$1000, Lamb!$C$2:$C$1000, "", 2))</f>
        <v>=LAMBDA(outer_n, inner_n, LET(
   seq, SEQUENCE(outer_n * inner_n, 1, 0),
   HSTACK(INT(seq / inner_n) + 1, MOD(seq, inner_n) + 1)
))</v>
      </c>
      <c r="C2" s="82"/>
      <c r="D2" s="82"/>
      <c r="E2" s="82"/>
      <c r="F2" s="82"/>
      <c r="G2" s="82"/>
      <c r="H2" s="82"/>
      <c r="I2" s="82"/>
      <c r="J2" s="82"/>
      <c r="K2" s="82"/>
      <c r="L2" s="82"/>
      <c r="M2" s="82"/>
      <c r="N2" s="82"/>
      <c r="O2" s="82"/>
      <c r="P2" s="82"/>
      <c r="Q2" s="82"/>
      <c r="R2" s="82"/>
    </row>
    <row r="4" spans="1:19" x14ac:dyDescent="0.5">
      <c r="A4" s="45" t="s">
        <v>2976</v>
      </c>
      <c r="N4" s="45" t="str">
        <f>COUNTIF(N6:N20,"PASS")&amp;" / 2 PASS"</f>
        <v>2 / 2 PASS</v>
      </c>
    </row>
    <row r="5" spans="1:19" x14ac:dyDescent="0.5">
      <c r="A5" s="45" t="s">
        <v>7</v>
      </c>
      <c r="B5" s="45" t="s">
        <v>8</v>
      </c>
      <c r="D5" s="45" t="s">
        <v>9</v>
      </c>
      <c r="H5" s="48" t="s">
        <v>10</v>
      </c>
      <c r="K5" s="49" t="s">
        <v>11</v>
      </c>
      <c r="N5" s="50" t="s">
        <v>12</v>
      </c>
    </row>
    <row r="6" spans="1:19" x14ac:dyDescent="0.5">
      <c r="A6" s="46">
        <v>1</v>
      </c>
      <c r="B6" s="47" t="s">
        <v>2977</v>
      </c>
      <c r="D6" s="51">
        <v>3</v>
      </c>
      <c r="F6" s="51">
        <v>2</v>
      </c>
      <c r="H6" s="52">
        <v>1</v>
      </c>
      <c r="I6" s="52">
        <v>1</v>
      </c>
      <c r="K6" s="53" cm="1">
        <f t="array" ref="K6:L11">cycles(D6,F6)</f>
        <v>1</v>
      </c>
      <c r="L6" s="53">
        <v>1</v>
      </c>
      <c r="N6" s="54" t="str" cm="1">
        <f t="array" ref="N6">IF(AND(H6:I11=K6:L11),"PASS","FAIL")</f>
        <v>PASS</v>
      </c>
    </row>
    <row r="7" spans="1:19" x14ac:dyDescent="0.5">
      <c r="A7" s="55"/>
      <c r="B7" s="55"/>
      <c r="H7" s="52">
        <v>1</v>
      </c>
      <c r="I7" s="52">
        <v>2</v>
      </c>
      <c r="K7" s="53">
        <v>1</v>
      </c>
      <c r="L7" s="53">
        <v>2</v>
      </c>
    </row>
    <row r="8" spans="1:19" x14ac:dyDescent="0.5">
      <c r="A8" s="55"/>
      <c r="B8" s="55"/>
      <c r="H8" s="52">
        <v>2</v>
      </c>
      <c r="I8" s="52">
        <v>1</v>
      </c>
      <c r="K8" s="53">
        <v>2</v>
      </c>
      <c r="L8" s="53">
        <v>1</v>
      </c>
    </row>
    <row r="9" spans="1:19" x14ac:dyDescent="0.5">
      <c r="A9" s="55"/>
      <c r="B9" s="55"/>
      <c r="H9" s="52">
        <v>2</v>
      </c>
      <c r="I9" s="52">
        <v>2</v>
      </c>
      <c r="K9" s="53">
        <v>2</v>
      </c>
      <c r="L9" s="53">
        <v>2</v>
      </c>
    </row>
    <row r="10" spans="1:19" x14ac:dyDescent="0.5">
      <c r="A10" s="55"/>
      <c r="B10" s="55"/>
      <c r="H10" s="52">
        <v>3</v>
      </c>
      <c r="I10" s="52">
        <v>1</v>
      </c>
      <c r="K10" s="53">
        <v>3</v>
      </c>
      <c r="L10" s="53">
        <v>1</v>
      </c>
    </row>
    <row r="11" spans="1:19" x14ac:dyDescent="0.5">
      <c r="A11" s="55"/>
      <c r="B11" s="55"/>
      <c r="H11" s="52">
        <v>3</v>
      </c>
      <c r="I11" s="52">
        <v>2</v>
      </c>
      <c r="K11" s="53">
        <v>3</v>
      </c>
      <c r="L11" s="53">
        <v>2</v>
      </c>
    </row>
    <row r="13" spans="1:19" x14ac:dyDescent="0.5">
      <c r="A13" s="46">
        <v>2</v>
      </c>
      <c r="B13" s="47" t="s">
        <v>2978</v>
      </c>
      <c r="D13" s="51">
        <v>2</v>
      </c>
      <c r="F13" s="51">
        <v>3</v>
      </c>
      <c r="H13" s="52">
        <v>1</v>
      </c>
      <c r="I13" s="52">
        <v>1</v>
      </c>
      <c r="K13" s="53" cm="1">
        <f t="array" ref="K13:L18">cycles(D13,F13)</f>
        <v>1</v>
      </c>
      <c r="L13" s="53">
        <v>1</v>
      </c>
      <c r="N13" s="54" t="str" cm="1">
        <f t="array" ref="N13">IF(AND(H13:I18=K13:L18),"PASS","FAIL")</f>
        <v>PASS</v>
      </c>
    </row>
    <row r="14" spans="1:19" x14ac:dyDescent="0.5">
      <c r="A14" s="55"/>
      <c r="B14" s="55"/>
      <c r="H14" s="52">
        <v>1</v>
      </c>
      <c r="I14" s="52">
        <v>2</v>
      </c>
      <c r="K14" s="53">
        <v>1</v>
      </c>
      <c r="L14" s="53">
        <v>2</v>
      </c>
    </row>
    <row r="15" spans="1:19" x14ac:dyDescent="0.5">
      <c r="A15" s="55"/>
      <c r="B15" s="55"/>
      <c r="H15" s="52">
        <v>1</v>
      </c>
      <c r="I15" s="52">
        <v>3</v>
      </c>
      <c r="K15" s="53">
        <v>1</v>
      </c>
      <c r="L15" s="53">
        <v>3</v>
      </c>
    </row>
    <row r="16" spans="1:19" x14ac:dyDescent="0.5">
      <c r="A16" s="55"/>
      <c r="B16" s="55"/>
      <c r="H16" s="52">
        <v>2</v>
      </c>
      <c r="I16" s="52">
        <v>1</v>
      </c>
      <c r="K16" s="53">
        <v>2</v>
      </c>
      <c r="L16" s="53">
        <v>1</v>
      </c>
    </row>
    <row r="17" spans="1:12" x14ac:dyDescent="0.5">
      <c r="A17" s="55"/>
      <c r="B17" s="55"/>
      <c r="H17" s="52">
        <v>2</v>
      </c>
      <c r="I17" s="52">
        <v>2</v>
      </c>
      <c r="K17" s="53">
        <v>2</v>
      </c>
      <c r="L17" s="53">
        <v>2</v>
      </c>
    </row>
    <row r="18" spans="1:12" x14ac:dyDescent="0.5">
      <c r="A18" s="55"/>
      <c r="B18" s="55"/>
      <c r="H18" s="52">
        <v>2</v>
      </c>
      <c r="I18" s="52">
        <v>3</v>
      </c>
      <c r="K18" s="53">
        <v>2</v>
      </c>
      <c r="L18" s="53">
        <v>3</v>
      </c>
    </row>
  </sheetData>
  <mergeCells count="3">
    <mergeCell ref="I1:R1"/>
    <mergeCell ref="B2:R2"/>
    <mergeCell ref="B1:F1"/>
  </mergeCell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32EC91-5648-47F8-9BE3-460E0E1771A1}">
  <sheetPr codeName="Sheet62"/>
  <dimension ref="A1:S16"/>
  <sheetViews>
    <sheetView zoomScale="70" zoomScaleNormal="70"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die_pips(st)</v>
      </c>
      <c r="C1" s="79"/>
      <c r="D1" s="79"/>
      <c r="E1" s="79"/>
      <c r="F1" s="80"/>
      <c r="H1" s="45" t="s">
        <v>2</v>
      </c>
      <c r="I1" s="78" t="str" cm="1">
        <f t="array" aca="1" ref="I1" ca="1">_xlfn.LET(_xlpm.fn, CELL("filename",$A$1), _xlpm.nm, MID(_xlpm.fn, FIND("]", _xlpm.fn) + 1, 255), _xlfn.XLOOKUP(_xlpm.nm &amp; "(*", Lamb!$A$2:$A$1000, Lamb!$D$2:$D$1000, "", 2))</f>
        <v>Converts die-face pip glyphs to their numeric values.
Arguments:
  st - one or more die-face characters (⚀ ⚁ ⚂ ⚃ ⚄ ⚅), either concatenated in a string or as an array with one die per cell.
Returns:
  The pip value(s) as numbers. Cells with no die glyph return "" (blank), so it can be applied to mixed arrays. For multiple dice within a single cell, concatenate them into one string first.
Example:
  die_pips("⚄")  -&gt;  5</v>
      </c>
      <c r="J1" s="79"/>
      <c r="K1" s="79"/>
      <c r="L1" s="79"/>
      <c r="M1" s="79"/>
      <c r="N1" s="79"/>
      <c r="O1" s="79"/>
      <c r="P1" s="79"/>
      <c r="Q1" s="79"/>
      <c r="R1" s="80"/>
      <c r="S1" s="77" t="str">
        <f>HYPERLINK("#lambda_tests!A1","&lt;- test summary")</f>
        <v>&lt;- test summary</v>
      </c>
    </row>
    <row r="2" spans="1:19" ht="315" customHeight="1" x14ac:dyDescent="0.5">
      <c r="A2" s="45" t="s">
        <v>4</v>
      </c>
      <c r="B2" s="81" t="str" cm="1">
        <f t="array" aca="1" ref="B2" ca="1">_xlfn.LET(_xlpm.fn, CELL("filename",$A$1), _xlpm.nm, MID(_xlpm.fn, FIND("]", _xlpm.fn) + 1, 255), _xlfn.XLOOKUP(_xlpm.nm &amp; "(*", Lamb!$A$2:$A$1000, Lamb!$C$2:$C$1000, "", 2))</f>
        <v>=LAMBDA(st, LET(
   toVals, LAMBDA(txt, LET(
      seq, SEQUENCE(LEN(txt)),
      chars, MID(txt, seq, 1),
      codes, UNICODE(chars),
      isDie, (codes &gt;= 9856) * (codes &lt;= 9861),
      vals, FILTER(codes - 9855, isDie, ""),
      IF(ROWS(vals) * COLUMNS(vals) = 1, INDEX(vals, 1), vals)
   )),
   IF(
      ROWS(st) * COLUMNS(st) = 1,
      toVals(st),
      MAP(st, LAMBDA(cell, toVals(cell)))
   )
))</v>
      </c>
      <c r="C2" s="82"/>
      <c r="D2" s="82"/>
      <c r="E2" s="82"/>
      <c r="F2" s="82"/>
      <c r="G2" s="82"/>
      <c r="H2" s="82"/>
      <c r="I2" s="82"/>
      <c r="J2" s="82"/>
      <c r="K2" s="82"/>
      <c r="L2" s="82"/>
      <c r="M2" s="82"/>
      <c r="N2" s="82"/>
      <c r="O2" s="82"/>
      <c r="P2" s="82"/>
      <c r="Q2" s="82"/>
      <c r="R2" s="82"/>
    </row>
    <row r="4" spans="1:19" x14ac:dyDescent="0.5">
      <c r="A4" s="45" t="s">
        <v>2979</v>
      </c>
      <c r="J4" s="45" t="str">
        <f>COUNTIF(J6:J16,"PASS")&amp;" / 5 PASS"</f>
        <v>5 / 5 PASS</v>
      </c>
    </row>
    <row r="5" spans="1:19" x14ac:dyDescent="0.5">
      <c r="A5" s="45" t="s">
        <v>7</v>
      </c>
      <c r="B5" s="45" t="s">
        <v>8</v>
      </c>
      <c r="D5" s="45" t="s">
        <v>9</v>
      </c>
      <c r="F5" s="48" t="s">
        <v>10</v>
      </c>
      <c r="H5" s="49" t="s">
        <v>11</v>
      </c>
      <c r="J5" s="50" t="s">
        <v>12</v>
      </c>
    </row>
    <row r="6" spans="1:19" x14ac:dyDescent="0.5">
      <c r="A6" s="46">
        <v>1</v>
      </c>
      <c r="B6" s="47" t="s">
        <v>2980</v>
      </c>
      <c r="D6" s="51" t="s">
        <v>2981</v>
      </c>
      <c r="F6" s="52">
        <v>5</v>
      </c>
      <c r="H6" s="53" cm="1">
        <f t="array" ref="H6">die_pips(D6)</f>
        <v>5</v>
      </c>
      <c r="J6" s="54" t="str">
        <f>IF(H6=F6,"PASS","FAIL")</f>
        <v>PASS</v>
      </c>
    </row>
    <row r="8" spans="1:19" x14ac:dyDescent="0.5">
      <c r="A8" s="46">
        <v>2</v>
      </c>
      <c r="B8" s="47" t="s">
        <v>2982</v>
      </c>
      <c r="D8" s="51" t="s">
        <v>2983</v>
      </c>
      <c r="F8" s="52">
        <v>2</v>
      </c>
      <c r="H8" s="53" cm="1">
        <f t="array" ref="H8">die_pips(D8)</f>
        <v>2</v>
      </c>
      <c r="J8" s="54" t="str">
        <f>IF(H8=F8,"PASS","FAIL")</f>
        <v>PASS</v>
      </c>
    </row>
    <row r="10" spans="1:19" x14ac:dyDescent="0.5">
      <c r="A10" s="46">
        <v>3</v>
      </c>
      <c r="B10" s="47" t="s">
        <v>2984</v>
      </c>
      <c r="D10" s="51" t="s">
        <v>2985</v>
      </c>
      <c r="F10" s="52">
        <v>1</v>
      </c>
      <c r="H10" s="53" cm="1">
        <f t="array" ref="H10:H11">die_pips(D10)</f>
        <v>1</v>
      </c>
      <c r="J10" s="54" t="str" cm="1">
        <f t="array" ref="J10">IF(AND(F10:F11=H10:H11),"PASS","FAIL")</f>
        <v>PASS</v>
      </c>
    </row>
    <row r="11" spans="1:19" x14ac:dyDescent="0.5">
      <c r="A11" s="55"/>
      <c r="B11" s="55"/>
      <c r="F11" s="52">
        <v>6</v>
      </c>
      <c r="H11" s="53">
        <v>6</v>
      </c>
    </row>
    <row r="13" spans="1:19" x14ac:dyDescent="0.5">
      <c r="A13" s="46">
        <v>4</v>
      </c>
      <c r="B13" s="47" t="s">
        <v>2986</v>
      </c>
      <c r="D13" s="51" t="s">
        <v>2987</v>
      </c>
      <c r="F13" s="52">
        <v>3</v>
      </c>
      <c r="H13" s="53" cm="1">
        <f t="array" ref="H13:H14">die_pips(D13:D14)</f>
        <v>3</v>
      </c>
      <c r="J13" s="54" t="str" cm="1">
        <f t="array" ref="J13">IF(AND(F13:F14=H13:H14),"PASS","FAIL")</f>
        <v>PASS</v>
      </c>
    </row>
    <row r="14" spans="1:19" x14ac:dyDescent="0.5">
      <c r="A14" s="55"/>
      <c r="B14" s="55"/>
      <c r="D14" s="51" t="s">
        <v>2981</v>
      </c>
      <c r="F14" s="52">
        <v>5</v>
      </c>
      <c r="H14" s="53">
        <v>5</v>
      </c>
    </row>
    <row r="16" spans="1:19" x14ac:dyDescent="0.5">
      <c r="A16" s="46">
        <v>5</v>
      </c>
      <c r="B16" s="47" t="s">
        <v>3283</v>
      </c>
      <c r="D16" s="51" t="s">
        <v>137</v>
      </c>
      <c r="F16" s="52" t="str">
        <f>""</f>
        <v/>
      </c>
      <c r="H16" s="53" t="str" cm="1">
        <f t="array" ref="H16">die_pips(D16)</f>
        <v/>
      </c>
      <c r="J16" s="54" t="str">
        <f>IF(H16=F16,"PASS","FAIL")</f>
        <v>PASS</v>
      </c>
    </row>
  </sheetData>
  <mergeCells count="3">
    <mergeCell ref="I1:R1"/>
    <mergeCell ref="B2:R2"/>
    <mergeCell ref="B1:F1"/>
  </mergeCell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1F6D68-DB95-4F00-AB3A-33692385591F}">
  <sheetPr codeName="Sheet63"/>
  <dimension ref="A1:S31"/>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9" customWidth="1"/>
  </cols>
  <sheetData>
    <row r="1" spans="1:19" ht="273" customHeight="1" x14ac:dyDescent="0.5">
      <c r="A1" s="45" t="s">
        <v>0</v>
      </c>
      <c r="B1" s="83" t="str" cm="1">
        <f t="array" aca="1" ref="B1" ca="1">_xlfn.LET(_xlpm.fn, CELL("filename",$A$1), _xlpm.nm, MID(_xlpm.fn, FIND("]", _xlpm.fn) + 1, 255), _xlfn.XLOOKUP(_xlpm.nm &amp; "(*", Lamb!$A$2:$A$1000, Lamb!$A$2:$A$1000, "", 2))</f>
        <v>dist(start_ad, end_ad, [diag_allowed], [print_components])</v>
      </c>
      <c r="C1" s="79"/>
      <c r="D1" s="79"/>
      <c r="E1" s="79"/>
      <c r="F1" s="80"/>
      <c r="H1" s="45" t="s">
        <v>2</v>
      </c>
      <c r="I1" s="78" t="str" cm="1">
        <f t="array" aca="1" ref="I1" ca="1">_xlfn.LET(_xlpm.fn, CELL("filename",$A$1), _xlpm.nm, MID(_xlpm.fn, FIND("]", _xlpm.fn) + 1, 255), _xlfn.XLOOKUP(_xlpm.nm &amp; "(*", Lamb!$A$2:$A$1000, Lamb!$D$2:$D$1000, "", 2))</f>
        <v>Distance between two cells, with selectable metric. Accepts numeric or A1 string addresses.
Arguments:
  start_ad           - first cell (numeric address or A1 string).
  end_ad             - second cell (numeric address or A1 string).
  [diag_allowed]     - metric: 1 = chessboard/Chebyshev (default), 0 = taxicab/Manhattan, -1 = Euclidean.
  [print_components] - 1 to return the directional arrows and component distances instead of the scalar (default 0).
Returns:
  The distance as a number, or the component breakdown when print_components = 1.
Example:
  dist("A1", "C3", 1) -&gt; 2</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=LAMBDA(start_ad, end_ad, [diag_allowed], [print_components],
  LET(
    s, num_ad(start_ad),
    e, num_ad(end_ad),
    start_row, INT(s / 1000000),
    start_col, MOD(s, 1000000),
    end_row, INT(e / 1000000),
    end_col, MOD(e, 1000000),
    mode, IF(ISOMITTED(diag_allowed), 1, diag_allowed),
    show_components, IF(ISOMITTED(print_components), 0, print_components),
    row_diff, end_row - start_row,
    col_diff, end_col - start_col,
    abs_row, ABS(row_diff),
    abs_col, ABS(col_diff),
    quad, SWITCH(TRUE, AND(row_diff&lt;0,col_diff&lt;0),"↖", AND(row_diff&lt;0,col_diff&gt;0),"↗", AND(row_diff&gt;0,col_diff&lt;0),"↙", "↘"),
    v_arr, IF(row_diff&gt;0,"↓",IF(row_diff&lt;0,"↑","")),
    h_arr, IF(col_diff&gt;0,"→",IF(col_diff&lt;0,"←","")),
    IF(mode = -1,
      IF(show_components = 0, SQRT(row_diff^2 + col_diff^2),
        VSTACK(v_arr, abs_row, h_arr, abs_col, IF(OR(row_diff=0,col_diff=0),"",quad), SQRT(row_diff^2+col_diff^2))),
      IF(show_components = 0,
        IF(mode = 0, abs_row + abs_col, MAX(abs_row, abs_col)),
        IF(mode = 0,
          VSTACK(v_arr, abs_row, h_arr, abs_col),
          LET(dd, MIN(abs_row,abs_col), rr, abs_row-dd, cc, abs_col-dd,
            VSTACK(IF(dd&gt;0,quad,""), dd, IF(rr&gt;0,v_arr,""), rr, IF(cc&gt;0,h_arr,""), cc)))))
  )
)</v>
      </c>
      <c r="C2" s="82"/>
      <c r="D2" s="82"/>
      <c r="E2" s="82"/>
      <c r="F2" s="82"/>
      <c r="G2" s="82"/>
      <c r="H2" s="82"/>
      <c r="I2" s="82"/>
      <c r="J2" s="82"/>
      <c r="K2" s="82"/>
      <c r="L2" s="82"/>
      <c r="M2" s="82"/>
      <c r="N2" s="82"/>
      <c r="O2" s="82"/>
      <c r="P2" s="82"/>
      <c r="Q2" s="82"/>
      <c r="R2" s="82"/>
    </row>
    <row r="4" spans="1:19" x14ac:dyDescent="0.5">
      <c r="A4" s="45" t="s">
        <v>2988</v>
      </c>
      <c r="P4" s="45" t="str">
        <f>COUNTIF(P6:P33,"PASS")&amp;" / 7 PASS"</f>
        <v>7 / 7 PASS</v>
      </c>
    </row>
    <row r="5" spans="1:19" x14ac:dyDescent="0.5">
      <c r="A5" s="45" t="s">
        <v>7</v>
      </c>
      <c r="B5" s="45" t="s">
        <v>8</v>
      </c>
      <c r="D5" s="45" t="s">
        <v>9</v>
      </c>
      <c r="L5" s="48" t="s">
        <v>10</v>
      </c>
      <c r="N5" s="49" t="s">
        <v>11</v>
      </c>
      <c r="P5" s="50" t="s">
        <v>12</v>
      </c>
    </row>
    <row r="6" spans="1:19" x14ac:dyDescent="0.5">
      <c r="A6" s="46">
        <v>1</v>
      </c>
      <c r="B6" s="47" t="s">
        <v>2989</v>
      </c>
      <c r="D6" s="51" t="s">
        <v>2925</v>
      </c>
      <c r="F6" s="51" t="s">
        <v>2990</v>
      </c>
      <c r="L6" s="52">
        <v>2</v>
      </c>
      <c r="N6" s="53" cm="1">
        <f t="array" ref="N6">dist(D6,F6)</f>
        <v>2</v>
      </c>
      <c r="P6" s="54" t="str">
        <f>IF(N6=L6,"PASS","FAIL")</f>
        <v>PASS</v>
      </c>
    </row>
    <row r="8" spans="1:19" x14ac:dyDescent="0.5">
      <c r="A8" s="46">
        <v>2</v>
      </c>
      <c r="B8" s="47" t="s">
        <v>2991</v>
      </c>
      <c r="D8" s="51" t="s">
        <v>2925</v>
      </c>
      <c r="F8" s="51" t="s">
        <v>2990</v>
      </c>
      <c r="H8" s="51">
        <v>0</v>
      </c>
      <c r="L8" s="52">
        <v>4</v>
      </c>
      <c r="N8" s="53" cm="1">
        <f t="array" ref="N8">dist(D8,F8,H8)</f>
        <v>4</v>
      </c>
      <c r="P8" s="54" t="str">
        <f>IF(N8=L8,"PASS","FAIL")</f>
        <v>PASS</v>
      </c>
    </row>
    <row r="10" spans="1:19" x14ac:dyDescent="0.5">
      <c r="A10" s="46">
        <v>3</v>
      </c>
      <c r="B10" s="47" t="s">
        <v>2992</v>
      </c>
      <c r="D10" s="51" t="s">
        <v>2925</v>
      </c>
      <c r="F10" s="51" t="s">
        <v>2990</v>
      </c>
      <c r="H10" s="51">
        <v>-1</v>
      </c>
      <c r="L10" s="52">
        <v>2.8284271247461898</v>
      </c>
      <c r="N10" s="53" cm="1">
        <f t="array" ref="N10">dist(D10,F10,H10)</f>
        <v>2.8284271247461903</v>
      </c>
      <c r="P10" s="54" t="str">
        <f>IF(ABS(N10-L10)&lt;0.000000001,"PASS","FAIL")</f>
        <v>PASS</v>
      </c>
    </row>
    <row r="12" spans="1:19" x14ac:dyDescent="0.5">
      <c r="A12" s="46">
        <v>4</v>
      </c>
      <c r="B12" s="47" t="s">
        <v>2993</v>
      </c>
      <c r="D12" s="51" t="s">
        <v>2925</v>
      </c>
      <c r="F12" s="51" t="s">
        <v>2994</v>
      </c>
      <c r="L12" s="52">
        <v>3</v>
      </c>
      <c r="N12" s="53" cm="1">
        <f t="array" ref="N12">dist(D12,F12)</f>
        <v>3</v>
      </c>
      <c r="P12" s="54" t="str">
        <f>IF(N12=L12,"PASS","FAIL")</f>
        <v>PASS</v>
      </c>
    </row>
    <row r="14" spans="1:19" x14ac:dyDescent="0.5">
      <c r="A14" s="46">
        <v>5</v>
      </c>
      <c r="B14" s="47" t="s">
        <v>2995</v>
      </c>
      <c r="D14" s="51" t="s">
        <v>2925</v>
      </c>
      <c r="F14" s="51" t="s">
        <v>2990</v>
      </c>
      <c r="H14" s="51">
        <v>1</v>
      </c>
      <c r="J14" s="51">
        <v>1</v>
      </c>
      <c r="L14" s="52" t="s">
        <v>374</v>
      </c>
      <c r="N14" s="53" t="str" cm="1">
        <f t="array" ref="N14:N19">dist(D14,F14,H14,J14)</f>
        <v>↘</v>
      </c>
      <c r="P14" s="54" t="str" cm="1">
        <f t="array" ref="P14">IF(AND(L14:L19=N14:N19),"PASS","FAIL")</f>
        <v>PASS</v>
      </c>
    </row>
    <row r="15" spans="1:19" x14ac:dyDescent="0.5">
      <c r="A15" s="55"/>
      <c r="B15" s="55"/>
      <c r="L15" s="52">
        <v>2</v>
      </c>
      <c r="N15" s="53">
        <v>2</v>
      </c>
    </row>
    <row r="16" spans="1:19" x14ac:dyDescent="0.5">
      <c r="A16" s="55"/>
      <c r="B16" s="55"/>
      <c r="L16" s="52"/>
      <c r="N16" s="53" t="str">
        <v/>
      </c>
    </row>
    <row r="17" spans="1:16" x14ac:dyDescent="0.5">
      <c r="A17" s="55"/>
      <c r="B17" s="55"/>
      <c r="L17" s="52">
        <v>0</v>
      </c>
      <c r="N17" s="53">
        <v>0</v>
      </c>
    </row>
    <row r="18" spans="1:16" x14ac:dyDescent="0.5">
      <c r="A18" s="55"/>
      <c r="B18" s="55"/>
      <c r="L18" s="52"/>
      <c r="N18" s="53" t="str">
        <v/>
      </c>
    </row>
    <row r="19" spans="1:16" x14ac:dyDescent="0.5">
      <c r="A19" s="55"/>
      <c r="B19" s="55"/>
      <c r="L19" s="52">
        <v>0</v>
      </c>
      <c r="N19" s="53">
        <v>0</v>
      </c>
    </row>
    <row r="21" spans="1:16" x14ac:dyDescent="0.5">
      <c r="A21" s="46">
        <v>6</v>
      </c>
      <c r="B21" s="47" t="s">
        <v>2996</v>
      </c>
      <c r="D21" s="51" t="s">
        <v>2925</v>
      </c>
      <c r="F21" s="51" t="s">
        <v>2997</v>
      </c>
      <c r="H21" s="51">
        <v>1</v>
      </c>
      <c r="J21" s="51">
        <v>1</v>
      </c>
      <c r="L21" s="52" t="s">
        <v>374</v>
      </c>
      <c r="N21" s="53" t="str" cm="1">
        <f t="array" ref="N21:N26">dist(D21,F21,H21,J21)</f>
        <v>↘</v>
      </c>
      <c r="P21" s="54" t="str" cm="1">
        <f t="array" ref="P21">IF(AND(L21:L26=N21:N26),"PASS","FAIL")</f>
        <v>PASS</v>
      </c>
    </row>
    <row r="22" spans="1:16" x14ac:dyDescent="0.5">
      <c r="A22" s="55"/>
      <c r="B22" s="55"/>
      <c r="L22" s="52">
        <v>2</v>
      </c>
      <c r="N22" s="53">
        <v>2</v>
      </c>
    </row>
    <row r="23" spans="1:16" x14ac:dyDescent="0.5">
      <c r="A23" s="55"/>
      <c r="B23" s="55"/>
      <c r="L23" s="52" t="s">
        <v>181</v>
      </c>
      <c r="N23" s="53" t="str">
        <v>↓</v>
      </c>
    </row>
    <row r="24" spans="1:16" x14ac:dyDescent="0.5">
      <c r="A24" s="55"/>
      <c r="B24" s="55"/>
      <c r="L24" s="52">
        <v>1</v>
      </c>
      <c r="N24" s="53">
        <v>1</v>
      </c>
    </row>
    <row r="25" spans="1:16" x14ac:dyDescent="0.5">
      <c r="A25" s="55"/>
      <c r="B25" s="55"/>
      <c r="L25" s="52"/>
      <c r="N25" s="53" t="str">
        <v/>
      </c>
    </row>
    <row r="26" spans="1:16" x14ac:dyDescent="0.5">
      <c r="A26" s="55"/>
      <c r="B26" s="55"/>
      <c r="L26" s="52">
        <v>0</v>
      </c>
      <c r="N26" s="53">
        <v>0</v>
      </c>
    </row>
    <row r="28" spans="1:16" x14ac:dyDescent="0.5">
      <c r="A28" s="46">
        <v>7</v>
      </c>
      <c r="B28" s="47" t="s">
        <v>2998</v>
      </c>
      <c r="D28" s="51" t="s">
        <v>2925</v>
      </c>
      <c r="F28" s="51" t="s">
        <v>2990</v>
      </c>
      <c r="H28" s="51">
        <v>0</v>
      </c>
      <c r="J28" s="51">
        <v>1</v>
      </c>
      <c r="L28" s="52" t="s">
        <v>181</v>
      </c>
      <c r="N28" s="53" t="str" cm="1">
        <f t="array" ref="N28:N31">dist(D28,F28,H28,J28)</f>
        <v>↓</v>
      </c>
      <c r="P28" s="54" t="str" cm="1">
        <f t="array" ref="P28">IF(AND(L28:L31=N28:N31),"PASS","FAIL")</f>
        <v>PASS</v>
      </c>
    </row>
    <row r="29" spans="1:16" x14ac:dyDescent="0.5">
      <c r="A29" s="55"/>
      <c r="B29" s="55"/>
      <c r="L29" s="52">
        <v>2</v>
      </c>
      <c r="N29" s="53">
        <v>2</v>
      </c>
    </row>
    <row r="30" spans="1:16" x14ac:dyDescent="0.5">
      <c r="A30" s="55"/>
      <c r="B30" s="55"/>
      <c r="L30" s="52" t="s">
        <v>192</v>
      </c>
      <c r="N30" s="53" t="str">
        <v>→</v>
      </c>
    </row>
    <row r="31" spans="1:16" x14ac:dyDescent="0.5">
      <c r="A31" s="55"/>
      <c r="B31" s="55"/>
      <c r="L31" s="52">
        <v>2</v>
      </c>
      <c r="N31" s="53">
        <v>2</v>
      </c>
    </row>
  </sheetData>
  <mergeCells count="3">
    <mergeCell ref="I1:R1"/>
    <mergeCell ref="B2:R2"/>
    <mergeCell ref="B1:F1"/>
  </mergeCell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F7CCC-728A-4332-9262-D9685DB548A2}">
  <sheetPr codeName="Sheet64"/>
  <dimension ref="A1:S20"/>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exists(arr, value)</v>
      </c>
      <c r="C1" s="79"/>
      <c r="D1" s="79"/>
      <c r="E1" s="79"/>
      <c r="F1" s="80"/>
      <c r="H1" s="45" t="s">
        <v>2</v>
      </c>
      <c r="I1" s="78" t="str" cm="1">
        <f t="array" aca="1" ref="I1" ca="1">_xlfn.LET(_xlpm.fn, CELL("filename",$A$1), _xlpm.nm, MID(_xlpm.fn, FIND("]", _xlpm.fn) + 1, 255), _xlfn.XLOOKUP(_xlpm.nm &amp; "(*", Lamb!$A$2:$A$1000, Lamb!$D$2:$D$1000, "", 2))</f>
        <v>Membership test: is a value present in an array.
Arguments:
  arr   - array to search (flattened before testing).
  value - the scalar value to look for.
Returns:
  1 if value occurs in arr, otherwise 0.
Example:
  exists(list, "x")  -&gt;  1</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=LAMBDA(Arr, Val, IF(ISNUMBER(XMATCH(Val, TOCOL(Arr), 0)), 1, 0))</v>
      </c>
      <c r="C2" s="82"/>
      <c r="D2" s="82"/>
      <c r="E2" s="82"/>
      <c r="F2" s="82"/>
      <c r="G2" s="82"/>
      <c r="H2" s="82"/>
      <c r="I2" s="82"/>
      <c r="J2" s="82"/>
      <c r="K2" s="82"/>
      <c r="L2" s="82"/>
      <c r="M2" s="82"/>
      <c r="N2" s="82"/>
      <c r="O2" s="82"/>
      <c r="P2" s="82"/>
      <c r="Q2" s="82"/>
      <c r="R2" s="82"/>
    </row>
    <row r="4" spans="1:19" x14ac:dyDescent="0.5">
      <c r="A4" s="45" t="s">
        <v>2999</v>
      </c>
      <c r="L4" s="45" t="str">
        <f>COUNTIF(L6:L22,"PASS")&amp;" / 4 PASS"</f>
        <v>4 / 4 PASS</v>
      </c>
    </row>
    <row r="5" spans="1:19" x14ac:dyDescent="0.5">
      <c r="A5" s="45" t="s">
        <v>7</v>
      </c>
      <c r="B5" s="45" t="s">
        <v>8</v>
      </c>
      <c r="D5" s="45" t="s">
        <v>9</v>
      </c>
      <c r="H5" s="48" t="s">
        <v>10</v>
      </c>
      <c r="J5" s="49" t="s">
        <v>11</v>
      </c>
      <c r="L5" s="50" t="s">
        <v>12</v>
      </c>
    </row>
    <row r="6" spans="1:19" x14ac:dyDescent="0.5">
      <c r="A6" s="46">
        <v>1</v>
      </c>
      <c r="B6" s="47" t="s">
        <v>3000</v>
      </c>
      <c r="D6" s="51">
        <v>1</v>
      </c>
      <c r="F6" s="51">
        <v>2</v>
      </c>
      <c r="H6" s="52">
        <v>1</v>
      </c>
      <c r="J6" s="53" cm="1">
        <f t="array" ref="J6">exists(D6:D8,F6)</f>
        <v>1</v>
      </c>
      <c r="L6" s="54" t="str">
        <f>IF(J6=H6,"PASS","FAIL")</f>
        <v>PASS</v>
      </c>
    </row>
    <row r="7" spans="1:19" x14ac:dyDescent="0.5">
      <c r="A7" s="55"/>
      <c r="B7" s="55"/>
      <c r="D7" s="51">
        <v>2</v>
      </c>
    </row>
    <row r="8" spans="1:19" x14ac:dyDescent="0.5">
      <c r="A8" s="55"/>
      <c r="B8" s="55"/>
      <c r="D8" s="51">
        <v>3</v>
      </c>
    </row>
    <row r="10" spans="1:19" x14ac:dyDescent="0.5">
      <c r="A10" s="46">
        <v>2</v>
      </c>
      <c r="B10" s="47" t="s">
        <v>3001</v>
      </c>
      <c r="D10" s="51" t="s">
        <v>2937</v>
      </c>
      <c r="F10" s="51" t="s">
        <v>2957</v>
      </c>
      <c r="H10" s="52">
        <v>0</v>
      </c>
      <c r="J10" s="53" cm="1">
        <f t="array" ref="J10">exists(D10:D12,F10)</f>
        <v>0</v>
      </c>
      <c r="L10" s="54" t="str">
        <f>IF(J10=H10,"PASS","FAIL")</f>
        <v>PASS</v>
      </c>
    </row>
    <row r="11" spans="1:19" x14ac:dyDescent="0.5">
      <c r="A11" s="55"/>
      <c r="B11" s="55"/>
      <c r="D11" s="51" t="s">
        <v>2938</v>
      </c>
    </row>
    <row r="12" spans="1:19" x14ac:dyDescent="0.5">
      <c r="A12" s="55"/>
      <c r="B12" s="55"/>
      <c r="D12" s="51" t="s">
        <v>2946</v>
      </c>
    </row>
    <row r="14" spans="1:19" x14ac:dyDescent="0.5">
      <c r="A14" s="46">
        <v>3</v>
      </c>
      <c r="B14" s="47" t="s">
        <v>3002</v>
      </c>
      <c r="D14" s="51">
        <v>1</v>
      </c>
      <c r="F14" s="51">
        <v>2</v>
      </c>
      <c r="H14" s="52">
        <v>1</v>
      </c>
      <c r="J14" s="53" cm="1">
        <f t="array" ref="J14:J15">exists(D14:D16,F14:F15)</f>
        <v>1</v>
      </c>
      <c r="L14" s="54" t="str" cm="1">
        <f t="array" ref="L14">IF(AND(H14:H15=J14:J15),"PASS","FAIL")</f>
        <v>PASS</v>
      </c>
    </row>
    <row r="15" spans="1:19" x14ac:dyDescent="0.5">
      <c r="A15" s="55"/>
      <c r="B15" s="55"/>
      <c r="D15" s="51">
        <v>2</v>
      </c>
      <c r="F15" s="51">
        <v>9</v>
      </c>
      <c r="H15" s="52">
        <v>0</v>
      </c>
      <c r="J15" s="53">
        <v>0</v>
      </c>
    </row>
    <row r="16" spans="1:19" x14ac:dyDescent="0.5">
      <c r="A16" s="55"/>
      <c r="B16" s="55"/>
      <c r="D16" s="51">
        <v>3</v>
      </c>
    </row>
    <row r="18" spans="1:12" x14ac:dyDescent="0.5">
      <c r="A18" s="46">
        <v>4</v>
      </c>
      <c r="B18" s="47" t="s">
        <v>3003</v>
      </c>
      <c r="D18" s="51" t="s">
        <v>2937</v>
      </c>
      <c r="F18" s="51" t="s">
        <v>2937</v>
      </c>
      <c r="H18" s="52">
        <v>1</v>
      </c>
      <c r="J18" s="53" cm="1">
        <f t="array" ref="J18:J19">exists(D18:D20,F18:F19)</f>
        <v>1</v>
      </c>
      <c r="L18" s="54" t="str" cm="1">
        <f t="array" ref="L18">IF(AND(H18:H19=J18:J19),"PASS","FAIL")</f>
        <v>PASS</v>
      </c>
    </row>
    <row r="19" spans="1:12" x14ac:dyDescent="0.5">
      <c r="A19" s="55"/>
      <c r="B19" s="55"/>
      <c r="D19" s="51" t="s">
        <v>2938</v>
      </c>
      <c r="F19" s="51" t="s">
        <v>3004</v>
      </c>
      <c r="H19" s="52">
        <v>0</v>
      </c>
      <c r="J19" s="53">
        <v>0</v>
      </c>
    </row>
    <row r="20" spans="1:12" x14ac:dyDescent="0.5">
      <c r="A20" s="55"/>
      <c r="B20" s="55"/>
      <c r="D20" s="51" t="s">
        <v>2946</v>
      </c>
    </row>
  </sheetData>
  <mergeCells count="3">
    <mergeCell ref="I1:R1"/>
    <mergeCell ref="B2:R2"/>
    <mergeCell ref="B1:F1"/>
  </mergeCell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C9979-77C9-4B28-B0FE-E5E2B329DAEA}">
  <sheetPr codeName="Sheet76"/>
  <dimension ref="A1:S30"/>
  <sheetViews>
    <sheetView workbookViewId="0"/>
  </sheetViews>
  <sheetFormatPr defaultRowHeight="21" x14ac:dyDescent="0.5"/>
  <cols>
    <col min="1" max="1" width="4" customWidth="1"/>
    <col min="2" max="2" width="24"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52" customHeight="1" x14ac:dyDescent="0.5">
      <c r="A1" s="45" t="s">
        <v>0</v>
      </c>
      <c r="B1" s="83" t="str" cm="1">
        <f t="array" aca="1" ref="B1" ca="1">_xlfn.LET(_xlpm.fn, CELL("filename",$A$1), _xlpm.nm, MID(_xlpm.fn, FIND("]", _xlpm.fn) + 1, 255), _xlfn.XLOOKUP(_xlpm.nm &amp; "(*", Lamb!$A$2:$A$1000, Lamb!$A$2:$A$1000, "", 2))</f>
        <v>expand_rng(ad_or_rng, [r_down], [c_right], [r_up], [c_left])</v>
      </c>
      <c r="C1" s="79"/>
      <c r="D1" s="79"/>
      <c r="E1" s="79"/>
      <c r="F1" s="80"/>
      <c r="H1" s="45" t="s">
        <v>2</v>
      </c>
      <c r="I1" s="78" t="str" cm="1">
        <f t="array" aca="1" ref="I1" ca="1">_xlfn.LET(_xlpm.fn, CELL("filename",$A$1), _xlpm.nm, MID(_xlpm.fn, FIND("]", _xlpm.fn) + 1, 255), _xlfn.XLOOKUP(_xlpm.nm &amp; "(*", Lamb!$A$2:$A$1000, Lamb!$D$2:$D$1000, "", 2))</f>
        <v>Grow an address or range into a bigger rectangle, working purely on coordinates - it never reads or cares about the cell contents.
Starting from the box of ad_or_rng, it extends the bottom edge down by r_down, the right edge right by c_right, the top edge up by r_up, and the left edge left by c_left. Any edge pushed past the sheet is clamped to row 1 or column 1.
The result is always a range string of the form "top-left:bottom-right", and its format mirrors the input: an A1 input gives an A1 range ("F10:M12"); a numeric input gives a numeric range ("1000001:4000002"). Even a single cell with no expansion comes back as a (degenerate) range string, so downstream callers like ad_to_cont always receive a consistent range form.
ad_or_rng must be a single value of any of the four supported address/range types; an array returns #VALUE!. Each optional must be a non-negative integer, or the result is #VALUE!.
Arguments:
  ad_or_rng - a single numeric address, A1 string, A1 range, or numeric range.
  [r_down]  - rows to add below   (default 0).
  [c_right] - columns to add right (default 0).
  [r_up]    - rows to add above    (default 0).
  [c_left]  - columns to add left  (default 0).
Returns:
  A range string covering the expanded rectangle, in the input's format. #VALUE! for an array input or a negative/non-integer optional.
Example:
  expand_rng("J10:K11", 1, 2, 0, 4)  -&gt;  "F10:M12"
  expand_rng("B3", 0, 0, 10, 0)       -&gt;  "B1:B3"
  expand_rng("B3", 0, 0, 0, 10)       -&gt;  "A3:B3"</v>
      </c>
      <c r="J1" s="79"/>
      <c r="K1" s="79"/>
      <c r="L1" s="79"/>
      <c r="M1" s="79"/>
      <c r="N1" s="79"/>
      <c r="O1" s="79"/>
      <c r="P1" s="79"/>
      <c r="Q1" s="79"/>
      <c r="R1" s="80"/>
      <c r="S1" s="77" t="str">
        <f>HYPERLINK("#lambda_tests!A1","&lt;- test summary")</f>
        <v>&lt;- test summary</v>
      </c>
    </row>
    <row r="2" spans="1:19" ht="357" customHeight="1" x14ac:dyDescent="0.5">
      <c r="A2" s="45" t="s">
        <v>4</v>
      </c>
      <c r="B2" s="81" t="str" cm="1">
        <f t="array" aca="1" ref="B2" ca="1">_xlfn.LET(_xlpm.fn, CELL("filename",$A$1), _xlpm.nm, MID(_xlpm.fn, FIND("]", _xlpm.fn) + 1, 255), _xlfn.XLOOKUP(_xlpm.nm &amp; "(*", Lamb!$A$2:$A$1000, Lamb!$C$2:$C$1000, "", 2))</f>
        <v>=LAMBDA(ad_or_rng, [r_down], [c_right], [r_up], [c_left],
  LET(
    grow_down, IF(ISOMITTED(r_down), 0, r_down),
    grow_right, IF(ISOMITTED(c_right), 0, c_right),
    grow_up, IF(ISOMITTED(r_up), 0, r_up),
    grow_left, IF(ISOMITTED(c_left), 0, c_left),
    single, ROWS(ad_or_rng) * COLUMNS(ad_or_rng) = 1,
    ok_int, LAMBDA(x, IFERROR(AND(ISNUMBER(x), x = INT(x), x &gt;= 0), FALSE)),
    args_ok, AND(ok_int(grow_down), ok_int(grow_right), ok_int(grow_up), ok_int(grow_left)),
    box, IFERROR(z_ad_box(ad_or_rng), 0),
    IF(OR(NOT(single), NOT(args_ok), COUNT(box) &lt;&gt; 4), #VALUE!,
      LET(
        top, MAX(1, SUM(INDEX(box, 1)) - grow_up),
        lft, MAX(1, SUM(INDEX(box, 2)) - grow_left),
        bot, MIN(1048576, SUM(INDEX(box, 3)) + grow_down),
        rgt, MIN(16384, SUM(INDEX(box, 4)) + grow_right),
        num_fmt, OR(ISNUMBER(ad_or_rng), AND(ISTEXT(ad_or_rng), NOT(REGEXTEST(ad_or_rng, "[A-Za-z]")))),
        corner_tl, IF(num_fmt, 1000000 * top + lft, ADDRESS(top, lft, 4)),
        corner_br, IF(num_fmt, 1000000 * bot + rgt, ADDRESS(bot, rgt, 4)),
        corner_tl &amp; ":" &amp; corner_br))
  )
)</v>
      </c>
      <c r="C2" s="82"/>
      <c r="D2" s="82"/>
      <c r="E2" s="82"/>
      <c r="F2" s="82"/>
      <c r="G2" s="82"/>
      <c r="H2" s="82"/>
      <c r="I2" s="82"/>
      <c r="J2" s="82"/>
      <c r="K2" s="82"/>
      <c r="L2" s="82"/>
      <c r="M2" s="82"/>
      <c r="N2" s="82"/>
      <c r="O2" s="82"/>
      <c r="P2" s="82"/>
      <c r="Q2" s="82"/>
      <c r="R2" s="82"/>
    </row>
    <row r="4" spans="1:19" x14ac:dyDescent="0.5">
      <c r="A4" s="45" t="s">
        <v>3506</v>
      </c>
      <c r="J4" t="str">
        <f>COUNTIF(J6:J40,"PASS")&amp;" / 7 PASS"</f>
        <v>7 / 7 PASS</v>
      </c>
      <c r="P4" s="45"/>
    </row>
    <row r="5" spans="1:19" x14ac:dyDescent="0.5">
      <c r="A5" s="45" t="s">
        <v>7</v>
      </c>
      <c r="B5" s="45" t="s">
        <v>8</v>
      </c>
      <c r="D5" s="45" t="s">
        <v>9</v>
      </c>
      <c r="F5" t="s">
        <v>10</v>
      </c>
      <c r="H5" s="48" t="s">
        <v>11</v>
      </c>
      <c r="J5" t="s">
        <v>12</v>
      </c>
      <c r="L5" s="49" t="s">
        <v>11</v>
      </c>
      <c r="P5" s="50" t="s">
        <v>12</v>
      </c>
    </row>
    <row r="6" spans="1:19" x14ac:dyDescent="0.5">
      <c r="A6" s="46">
        <v>1</v>
      </c>
      <c r="B6" s="47" t="s">
        <v>3507</v>
      </c>
      <c r="D6" s="51" t="s">
        <v>3508</v>
      </c>
      <c r="F6" s="52" t="s">
        <v>3509</v>
      </c>
      <c r="H6" s="53" t="str" cm="1">
        <f t="array" ref="H6">expand_rng("J10:K11",1,2,0,4)</f>
        <v>F10:M12</v>
      </c>
      <c r="I6" s="52"/>
      <c r="J6" s="54" t="str">
        <f>IF(H6=F6,"PASS","FAIL")</f>
        <v>PASS</v>
      </c>
      <c r="L6" s="53"/>
      <c r="M6" s="53"/>
      <c r="P6" s="54"/>
    </row>
    <row r="7" spans="1:19" x14ac:dyDescent="0.5">
      <c r="A7" s="55"/>
      <c r="B7" s="47"/>
      <c r="D7" s="51"/>
      <c r="F7" s="52"/>
      <c r="H7" s="53"/>
      <c r="I7" s="52"/>
      <c r="J7" s="54"/>
      <c r="L7" s="53"/>
      <c r="M7" s="53"/>
      <c r="P7" s="54"/>
    </row>
    <row r="8" spans="1:19" x14ac:dyDescent="0.5">
      <c r="A8">
        <v>2</v>
      </c>
      <c r="B8" s="47" t="s">
        <v>3510</v>
      </c>
      <c r="D8" s="51" t="s">
        <v>3511</v>
      </c>
      <c r="F8" s="52" t="s">
        <v>3512</v>
      </c>
      <c r="H8" s="53" t="str" cm="1">
        <f t="array" ref="H8">expand_rng("B3",0,0,10,0)</f>
        <v>B1:B3</v>
      </c>
      <c r="I8" s="52"/>
      <c r="J8" s="54" t="str">
        <f>IF(H8=F8,"PASS","FAIL")</f>
        <v>PASS</v>
      </c>
      <c r="L8" s="53"/>
      <c r="M8" s="53"/>
      <c r="P8" s="54"/>
    </row>
    <row r="9" spans="1:19" x14ac:dyDescent="0.5">
      <c r="A9" s="46"/>
      <c r="B9" s="47"/>
      <c r="D9" s="51"/>
      <c r="F9" s="52"/>
      <c r="H9" s="53"/>
      <c r="I9" s="52"/>
      <c r="J9" s="54"/>
      <c r="L9" s="53"/>
      <c r="M9" s="53"/>
      <c r="P9" s="54"/>
    </row>
    <row r="10" spans="1:19" x14ac:dyDescent="0.5">
      <c r="A10" s="55">
        <v>3</v>
      </c>
      <c r="B10" s="47" t="s">
        <v>3513</v>
      </c>
      <c r="D10" s="51" t="s">
        <v>3514</v>
      </c>
      <c r="F10" s="52" t="s">
        <v>3515</v>
      </c>
      <c r="H10" s="53" t="str" cm="1">
        <f t="array" ref="H10">expand_rng("B3",0,0,0,10)</f>
        <v>A3:B3</v>
      </c>
      <c r="I10" s="52"/>
      <c r="J10" s="54" t="str">
        <f>IF(H10=F10,"PASS","FAIL")</f>
        <v>PASS</v>
      </c>
      <c r="L10" s="53"/>
      <c r="M10" s="53"/>
      <c r="P10" s="54"/>
    </row>
    <row r="11" spans="1:19" x14ac:dyDescent="0.5">
      <c r="B11" s="47"/>
      <c r="D11" s="51"/>
      <c r="F11" s="52"/>
      <c r="H11" s="53"/>
      <c r="I11" s="52"/>
      <c r="J11" s="54"/>
      <c r="L11" s="53"/>
      <c r="M11" s="53"/>
      <c r="P11" s="54"/>
    </row>
    <row r="12" spans="1:19" ht="32" x14ac:dyDescent="0.5">
      <c r="A12" s="46">
        <v>4</v>
      </c>
      <c r="B12" s="47" t="s">
        <v>3516</v>
      </c>
      <c r="D12" s="51" t="s">
        <v>3517</v>
      </c>
      <c r="F12" s="52" t="s">
        <v>3518</v>
      </c>
      <c r="H12" s="53" t="str" cm="1">
        <f t="array" ref="H12">expand_rng("1000001:1000002",1,0,0,0)</f>
        <v>1000001:2000002</v>
      </c>
      <c r="I12" s="52"/>
      <c r="J12" s="54" t="str">
        <f>IF(H12=F12,"PASS","FAIL")</f>
        <v>PASS</v>
      </c>
      <c r="L12" s="53"/>
      <c r="M12" s="53"/>
      <c r="P12" s="54"/>
    </row>
    <row r="13" spans="1:19" x14ac:dyDescent="0.5">
      <c r="A13" s="55"/>
      <c r="B13" s="47"/>
      <c r="D13" s="51"/>
      <c r="F13" s="52"/>
      <c r="H13" s="53"/>
      <c r="I13" s="52"/>
      <c r="J13" s="54"/>
      <c r="L13" s="53"/>
      <c r="M13" s="53"/>
      <c r="P13" s="54"/>
    </row>
    <row r="14" spans="1:19" ht="32" x14ac:dyDescent="0.5">
      <c r="A14" s="55">
        <v>5</v>
      </c>
      <c r="B14" s="47" t="s">
        <v>3519</v>
      </c>
      <c r="D14" s="51" t="s">
        <v>3520</v>
      </c>
      <c r="F14" s="52" t="s">
        <v>3521</v>
      </c>
      <c r="H14" s="53" t="str" cm="1">
        <f t="array" ref="H14">expand_rng(3000004)</f>
        <v>3000004:3000004</v>
      </c>
      <c r="I14" s="52"/>
      <c r="J14" s="54" t="str">
        <f>IF(H14=F14,"PASS","FAIL")</f>
        <v>PASS</v>
      </c>
      <c r="L14" s="53"/>
      <c r="M14" s="53"/>
      <c r="P14" s="54"/>
    </row>
    <row r="15" spans="1:19" x14ac:dyDescent="0.5">
      <c r="B15" s="47"/>
      <c r="D15" s="51"/>
      <c r="F15" s="52"/>
      <c r="H15" s="53"/>
      <c r="I15" s="52"/>
      <c r="J15" s="54"/>
      <c r="L15" s="53"/>
      <c r="M15" s="53"/>
      <c r="P15" s="54"/>
    </row>
    <row r="16" spans="1:19" x14ac:dyDescent="0.5">
      <c r="A16" s="46">
        <v>6</v>
      </c>
      <c r="B16" s="47" t="s">
        <v>3522</v>
      </c>
      <c r="D16" s="51"/>
      <c r="F16" s="52">
        <v>3</v>
      </c>
      <c r="H16" s="53" cm="1">
        <f t="array" ref="H16">ERROR.TYPE(expand_rng({1,2}))</f>
        <v>3</v>
      </c>
      <c r="I16" s="52"/>
      <c r="J16" s="54" t="str">
        <f>IF(H16=F16,"PASS","FAIL")</f>
        <v>PASS</v>
      </c>
      <c r="L16" s="53"/>
      <c r="M16" s="53"/>
      <c r="N16" s="53"/>
      <c r="P16" s="54"/>
    </row>
    <row r="17" spans="1:16" x14ac:dyDescent="0.5">
      <c r="B17" s="47"/>
      <c r="D17" s="51"/>
      <c r="F17" s="52"/>
      <c r="H17" s="53"/>
      <c r="I17" s="52"/>
      <c r="J17" s="54"/>
      <c r="L17" s="53"/>
      <c r="M17" s="53"/>
      <c r="N17" s="53"/>
      <c r="P17" s="54"/>
    </row>
    <row r="18" spans="1:16" x14ac:dyDescent="0.5">
      <c r="A18" s="46">
        <v>7</v>
      </c>
      <c r="B18" s="47" t="s">
        <v>3523</v>
      </c>
      <c r="D18" s="51"/>
      <c r="F18" s="52">
        <v>3</v>
      </c>
      <c r="H18" s="53" cm="1">
        <f t="array" ref="H18">ERROR.TYPE(expand_rng("B3",-1))</f>
        <v>3</v>
      </c>
      <c r="I18" s="52"/>
      <c r="J18" s="54" t="str">
        <f>IF(H18=F18,"PASS","FAIL")</f>
        <v>PASS</v>
      </c>
      <c r="L18" s="53"/>
      <c r="M18" s="53"/>
      <c r="N18" s="53"/>
      <c r="P18" s="54"/>
    </row>
    <row r="19" spans="1:16" x14ac:dyDescent="0.5">
      <c r="B19" s="47"/>
      <c r="D19" s="51"/>
      <c r="F19" s="51"/>
      <c r="H19" s="52"/>
      <c r="I19" s="52"/>
      <c r="J19" s="52"/>
      <c r="L19" s="53"/>
      <c r="M19" s="53"/>
      <c r="N19" s="53"/>
      <c r="P19" s="54"/>
    </row>
    <row r="20" spans="1:16" x14ac:dyDescent="0.5">
      <c r="B20" s="47"/>
      <c r="D20" s="51"/>
      <c r="F20" s="51"/>
      <c r="H20" s="52"/>
      <c r="I20" s="52"/>
      <c r="J20" s="52"/>
      <c r="L20" s="53"/>
      <c r="M20" s="53"/>
      <c r="N20" s="53"/>
      <c r="P20" s="54"/>
    </row>
    <row r="21" spans="1:16" x14ac:dyDescent="0.5">
      <c r="B21" s="47"/>
      <c r="D21" s="51"/>
      <c r="F21" s="51"/>
      <c r="H21" s="52"/>
      <c r="I21" s="52"/>
      <c r="J21" s="52"/>
      <c r="L21" s="53"/>
      <c r="M21" s="53"/>
      <c r="N21" s="53"/>
      <c r="P21" s="54"/>
    </row>
    <row r="22" spans="1:16" x14ac:dyDescent="0.5">
      <c r="B22" s="47"/>
      <c r="D22" s="51"/>
      <c r="F22" s="51"/>
      <c r="H22" s="52"/>
      <c r="I22" s="52"/>
      <c r="J22" s="52"/>
      <c r="L22" s="53"/>
      <c r="M22" s="53"/>
      <c r="N22" s="53"/>
      <c r="P22" s="54"/>
    </row>
    <row r="23" spans="1:16" x14ac:dyDescent="0.5">
      <c r="B23" s="47"/>
      <c r="D23" s="51"/>
      <c r="F23" s="51"/>
      <c r="H23" s="52"/>
      <c r="I23" s="52"/>
      <c r="J23" s="52"/>
      <c r="L23" s="53"/>
      <c r="M23" s="53"/>
      <c r="N23" s="53"/>
      <c r="P23" s="54"/>
    </row>
    <row r="24" spans="1:16" x14ac:dyDescent="0.5">
      <c r="B24" s="47"/>
      <c r="D24" s="51"/>
      <c r="F24" s="51"/>
      <c r="H24" s="52"/>
      <c r="I24" s="52"/>
      <c r="J24" s="52"/>
      <c r="L24" s="53"/>
      <c r="M24" s="53"/>
      <c r="N24" s="53"/>
      <c r="P24" s="54"/>
    </row>
    <row r="25" spans="1:16" x14ac:dyDescent="0.5">
      <c r="B25" s="47"/>
      <c r="D25" s="51"/>
      <c r="F25" s="51"/>
      <c r="H25" s="52"/>
      <c r="I25" s="52"/>
      <c r="J25" s="52"/>
      <c r="L25" s="53"/>
      <c r="M25" s="53"/>
      <c r="N25" s="53"/>
      <c r="P25" s="54"/>
    </row>
    <row r="26" spans="1:16" x14ac:dyDescent="0.5">
      <c r="B26" s="47"/>
      <c r="D26" s="51"/>
      <c r="F26" s="51"/>
      <c r="H26" s="52"/>
      <c r="I26" s="52"/>
      <c r="J26" s="52"/>
      <c r="L26" s="53"/>
      <c r="M26" s="53"/>
      <c r="N26" s="53"/>
      <c r="P26" s="54"/>
    </row>
    <row r="27" spans="1:16" x14ac:dyDescent="0.5">
      <c r="B27" s="47"/>
      <c r="D27" s="51"/>
      <c r="F27" s="51"/>
      <c r="H27" s="52"/>
      <c r="I27" s="52"/>
      <c r="J27" s="52"/>
      <c r="L27" s="53"/>
      <c r="M27" s="53"/>
      <c r="N27" s="53"/>
      <c r="P27" s="54"/>
    </row>
    <row r="28" spans="1:16" x14ac:dyDescent="0.5">
      <c r="B28" s="47"/>
      <c r="D28" s="51"/>
      <c r="F28" s="51"/>
      <c r="H28" s="52"/>
      <c r="I28" s="52"/>
      <c r="J28" s="52"/>
      <c r="L28" s="53"/>
      <c r="M28" s="53"/>
      <c r="N28" s="53"/>
      <c r="P28" s="54"/>
    </row>
    <row r="29" spans="1:16" x14ac:dyDescent="0.5">
      <c r="B29" s="47"/>
      <c r="D29" s="51"/>
      <c r="F29" s="51"/>
      <c r="H29" s="52"/>
      <c r="I29" s="52"/>
      <c r="J29" s="52"/>
      <c r="L29" s="53"/>
      <c r="M29" s="53"/>
      <c r="N29" s="53"/>
      <c r="P29" s="54"/>
    </row>
    <row r="30" spans="1:16" x14ac:dyDescent="0.5">
      <c r="B30" s="47"/>
      <c r="D30" s="51"/>
      <c r="F30" s="51"/>
      <c r="H30" s="52"/>
      <c r="I30" s="52"/>
      <c r="J30" s="52"/>
      <c r="L30" s="53"/>
      <c r="M30" s="53"/>
      <c r="N30" s="53"/>
      <c r="P30" s="54"/>
    </row>
  </sheetData>
  <mergeCells count="3">
    <mergeCell ref="I1:R1"/>
    <mergeCell ref="B2:R2"/>
    <mergeCell ref="B1:F1"/>
  </mergeCells>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8FD3BE-3C8D-4E19-B8F9-CC39623FE5D9}">
  <sheetPr codeName="Sheet65"/>
  <dimension ref="A1:S31"/>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9" width="11" customWidth="1"/>
    <col min="10" max="10" width="3" customWidth="1"/>
    <col min="11" max="12" width="11" customWidth="1"/>
    <col min="13" max="13" width="3" customWidth="1"/>
    <col min="14" max="14" width="9" customWidth="1"/>
  </cols>
  <sheetData>
    <row r="1" spans="1:19" ht="231" customHeight="1" x14ac:dyDescent="0.5">
      <c r="A1" s="45" t="s">
        <v>0</v>
      </c>
      <c r="B1" s="83" t="str" cm="1">
        <f t="array" aca="1" ref="B1" ca="1">_xlfn.LET(_xlpm.fn, CELL("filename",$A$1), _xlpm.nm, MID(_xlpm.fn, FIND("]", _xlpm.fn) + 1, 255), _xlfn.XLOOKUP(_xlpm.nm &amp; "(*", Lamb!$A$2:$A$1000, Lamb!$A$2:$A$1000, "", 2))</f>
        <v>freq_table(array, [min_freq])</v>
      </c>
      <c r="C1" s="79"/>
      <c r="D1" s="79"/>
      <c r="E1" s="79"/>
      <c r="F1" s="80"/>
      <c r="H1" s="45" t="s">
        <v>2</v>
      </c>
      <c r="I1" s="78" t="str" cm="1">
        <f t="array" aca="1" ref="I1" ca="1">_xlfn.LET(_xlpm.fn, CELL("filename",$A$1), _xlpm.nm, MID(_xlpm.fn, FIND("]", _xlpm.fn) + 1, 255), _xlfn.XLOOKUP(_xlpm.nm &amp; "(*", Lamb!$A$2:$A$1000, Lamb!$D$2:$D$1000, "", 2))</f>
        <v>Builds a frequency table from an array.
Arguments:
  array      - the values to tally.
  [min_freq] - minimum frequency to keep a row (default 1).
Returns:
  A 2-column array of value and count, sorted by count descending. Blanks and "" are ignored. Errors if all rows fall below min_freq.
Example:
  freq_table(A1:A99)</v>
      </c>
      <c r="J1" s="79"/>
      <c r="K1" s="79"/>
      <c r="L1" s="79"/>
      <c r="M1" s="79"/>
      <c r="N1" s="79"/>
      <c r="O1" s="79"/>
      <c r="P1" s="79"/>
      <c r="Q1" s="79"/>
      <c r="R1" s="80"/>
      <c r="S1" s="77" t="str">
        <f>HYPERLINK("#lambda_tests!A1","&lt;- test summary")</f>
        <v>&lt;- test summary</v>
      </c>
    </row>
    <row r="2" spans="1:19" ht="189" customHeight="1" x14ac:dyDescent="0.5">
      <c r="A2" s="45" t="s">
        <v>4</v>
      </c>
      <c r="B2" s="81" t="str" cm="1">
        <f t="array" aca="1" ref="B2" ca="1">_xlfn.LET(_xlpm.fn, CELL("filename",$A$1), _xlpm.nm, MID(_xlpm.fn, FIND("]", _xlpm.fn) + 1, 255), _xlfn.XLOOKUP(_xlpm.nm &amp; "(*", Lamb!$A$2:$A$1000, Lamb!$C$2:$C$1000, "", 2))</f>
        <v>=LAMBDA(array, [min_freq], LET(
   mf, IF(ISOMITTED(min_freq), 1, min_freq),
   vec0, TOCOL(array, 1),
   vec, IFERROR(FILTER(vec0, vec0 &lt;&gt; ""), NA()),
   u, IFERROR(UNIQUE(vec), NA()),
   cnt, IFERROR(MAP(u, LAMBDA(x, SUM(--(vec = x)))), NA()),
   tab, IFERROR(FILTER(HSTACK(u, cnt), cnt &gt;= mf), NA()),
   IFERROR(SORT(tab, {2, 1}, {-1, 1}), NA())
))</v>
      </c>
      <c r="C2" s="82"/>
      <c r="D2" s="82"/>
      <c r="E2" s="82"/>
      <c r="F2" s="82"/>
      <c r="G2" s="82"/>
      <c r="H2" s="82"/>
      <c r="I2" s="82"/>
      <c r="J2" s="82"/>
      <c r="K2" s="82"/>
      <c r="L2" s="82"/>
      <c r="M2" s="82"/>
      <c r="N2" s="82"/>
      <c r="O2" s="82"/>
      <c r="P2" s="82"/>
      <c r="Q2" s="82"/>
      <c r="R2" s="82"/>
    </row>
    <row r="4" spans="1:19" x14ac:dyDescent="0.5">
      <c r="A4" s="45" t="s">
        <v>3005</v>
      </c>
      <c r="N4" s="45">
        <f>COUNTIF(N6:N60,"PASS")&amp;" / 6 PASS"</f>
      </c>
    </row>
    <row r="5" spans="1:19" x14ac:dyDescent="0.5">
      <c r="A5" s="45" t="s">
        <v>7</v>
      </c>
      <c r="B5" s="45" t="s">
        <v>8</v>
      </c>
      <c r="D5" s="45" t="s">
        <v>9</v>
      </c>
      <c r="H5" s="48" t="s">
        <v>10</v>
      </c>
      <c r="K5" s="49" t="s">
        <v>11</v>
      </c>
      <c r="N5" s="50" t="s">
        <v>12</v>
      </c>
    </row>
    <row r="6" spans="1:19" x14ac:dyDescent="0.5">
      <c r="A6" s="46">
        <v>1</v>
      </c>
      <c r="B6" s="47" t="s">
        <v>3006</v>
      </c>
      <c r="D6" s="51">
        <v>1</v>
      </c>
      <c r="H6" s="52">
        <v>1</v>
      </c>
      <c r="I6" s="52">
        <v>2</v>
      </c>
      <c r="K6" s="53" cm="1">
        <f t="array" ref="K6:L7">freq_table(D6:D8)</f>
        <v>1</v>
      </c>
      <c r="L6" s="53">
        <v>2</v>
      </c>
      <c r="N6" s="54" t="str" cm="1">
        <f t="array" ref="N6">IF(AND(H6:I7=K6:L7),"PASS","FAIL")</f>
        <v>PASS</v>
      </c>
    </row>
    <row r="7" spans="1:19" x14ac:dyDescent="0.5">
      <c r="A7" s="55"/>
      <c r="B7" s="55"/>
      <c r="D7" s="51">
        <v>1</v>
      </c>
      <c r="H7" s="52">
        <v>2</v>
      </c>
      <c r="I7" s="52">
        <v>1</v>
      </c>
      <c r="K7" s="53">
        <v>2</v>
      </c>
      <c r="L7" s="53">
        <v>1</v>
      </c>
    </row>
    <row r="8" spans="1:19" x14ac:dyDescent="0.5">
      <c r="A8" s="55"/>
      <c r="B8" s="55"/>
      <c r="D8" s="51">
        <v>2</v>
      </c>
    </row>
    <row r="10" spans="1:19" x14ac:dyDescent="0.5">
      <c r="A10" s="46">
        <v>2</v>
      </c>
      <c r="B10" s="47" t="s">
        <v>3007</v>
      </c>
      <c r="D10" s="51" t="s">
        <v>2937</v>
      </c>
      <c r="H10" s="52" t="s">
        <v>2937</v>
      </c>
      <c r="I10" s="52">
        <v>3</v>
      </c>
      <c r="K10" s="53" t="str" cm="1">
        <f t="array" ref="K10:L12">freq_table(D10:D15)</f>
        <v>a</v>
      </c>
      <c r="L10" s="53">
        <v>3</v>
      </c>
      <c r="N10" s="54" t="str" cm="1">
        <f t="array" ref="N10">IF(AND(H10:I12=K10:L12),"PASS","FAIL")</f>
        <v>PASS</v>
      </c>
    </row>
    <row r="11" spans="1:19" x14ac:dyDescent="0.5">
      <c r="A11" s="55"/>
      <c r="B11" s="55"/>
      <c r="D11" s="51" t="s">
        <v>2937</v>
      </c>
      <c r="H11" s="52" t="s">
        <v>2938</v>
      </c>
      <c r="I11" s="52">
        <v>2</v>
      </c>
      <c r="K11" s="53" t="str">
        <v>b</v>
      </c>
      <c r="L11" s="53">
        <v>2</v>
      </c>
    </row>
    <row r="12" spans="1:19" x14ac:dyDescent="0.5">
      <c r="A12" s="55"/>
      <c r="B12" s="55"/>
      <c r="D12" s="51" t="s">
        <v>2937</v>
      </c>
      <c r="H12" s="52" t="s">
        <v>2946</v>
      </c>
      <c r="I12" s="52">
        <v>1</v>
      </c>
      <c r="K12" s="53" t="str">
        <v>c</v>
      </c>
      <c r="L12" s="53">
        <v>1</v>
      </c>
    </row>
    <row r="13" spans="1:19" x14ac:dyDescent="0.5">
      <c r="A13" s="55"/>
      <c r="B13" s="55"/>
      <c r="D13" s="51" t="s">
        <v>2938</v>
      </c>
    </row>
    <row r="14" spans="1:19" x14ac:dyDescent="0.5">
      <c r="A14" s="55"/>
      <c r="B14" s="55"/>
      <c r="D14" s="51" t="s">
        <v>2938</v>
      </c>
    </row>
    <row r="15" spans="1:19" x14ac:dyDescent="0.5">
      <c r="A15" s="55"/>
      <c r="B15" s="55"/>
      <c r="D15" s="51" t="s">
        <v>2946</v>
      </c>
    </row>
    <row r="17" spans="1:14" x14ac:dyDescent="0.5">
      <c r="A17" s="46">
        <v>3</v>
      </c>
      <c r="B17" s="47" t="s">
        <v>3008</v>
      </c>
      <c r="D17" s="51">
        <v>1</v>
      </c>
      <c r="H17" s="52">
        <v>1</v>
      </c>
      <c r="I17" s="52">
        <v>2</v>
      </c>
      <c r="K17" s="53" cm="1">
        <f t="array" ref="K17:L18">freq_table(D17:D20)</f>
        <v>1</v>
      </c>
      <c r="L17" s="53">
        <v>2</v>
      </c>
      <c r="N17" s="54" t="str" cm="1">
        <f t="array" ref="N17">IF(AND(H17:I18=K17:L18),"PASS","FAIL")</f>
        <v>PASS</v>
      </c>
    </row>
    <row r="18" spans="1:14" x14ac:dyDescent="0.5">
      <c r="A18" s="55"/>
      <c r="B18" s="55"/>
      <c r="D18" s="51">
        <v>1</v>
      </c>
      <c r="H18" s="52">
        <v>2</v>
      </c>
      <c r="I18" s="52">
        <v>1</v>
      </c>
      <c r="K18" s="53">
        <v>2</v>
      </c>
      <c r="L18" s="53">
        <v>1</v>
      </c>
    </row>
    <row r="19" spans="1:14" x14ac:dyDescent="0.5">
      <c r="A19" s="55"/>
      <c r="B19" s="55"/>
      <c r="D19" s="51"/>
    </row>
    <row r="20" spans="1:14" x14ac:dyDescent="0.5">
      <c r="A20" s="55"/>
      <c r="B20" s="55"/>
      <c r="D20" s="51">
        <v>2</v>
      </c>
    </row>
    <row r="22" spans="1:14" x14ac:dyDescent="0.5">
      <c r="A22" s="46">
        <v>4</v>
      </c>
      <c r="B22" s="47" t="s">
        <v>3009</v>
      </c>
      <c r="D22" s="51">
        <v>1</v>
      </c>
      <c r="F22" s="51">
        <v>2</v>
      </c>
      <c r="H22" s="52">
        <v>3</v>
      </c>
      <c r="I22" s="52">
        <v>3</v>
      </c>
      <c r="K22" s="53" cm="1">
        <f t="array" ref="K22:L23">freq_table(D22:D27,F22)</f>
        <v>3</v>
      </c>
      <c r="L22" s="53">
        <v>3</v>
      </c>
      <c r="N22" s="54" t="str" cm="1">
        <f t="array" ref="N22">IF(AND(H22:I23=K22:L23),"PASS","FAIL")</f>
        <v>PASS</v>
      </c>
    </row>
    <row r="23" spans="1:14" x14ac:dyDescent="0.5">
      <c r="A23" s="55"/>
      <c r="B23" s="55"/>
      <c r="D23" s="51">
        <v>1</v>
      </c>
      <c r="H23" s="52">
        <v>1</v>
      </c>
      <c r="I23" s="52">
        <v>2</v>
      </c>
      <c r="K23" s="53">
        <v>1</v>
      </c>
      <c r="L23" s="53">
        <v>2</v>
      </c>
    </row>
    <row r="24" spans="1:14" x14ac:dyDescent="0.5">
      <c r="A24" s="55"/>
      <c r="B24" s="55"/>
      <c r="D24" s="51">
        <v>2</v>
      </c>
    </row>
    <row r="25" spans="1:14" x14ac:dyDescent="0.5">
      <c r="A25" s="55"/>
      <c r="B25" s="55"/>
      <c r="D25" s="51">
        <v>3</v>
      </c>
    </row>
    <row r="26" spans="1:14" x14ac:dyDescent="0.5">
      <c r="A26" s="55"/>
      <c r="B26" s="55"/>
      <c r="D26" s="51">
        <v>3</v>
      </c>
    </row>
    <row r="27" spans="1:14" x14ac:dyDescent="0.5">
      <c r="A27" s="55"/>
      <c r="B27" s="55"/>
      <c r="D27" s="51">
        <v>3</v>
      </c>
    </row>
    <row r="29" spans="1:14" x14ac:dyDescent="0.5">
      <c r="A29" s="46">
        <v>5</v>
      </c>
      <c r="B29" s="47" t="s">
        <v>3010</v>
      </c>
      <c r="D29" s="51">
        <v>1</v>
      </c>
      <c r="H29" s="52" t="e">
        <v>#N/A</v>
      </c>
      <c r="K29" s="53" t="e" cm="1">
        <f t="array" ref="K29">freq_table(D29:D31)</f>
        <v>#N/A</v>
      </c>
      <c r="N29" s="54" t="str">
        <f>IF(ISNA(K29),"PASS","FAIL")</f>
        <v>PASS</v>
      </c>
    </row>
    <row r="30" spans="1:14" x14ac:dyDescent="0.5">
      <c r="A30" s="55"/>
      <c r="B30" s="55"/>
      <c r="D30" s="51">
        <v>1</v>
      </c>
    </row>
    <row r="31" spans="1:14" x14ac:dyDescent="0.5">
      <c r="A31" s="55"/>
      <c r="B31" s="55"/>
      <c r="D31" s="51" t="e">
        <f>NA()</f>
        <v>#N/A</v>
      </c>
    </row>
    <row r="33">
      <c r="A33">
        <v>6</v>
      </c>
      <c r="B33" s="55" t="inlineStr">
        <is>
          <t xml:space="preserve">&gt;255-char value survives (IFERROR/IFNA would blank it)</t>
        </is>
      </c>
      <c r="D33" s="51">
        <f>REPT("z",300)</f>
      </c>
      <c r="H33">
        <f>REPT("z",300)</f>
      </c>
      <c r="I33">
        <v>2</v>
      </c>
      <c r="K33" cm="1">
        <f t="array" ref="K33:L34">freq_table(D33:D35)</f>
        <v>0</v>
      </c>
      <c r="N33" cm="1">
        <f t="array" ref="N33">IF(AND(H33:I34=K33:L34),"PASS","FAIL")</f>
        <v>0</v>
      </c>
    </row>
    <row r="34">
      <c r="D34">
        <f>REPT("z",300)</f>
      </c>
      <c r="H34" t="inlineStr">
        <is>
          <t xml:space="preserve">b</t>
        </is>
      </c>
      <c r="I34">
        <v>1</v>
      </c>
    </row>
    <row r="35">
      <c r="D35" t="inlineStr">
        <is>
          <t xml:space="preserve">b</t>
        </is>
      </c>
    </row>
  </sheetData>
  <mergeCells count="3">
    <mergeCell ref="I1:R1"/>
    <mergeCell ref="B2:R2"/>
    <mergeCell ref="B1:F1"/>
  </mergeCells>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70364-5639-4970-A094-58A6426C16C9}">
  <sheetPr codeName="Sheet135"/>
  <dimension ref="A1:V24"/>
  <sheetViews>
    <sheetView topLeftCell="A2" zoomScale="85" zoomScaleNormal="85" workbookViewId="0">
      <selection activeCell="A7" sqref="A7:C9"/>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22" ht="252" customHeight="1" x14ac:dyDescent="0.5">
      <c r="A1" s="45" t="s">
        <v>0</v>
      </c>
      <c r="B1" s="83" t="str" cm="1">
        <f t="array" aca="1" ref="B1" ca="1">_xlfn.LET(_xlpm.fn, CELL("filename",$A$1), _xlpm.nm, MID(_xlpm.fn, FIND("]", _xlpm.fn) + 1, 255), _xlfn.XLOOKUP(_xlpm.nm &amp; "(*", Lamb!$A$2:$A$1000, Lamb!$A$2:$A$1000, "", 2))</f>
        <v>ftd_maze_cost(board, start_ref, ftd_lambda, [max_steps])</v>
      </c>
      <c r="C1" s="79"/>
      <c r="D1" s="79"/>
      <c r="E1" s="79"/>
      <c r="F1" s="80"/>
      <c r="H1" s="45" t="s">
        <v>2</v>
      </c>
      <c r="I1" s="78" t="str" cm="1">
        <f t="array" aca="1" ref="I1" ca="1">_xlfn.LET(_xlpm.fn, CELL("filename",$A$1), _xlpm.nm, MID(_xlpm.fn, FIND("]", _xlpm.fn) + 1, 255), _xlfn.XLOOKUP(_xlpm.nm &amp; "(*", Lamb!$A$2:$A$1000, Lamb!$D$2:$D$1000, "", 2))</f>
        <v>Least-cost distance from a start cell to every reachable cell when move legality or cost can depend on direction and on both cells.
Arguments:
  board       - rectangular map or helper array. Cell values are passed to ftd_lambda.
  start_ref   - starting cell as A1 text, a numeric address (1e6*row+col), or a {row, col} coordinate pair relative to board.
  ftd_lambda  - LAMBDA(from_cell, to_cell, dir). Return a nonnegative move cost for a legal move; return NA(), text, or a negative value for an illegal move. Other Excel errors remain visible. It may be written inline or supplied as the name of a defined LAMBDA.
  [max_steps] - maximum edges allowed in a route. Defaults to the larger board dimension minus one. If that is insufficient for a winding route, the function returns "MORE STEPS"; rerun with a larger value.
Returns:
  An array the same size as board containing the least cost from the start to every reachable cell. The start is 0. Unreachable cells are blank. An out-of-range start returns "X". If another relaxation can still improve a cost after max_steps, returns "MORE STEPS" instead of an incomplete distance map.
The solver considers all eight adjacent directions. ftd_lambda decides which directions and cells are legal. It uses a label-correcting frontier through two private helpers, examines only outgoing moves from cells whose costs improved in the previous pass, and stops as soon as no cell improves. It requires no circular references or iterative-calculation setting. The complete route state must be the current cell; rules involving previous direction, collected keys, or other path history require an expanded state.
Examples:
  =ftd_maze_cost(A1:C3,"B2",LAMBDA(from_cell,to_cell,dir,XLOOKUP(dir,{"↑","↓","←","→","↖","↗","↙","↘"},{3,3,4,4,5,5,5,5},NA())))
  If deep_sea_rule is a defined name whose definition is =LAMBDA(from_cell,to_cell,dir,...), use:
  =ftd_maze_cost(A1:C3,"B2",deep_sea_rule)
  Do not add parentheses after deep_sea_rule; ftd_maze_cost supplies its three arguments internally.</v>
      </c>
      <c r="J1" s="79"/>
      <c r="K1" s="79"/>
      <c r="L1" s="79"/>
      <c r="M1" s="79"/>
      <c r="N1" s="79"/>
      <c r="O1" s="79"/>
      <c r="P1" s="79"/>
      <c r="Q1" s="79"/>
      <c r="R1" s="80"/>
      <c r="S1" s="77" t="str">
        <f>HYPERLINK("#lambda_tests!A1","&lt;- test summary")</f>
        <v>&lt;- test summary</v>
      </c>
    </row>
    <row r="2" spans="1:22" ht="409" customHeight="1" x14ac:dyDescent="0.5">
      <c r="A2" s="45" t="s">
        <v>4</v>
      </c>
      <c r="B2" s="81" t="str" cm="1">
        <f t="array" aca="1" ref="B2" ca="1">_xlfn.LET(_xlpm.fn, CELL("filename",$A$1), _xlpm.nm, MID(_xlpm.fn, FIND("]", _xlpm.fn) + 1, 255), _xlfn.XLOOKUP(_xlpm.nm &amp; "(*", Lamb!$A$2:$A$1000, Lamb!$C$2:$C$1000, "", 2))</f>
        <v>=LAMBDA(board, start_ref, ftd_lambda, [max_steps],
  LET(
    row_count, ROWS(board),
    col_count, COLUMNS(board),
    infinity, 1E99,
    dir_list, {"↑"; "↓"; "←"; "→"; "↖"; "↗"; "↙"; "↘"},
    row_delta, {-1; 1; 0; 0; -1; -1; 1; 1},
    col_delta, {0; 0; -1; 1; -1; 1; -1; 1},
    step_count, MAX(1, INT(IF(ISOMITTED(max_steps), MAX(row_count, col_count) - 1, max_steps))),
    start_coords, IF(
      ROWS(start_ref) * COLUMNS(start_ref) = 1,
      LET(
        start_num, num_ad(start_ref),
        HSTACK(
          INT(start_num / 1000000) - MIN(ROW(board)) + 1,
          MOD(start_num, 1000000) - MIN(COLUMN(board)) + 1
        )
      ),
      start_ref
    ),
    start_row, INDEX(start_coords, 1),
    start_col, INDEX(start_coords, 2),
    initial_costs, MAKEARRAY(
      row_count,
      col_count,
      LAMBDA(row_ix, col_ix, IF(AND(row_ix = start_row, col_ix = start_col), 0, infinity))
    ),
    cell_keys, MAKEARRAY(row_count, col_count, LAMBDA(row_ix, col_ix, row_ix &amp; "|" &amp; col_ix)),
    IF(
      OR(start_row &lt; 1, start_row &gt; row_count, start_col &lt; 1, start_col &gt; col_count),
      "X",
      LET(
        result, z_ftd_maze_cost_worker(
          z_ftd_maze_cost_worker,
          initial_costs,
          HSTACK(start_row, start_col, 0),
          board,
          ftd_lambda,
          dir_list,
          row_delta,
          col_delta,
          cell_keys,
          infinity,
          step_count
        ),
        IF(result = "MORE STEPS", result, IF(result &gt;= infinity / 2, "", result))
      )
    )
  )
)</v>
      </c>
      <c r="C2" s="82"/>
      <c r="D2" s="82"/>
      <c r="E2" s="82"/>
      <c r="F2" s="82"/>
      <c r="G2" s="82"/>
      <c r="H2" s="82"/>
      <c r="I2" s="82"/>
      <c r="J2" s="82"/>
      <c r="K2" s="82"/>
      <c r="L2" s="82"/>
      <c r="M2" s="82"/>
      <c r="N2" s="82"/>
      <c r="O2" s="82"/>
      <c r="P2" s="82"/>
      <c r="Q2" s="82"/>
      <c r="R2" s="82"/>
    </row>
    <row r="4" spans="1:22" x14ac:dyDescent="0.5">
      <c r="A4" s="45" t="s">
        <v>3653</v>
      </c>
      <c r="N4" s="45"/>
      <c r="V4" s="45" t="str">
        <f>COUNTIF(V6:V40,"PASS")&amp;" / 5 PASS"</f>
        <v>5 / 5 PASS</v>
      </c>
    </row>
    <row r="5" spans="1:22" x14ac:dyDescent="0.5">
      <c r="A5" s="45" t="s">
        <v>7</v>
      </c>
      <c r="B5" s="45" t="s">
        <v>8</v>
      </c>
      <c r="D5" s="45" t="s">
        <v>3644</v>
      </c>
      <c r="J5" s="48"/>
      <c r="L5" s="49"/>
      <c r="N5" s="48" t="s">
        <v>10</v>
      </c>
      <c r="O5" s="48"/>
      <c r="P5" s="48"/>
      <c r="R5" s="49" t="s">
        <v>11</v>
      </c>
      <c r="S5" s="49"/>
      <c r="T5" s="49"/>
      <c r="V5" s="50" t="s">
        <v>12</v>
      </c>
    </row>
    <row r="6" spans="1:22" ht="32" x14ac:dyDescent="0.5">
      <c r="A6" s="46">
        <v>1</v>
      </c>
      <c r="B6" s="47" t="s">
        <v>3645</v>
      </c>
      <c r="D6" s="51">
        <v>1</v>
      </c>
      <c r="E6" s="51">
        <v>2</v>
      </c>
      <c r="F6" s="51">
        <v>3</v>
      </c>
      <c r="J6" s="52"/>
      <c r="L6" s="53"/>
      <c r="N6" s="52">
        <v>5</v>
      </c>
      <c r="O6" s="52">
        <v>3</v>
      </c>
      <c r="P6" s="52">
        <v>5</v>
      </c>
      <c r="R6" s="53" cm="1">
        <f t="array" ref="R6:T8">ftd_maze_cost(D6:F8,{2,2},_xlfn.LAMBDA(_xlpm.f,_xlpm.t,_xlpm.d,_xlfn.XLOOKUP(_xlpm.d,{"↑","↓","←","→","↖","↗","↙","↘"},{3,3,4,4,5,5,5,5},NA())),8)</f>
        <v>5</v>
      </c>
      <c r="S6">
        <v>3</v>
      </c>
      <c r="T6">
        <v>5</v>
      </c>
      <c r="V6" s="54" t="str" cm="1">
        <f t="array" ref="V6">IF(AND(N6:P8=R6:T8),"PASS","FAIL")</f>
        <v>PASS</v>
      </c>
    </row>
    <row r="7" spans="1:22" x14ac:dyDescent="0.5">
      <c r="A7" s="55"/>
      <c r="B7" s="55"/>
      <c r="D7" s="51">
        <v>4</v>
      </c>
      <c r="E7" s="51">
        <v>5</v>
      </c>
      <c r="F7" s="51">
        <v>6</v>
      </c>
      <c r="N7" s="52">
        <v>4</v>
      </c>
      <c r="O7" s="52">
        <v>0</v>
      </c>
      <c r="P7" s="52">
        <v>4</v>
      </c>
      <c r="R7">
        <v>4</v>
      </c>
      <c r="S7">
        <v>0</v>
      </c>
      <c r="T7">
        <v>4</v>
      </c>
    </row>
    <row r="8" spans="1:22" x14ac:dyDescent="0.5">
      <c r="A8" s="55"/>
      <c r="B8" s="55"/>
      <c r="D8" s="51">
        <v>7</v>
      </c>
      <c r="E8" s="51">
        <v>8</v>
      </c>
      <c r="F8" s="51">
        <v>9</v>
      </c>
      <c r="J8" s="52"/>
      <c r="L8" s="53"/>
      <c r="N8" s="52">
        <v>5</v>
      </c>
      <c r="O8" s="52">
        <v>3</v>
      </c>
      <c r="P8" s="52">
        <v>5</v>
      </c>
      <c r="R8">
        <v>5</v>
      </c>
      <c r="S8">
        <v>3</v>
      </c>
      <c r="T8">
        <v>5</v>
      </c>
    </row>
    <row r="10" spans="1:22" x14ac:dyDescent="0.5">
      <c r="A10" s="46">
        <v>2</v>
      </c>
      <c r="B10" s="47" t="s">
        <v>3654</v>
      </c>
      <c r="D10" s="51" t="s">
        <v>2662</v>
      </c>
      <c r="E10" s="51" t="s">
        <v>2662</v>
      </c>
      <c r="F10" s="51" t="s">
        <v>2662</v>
      </c>
      <c r="H10" s="51"/>
      <c r="J10" s="52"/>
      <c r="L10" s="53"/>
      <c r="N10" s="52">
        <v>0</v>
      </c>
      <c r="O10" s="52">
        <v>1</v>
      </c>
      <c r="P10" s="52">
        <v>2</v>
      </c>
      <c r="R10" s="53" cm="1">
        <f t="array" ref="R10:T12">ftd_maze_cost(D10:F12,{1,1},_xlfn.LAMBDA(_xlpm.f,_xlpm.t,_xlpm.d,IF(_xlpm.t="#",NA(),1)),8)</f>
        <v>0</v>
      </c>
      <c r="S10">
        <v>1</v>
      </c>
      <c r="T10">
        <v>2</v>
      </c>
      <c r="V10" s="54" t="str" cm="1">
        <f t="array" ref="V10">IF(AND(N10:P12=R10:T12),"PASS","FAIL")</f>
        <v>PASS</v>
      </c>
    </row>
    <row r="11" spans="1:22" x14ac:dyDescent="0.5">
      <c r="A11" s="55"/>
      <c r="B11" s="55"/>
      <c r="D11" s="51" t="s">
        <v>2662</v>
      </c>
      <c r="E11" s="51" t="s">
        <v>7</v>
      </c>
      <c r="F11" s="51" t="s">
        <v>2662</v>
      </c>
      <c r="N11" s="52">
        <v>1</v>
      </c>
      <c r="O11" s="52" t="s">
        <v>3318</v>
      </c>
      <c r="P11" s="52">
        <v>2</v>
      </c>
      <c r="R11">
        <v>1</v>
      </c>
      <c r="S11" t="str">
        <v/>
      </c>
      <c r="T11">
        <v>2</v>
      </c>
    </row>
    <row r="12" spans="1:22" x14ac:dyDescent="0.5">
      <c r="A12" s="55"/>
      <c r="B12" s="55"/>
      <c r="D12" s="51" t="s">
        <v>2662</v>
      </c>
      <c r="E12" s="51" t="s">
        <v>2662</v>
      </c>
      <c r="F12" s="51" t="s">
        <v>2662</v>
      </c>
      <c r="J12" s="52"/>
      <c r="L12" s="53"/>
      <c r="N12" s="52">
        <v>2</v>
      </c>
      <c r="O12" s="52">
        <v>2</v>
      </c>
      <c r="P12" s="52">
        <v>3</v>
      </c>
      <c r="R12">
        <v>2</v>
      </c>
      <c r="S12">
        <v>2</v>
      </c>
      <c r="T12">
        <v>3</v>
      </c>
    </row>
    <row r="14" spans="1:22" x14ac:dyDescent="0.5">
      <c r="A14" s="46">
        <v>3</v>
      </c>
      <c r="B14" s="47" t="s">
        <v>3646</v>
      </c>
      <c r="D14" s="51">
        <v>1</v>
      </c>
      <c r="E14" s="51">
        <v>2</v>
      </c>
      <c r="F14" s="51">
        <v>3</v>
      </c>
      <c r="J14" s="52"/>
      <c r="L14" s="53"/>
      <c r="N14" s="52" t="s">
        <v>2631</v>
      </c>
      <c r="R14" s="53" t="str" cm="1">
        <f t="array" ref="R14">ftd_maze_cost(D14:F16,{9,9},_xlfn.LAMBDA(_xlpm.f,_xlpm.t,_xlpm.d,_xlfn.XLOOKUP(_xlpm.d,{"↑","↓","←","→","↖","↗","↙","↘"},{3,3,4,4,5,5,5,5},NA())),8)</f>
        <v>X</v>
      </c>
      <c r="V14" s="54" t="str">
        <f>IF(R14=N14,"PASS","FAIL")</f>
        <v>PASS</v>
      </c>
    </row>
    <row r="15" spans="1:22" x14ac:dyDescent="0.5">
      <c r="A15" s="55"/>
      <c r="B15" s="55"/>
      <c r="D15" s="51">
        <v>4</v>
      </c>
      <c r="E15" s="51">
        <v>5</v>
      </c>
      <c r="F15" s="51">
        <v>6</v>
      </c>
      <c r="J15" s="52"/>
      <c r="L15" s="53"/>
    </row>
    <row r="16" spans="1:22" x14ac:dyDescent="0.5">
      <c r="A16" s="55"/>
      <c r="B16" s="55"/>
      <c r="D16" s="51">
        <v>7</v>
      </c>
      <c r="E16" s="51">
        <v>8</v>
      </c>
      <c r="F16" s="51">
        <v>9</v>
      </c>
    </row>
    <row r="17" spans="1:22" x14ac:dyDescent="0.5">
      <c r="A17" s="46"/>
      <c r="B17" s="47"/>
      <c r="D17" s="51"/>
      <c r="F17" s="51"/>
      <c r="J17" s="52"/>
      <c r="L17" s="53"/>
      <c r="N17" s="54"/>
    </row>
    <row r="18" spans="1:22" x14ac:dyDescent="0.5">
      <c r="A18" s="46">
        <v>4</v>
      </c>
      <c r="B18" s="47" t="s">
        <v>3647</v>
      </c>
      <c r="D18" s="51">
        <v>1</v>
      </c>
      <c r="E18" s="51">
        <v>2</v>
      </c>
      <c r="F18" s="51">
        <v>3</v>
      </c>
      <c r="J18" s="52"/>
      <c r="L18" s="53"/>
      <c r="N18" s="52">
        <v>3</v>
      </c>
      <c r="R18" s="53">
        <f>ROWS(ftd_maze_cost(D18:F20,{1,1},_xlfn.LAMBDA(_xlpm.f,_xlpm.t,_xlpm.d,1),8))</f>
        <v>3</v>
      </c>
      <c r="V18" s="54" t="str">
        <f>IF(R18=N18,"PASS","FAIL")</f>
        <v>PASS</v>
      </c>
    </row>
    <row r="19" spans="1:22" x14ac:dyDescent="0.5">
      <c r="A19" s="55"/>
      <c r="B19" s="55"/>
      <c r="D19" s="51">
        <v>4</v>
      </c>
      <c r="E19" s="51">
        <v>5</v>
      </c>
      <c r="F19" s="51">
        <v>6</v>
      </c>
    </row>
    <row r="20" spans="1:22" x14ac:dyDescent="0.5">
      <c r="A20" s="55"/>
      <c r="B20" s="55"/>
      <c r="D20" s="51">
        <v>7</v>
      </c>
      <c r="E20" s="51">
        <v>8</v>
      </c>
      <c r="F20" s="51">
        <v>9</v>
      </c>
    </row>
    <row r="22" spans="1:22" x14ac:dyDescent="0.5">
      <c r="A22" s="46">
        <v>5</v>
      </c>
      <c r="B22" s="47" t="s">
        <v>3648</v>
      </c>
      <c r="D22" s="51" t="s">
        <v>2662</v>
      </c>
      <c r="E22" s="51" t="s">
        <v>2662</v>
      </c>
      <c r="F22" s="51" t="s">
        <v>2662</v>
      </c>
      <c r="N22" s="52" t="s">
        <v>3649</v>
      </c>
      <c r="R22" s="53" t="str" cm="1">
        <f t="array" ref="R22">ftd_maze_cost(D22:F24,{1,1},_xlfn.LAMBDA(_xlpm.f,_xlpm.t,_xlpm.d,IF(_xlpm.t="#",NA(),1)),1)</f>
        <v>MORE STEPS</v>
      </c>
      <c r="V22" s="54" t="str">
        <f>IF(R22=N22,"PASS","FAIL")</f>
        <v>PASS</v>
      </c>
    </row>
    <row r="23" spans="1:22" x14ac:dyDescent="0.5">
      <c r="A23" s="55"/>
      <c r="B23" s="55"/>
      <c r="D23" s="51" t="s">
        <v>2662</v>
      </c>
      <c r="E23" s="51" t="s">
        <v>7</v>
      </c>
      <c r="F23" s="51" t="s">
        <v>2662</v>
      </c>
    </row>
    <row r="24" spans="1:22" x14ac:dyDescent="0.5">
      <c r="A24" s="55"/>
      <c r="B24" s="55"/>
      <c r="D24" s="51" t="s">
        <v>2662</v>
      </c>
      <c r="E24" s="51" t="s">
        <v>2662</v>
      </c>
      <c r="F24" s="51" t="s">
        <v>2662</v>
      </c>
    </row>
  </sheetData>
  <mergeCells count="3">
    <mergeCell ref="I1:R1"/>
    <mergeCell ref="B2:R2"/>
    <mergeCell ref="B1:F1"/>
  </mergeCells>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6BE070-B190-43F0-BD94-82DB838B808F}">
  <sheetPr codeName="Sheet66"/>
  <dimension ref="A1:S20"/>
  <sheetViews>
    <sheetView workbookViewId="0">
      <selection activeCell="N23" sqref="N23"/>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is_unique(arr)</v>
      </c>
      <c r="C1" s="79"/>
      <c r="D1" s="79"/>
      <c r="E1" s="79"/>
      <c r="F1" s="80"/>
      <c r="H1" s="45" t="s">
        <v>2</v>
      </c>
      <c r="I1" s="78" t="str" cm="1">
        <f t="array" aca="1" ref="I1" ca="1">_xlfn.LET(_xlpm.fn, CELL("filename",$A$1), _xlpm.nm, MID(_xlpm.fn, FIND("]", _xlpm.fn) + 1, 255), _xlfn.XLOOKUP(_xlpm.nm &amp; "(*", Lamb!$A$2:$A$1000, Lamb!$D$2:$D$1000, "", 2))</f>
        <v>Tests whether every value in an array is distinct.
Arguments:
  arr - the array to test.
Returns:
  TRUE if all values are unique, FALSE otherwise. Comparison is case-insensitive ({"A","a"} is not unique).
Notes:
  Combine with str_to_arr to check a string character by character.</v>
      </c>
      <c r="J1" s="79"/>
      <c r="K1" s="79"/>
      <c r="L1" s="79"/>
      <c r="M1" s="79"/>
      <c r="N1" s="79"/>
      <c r="O1" s="79"/>
      <c r="P1" s="79"/>
      <c r="Q1" s="79"/>
      <c r="R1" s="80"/>
      <c r="S1" s="77" t="str">
        <f>HYPERLINK("#lambda_tests!A1","&lt;- test summary")</f>
        <v>&lt;- test summary</v>
      </c>
    </row>
    <row r="2" spans="1:19" ht="168" customHeight="1" x14ac:dyDescent="0.5">
      <c r="A2" s="45" t="s">
        <v>4</v>
      </c>
      <c r="B2" s="81" t="str" cm="1">
        <f t="array" aca="1" ref="B2" ca="1">_xlfn.LET(_xlpm.fn, CELL("filename",$A$1), _xlpm.nm, MID(_xlpm.fn, FIND("]", _xlpm.fn) + 1, 255), _xlfn.XLOOKUP(_xlpm.nm &amp; "(*", Lamb!$A$2:$A$1000, Lamb!$C$2:$C$1000, "", 2))</f>
        <v>=LAMBDA(Arr, LET(
   flatArr, TOCOL(Arr, 1, 4),
   filtArr, FILTER(flatArr, flatArr &lt;&gt; ""),
   rowCount, ROWS(filtArr),
   matchMatrix, --(filtArr = TRANSPOSE(filtArr)),
   freq, MMULT(matchMatrix, SEQUENCE(rowCount, 1, 1, 0)),
   IF(MAX(freq) &gt; 1, 0, 1)
))</v>
      </c>
      <c r="C2" s="82"/>
      <c r="D2" s="82"/>
      <c r="E2" s="82"/>
      <c r="F2" s="82"/>
      <c r="G2" s="82"/>
      <c r="H2" s="82"/>
      <c r="I2" s="82"/>
      <c r="J2" s="82"/>
      <c r="K2" s="82"/>
      <c r="L2" s="82"/>
      <c r="M2" s="82"/>
      <c r="N2" s="82"/>
      <c r="O2" s="82"/>
      <c r="P2" s="82"/>
      <c r="Q2" s="82"/>
      <c r="R2" s="82"/>
    </row>
    <row r="4" spans="1:19" x14ac:dyDescent="0.5">
      <c r="A4" s="45" t="s">
        <v>3011</v>
      </c>
      <c r="J4" s="45" t="str">
        <f>COUNTIF(J6:J22,"PASS")&amp;" / 4 PASS"</f>
        <v>4 / 4 PASS</v>
      </c>
    </row>
    <row r="5" spans="1:19" x14ac:dyDescent="0.5">
      <c r="A5" s="45" t="s">
        <v>7</v>
      </c>
      <c r="B5" s="45" t="s">
        <v>8</v>
      </c>
      <c r="D5" s="45" t="s">
        <v>9</v>
      </c>
      <c r="F5" s="48" t="s">
        <v>10</v>
      </c>
      <c r="H5" s="49" t="s">
        <v>11</v>
      </c>
      <c r="J5" s="50" t="s">
        <v>12</v>
      </c>
    </row>
    <row r="6" spans="1:19" x14ac:dyDescent="0.5">
      <c r="A6" s="46">
        <v>1</v>
      </c>
      <c r="B6" s="47" t="s">
        <v>2972</v>
      </c>
      <c r="D6" s="51">
        <v>1</v>
      </c>
      <c r="F6" s="52">
        <v>1</v>
      </c>
      <c r="H6" s="53" cm="1">
        <f t="array" ref="H6">is_unique(D6:D8)</f>
        <v>1</v>
      </c>
      <c r="J6" s="54" t="str">
        <f>IF(H6=F6,"PASS","FAIL")</f>
        <v>PASS</v>
      </c>
    </row>
    <row r="7" spans="1:19" x14ac:dyDescent="0.5">
      <c r="A7" s="55"/>
      <c r="B7" s="55"/>
      <c r="D7" s="51">
        <v>2</v>
      </c>
    </row>
    <row r="8" spans="1:19" x14ac:dyDescent="0.5">
      <c r="A8" s="55"/>
      <c r="B8" s="55"/>
      <c r="D8" s="51">
        <v>3</v>
      </c>
    </row>
    <row r="10" spans="1:19" x14ac:dyDescent="0.5">
      <c r="A10" s="46">
        <v>2</v>
      </c>
      <c r="B10" s="47" t="s">
        <v>3012</v>
      </c>
      <c r="D10" s="51">
        <v>1</v>
      </c>
      <c r="F10" s="52">
        <v>0</v>
      </c>
      <c r="H10" s="53" cm="1">
        <f t="array" ref="H10">is_unique(D10:D12)</f>
        <v>0</v>
      </c>
      <c r="J10" s="54" t="str">
        <f>IF(H10=F10,"PASS","FAIL")</f>
        <v>PASS</v>
      </c>
    </row>
    <row r="11" spans="1:19" x14ac:dyDescent="0.5">
      <c r="A11" s="55"/>
      <c r="B11" s="55"/>
      <c r="D11" s="51">
        <v>2</v>
      </c>
    </row>
    <row r="12" spans="1:19" x14ac:dyDescent="0.5">
      <c r="A12" s="55"/>
      <c r="B12" s="55"/>
      <c r="D12" s="51">
        <v>2</v>
      </c>
    </row>
    <row r="14" spans="1:19" x14ac:dyDescent="0.5">
      <c r="A14" s="46">
        <v>3</v>
      </c>
      <c r="B14" s="47" t="s">
        <v>3013</v>
      </c>
      <c r="D14" s="51" t="s">
        <v>2937</v>
      </c>
      <c r="F14" s="52">
        <v>0</v>
      </c>
      <c r="H14" s="53" cm="1">
        <f t="array" ref="H14">is_unique(D14:D15)</f>
        <v>0</v>
      </c>
      <c r="J14" s="54" t="str">
        <f>IF(H14=F14,"PASS","FAIL")</f>
        <v>PASS</v>
      </c>
    </row>
    <row r="15" spans="1:19" x14ac:dyDescent="0.5">
      <c r="A15" s="55"/>
      <c r="B15" s="55"/>
      <c r="D15" s="51" t="s">
        <v>137</v>
      </c>
    </row>
    <row r="17" spans="1:10" x14ac:dyDescent="0.5">
      <c r="A17" s="46">
        <v>4</v>
      </c>
      <c r="B17" s="47" t="s">
        <v>3014</v>
      </c>
      <c r="D17" s="51">
        <v>1</v>
      </c>
      <c r="F17" s="52">
        <v>1</v>
      </c>
      <c r="H17" s="53" cm="1">
        <f t="array" ref="H17">is_unique(D17:D20)</f>
        <v>1</v>
      </c>
      <c r="J17" s="54" t="str">
        <f>IF(H17=F17,"PASS","FAIL")</f>
        <v>PASS</v>
      </c>
    </row>
    <row r="18" spans="1:10" x14ac:dyDescent="0.5">
      <c r="A18" s="55"/>
      <c r="B18" s="55"/>
      <c r="D18" s="51"/>
    </row>
    <row r="19" spans="1:10" x14ac:dyDescent="0.5">
      <c r="A19" s="55"/>
      <c r="B19" s="55"/>
      <c r="D19" s="51">
        <v>2</v>
      </c>
    </row>
    <row r="20" spans="1:10" x14ac:dyDescent="0.5">
      <c r="A20" s="55"/>
      <c r="B20" s="55"/>
      <c r="D20" s="51">
        <v>3</v>
      </c>
    </row>
  </sheetData>
  <mergeCells count="3">
    <mergeCell ref="I1:R1"/>
    <mergeCell ref="B2:R2"/>
    <mergeCell ref="B1:F1"/>
  </mergeCells>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22B4FC-5B45-4A5F-BCD3-E529229AE48D}">
  <sheetPr codeName="Sheet67"/>
  <dimension ref="A1:S18"/>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52" customHeight="1" x14ac:dyDescent="0.5">
      <c r="A1" s="45" t="s">
        <v>0</v>
      </c>
      <c r="B1" s="83" t="str" cm="1">
        <f t="array" aca="1" ref="B1" ca="1">_xlfn.LET(_xlpm.fn, CELL("filename",$A$1), _xlpm.nm, MID(_xlpm.fn, FIND("]", _xlpm.fn) + 1, 255), _xlfn.XLOOKUP(_xlpm.nm &amp; "(*", Lamb!$A$2:$A$1000, Lamb!$A$2:$A$1000, "", 2))</f>
        <v>knight_moves(start_ad, end_ad)</v>
      </c>
      <c r="C1" s="79"/>
      <c r="D1" s="79"/>
      <c r="E1" s="79"/>
      <c r="F1" s="80"/>
      <c r="H1" s="45" t="s">
        <v>2</v>
      </c>
      <c r="I1" s="78" t="str" cm="1">
        <f t="array" aca="1" ref="I1" ca="1">_xlfn.LET(_xlpm.fn, CELL("filename",$A$1), _xlpm.nm, MID(_xlpm.fn, FIND("]", _xlpm.fn) + 1, 255), _xlfn.XLOOKUP(_xlpm.nm &amp; "(*", Lamb!$A$2:$A$1000, Lamb!$D$2:$D$1000, "", 2))</f>
        <v>Minimum number of chess knight moves between two cells on an unbounded board.
Arguments:
  start_ad - starting cell as a numeric address (1e6*row+col) OR an A1 string.
  end_ad   - target cell as a numeric address OR an A1 string.
Returns:
  The count of knight moves.
Example:
  knight_moves("A1", "B3")         -&gt; 1
  knight_moves(1000001, 8000008)   -&gt; 6   (A1 -&gt; H8)</v>
      </c>
      <c r="J1" s="79"/>
      <c r="K1" s="79"/>
      <c r="L1" s="79"/>
      <c r="M1" s="79"/>
      <c r="N1" s="79"/>
      <c r="O1" s="79"/>
      <c r="P1" s="79"/>
      <c r="Q1" s="79"/>
      <c r="R1" s="80"/>
      <c r="S1" s="77" t="str">
        <f>HYPERLINK("#lambda_tests!A1","&lt;- test summary")</f>
        <v>&lt;- test summary</v>
      </c>
    </row>
    <row r="2" spans="1:19" ht="315" customHeight="1" x14ac:dyDescent="0.5">
      <c r="A2" s="45" t="s">
        <v>4</v>
      </c>
      <c r="B2" s="81" t="str" cm="1">
        <f t="array" aca="1" ref="B2" ca="1">_xlfn.LET(_xlpm.fn, CELL("filename",$A$1), _xlpm.nm, MID(_xlpm.fn, FIND("]", _xlpm.fn) + 1, 255), _xlfn.XLOOKUP(_xlpm.nm &amp; "(*", Lamb!$A$2:$A$1000, Lamb!$C$2:$C$1000, "", 2))</f>
        <v>=LAMBDA(start_ad, end_ad, LET(
   a, num_ad(start_ad),
   b, num_ad(end_ad),
   row_1, INT(a / 1000000),
   col_1, MOD(a, 1000000),
   row_2, INT(b / 1000000),
   col_2, MOD(b, 1000000),
   adx, ABS(col_1 - col_2),
   ady, ABS(row_1 - row_2),
   dx, MAX(adx, ady),
   dy, MIN(adx, ady),
   base_est, MAX(QUOTIENT(dx + 1, 2), QUOTIENT(dx + dy + 2, 3)),
   raw, IF(MOD(base_est + dx + dy, 2) = 1, base_est + 1, base_est),
   IF(dx = 0, 0, IF(AND(dx = 1, dy = 0), 3, IF(AND(dx = 2, dy = 2), 4, raw)))
))</v>
      </c>
      <c r="C2" s="82"/>
      <c r="D2" s="82"/>
      <c r="E2" s="82"/>
      <c r="F2" s="82"/>
      <c r="G2" s="82"/>
      <c r="H2" s="82"/>
      <c r="I2" s="82"/>
      <c r="J2" s="82"/>
      <c r="K2" s="82"/>
      <c r="L2" s="82"/>
      <c r="M2" s="82"/>
      <c r="N2" s="82"/>
      <c r="O2" s="82"/>
      <c r="P2" s="82"/>
      <c r="Q2" s="82"/>
      <c r="R2" s="82"/>
    </row>
    <row r="4" spans="1:19" x14ac:dyDescent="0.5">
      <c r="A4" s="45" t="s">
        <v>3015</v>
      </c>
      <c r="L4" s="45" t="str">
        <f>COUNTIF(L6:L20,"PASS")&amp;" / 7 PASS"</f>
        <v>7 / 7 PASS</v>
      </c>
    </row>
    <row r="5" spans="1:19" x14ac:dyDescent="0.5">
      <c r="A5" s="45" t="s">
        <v>7</v>
      </c>
      <c r="B5" s="45" t="s">
        <v>8</v>
      </c>
      <c r="D5" s="45" t="s">
        <v>9</v>
      </c>
      <c r="H5" s="48" t="s">
        <v>10</v>
      </c>
      <c r="J5" s="49" t="s">
        <v>11</v>
      </c>
      <c r="L5" s="50" t="s">
        <v>12</v>
      </c>
    </row>
    <row r="6" spans="1:19" x14ac:dyDescent="0.5">
      <c r="A6" s="46">
        <v>1</v>
      </c>
      <c r="B6" s="47" t="s">
        <v>3016</v>
      </c>
      <c r="D6" s="51" t="s">
        <v>2925</v>
      </c>
      <c r="F6" s="51" t="s">
        <v>3017</v>
      </c>
      <c r="H6" s="52">
        <v>1</v>
      </c>
      <c r="J6" s="53" cm="1">
        <f t="array" ref="J6">knight_moves(D6,F6)</f>
        <v>1</v>
      </c>
      <c r="L6" s="54" t="str">
        <f>IF(J6=H6,"PASS","FAIL")</f>
        <v>PASS</v>
      </c>
    </row>
    <row r="8" spans="1:19" x14ac:dyDescent="0.5">
      <c r="A8" s="46">
        <v>2</v>
      </c>
      <c r="B8" s="47" t="s">
        <v>3018</v>
      </c>
      <c r="D8" s="51" t="s">
        <v>2925</v>
      </c>
      <c r="F8" s="51" t="s">
        <v>2990</v>
      </c>
      <c r="H8" s="52">
        <v>4</v>
      </c>
      <c r="J8" s="53" cm="1">
        <f t="array" ref="J8">knight_moves(D8,F8)</f>
        <v>4</v>
      </c>
      <c r="L8" s="54" t="str">
        <f>IF(J8=H8,"PASS","FAIL")</f>
        <v>PASS</v>
      </c>
    </row>
    <row r="10" spans="1:19" x14ac:dyDescent="0.5">
      <c r="A10" s="46">
        <v>3</v>
      </c>
      <c r="B10" s="47" t="s">
        <v>3019</v>
      </c>
      <c r="D10" s="51" t="s">
        <v>2925</v>
      </c>
      <c r="F10" s="51" t="s">
        <v>2925</v>
      </c>
      <c r="H10" s="52">
        <v>0</v>
      </c>
      <c r="J10" s="53" cm="1">
        <f t="array" ref="J10">knight_moves(D10,F10)</f>
        <v>0</v>
      </c>
      <c r="L10" s="54" t="str">
        <f>IF(J10=H10,"PASS","FAIL")</f>
        <v>PASS</v>
      </c>
    </row>
    <row r="12" spans="1:19" x14ac:dyDescent="0.5">
      <c r="A12" s="46">
        <v>4</v>
      </c>
      <c r="B12" s="47" t="s">
        <v>3020</v>
      </c>
      <c r="D12" s="51" t="s">
        <v>2925</v>
      </c>
      <c r="F12" s="51" t="s">
        <v>3021</v>
      </c>
      <c r="H12" s="52">
        <v>3</v>
      </c>
      <c r="J12" s="53" cm="1">
        <f t="array" ref="J12">knight_moves(D12,F12)</f>
        <v>3</v>
      </c>
      <c r="L12" s="54" t="str">
        <f>IF(J12=H12,"PASS","FAIL")</f>
        <v>PASS</v>
      </c>
    </row>
    <row r="14" spans="1:19" x14ac:dyDescent="0.5">
      <c r="A14" s="46">
        <v>5</v>
      </c>
      <c r="B14" s="47" t="s">
        <v>3022</v>
      </c>
      <c r="D14" s="51" t="s">
        <v>2925</v>
      </c>
      <c r="F14" s="51" t="s">
        <v>3023</v>
      </c>
      <c r="H14" s="52">
        <v>6</v>
      </c>
      <c r="J14" s="53" cm="1">
        <f t="array" ref="J14">knight_moves(D14,F14)</f>
        <v>6</v>
      </c>
      <c r="L14" s="54" t="str">
        <f>IF(J14=H14,"PASS","FAIL")</f>
        <v>PASS</v>
      </c>
    </row>
    <row r="16" spans="1:19" x14ac:dyDescent="0.5">
      <c r="A16" s="46">
        <v>6</v>
      </c>
      <c r="B16" s="47" t="s">
        <v>3024</v>
      </c>
      <c r="D16" s="51">
        <v>1000001</v>
      </c>
      <c r="F16" s="51">
        <v>8000008</v>
      </c>
      <c r="H16" s="52">
        <v>6</v>
      </c>
      <c r="J16" s="53" cm="1">
        <f t="array" ref="J16">knight_moves(D16,F16)</f>
        <v>6</v>
      </c>
      <c r="L16" s="54" t="str">
        <f>IF(J16=H16,"PASS","FAIL")</f>
        <v>PASS</v>
      </c>
    </row>
    <row r="18" spans="1:12" x14ac:dyDescent="0.5">
      <c r="A18" s="46">
        <v>7</v>
      </c>
      <c r="B18" s="47" t="s">
        <v>3025</v>
      </c>
      <c r="D18" s="51">
        <v>1000001</v>
      </c>
      <c r="F18" s="51" t="s">
        <v>2990</v>
      </c>
      <c r="H18" s="52">
        <v>4</v>
      </c>
      <c r="J18" s="53" cm="1">
        <f t="array" ref="J18">knight_moves(D18,F18)</f>
        <v>4</v>
      </c>
      <c r="L18" s="54" t="str">
        <f>IF(J18=H18,"PASS","FAIL")</f>
        <v>PASS</v>
      </c>
    </row>
  </sheetData>
  <mergeCells count="3">
    <mergeCell ref="I1:R1"/>
    <mergeCell ref="B2:R2"/>
    <mergeCell ref="B1:F1"/>
  </mergeCells>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A715A7-8E51-4E4B-874E-285ECEB1FF7E}">
  <sheetPr codeName="Sheet68"/>
  <dimension ref="A1:S17"/>
  <sheetViews>
    <sheetView workbookViewId="0"/>
  </sheetViews>
  <sheetFormatPr defaultRowHeight="21" x14ac:dyDescent="0.5"/>
  <cols>
    <col min="1" max="1" width="4" customWidth="1"/>
    <col min="2" max="2" width="18" customWidth="1"/>
    <col min="4" max="7" width="5" customWidth="1"/>
    <col min="10" max="10" width="8" customWidth="1"/>
    <col min="12" max="12" width="8"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label_lookup(arr,row_label,column_label)</v>
      </c>
      <c r="C1" s="79"/>
      <c r="D1" s="79"/>
      <c r="E1" s="79"/>
      <c r="F1" s="80"/>
      <c r="H1" s="45" t="s">
        <v>2</v>
      </c>
      <c r="I1" s="78" t="str" cm="1">
        <f t="array" aca="1" ref="I1" ca="1">_xlfn.LET(_xlpm.fn, CELL("filename",$A$1), _xlpm.nm, MID(_xlpm.fn, FIND("]", _xlpm.fn) + 1, 255), _xlfn.XLOOKUP(_xlpm.nm &amp; "(*", Lamb!$A$2:$A$1000, Lamb!$D$2:$D$1000, "", 2))</f>
        <v>Looks up a value in a labelled 2D table by row and column headers.
Arguments:
  arr          - a 2D array whose first column and first row hold the labels.
  row_label    - label to match in the first column.
  column_label - label to match in the first row.
Returns:
  The value at the intersection of the first matching row_label and column_label, or "" if either label is not found.
Example:
  label_lookup(tbl, "Mon", "Cost")</v>
      </c>
      <c r="J1" s="79"/>
      <c r="K1" s="79"/>
      <c r="L1" s="79"/>
      <c r="M1" s="79"/>
      <c r="N1" s="79"/>
      <c r="O1" s="79"/>
      <c r="P1" s="79"/>
      <c r="Q1" s="79"/>
      <c r="R1" s="80"/>
      <c r="S1" s="77" t="str">
        <f>HYPERLINK("#lambda_tests!A1","&lt;- test summary")</f>
        <v>&lt;- test summary</v>
      </c>
    </row>
    <row r="2" spans="1:19" ht="147" customHeight="1" x14ac:dyDescent="0.5">
      <c r="A2" s="45" t="s">
        <v>4</v>
      </c>
      <c r="B2" s="81" t="str" cm="1">
        <f t="array" aca="1" ref="B2" ca="1">_xlfn.LET(_xlpm.fn, CELL("filename",$A$1), _xlpm.nm, MID(_xlpm.fn, FIND("]", _xlpm.fn) + 1, 255), _xlfn.XLOOKUP(_xlpm.nm &amp; "(*", Lamb!$A$2:$A$1000, Lamb!$C$2:$C$1000, "", 2))</f>
        <v>=LAMBDA(arr, row_label, column_label,
   IFNA(
      INDEX(
         arr,
         XMATCH(row_label, INDEX(arr, , 1), 0),
         XMATCH(column_label, INDEX(arr, 1, ), 0)
      ),
      ""
   )
)</v>
      </c>
      <c r="C2" s="82"/>
      <c r="D2" s="82"/>
      <c r="E2" s="82"/>
      <c r="F2" s="82"/>
      <c r="G2" s="82"/>
      <c r="H2" s="82"/>
      <c r="I2" s="82"/>
      <c r="J2" s="82"/>
      <c r="K2" s="82"/>
      <c r="L2" s="82"/>
      <c r="M2" s="82"/>
      <c r="N2" s="82"/>
      <c r="O2" s="82"/>
      <c r="P2" s="82"/>
      <c r="Q2" s="82"/>
      <c r="R2" s="82"/>
    </row>
    <row r="4" spans="1:19" x14ac:dyDescent="0.5">
      <c r="A4" s="45" t="s">
        <v>3026</v>
      </c>
      <c r="N4" s="45" t="str">
        <f>COUNTIF(N11:N20,"PASS")&amp;" / 4 PASS"</f>
        <v>4 / 4 PASS</v>
      </c>
    </row>
    <row r="5" spans="1:19" x14ac:dyDescent="0.5">
      <c r="B5" s="45" t="s">
        <v>8</v>
      </c>
      <c r="J5" s="48" t="s">
        <v>10</v>
      </c>
      <c r="L5" s="49" t="s">
        <v>11</v>
      </c>
      <c r="N5" s="50" t="s">
        <v>12</v>
      </c>
    </row>
    <row r="6" spans="1:19" x14ac:dyDescent="0.5">
      <c r="D6" s="45" t="s">
        <v>3027</v>
      </c>
    </row>
    <row r="7" spans="1:19" x14ac:dyDescent="0.5">
      <c r="D7" s="51"/>
      <c r="E7" s="51" t="s">
        <v>3028</v>
      </c>
      <c r="F7" s="51" t="s">
        <v>3029</v>
      </c>
      <c r="G7" s="51" t="s">
        <v>3030</v>
      </c>
    </row>
    <row r="8" spans="1:19" x14ac:dyDescent="0.5">
      <c r="D8" s="51" t="s">
        <v>137</v>
      </c>
      <c r="E8" s="51">
        <v>1</v>
      </c>
      <c r="F8" s="51">
        <v>2</v>
      </c>
      <c r="G8" s="51">
        <v>3</v>
      </c>
    </row>
    <row r="9" spans="1:19" x14ac:dyDescent="0.5">
      <c r="D9" s="51" t="s">
        <v>144</v>
      </c>
      <c r="E9" s="51">
        <v>4</v>
      </c>
      <c r="F9" s="51">
        <v>5</v>
      </c>
      <c r="G9" s="51">
        <v>6</v>
      </c>
    </row>
    <row r="11" spans="1:19" x14ac:dyDescent="0.5">
      <c r="B11" s="46" t="s">
        <v>3031</v>
      </c>
      <c r="J11" s="52">
        <v>5</v>
      </c>
      <c r="L11" s="53" cm="1">
        <f t="array" ref="L11">label_lookup(D7:G9,"B","Tue")</f>
        <v>5</v>
      </c>
      <c r="N11" s="54" t="str">
        <f>IF(L11=J11,"PASS","FAIL")</f>
        <v>PASS</v>
      </c>
    </row>
    <row r="13" spans="1:19" x14ac:dyDescent="0.5">
      <c r="B13" s="46" t="s">
        <v>3032</v>
      </c>
      <c r="J13" s="52">
        <v>3</v>
      </c>
      <c r="L13" s="53" cm="1">
        <f t="array" ref="L13">label_lookup(D7:G9,"A","Wed")</f>
        <v>3</v>
      </c>
      <c r="N13" s="54" t="str">
        <f>IF(L13=J13,"PASS","FAIL")</f>
        <v>PASS</v>
      </c>
    </row>
    <row r="15" spans="1:19" x14ac:dyDescent="0.5">
      <c r="B15" s="46" t="s">
        <v>3033</v>
      </c>
      <c r="J15" s="52">
        <v>4</v>
      </c>
      <c r="L15" s="53" cm="1">
        <f t="array" ref="L15">label_lookup(D7:G9,"B","Mon")</f>
        <v>4</v>
      </c>
      <c r="N15" s="54" t="str">
        <f>IF(L15=J15,"PASS","FAIL")</f>
        <v>PASS</v>
      </c>
    </row>
    <row r="17" spans="2:14" x14ac:dyDescent="0.5">
      <c r="B17" s="46" t="s">
        <v>3284</v>
      </c>
      <c r="J17" s="52" t="str">
        <f>""</f>
        <v/>
      </c>
      <c r="L17" s="53" t="str" cm="1">
        <f t="array" ref="L17">label_lookup(D7:G9,"ZZ","Mon")</f>
        <v/>
      </c>
      <c r="N17" s="54" t="str">
        <f>IF(L17=J17,"PASS","FAIL")</f>
        <v>PASS</v>
      </c>
    </row>
  </sheetData>
  <mergeCells count="3">
    <mergeCell ref="I1:R1"/>
    <mergeCell ref="B2:R2"/>
    <mergeCell ref="B1:F1"/>
  </mergeCells>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2FE6E-A490-4926-A461-158B2819EE1F}">
  <sheetPr codeName="Sheet69"/>
  <dimension ref="A1:S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1" width="11" customWidth="1"/>
    <col min="12" max="12" width="3" customWidth="1"/>
    <col min="13" max="14" width="11" customWidth="1"/>
    <col min="15" max="15" width="3" customWidth="1"/>
    <col min="16" max="16" width="9" customWidth="1"/>
  </cols>
  <sheetData>
    <row r="1" spans="1:19" ht="252" customHeight="1" x14ac:dyDescent="0.5">
      <c r="A1" s="45" t="s">
        <v>0</v>
      </c>
      <c r="B1" s="83" t="str" cm="1">
        <f t="array" aca="1" ref="B1" ca="1">_xlfn.LET(_xlpm.fn, CELL("filename",$A$1), _xlpm.nm, MID(_xlpm.fn, FIND("]", _xlpm.fn) + 1, 255), _xlfn.XLOOKUP(_xlpm.nm &amp; "(*", Lamb!$A$2:$A$1000, Lamb!$A$2:$A$1000, "", 2))</f>
        <v>load_array(input_string,[col_delimiter],[row_delimiter])</v>
      </c>
      <c r="C1" s="79"/>
      <c r="D1" s="79"/>
      <c r="E1" s="79"/>
      <c r="F1" s="80"/>
      <c r="H1" s="45" t="s">
        <v>2</v>
      </c>
      <c r="I1" s="78" t="str" cm="1">
        <f t="array" aca="1" ref="I1" ca="1">_xlfn.LET(_xlpm.fn, CELL("filename",$A$1), _xlpm.nm, MID(_xlpm.fn, FIND("]", _xlpm.fn) + 1, 255), _xlfn.XLOOKUP(_xlpm.nm &amp; "(*", Lamb!$A$2:$A$1000, Lamb!$D$2:$D$1000, "", 2))</f>
        <v>Parses a delimited string back into a 2D array (inverse of save_array).
Arguments:
  input_string    - the delimited text to parse.
  [col_delimiter] - column separator (default "|").
  [row_delimiter] - row separator (default ";").
Returns:
  The reconstructed array.
Example:
  load_array("1|2;3|4")  -&gt;  {1,2;3,4}</v>
      </c>
      <c r="J1" s="79"/>
      <c r="K1" s="79"/>
      <c r="L1" s="79"/>
      <c r="M1" s="79"/>
      <c r="N1" s="79"/>
      <c r="O1" s="79"/>
      <c r="P1" s="79"/>
      <c r="Q1" s="79"/>
      <c r="R1" s="80"/>
      <c r="S1" s="77" t="str">
        <f>HYPERLINK("#lambda_tests!A1","&lt;- test summary")</f>
        <v>&lt;- test summary</v>
      </c>
    </row>
    <row r="2" spans="1:19" ht="294" customHeight="1" x14ac:dyDescent="0.5">
      <c r="A2" s="45" t="s">
        <v>4</v>
      </c>
      <c r="B2" s="81" t="str" cm="1">
        <f t="array" aca="1" ref="B2" ca="1">_xlfn.LET(_xlpm.fn, CELL("filename",$A$1), _xlpm.nm, MID(_xlpm.fn, FIND("]", _xlpm.fn) + 1, 255), _xlfn.XLOOKUP(_xlpm.nm &amp; "(*", Lamb!$A$2:$A$1000, Lamb!$C$2:$C$1000, "", 2))</f>
        <v>=LAMBDA(input_string, [col_delimiter], [row_delimiter],
   IF(
      input_string = "",
      "",
      LET(
         cd, IF(ISOMITTED(col_delimiter), "|", col_delimiter),
         rd, IF(ISOMITTED(row_delimiter), ";", row_delimiter),
         LET(
            arr, TEXTSPLIT(input_string, cd, rd, FALSE),
            MAP(arr, LAMBDA(val, IF(val = "", "", IFERROR(--val, val))))
         )
      )
   )
)</v>
      </c>
      <c r="C2" s="82"/>
      <c r="D2" s="82"/>
      <c r="E2" s="82"/>
      <c r="F2" s="82"/>
      <c r="G2" s="82"/>
      <c r="H2" s="82"/>
      <c r="I2" s="82"/>
      <c r="J2" s="82"/>
      <c r="K2" s="82"/>
      <c r="L2" s="82"/>
      <c r="M2" s="82"/>
      <c r="N2" s="82"/>
      <c r="O2" s="82"/>
      <c r="P2" s="82"/>
      <c r="Q2" s="82"/>
      <c r="R2" s="82"/>
    </row>
    <row r="4" spans="1:19" x14ac:dyDescent="0.5">
      <c r="A4" s="45" t="s">
        <v>3034</v>
      </c>
      <c r="P4" s="45" t="str">
        <f>COUNTIF(P6:P15,"PASS")&amp;" / 3 PASS"</f>
        <v>3 / 3 PASS</v>
      </c>
    </row>
    <row r="5" spans="1:19" x14ac:dyDescent="0.5">
      <c r="A5" s="45" t="s">
        <v>7</v>
      </c>
      <c r="B5" s="45" t="s">
        <v>8</v>
      </c>
      <c r="D5" s="45" t="s">
        <v>9</v>
      </c>
      <c r="J5" s="48" t="s">
        <v>10</v>
      </c>
      <c r="M5" s="49" t="s">
        <v>11</v>
      </c>
      <c r="P5" s="50" t="s">
        <v>12</v>
      </c>
    </row>
    <row r="6" spans="1:19" x14ac:dyDescent="0.5">
      <c r="A6" s="46">
        <v>1</v>
      </c>
      <c r="B6" s="47" t="s">
        <v>3035</v>
      </c>
      <c r="D6" s="51" t="s">
        <v>3035</v>
      </c>
      <c r="J6" s="52">
        <v>1</v>
      </c>
      <c r="K6" s="52">
        <v>2</v>
      </c>
      <c r="M6" s="53" cm="1">
        <f t="array" ref="M6:N7">load_array(D6)</f>
        <v>1</v>
      </c>
      <c r="N6" s="53">
        <v>2</v>
      </c>
      <c r="P6" s="54" t="str" cm="1">
        <f t="array" ref="P6">IF(AND(J6:K7=M6:N7),"PASS","FAIL")</f>
        <v>PASS</v>
      </c>
    </row>
    <row r="7" spans="1:19" x14ac:dyDescent="0.5">
      <c r="A7" s="55"/>
      <c r="B7" s="55"/>
      <c r="J7" s="52">
        <v>3</v>
      </c>
      <c r="K7" s="52">
        <v>4</v>
      </c>
      <c r="M7" s="53">
        <v>3</v>
      </c>
      <c r="N7" s="53">
        <v>4</v>
      </c>
    </row>
    <row r="9" spans="1:19" x14ac:dyDescent="0.5">
      <c r="A9" s="46">
        <v>2</v>
      </c>
      <c r="B9" s="47" t="s">
        <v>3036</v>
      </c>
      <c r="D9" s="51" t="s">
        <v>3036</v>
      </c>
      <c r="J9" s="52" t="s">
        <v>2937</v>
      </c>
      <c r="K9" s="52" t="s">
        <v>2938</v>
      </c>
      <c r="M9" s="53" t="str" cm="1">
        <f t="array" ref="M9:N10">load_array(D9)</f>
        <v>a</v>
      </c>
      <c r="N9" s="53" t="str">
        <v>b</v>
      </c>
      <c r="P9" s="54" t="str" cm="1">
        <f t="array" ref="P9">IF(AND(J9:K10=M9:N10),"PASS","FAIL")</f>
        <v>PASS</v>
      </c>
    </row>
    <row r="10" spans="1:19" x14ac:dyDescent="0.5">
      <c r="A10" s="55"/>
      <c r="B10" s="55"/>
      <c r="J10" s="52" t="s">
        <v>2946</v>
      </c>
      <c r="K10" s="52" t="s">
        <v>2939</v>
      </c>
      <c r="M10" s="53" t="str">
        <v>c</v>
      </c>
      <c r="N10" s="53" t="str">
        <v>d</v>
      </c>
    </row>
    <row r="12" spans="1:19" x14ac:dyDescent="0.5">
      <c r="A12" s="46">
        <v>3</v>
      </c>
      <c r="B12" s="47" t="s">
        <v>3037</v>
      </c>
      <c r="D12" s="51" t="s">
        <v>3038</v>
      </c>
      <c r="F12" s="51" t="s">
        <v>3039</v>
      </c>
      <c r="H12" s="51" t="s">
        <v>3040</v>
      </c>
      <c r="J12" s="52">
        <v>1</v>
      </c>
      <c r="K12" s="52">
        <v>2</v>
      </c>
      <c r="M12" s="53" cm="1">
        <f t="array" ref="M12:N13">load_array(D12,F12,H12)</f>
        <v>1</v>
      </c>
      <c r="N12" s="53">
        <v>2</v>
      </c>
      <c r="P12" s="54" t="str" cm="1">
        <f t="array" ref="P12">IF(AND(J12:K13=M12:N13),"PASS","FAIL")</f>
        <v>PASS</v>
      </c>
    </row>
    <row r="13" spans="1:19" x14ac:dyDescent="0.5">
      <c r="A13" s="55"/>
      <c r="B13" s="55"/>
      <c r="J13" s="52">
        <v>3</v>
      </c>
      <c r="K13" s="52">
        <v>4</v>
      </c>
      <c r="M13" s="53">
        <v>3</v>
      </c>
      <c r="N13" s="53">
        <v>4</v>
      </c>
    </row>
  </sheetData>
  <mergeCells count="3">
    <mergeCell ref="I1:R1"/>
    <mergeCell ref="B2:R2"/>
    <mergeCell ref="B1:F1"/>
  </mergeCells>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971EB7-23C0-4FE6-9018-323C580E5803}">
  <sheetPr codeName="Sheet132"/>
  <dimension ref="A1:S32"/>
  <sheetViews>
    <sheetView topLeftCell="A2" zoomScale="85" zoomScaleNormal="85" workbookViewId="0">
      <selection activeCell="Q16" sqref="Q1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make_change(coins, price)</v>
      </c>
      <c r="C1" s="79"/>
      <c r="D1" s="79"/>
      <c r="E1" s="79"/>
      <c r="F1" s="80"/>
      <c r="H1" s="45" t="s">
        <v>2</v>
      </c>
      <c r="I1" s="78" t="str" cm="1">
        <f t="array" aca="1" ref="I1" ca="1">_xlfn.LET(_xlpm.fn, CELL("filename",$A$1), _xlpm.nm, MID(_xlpm.fn, FIND("]", _xlpm.fn) + 1, 255), _xlfn.XLOOKUP(_xlpm.nm &amp; "(*", Lamb!$A$2:$A$1000, Lamb!$D$2:$D$1000, "", 2))</f>
        <v>Makes change for a price by taking as many of the biggest coin as possible without going over, then the next biggest, and so on.
Arguments:
  coins - a vertical array of the coin denominations available (e.g. {1; 0.5; 0.25; 0.05}). Non-positive or non-numeric entries are treated as unusable and get a count of 0.
  price - the target amount. The result never exceeds it.
Returns:
  An array the same shape as coins giving how many of each denomination to use. It is a largest-first greedy: it does not minimise the number of coins or get as close to the price as theoretically possible - it just prefers higher denominations.
  Because of that it can leave more on the table than a different mix would - e.g. make_change({0.25; 0.10}, 0.30) returns {1; 0} (0.25), not {0; 3} (0.30), because one quarter uses the higher denomination even though three dimes would hit 0.30 exactly.
  The input order of coins does not matter - denominations are ranked by value internally and the counts are returned in the original positions.
Example:
  make_change({1; 0.5; 0.25; 0.05}, 4.34)  -&gt;  {4; 0; 1; 1}   (4.30)
  make_change({0.25; 0.10}, 0.30)          -&gt;  {1; 0}         (0.25)
Note: denominations and price are scaled to integers (six decimal places) so the greedy arithmetic is exact; no dynamic programming or helper lambdas are involved.</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=LAMBDA(coins, price, LET(
   cvec, TOCOL(coins),
   ncoins, ROWS(cvec),
   scale, 1000000,
   cnum, IFERROR(cvec * 1, 0),
   pnum, IFERROR(price * 1, 0),
   ds, IF(cnum &gt; 0, ROUND(cnum * scale, 0), 0),
   ps, MAX(ROUND(pnum * scale, 0), 0),
   idx, SEQUENCE(ncoins),
   ord, SORTBY(idx, ds, -1),
   sorted_ds, SORTBY(ds, ds, -1),
   rem_after, SCAN(ps, sorted_ds, LAMBDA(rem, coin, IF(coin &lt; 1, rem, MOD(rem, coin)))),
   rem_before, TAKE(VSTACK(ps, rem_after), ncoins),
   count_sorted, IF(sorted_ds &lt; 1, 0, INT(rem_before / sorted_ds)),
   count_orig, SORTBY(count_sorted, ord),
   IF(ROWS(coins) &gt;= COLUMNS(coins), count_orig, TRANSPOSE(count_orig))
))</v>
      </c>
      <c r="C2" s="82"/>
      <c r="D2" s="82"/>
      <c r="E2" s="82"/>
      <c r="F2" s="82"/>
      <c r="G2" s="82"/>
      <c r="H2" s="82"/>
      <c r="I2" s="82"/>
      <c r="J2" s="82"/>
      <c r="K2" s="82"/>
      <c r="L2" s="82"/>
      <c r="M2" s="82"/>
      <c r="N2" s="82"/>
      <c r="O2" s="82"/>
      <c r="P2" s="82"/>
      <c r="Q2" s="82"/>
      <c r="R2" s="82"/>
    </row>
    <row r="4" spans="1:19" x14ac:dyDescent="0.5">
      <c r="A4" s="45" t="s">
        <v>3604</v>
      </c>
      <c r="N4" s="45" t="str">
        <f>COUNTIF(N6:N40,"PASS")&amp;" / 6 PASS"</f>
        <v>6 / 6 PASS</v>
      </c>
    </row>
    <row r="5" spans="1:19" x14ac:dyDescent="0.5">
      <c r="A5" s="45" t="s">
        <v>7</v>
      </c>
      <c r="B5" s="45" t="s">
        <v>8</v>
      </c>
      <c r="D5" s="45" t="s">
        <v>9</v>
      </c>
      <c r="J5" s="48" t="s">
        <v>10</v>
      </c>
      <c r="L5" s="49" t="s">
        <v>11</v>
      </c>
      <c r="N5" s="50" t="s">
        <v>12</v>
      </c>
    </row>
    <row r="6" spans="1:19" x14ac:dyDescent="0.5">
      <c r="A6" s="46">
        <v>1</v>
      </c>
      <c r="B6" s="47" t="s">
        <v>3586</v>
      </c>
      <c r="D6" s="51">
        <v>1</v>
      </c>
      <c r="F6" s="51">
        <v>4.34</v>
      </c>
      <c r="J6" s="52">
        <v>4</v>
      </c>
      <c r="L6" s="53" cm="1">
        <f t="array" ref="L6:L9">make_change(D6:D9,F6)</f>
        <v>4</v>
      </c>
      <c r="N6" s="54" t="str" cm="1">
        <f t="array" ref="N6">IF(AND(J6:J9=L6:L9),"PASS","FAIL")</f>
        <v>PASS</v>
      </c>
    </row>
    <row r="7" spans="1:19" x14ac:dyDescent="0.5">
      <c r="A7" s="55"/>
      <c r="B7" s="55"/>
      <c r="D7" s="51">
        <v>0.5</v>
      </c>
      <c r="J7" s="52">
        <v>0</v>
      </c>
      <c r="L7" s="53">
        <v>0</v>
      </c>
    </row>
    <row r="8" spans="1:19" x14ac:dyDescent="0.5">
      <c r="A8" s="55"/>
      <c r="B8" s="55"/>
      <c r="D8" s="51">
        <v>0.25</v>
      </c>
      <c r="J8" s="52">
        <v>1</v>
      </c>
      <c r="L8" s="53">
        <v>1</v>
      </c>
    </row>
    <row r="9" spans="1:19" x14ac:dyDescent="0.5">
      <c r="A9" s="55"/>
      <c r="B9" s="55"/>
      <c r="D9" s="51">
        <v>0.05</v>
      </c>
      <c r="J9" s="52">
        <v>1</v>
      </c>
      <c r="L9" s="53">
        <v>1</v>
      </c>
    </row>
    <row r="11" spans="1:19" ht="32" x14ac:dyDescent="0.5">
      <c r="A11" s="46">
        <v>2</v>
      </c>
      <c r="B11" s="47" t="s">
        <v>3605</v>
      </c>
      <c r="D11" s="51">
        <v>0.25</v>
      </c>
      <c r="F11" s="51">
        <v>0.3</v>
      </c>
      <c r="J11" s="52">
        <v>1</v>
      </c>
      <c r="L11" s="53" cm="1">
        <f t="array" ref="L11:L12">make_change(D11:D12,F11)</f>
        <v>1</v>
      </c>
      <c r="N11" s="54" t="str" cm="1">
        <f t="array" ref="N11">IF(AND(J11:J12=L11:L12),"PASS","FAIL")</f>
        <v>PASS</v>
      </c>
    </row>
    <row r="12" spans="1:19" x14ac:dyDescent="0.5">
      <c r="A12" s="55"/>
      <c r="B12" s="55"/>
      <c r="D12" s="51">
        <v>0.1</v>
      </c>
      <c r="J12" s="52">
        <v>0</v>
      </c>
      <c r="L12" s="53">
        <v>0</v>
      </c>
    </row>
    <row r="14" spans="1:19" x14ac:dyDescent="0.5">
      <c r="A14" s="46">
        <v>3</v>
      </c>
      <c r="B14" s="47" t="s">
        <v>3587</v>
      </c>
      <c r="D14" s="51">
        <v>2</v>
      </c>
      <c r="F14" s="51">
        <v>5</v>
      </c>
      <c r="J14" s="52">
        <v>2</v>
      </c>
      <c r="L14" s="53" cm="1">
        <f t="array" ref="L14:L16">make_change(D14:D16,F14)</f>
        <v>2</v>
      </c>
      <c r="N14" s="54" t="str" cm="1">
        <f t="array" ref="N14">IF(AND(J14:J16=L14:L16),"PASS","FAIL")</f>
        <v>PASS</v>
      </c>
    </row>
    <row r="15" spans="1:19" x14ac:dyDescent="0.5">
      <c r="A15" s="55"/>
      <c r="B15" s="55"/>
      <c r="D15" s="51">
        <v>1</v>
      </c>
      <c r="J15" s="52">
        <v>1</v>
      </c>
      <c r="L15" s="53">
        <v>1</v>
      </c>
    </row>
    <row r="16" spans="1:19" x14ac:dyDescent="0.5">
      <c r="A16" s="55"/>
      <c r="B16" s="55"/>
      <c r="D16" s="51">
        <v>0.5</v>
      </c>
      <c r="J16" s="52">
        <v>0</v>
      </c>
      <c r="L16" s="53">
        <v>0</v>
      </c>
    </row>
    <row r="18" spans="1:14" x14ac:dyDescent="0.5">
      <c r="A18" s="46">
        <v>4</v>
      </c>
      <c r="B18" s="47" t="s">
        <v>3588</v>
      </c>
      <c r="D18" s="51">
        <v>1</v>
      </c>
      <c r="F18" s="51">
        <v>0.04</v>
      </c>
      <c r="J18" s="52">
        <v>0</v>
      </c>
      <c r="L18" s="53" cm="1">
        <f t="array" ref="L18:L21">make_change(D18:D21,F18)</f>
        <v>0</v>
      </c>
      <c r="N18" s="54" t="str" cm="1">
        <f t="array" ref="N18">IF(AND(J18:J21=L18:L21),"PASS","FAIL")</f>
        <v>PASS</v>
      </c>
    </row>
    <row r="19" spans="1:14" x14ac:dyDescent="0.5">
      <c r="A19" s="55"/>
      <c r="B19" s="55"/>
      <c r="D19" s="51">
        <v>0.5</v>
      </c>
      <c r="J19" s="52">
        <v>0</v>
      </c>
      <c r="L19" s="53">
        <v>0</v>
      </c>
    </row>
    <row r="20" spans="1:14" x14ac:dyDescent="0.5">
      <c r="A20" s="55"/>
      <c r="B20" s="55"/>
      <c r="D20" s="51">
        <v>0.25</v>
      </c>
      <c r="J20" s="52">
        <v>0</v>
      </c>
      <c r="L20" s="53">
        <v>0</v>
      </c>
    </row>
    <row r="21" spans="1:14" x14ac:dyDescent="0.5">
      <c r="A21" s="55"/>
      <c r="B21" s="55"/>
      <c r="D21" s="51">
        <v>0.05</v>
      </c>
      <c r="J21" s="52">
        <v>0</v>
      </c>
      <c r="L21" s="53">
        <v>0</v>
      </c>
    </row>
    <row r="23" spans="1:14" ht="32" x14ac:dyDescent="0.5">
      <c r="A23" s="46">
        <v>5</v>
      </c>
      <c r="B23" s="47" t="s">
        <v>3606</v>
      </c>
      <c r="D23" s="51">
        <v>5</v>
      </c>
      <c r="F23" s="51">
        <v>6</v>
      </c>
      <c r="J23" s="52">
        <v>1</v>
      </c>
      <c r="L23" s="53" cm="1">
        <f t="array" ref="L23:L24">make_change(D23:D24,F23)</f>
        <v>1</v>
      </c>
      <c r="N23" s="54" t="str" cm="1">
        <f t="array" ref="N23">IF(AND(J23:J24=L23:L24),"PASS","FAIL")</f>
        <v>PASS</v>
      </c>
    </row>
    <row r="24" spans="1:14" x14ac:dyDescent="0.5">
      <c r="A24" s="55"/>
      <c r="B24" s="55"/>
      <c r="D24" s="51">
        <v>3</v>
      </c>
      <c r="J24" s="52">
        <v>0</v>
      </c>
      <c r="L24" s="53">
        <v>0</v>
      </c>
    </row>
    <row r="26" spans="1:14" ht="32" x14ac:dyDescent="0.5">
      <c r="A26" s="46">
        <v>6</v>
      </c>
      <c r="B26" s="47" t="s">
        <v>3589</v>
      </c>
      <c r="D26" s="51">
        <v>50</v>
      </c>
      <c r="F26" s="51">
        <v>117.5</v>
      </c>
      <c r="J26" s="52">
        <v>2</v>
      </c>
      <c r="L26" s="53" cm="1">
        <f t="array" ref="L26:L32">make_change(D26:D32,F26)</f>
        <v>2</v>
      </c>
      <c r="N26" s="54" t="str" cm="1">
        <f t="array" ref="N26">IF(AND(J26:J32=L26:L32),"PASS","FAIL")</f>
        <v>PASS</v>
      </c>
    </row>
    <row r="27" spans="1:14" x14ac:dyDescent="0.5">
      <c r="A27" s="55"/>
      <c r="B27" s="55"/>
      <c r="D27" s="51">
        <v>40</v>
      </c>
      <c r="J27" s="52">
        <v>0</v>
      </c>
      <c r="L27" s="53">
        <v>0</v>
      </c>
    </row>
    <row r="28" spans="1:14" x14ac:dyDescent="0.5">
      <c r="A28" s="55"/>
      <c r="B28" s="55"/>
      <c r="D28" s="51">
        <v>30</v>
      </c>
      <c r="J28" s="52">
        <v>0</v>
      </c>
      <c r="L28" s="53">
        <v>0</v>
      </c>
    </row>
    <row r="29" spans="1:14" x14ac:dyDescent="0.5">
      <c r="A29" s="55"/>
      <c r="B29" s="55"/>
      <c r="D29" s="51">
        <v>20</v>
      </c>
      <c r="J29" s="52">
        <v>0</v>
      </c>
      <c r="L29" s="53">
        <v>0</v>
      </c>
    </row>
    <row r="30" spans="1:14" x14ac:dyDescent="0.5">
      <c r="A30" s="55"/>
      <c r="B30" s="55"/>
      <c r="D30" s="51">
        <v>10</v>
      </c>
      <c r="J30" s="52">
        <v>1</v>
      </c>
      <c r="L30" s="53">
        <v>1</v>
      </c>
    </row>
    <row r="31" spans="1:14" x14ac:dyDescent="0.5">
      <c r="A31" s="55"/>
      <c r="B31" s="55"/>
      <c r="D31" s="51">
        <v>5</v>
      </c>
      <c r="J31" s="52">
        <v>1</v>
      </c>
      <c r="L31" s="53">
        <v>1</v>
      </c>
    </row>
    <row r="32" spans="1:14" x14ac:dyDescent="0.5">
      <c r="A32" s="55"/>
      <c r="B32" s="55"/>
      <c r="D32" s="51">
        <v>2.5</v>
      </c>
      <c r="J32" s="52">
        <v>1</v>
      </c>
      <c r="L32" s="53">
        <v>1</v>
      </c>
    </row>
  </sheetData>
  <mergeCells count="3">
    <mergeCell ref="I1:R1"/>
    <mergeCell ref="B2:R2"/>
    <mergeCell ref="B1:F1"/>
  </mergeCells>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82661-959E-4D07-B60D-D11F27495FE6}">
  <sheetPr codeName="Sheet70"/>
  <dimension ref="A1:S17"/>
  <sheetViews>
    <sheetView workbookViewId="0">
      <selection activeCell="B1" sqref="B1:F1"/>
    </sheetView>
  </sheetViews>
  <sheetFormatPr defaultRowHeight="21" x14ac:dyDescent="0.5"/>
  <cols>
    <col min="1" max="1" width="4" customWidth="1"/>
    <col min="2" max="2" width="22" customWidth="1"/>
    <col min="4" max="6" width="4" customWidth="1"/>
    <col min="7" max="8" width="3" customWidth="1"/>
    <col min="9" max="11" width="5" customWidth="1"/>
    <col min="12" max="12" width="3" customWidth="1"/>
    <col min="13" max="15" width="5" customWidth="1"/>
    <col min="16" max="16" width="3" customWidth="1"/>
    <col min="17" max="17" width="9" customWidth="1"/>
  </cols>
  <sheetData>
    <row r="1" spans="1:19" ht="294" customHeight="1" x14ac:dyDescent="0.5">
      <c r="A1" s="45" t="s">
        <v>0</v>
      </c>
      <c r="B1" s="83" t="str" cm="1">
        <f t="array" aca="1" ref="B1" ca="1">_xlfn.LET(_xlpm.fn, CELL("filename",$A$1), _xlpm.nm, MID(_xlpm.fn, FIND("]", _xlpm.fn) + 1, 255), _xlfn.XLOOKUP(_xlpm.nm &amp; "(*", Lamb!$A$2:$A$1000, Lamb!$A$2:$A$1000, "", 2))</f>
        <v>neighbors_count(arr, val, dist, [diag_allowed], [self_count])</v>
      </c>
      <c r="C1" s="79"/>
      <c r="D1" s="79"/>
      <c r="E1" s="79"/>
      <c r="F1" s="80"/>
      <c r="H1" s="45" t="s">
        <v>2</v>
      </c>
      <c r="I1" s="78" t="str" cm="1">
        <f t="array" aca="1" ref="I1" ca="1">_xlfn.LET(_xlpm.fn, CELL("filename",$A$1), _xlpm.nm, MID(_xlpm.fn, FIND("]", _xlpm.fn) + 1, 255), _xlfn.XLOOKUP(_xlpm.nm &amp; "(*", Lamb!$A$2:$A$1000, Lamb!$D$2:$D$1000, "", 2))</f>
        <v>For every cell, counts how many nearby cells hold a given value.
Arguments:
  arr            - the grid of values.
  val            - the value to count around each cell.
  dist           - neighborhood radius in cells.
  [diag_allowed] - 1 to include diagonal neighbors (default 1).
  [self_count]   - 1 to include the cell itself in its own count (default 1).
Returns:
  An array the same size as arr, each cell holding its neighbor count.
Example:
  neighbors_count(grid, "o", 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val, dist, [diag_allowed], [self_count], LET(
   r, ROWS(arr),
   c, COLUMNS(arr),
   d, dist,
   diag, IF(ISOMITTED(diag_allowed), TRUE, diag_allowed),
   self, IF(ISOMITTED(self_count), TRUE, self_count),
   sz, 2 * d + 1,
   ro, MAKEARRAY(sz, sz, LAMBDA(a, b, a - (d + 1))),
   co, MAKEARRAY(sz, sz, LAMBDA(a, b, b - (d + 1))),
   MAKEARRAY(
      r,
      c,
      LAMBDA(i, j, LET(
         ri, i + ro,
         cj, j + co,
         in_bounds, (ri &gt;= 1) * (ri &lt;= r) * (cj &gt;= 1) * (cj &lt;= c),
         diag_mask, IF(diag, 1, (ABS(ro) + ABS(co) &lt;= d)),
         self_mask, IF(self, 1, 1 - ((ro = 0) * (co = 0))),
         vals, INDEX(arr, ri, cj),
         hits, IFERROR(--(vals = val), 0),
         SUM(hits * in_bounds * diag_mask * self_mask)
      ))
   )
))</v>
      </c>
      <c r="C2" s="82"/>
      <c r="D2" s="82"/>
      <c r="E2" s="82"/>
      <c r="F2" s="82"/>
      <c r="G2" s="82"/>
      <c r="H2" s="82"/>
      <c r="I2" s="82"/>
      <c r="J2" s="82"/>
      <c r="K2" s="82"/>
      <c r="L2" s="82"/>
      <c r="M2" s="82"/>
      <c r="N2" s="82"/>
      <c r="O2" s="82"/>
      <c r="P2" s="82"/>
      <c r="Q2" s="82"/>
      <c r="R2" s="82"/>
    </row>
    <row r="4" spans="1:19" x14ac:dyDescent="0.5">
      <c r="A4" s="45" t="s">
        <v>3041</v>
      </c>
      <c r="Q4" s="45" t="str">
        <f>COUNTIF(Q7:Q20,"PASS")&amp;" / 3 PASS"</f>
        <v>3 / 3 PASS</v>
      </c>
    </row>
    <row r="5" spans="1:19" x14ac:dyDescent="0.5">
      <c r="B5" s="45" t="s">
        <v>8</v>
      </c>
      <c r="D5" s="45" t="s">
        <v>3042</v>
      </c>
      <c r="I5" s="48" t="s">
        <v>10</v>
      </c>
      <c r="M5" s="49" t="s">
        <v>11</v>
      </c>
      <c r="Q5" s="50" t="s">
        <v>12</v>
      </c>
    </row>
    <row r="6" spans="1:19" x14ac:dyDescent="0.5">
      <c r="B6" s="45" t="s">
        <v>3043</v>
      </c>
    </row>
    <row r="7" spans="1:19" x14ac:dyDescent="0.5">
      <c r="B7" s="47" t="s">
        <v>3044</v>
      </c>
      <c r="D7" s="51">
        <v>1</v>
      </c>
      <c r="E7" s="51">
        <v>1</v>
      </c>
      <c r="F7" s="51">
        <v>0</v>
      </c>
      <c r="I7" s="52">
        <v>3</v>
      </c>
      <c r="J7" s="52">
        <v>4</v>
      </c>
      <c r="K7" s="52">
        <v>3</v>
      </c>
      <c r="M7" s="53" cm="1">
        <f t="array" ref="M7:O9">neighbors_count(D7:F9,1,1)</f>
        <v>3</v>
      </c>
      <c r="N7" s="53">
        <v>4</v>
      </c>
      <c r="O7" s="53">
        <v>3</v>
      </c>
      <c r="Q7" s="54" t="str" cm="1">
        <f t="array" ref="Q7">IF(AND(I7:K9=M7:O9),"PASS","FAIL")</f>
        <v>PASS</v>
      </c>
    </row>
    <row r="8" spans="1:19" x14ac:dyDescent="0.5">
      <c r="D8" s="51">
        <v>0</v>
      </c>
      <c r="E8" s="51">
        <v>1</v>
      </c>
      <c r="F8" s="51">
        <v>1</v>
      </c>
      <c r="I8" s="52">
        <v>4</v>
      </c>
      <c r="J8" s="52">
        <v>6</v>
      </c>
      <c r="K8" s="52">
        <v>4</v>
      </c>
      <c r="M8" s="53">
        <v>4</v>
      </c>
      <c r="N8" s="53">
        <v>6</v>
      </c>
      <c r="O8" s="53">
        <v>4</v>
      </c>
    </row>
    <row r="9" spans="1:19" x14ac:dyDescent="0.5">
      <c r="D9" s="51">
        <v>1</v>
      </c>
      <c r="E9" s="51">
        <v>0</v>
      </c>
      <c r="F9" s="51">
        <v>1</v>
      </c>
      <c r="I9" s="52">
        <v>2</v>
      </c>
      <c r="J9" s="52">
        <v>4</v>
      </c>
      <c r="K9" s="52">
        <v>3</v>
      </c>
      <c r="M9" s="53">
        <v>2</v>
      </c>
      <c r="N9" s="53">
        <v>4</v>
      </c>
      <c r="O9" s="53">
        <v>3</v>
      </c>
    </row>
    <row r="11" spans="1:19" x14ac:dyDescent="0.5">
      <c r="B11" s="47" t="s">
        <v>3045</v>
      </c>
      <c r="I11" s="52">
        <v>2</v>
      </c>
      <c r="J11" s="52">
        <v>3</v>
      </c>
      <c r="K11" s="52">
        <v>3</v>
      </c>
      <c r="M11" s="53" cm="1">
        <f t="array" ref="M11:O13">neighbors_count(D7:F9,1,1,,0)</f>
        <v>2</v>
      </c>
      <c r="N11" s="53">
        <v>3</v>
      </c>
      <c r="O11" s="53">
        <v>3</v>
      </c>
      <c r="Q11" s="54" t="str" cm="1">
        <f t="array" ref="Q11">IF(AND(I11:K13=M11:O13),"PASS","FAIL")</f>
        <v>PASS</v>
      </c>
    </row>
    <row r="12" spans="1:19" x14ac:dyDescent="0.5">
      <c r="I12" s="52">
        <v>4</v>
      </c>
      <c r="J12" s="52">
        <v>5</v>
      </c>
      <c r="K12" s="52">
        <v>3</v>
      </c>
      <c r="M12" s="53">
        <v>4</v>
      </c>
      <c r="N12" s="53">
        <v>5</v>
      </c>
      <c r="O12" s="53">
        <v>3</v>
      </c>
    </row>
    <row r="13" spans="1:19" x14ac:dyDescent="0.5">
      <c r="I13" s="52">
        <v>1</v>
      </c>
      <c r="J13" s="52">
        <v>4</v>
      </c>
      <c r="K13" s="52">
        <v>2</v>
      </c>
      <c r="M13" s="53">
        <v>1</v>
      </c>
      <c r="N13" s="53">
        <v>4</v>
      </c>
      <c r="O13" s="53">
        <v>2</v>
      </c>
    </row>
    <row r="15" spans="1:19" x14ac:dyDescent="0.5">
      <c r="B15" s="47" t="s">
        <v>3046</v>
      </c>
      <c r="I15" s="52">
        <v>2</v>
      </c>
      <c r="J15" s="52">
        <v>3</v>
      </c>
      <c r="K15" s="52">
        <v>2</v>
      </c>
      <c r="M15" s="53" cm="1">
        <f t="array" ref="M15:O17">neighbors_count(D7:F9,1,1,0)</f>
        <v>2</v>
      </c>
      <c r="N15" s="53">
        <v>3</v>
      </c>
      <c r="O15" s="53">
        <v>2</v>
      </c>
      <c r="Q15" s="54" t="str" cm="1">
        <f t="array" ref="Q15">IF(AND(I15:K17=M15:O17),"PASS","FAIL")</f>
        <v>PASS</v>
      </c>
    </row>
    <row r="16" spans="1:19" x14ac:dyDescent="0.5">
      <c r="I16" s="52">
        <v>3</v>
      </c>
      <c r="J16" s="52">
        <v>3</v>
      </c>
      <c r="K16" s="52">
        <v>3</v>
      </c>
      <c r="M16" s="53">
        <v>3</v>
      </c>
      <c r="N16" s="53">
        <v>3</v>
      </c>
      <c r="O16" s="53">
        <v>3</v>
      </c>
    </row>
    <row r="17" spans="9:15" x14ac:dyDescent="0.5">
      <c r="I17" s="52">
        <v>1</v>
      </c>
      <c r="J17" s="52">
        <v>3</v>
      </c>
      <c r="K17" s="52">
        <v>2</v>
      </c>
      <c r="M17" s="53">
        <v>1</v>
      </c>
      <c r="N17" s="53">
        <v>3</v>
      </c>
      <c r="O17" s="53">
        <v>2</v>
      </c>
    </row>
  </sheetData>
  <mergeCells count="3">
    <mergeCell ref="I1:R1"/>
    <mergeCell ref="B2:R2"/>
    <mergeCell ref="B1:F1"/>
  </mergeCells>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A7F24-6027-44C6-9D8E-0BB2974E50CB}">
  <sheetPr codeName="Sheet71"/>
  <dimension ref="A1:S41"/>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94" customHeight="1" x14ac:dyDescent="0.5">
      <c r="A1" s="45" t="s">
        <v>0</v>
      </c>
      <c r="B1" s="83" t="str" cm="1">
        <f t="array" aca="1" ref="B1" ca="1">_xlfn.LET(_xlpm.fn, CELL("filename",$A$1), _xlpm.nm, MID(_xlpm.fn, FIND("]", _xlpm.fn) + 1, 255), _xlfn.XLOOKUP(_xlpm.nm &amp; "(*", Lamb!$A$2:$A$1000, Lamb!$A$2:$A$1000, "", 2))</f>
        <v>neighbors_list(center_ad, [size], [boundary_rng], [diag_allowed])</v>
      </c>
      <c r="C1" s="79"/>
      <c r="D1" s="79"/>
      <c r="E1" s="79"/>
      <c r="F1" s="80"/>
      <c r="H1" s="45" t="s">
        <v>2</v>
      </c>
      <c r="I1" s="78" t="str" cm="1">
        <f t="array" aca="1" ref="I1" ca="1">_xlfn.LET(_xlpm.fn, CELL("filename",$A$1), _xlpm.nm, MID(_xlpm.fn, FIND("]", _xlpm.fn) + 1, 255), _xlfn.XLOOKUP(_xlpm.nm &amp; "(*", Lamb!$A$2:$A$1000, Lamb!$D$2:$D$1000, "", 2))</f>
        <v>Lists the cell addresses around a center cell, ordered by distance (nearest first).
Arguments:
  center_ad      - center cell as a numeric address (1e6*row+col) OR an A1 string; coerced with num_ad.
  [size]         - neighborhood radius (default 1).
  [boundary_rng] - bounding range that trims off-board neighbors (default whole sheet).
  [diag_allowed] - 1 = include diagonals / chessboard range (default), 0 = Manhattan (orthogonal) limit.
Returns:
  A column of neighboring cell addresses as A1 strings (the center itself is excluded); #N/A if the center cannot be parsed.
Example:
  neighbors_list("C5", 1, , 0)
  neighbors_list(5000003)          ; numeric address for C5</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=LAMBDA(center_ad, [size], [boundary_rng], [diag_allowed], LET(
   s, IF(ISOMITTED(size), 1, size),
   d, IF(ISOMITTED(diag_allowed), 1, diag_allowed),
   cen_num, num_ad(center_ad),
   cen_row, IFERROR(INT(cen_num / 1000000), NA()),
   cen_col, IFERROR(MOD(cen_num, 1000000), NA()),
   rmin, IF(ISOMITTED(boundary_rng), 1, MIN(ROW(boundary_rng))),
   rmax, IF(ISOMITTED(boundary_rng), 1048576, MAX(ROW(boundary_rng))),
   cmin, IF(ISOMITTED(boundary_rng), 1, MIN(COLUMN(boundary_rng))),
   cmax, IF(ISOMITTED(boundary_rng), 16384, MAX(COLUMN(boundary_rng))),
   ok, ISNUMBER(cen_row) * ISNUMBER(cen_col),
   IF(
      NOT(ok),
      NA(),
      LET(
         w, 2 * s + 1,
         ro, MAKEARRAY(w, w, LAMBDA(i, j, i - s - 1)),
         co, MAKEARRAY(w, w, LAMBDA(i, j, j - s - 1)),
         ri, cen_row + ro,
         ci, cen_col + co,
         m, (ri &gt;= rmin) * (ri &lt;= rmax) * (ci &gt;= cmin) * (ci &lt;= cmax)
            * ((ro &lt;&gt; 0) + (co &lt;&gt; 0))
            * IF(d, 1, ABS(ro) + ABS(co) &lt;= s),
         dist, IF(d, MAX(ABS(ro), ABS(co)), ABS(ro) + ABS(co)),
         ad, TOCOL(IF(m, ADDRESS(ri, ci, 4), "")),
         di, TOCOL(IF(m, dist, "")),
         k, ad &lt;&gt; "",
         lst, FILTER(ad, k),
         ord, FILTER(di, k),
         IF(ROWS(lst) = 0, NA(), SORTBY(lst, ord, 1))
      )
   )
))</v>
      </c>
      <c r="C2" s="82"/>
      <c r="D2" s="82"/>
      <c r="E2" s="82"/>
      <c r="F2" s="82"/>
      <c r="G2" s="82"/>
      <c r="H2" s="82"/>
      <c r="I2" s="82"/>
      <c r="J2" s="82"/>
      <c r="K2" s="82"/>
      <c r="L2" s="82"/>
      <c r="M2" s="82"/>
      <c r="N2" s="82"/>
      <c r="O2" s="82"/>
      <c r="P2" s="82"/>
      <c r="Q2" s="82"/>
      <c r="R2" s="82"/>
    </row>
    <row r="4" spans="1:19" x14ac:dyDescent="0.5">
      <c r="A4" s="45" t="s">
        <v>3047</v>
      </c>
      <c r="L4" s="45" t="str">
        <f>COUNTIF(L6:L43,"PASS")&amp;" / 5 PASS"</f>
        <v>5 / 5 PASS</v>
      </c>
    </row>
    <row r="5" spans="1:19" x14ac:dyDescent="0.5">
      <c r="A5" s="45" t="s">
        <v>7</v>
      </c>
      <c r="B5" s="45" t="s">
        <v>8</v>
      </c>
      <c r="D5" s="45" t="s">
        <v>9</v>
      </c>
      <c r="H5" s="48" t="s">
        <v>10</v>
      </c>
      <c r="J5" s="49" t="s">
        <v>11</v>
      </c>
      <c r="L5" s="50" t="s">
        <v>12</v>
      </c>
    </row>
    <row r="6" spans="1:19" x14ac:dyDescent="0.5">
      <c r="A6" s="46">
        <v>1</v>
      </c>
      <c r="B6" s="47" t="s">
        <v>3048</v>
      </c>
      <c r="D6" s="51" t="s">
        <v>3049</v>
      </c>
      <c r="F6" s="51">
        <v>0</v>
      </c>
      <c r="H6" s="52" t="s">
        <v>3021</v>
      </c>
      <c r="J6" s="53" t="str" cm="1">
        <f t="array" ref="J6:J9">neighbors_list(D6,,,F6)</f>
        <v>B1</v>
      </c>
      <c r="L6" s="54" t="str" cm="1">
        <f t="array" ref="L6">IF(AND(H6:H9=J6:J9),"PASS","FAIL")</f>
        <v>PASS</v>
      </c>
    </row>
    <row r="7" spans="1:19" x14ac:dyDescent="0.5">
      <c r="A7" s="55"/>
      <c r="B7" s="55"/>
      <c r="H7" s="52" t="s">
        <v>3050</v>
      </c>
      <c r="J7" s="53" t="str">
        <v>A2</v>
      </c>
    </row>
    <row r="8" spans="1:19" x14ac:dyDescent="0.5">
      <c r="A8" s="55"/>
      <c r="B8" s="55"/>
      <c r="H8" s="52" t="s">
        <v>3051</v>
      </c>
      <c r="J8" s="53" t="str">
        <v>C2</v>
      </c>
    </row>
    <row r="9" spans="1:19" x14ac:dyDescent="0.5">
      <c r="A9" s="55"/>
      <c r="B9" s="55"/>
      <c r="H9" s="52" t="s">
        <v>3017</v>
      </c>
      <c r="J9" s="53" t="str">
        <v>B3</v>
      </c>
    </row>
    <row r="11" spans="1:19" x14ac:dyDescent="0.5">
      <c r="A11" s="46">
        <v>2</v>
      </c>
      <c r="B11" s="47" t="s">
        <v>3052</v>
      </c>
      <c r="D11" s="51" t="s">
        <v>3049</v>
      </c>
      <c r="H11" s="52" t="s">
        <v>2925</v>
      </c>
      <c r="J11" s="53" t="str" cm="1">
        <f t="array" ref="J11:J18">neighbors_list(D11)</f>
        <v>A1</v>
      </c>
      <c r="L11" s="54" t="str" cm="1">
        <f t="array" ref="L11">IF(AND(H11:H18=J11:J18),"PASS","FAIL")</f>
        <v>PASS</v>
      </c>
    </row>
    <row r="12" spans="1:19" x14ac:dyDescent="0.5">
      <c r="A12" s="55"/>
      <c r="B12" s="55"/>
      <c r="H12" s="52" t="s">
        <v>3021</v>
      </c>
      <c r="J12" s="53" t="str">
        <v>B1</v>
      </c>
    </row>
    <row r="13" spans="1:19" x14ac:dyDescent="0.5">
      <c r="A13" s="55"/>
      <c r="B13" s="55"/>
      <c r="H13" s="52" t="s">
        <v>3053</v>
      </c>
      <c r="J13" s="53" t="str">
        <v>C1</v>
      </c>
    </row>
    <row r="14" spans="1:19" x14ac:dyDescent="0.5">
      <c r="A14" s="55"/>
      <c r="B14" s="55"/>
      <c r="H14" s="52" t="s">
        <v>3050</v>
      </c>
      <c r="J14" s="53" t="str">
        <v>A2</v>
      </c>
    </row>
    <row r="15" spans="1:19" x14ac:dyDescent="0.5">
      <c r="A15" s="55"/>
      <c r="B15" s="55"/>
      <c r="H15" s="52" t="s">
        <v>3051</v>
      </c>
      <c r="J15" s="53" t="str">
        <v>C2</v>
      </c>
    </row>
    <row r="16" spans="1:19" x14ac:dyDescent="0.5">
      <c r="A16" s="55"/>
      <c r="B16" s="55"/>
      <c r="H16" s="52" t="s">
        <v>2928</v>
      </c>
      <c r="J16" s="53" t="str">
        <v>A3</v>
      </c>
    </row>
    <row r="17" spans="1:12" x14ac:dyDescent="0.5">
      <c r="A17" s="55"/>
      <c r="B17" s="55"/>
      <c r="H17" s="52" t="s">
        <v>3017</v>
      </c>
      <c r="J17" s="53" t="str">
        <v>B3</v>
      </c>
    </row>
    <row r="18" spans="1:12" x14ac:dyDescent="0.5">
      <c r="A18" s="55"/>
      <c r="B18" s="55"/>
      <c r="H18" s="52" t="s">
        <v>2990</v>
      </c>
      <c r="J18" s="53" t="str">
        <v>C3</v>
      </c>
    </row>
    <row r="20" spans="1:12" x14ac:dyDescent="0.5">
      <c r="A20" s="46">
        <v>3</v>
      </c>
      <c r="B20" s="47" t="s">
        <v>3054</v>
      </c>
      <c r="D20" s="51">
        <v>2000002</v>
      </c>
      <c r="H20" s="52" t="s">
        <v>2925</v>
      </c>
      <c r="J20" s="53" t="str" cm="1">
        <f t="array" ref="J20:J27">neighbors_list(D20)</f>
        <v>A1</v>
      </c>
      <c r="L20" s="54" t="str" cm="1">
        <f t="array" ref="L20">IF(AND(H20:H27=J20:J27),"PASS","FAIL")</f>
        <v>PASS</v>
      </c>
    </row>
    <row r="21" spans="1:12" x14ac:dyDescent="0.5">
      <c r="A21" s="55"/>
      <c r="B21" s="55"/>
      <c r="H21" s="52" t="s">
        <v>3021</v>
      </c>
      <c r="J21" s="53" t="str">
        <v>B1</v>
      </c>
    </row>
    <row r="22" spans="1:12" x14ac:dyDescent="0.5">
      <c r="A22" s="55"/>
      <c r="B22" s="55"/>
      <c r="H22" s="52" t="s">
        <v>3053</v>
      </c>
      <c r="J22" s="53" t="str">
        <v>C1</v>
      </c>
    </row>
    <row r="23" spans="1:12" x14ac:dyDescent="0.5">
      <c r="A23" s="55"/>
      <c r="B23" s="55"/>
      <c r="H23" s="52" t="s">
        <v>3050</v>
      </c>
      <c r="J23" s="53" t="str">
        <v>A2</v>
      </c>
    </row>
    <row r="24" spans="1:12" x14ac:dyDescent="0.5">
      <c r="A24" s="55"/>
      <c r="B24" s="55"/>
      <c r="H24" s="52" t="s">
        <v>3051</v>
      </c>
      <c r="J24" s="53" t="str">
        <v>C2</v>
      </c>
    </row>
    <row r="25" spans="1:12" x14ac:dyDescent="0.5">
      <c r="A25" s="55"/>
      <c r="B25" s="55"/>
      <c r="H25" s="52" t="s">
        <v>2928</v>
      </c>
      <c r="J25" s="53" t="str">
        <v>A3</v>
      </c>
    </row>
    <row r="26" spans="1:12" x14ac:dyDescent="0.5">
      <c r="A26" s="55"/>
      <c r="B26" s="55"/>
      <c r="H26" s="52" t="s">
        <v>3017</v>
      </c>
      <c r="J26" s="53" t="str">
        <v>B3</v>
      </c>
    </row>
    <row r="27" spans="1:12" x14ac:dyDescent="0.5">
      <c r="A27" s="55"/>
      <c r="B27" s="55"/>
      <c r="H27" s="52" t="s">
        <v>2990</v>
      </c>
      <c r="J27" s="53" t="str">
        <v>C3</v>
      </c>
    </row>
    <row r="29" spans="1:12" x14ac:dyDescent="0.5">
      <c r="A29" s="46">
        <v>4</v>
      </c>
      <c r="B29" s="47" t="s">
        <v>3055</v>
      </c>
      <c r="D29" s="51">
        <v>2000002</v>
      </c>
      <c r="F29" s="51">
        <v>0</v>
      </c>
      <c r="H29" s="52" t="s">
        <v>3021</v>
      </c>
      <c r="J29" s="53" t="str" cm="1">
        <f t="array" ref="J29:J32">neighbors_list(D29,,,F29)</f>
        <v>B1</v>
      </c>
      <c r="L29" s="54" t="str" cm="1">
        <f t="array" ref="L29">IF(AND(H29:H32=J29:J32),"PASS","FAIL")</f>
        <v>PASS</v>
      </c>
    </row>
    <row r="30" spans="1:12" x14ac:dyDescent="0.5">
      <c r="A30" s="55"/>
      <c r="B30" s="55"/>
      <c r="H30" s="52" t="s">
        <v>3050</v>
      </c>
      <c r="J30" s="53" t="str">
        <v>A2</v>
      </c>
    </row>
    <row r="31" spans="1:12" x14ac:dyDescent="0.5">
      <c r="A31" s="55"/>
      <c r="B31" s="55"/>
      <c r="H31" s="52" t="s">
        <v>3051</v>
      </c>
      <c r="J31" s="53" t="str">
        <v>C2</v>
      </c>
    </row>
    <row r="32" spans="1:12" x14ac:dyDescent="0.5">
      <c r="A32" s="55"/>
      <c r="B32" s="55"/>
      <c r="H32" s="52" t="s">
        <v>3017</v>
      </c>
      <c r="J32" s="53" t="str">
        <v>B3</v>
      </c>
    </row>
    <row r="34" spans="1:12" x14ac:dyDescent="0.5">
      <c r="A34" s="46">
        <v>5</v>
      </c>
      <c r="B34" s="47" t="s">
        <v>3056</v>
      </c>
      <c r="D34" s="51">
        <v>3000003</v>
      </c>
      <c r="H34" s="52" t="s">
        <v>3049</v>
      </c>
      <c r="J34" s="53" t="str" cm="1">
        <f t="array" ref="J34:J41">neighbors_list(D34)</f>
        <v>B2</v>
      </c>
      <c r="L34" s="54" t="str" cm="1">
        <f t="array" ref="L34">IF(AND(H34:H41=J34:J41),"PASS","FAIL")</f>
        <v>PASS</v>
      </c>
    </row>
    <row r="35" spans="1:12" x14ac:dyDescent="0.5">
      <c r="A35" s="55"/>
      <c r="B35" s="55"/>
      <c r="H35" s="52" t="s">
        <v>3051</v>
      </c>
      <c r="J35" s="53" t="str">
        <v>C2</v>
      </c>
    </row>
    <row r="36" spans="1:12" x14ac:dyDescent="0.5">
      <c r="A36" s="55"/>
      <c r="B36" s="55"/>
      <c r="H36" s="52" t="s">
        <v>2994</v>
      </c>
      <c r="J36" s="53" t="str">
        <v>D2</v>
      </c>
    </row>
    <row r="37" spans="1:12" x14ac:dyDescent="0.5">
      <c r="A37" s="55"/>
      <c r="B37" s="55"/>
      <c r="H37" s="52" t="s">
        <v>3017</v>
      </c>
      <c r="J37" s="53" t="str">
        <v>B3</v>
      </c>
    </row>
    <row r="38" spans="1:12" x14ac:dyDescent="0.5">
      <c r="A38" s="55"/>
      <c r="B38" s="55"/>
      <c r="H38" s="52" t="s">
        <v>3057</v>
      </c>
      <c r="J38" s="53" t="str">
        <v>D3</v>
      </c>
    </row>
    <row r="39" spans="1:12" x14ac:dyDescent="0.5">
      <c r="A39" s="55"/>
      <c r="B39" s="55"/>
      <c r="H39" s="52" t="s">
        <v>3058</v>
      </c>
      <c r="J39" s="53" t="str">
        <v>B4</v>
      </c>
    </row>
    <row r="40" spans="1:12" x14ac:dyDescent="0.5">
      <c r="A40" s="55"/>
      <c r="B40" s="55"/>
      <c r="H40" s="52" t="s">
        <v>2997</v>
      </c>
      <c r="J40" s="53" t="str">
        <v>C4</v>
      </c>
    </row>
    <row r="41" spans="1:12" x14ac:dyDescent="0.5">
      <c r="A41" s="55"/>
      <c r="B41" s="55"/>
      <c r="H41" s="52" t="s">
        <v>3059</v>
      </c>
      <c r="J41" s="53" t="str">
        <v>D4</v>
      </c>
    </row>
  </sheetData>
  <mergeCells count="3">
    <mergeCell ref="I1:R1"/>
    <mergeCell ref="B2:R2"/>
    <mergeCell ref="B1:F1"/>
  </mergeCells>
  <pageMargins left="0.75" right="0.75" top="1" bottom="1" header="0.5" footer="0.5"/>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BD0D55-4282-4695-966E-C5746DFE29FF}">
  <sheetPr codeName="Sheet72"/>
  <dimension ref="A1:S26"/>
  <sheetViews>
    <sheetView topLeftCell="A29" workbookViewId="0">
      <selection activeCell="G18" sqref="G18"/>
    </sheetView>
  </sheetViews>
  <sheetFormatPr defaultRowHeight="21" x14ac:dyDescent="0.5"/>
  <cols>
    <col min="1" max="1" width="4" customWidth="1"/>
    <col min="2" max="2" width="30" customWidth="1"/>
    <col min="4" max="4" width="11" customWidth="1"/>
    <col min="5" max="5" width="3" customWidth="1"/>
    <col min="6" max="6" width="11" customWidth="1"/>
    <col min="7" max="7" width="5.8125" bestFit="1" customWidth="1"/>
    <col min="8" max="8" width="11" customWidth="1"/>
    <col min="9" max="9" width="5.8125" bestFit="1"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num_ad(ad_or_rng)</v>
      </c>
      <c r="C1" s="79"/>
      <c r="D1" s="79"/>
      <c r="E1" s="79"/>
      <c r="F1" s="80"/>
      <c r="H1" s="45" t="s">
        <v>2</v>
      </c>
      <c r="I1" s="78" t="str" cm="1">
        <f t="array" aca="1" ref="I1" ca="1">_xlfn.LET(_xlpm.fn, CELL("filename",$A$1), _xlpm.nm, MID(_xlpm.fn, FIND("]", _xlpm.fn) + 1, 255), _xlfn.XLOOKUP(_xlpm.nm &amp; "(*", Lamb!$A$2:$A$1000, Lamb!$D$2:$D$1000, "", 2))</f>
        <v>Convert any address or range to numeric form - the mirror of str_ad, and the standard way to coerce mixed address input to numbers.
Behaviour by input:
  standard direction arrow ("→", "↘")    -&gt; its numeric delta (1, 1000001) - the value you add to an address to move that way
  valid string address ("D3")            -&gt; the numeric address (3000004)
  valid A1 range ("A1:B4")               -&gt; an array of numeric addresses, top-left first, bottom-right last
  valid numeric range ("1000001:4000002")-&gt; the same array
  empty                                  -&gt; "" (never coerced to 0)
  any other single value                 -&gt; passed through unchanged
  an array                               -&gt; element-wise; string addresses convert, everything else (including ranges) passes through
A single string/numeric address returns a scalar, so the many callers that convert one address still get a plain number. Ranges only expand when passed as a single value; inside an array they pass through, because expanding one element into many would need a ragged result Excel cannot make.
Empty cells become "" rather than 0 - fake coerced zeros corrupt later aggregates. Parsing is shared with str_ad and the rest of the library via z_a1n / z_ad_box.
Arguments:
  ad_or_rng - a numeric address, A1 string, A1 range, numeric range, or an array of these.
Returns:
  A number for a single address, an array of numbers for a single range, "" for empty, the input unchanged otherwise; element-wise over an array.
Example:
  num_ad("D3")                -&gt;  3000004
  num_ad("A1:B2")             -&gt;  {1000001, 1000002; 2000001, 2000002}
  num_ad(3000004)             -&gt;  3000004
  num_ad("→")                 -&gt;  1
  num_ad({"D3", "↑"})         -&gt;  {3000004, -1000000}
  num_ad("hi")                -&gt;  "hi"</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=LAMBDA(ad_or_rng,
  LET(
    to_num_1, LAMBDA(one, IF(one = "", "", LET(av, z_arrow_to_num(one), IF(ISNUMBER(av), av, IFERROR(z_a1n(one), one))))),
    IF(ROWS(ad_or_rng) * COLUMNS(ad_or_rng) &gt; 1,
      MAP(ad_or_rng, to_num_1),
      LET(
        has_colon, AND(ISTEXT(ad_or_rng), ISNUMBER(SEARCH(":", ad_or_rng))),
        box, IFERROR(z_ad_box(ad_or_rng), 0),
        IF(AND(has_colon, COUNT(box) = 4),
          LET(top, SUM(INDEX(box, 1)), lft, SUM(INDEX(box, 2)), bot, SUM(INDEX(box, 3)), rgt, SUM(INDEX(box, 4)),
              MAKEARRAY(bot - top + 1, rgt - lft + 1, LAMBDA(dr, dc, 1000000 * (top + dr - 1) + (lft + dc - 1)))),
          to_num_1(ad_or_rng))))
  )
)</v>
      </c>
      <c r="C2" s="82"/>
      <c r="D2" s="82"/>
      <c r="E2" s="82"/>
      <c r="F2" s="82"/>
      <c r="G2" s="82"/>
      <c r="H2" s="82"/>
      <c r="I2" s="82"/>
      <c r="J2" s="82"/>
      <c r="K2" s="82"/>
      <c r="L2" s="82"/>
      <c r="M2" s="82"/>
      <c r="N2" s="82"/>
      <c r="O2" s="82"/>
      <c r="P2" s="82"/>
      <c r="Q2" s="82"/>
      <c r="R2" s="82"/>
    </row>
    <row r="4" spans="1:19" x14ac:dyDescent="0.5">
      <c r="A4" s="45" t="s">
        <v>3524</v>
      </c>
      <c r="J4" s="45" t="str">
        <f>COUNTIF(J6:J60,"PASS")&amp;" / 10 PASS"</f>
        <v>10 / 10 PASS</v>
      </c>
    </row>
    <row r="5" spans="1:19" x14ac:dyDescent="0.5">
      <c r="A5" s="45" t="s">
        <v>7</v>
      </c>
      <c r="B5" s="45" t="s">
        <v>8</v>
      </c>
      <c r="D5" s="45" t="s">
        <v>9</v>
      </c>
      <c r="F5" s="48" t="s">
        <v>10</v>
      </c>
      <c r="H5" s="49" t="s">
        <v>11</v>
      </c>
      <c r="J5" s="50" t="s">
        <v>12</v>
      </c>
    </row>
    <row r="6" spans="1:19" x14ac:dyDescent="0.5">
      <c r="A6" s="46">
        <v>1</v>
      </c>
      <c r="B6" s="47" t="s">
        <v>3060</v>
      </c>
      <c r="D6" s="51" t="s">
        <v>3057</v>
      </c>
      <c r="F6" s="52">
        <v>3000004</v>
      </c>
      <c r="H6" s="53" cm="1">
        <f t="array" ref="H6">num_ad(D6)</f>
        <v>3000004</v>
      </c>
      <c r="J6" s="54" t="str">
        <f>IF(H6=F6,"PASS","FAIL")</f>
        <v>PASS</v>
      </c>
    </row>
    <row r="7" spans="1:19" x14ac:dyDescent="0.5">
      <c r="F7" s="52"/>
      <c r="H7" s="53"/>
      <c r="J7" s="54"/>
    </row>
    <row r="8" spans="1:19" x14ac:dyDescent="0.5">
      <c r="A8" s="46">
        <v>2</v>
      </c>
      <c r="B8" s="47" t="s">
        <v>3061</v>
      </c>
      <c r="D8" s="51">
        <v>3000004</v>
      </c>
      <c r="F8" s="52">
        <v>3000004</v>
      </c>
      <c r="H8" s="53" cm="1">
        <f t="array" ref="H8">num_ad(D8)</f>
        <v>3000004</v>
      </c>
      <c r="J8" s="54" t="str">
        <f>IF(H8=F8,"PASS","FAIL")</f>
        <v>PASS</v>
      </c>
    </row>
    <row r="9" spans="1:19" x14ac:dyDescent="0.5">
      <c r="F9" s="52"/>
      <c r="H9" s="53"/>
      <c r="J9" s="54"/>
    </row>
    <row r="10" spans="1:19" x14ac:dyDescent="0.5">
      <c r="A10" s="46">
        <v>3</v>
      </c>
      <c r="B10" s="47" t="s">
        <v>3062</v>
      </c>
      <c r="D10" s="51" t="s">
        <v>3063</v>
      </c>
      <c r="F10" s="52" t="s">
        <v>3063</v>
      </c>
      <c r="H10" s="53" t="str" cm="1">
        <f t="array" ref="H10">num_ad(D10)</f>
        <v>hi</v>
      </c>
      <c r="J10" s="54" t="str">
        <f>IF(H10=F10,"PASS","FAIL")</f>
        <v>PASS</v>
      </c>
    </row>
    <row r="11" spans="1:19" x14ac:dyDescent="0.5">
      <c r="F11" s="52"/>
      <c r="H11" s="53"/>
      <c r="J11" s="54"/>
    </row>
    <row r="12" spans="1:19" x14ac:dyDescent="0.5">
      <c r="A12" s="46">
        <v>4</v>
      </c>
      <c r="B12" s="47" t="s">
        <v>3064</v>
      </c>
      <c r="D12" s="51" t="s">
        <v>3065</v>
      </c>
      <c r="F12" s="52">
        <v>2000002</v>
      </c>
      <c r="H12" s="53" cm="1">
        <f t="array" ref="H12">num_ad(D12)</f>
        <v>2000002</v>
      </c>
      <c r="J12" s="54" t="str">
        <f>IF(H12=F12,"PASS","FAIL")</f>
        <v>PASS</v>
      </c>
    </row>
    <row r="13" spans="1:19" x14ac:dyDescent="0.5">
      <c r="J13" s="54"/>
    </row>
    <row r="14" spans="1:19" x14ac:dyDescent="0.5">
      <c r="A14" s="46">
        <v>5</v>
      </c>
      <c r="B14" s="47" t="s">
        <v>3525</v>
      </c>
      <c r="D14" s="51" t="s">
        <v>3526</v>
      </c>
      <c r="F14" s="52">
        <v>1000001</v>
      </c>
      <c r="G14" s="52">
        <v>1000002</v>
      </c>
      <c r="H14" s="53" cm="1">
        <f t="array" ref="H14:I15">num_ad(D14)</f>
        <v>1000001</v>
      </c>
      <c r="I14" s="53">
        <v>1000002</v>
      </c>
      <c r="J14" s="54" t="str" cm="1">
        <f t="array" ref="J14">IF(AND(F14:G15=H14:I15),"PASS","FAIL")</f>
        <v>PASS</v>
      </c>
    </row>
    <row r="15" spans="1:19" x14ac:dyDescent="0.5">
      <c r="F15" s="52">
        <v>2000001</v>
      </c>
      <c r="G15" s="52">
        <v>2000002</v>
      </c>
      <c r="H15" s="53">
        <v>2000001</v>
      </c>
      <c r="I15" s="53">
        <v>2000002</v>
      </c>
      <c r="J15" s="54"/>
    </row>
    <row r="16" spans="1:19" x14ac:dyDescent="0.5">
      <c r="A16" s="46">
        <v>6</v>
      </c>
      <c r="B16" s="47" t="s">
        <v>3066</v>
      </c>
      <c r="D16" s="51" t="s">
        <v>2925</v>
      </c>
      <c r="F16" s="52">
        <v>1000001</v>
      </c>
      <c r="H16" s="53" cm="1">
        <f t="array" ref="H16:H17">num_ad(D16:D17)</f>
        <v>1000001</v>
      </c>
      <c r="J16" s="54" t="str" cm="1">
        <f t="array" ref="J16">IF(AND(F16:F17=H16:H17),"PASS","FAIL")</f>
        <v>PASS</v>
      </c>
    </row>
    <row r="17" spans="1:10" x14ac:dyDescent="0.5">
      <c r="A17" s="55"/>
      <c r="B17" s="55"/>
      <c r="D17" s="51" t="s">
        <v>3049</v>
      </c>
      <c r="F17" s="52">
        <v>2000002</v>
      </c>
      <c r="H17" s="53">
        <v>2000002</v>
      </c>
      <c r="J17" s="54"/>
    </row>
    <row r="18" spans="1:10" x14ac:dyDescent="0.5">
      <c r="J18" s="54"/>
    </row>
    <row r="19" spans="1:10" x14ac:dyDescent="0.5">
      <c r="A19">
        <v>7</v>
      </c>
      <c r="B19" s="55" t="s">
        <v>3527</v>
      </c>
      <c r="D19" s="51" t="s">
        <v>3528</v>
      </c>
      <c r="F19" s="52">
        <v>1000001</v>
      </c>
      <c r="G19" s="52">
        <v>1000002</v>
      </c>
      <c r="H19" s="53" cm="1">
        <f t="array" ref="H19:I19">num_ad(D19)</f>
        <v>1000001</v>
      </c>
      <c r="I19" s="53">
        <v>1000002</v>
      </c>
      <c r="J19" s="54" t="str" cm="1">
        <f t="array" ref="J19">IF(AND(F19:G19=H19:I19),"PASS","FAIL")</f>
        <v>PASS</v>
      </c>
    </row>
    <row r="20" spans="1:10" x14ac:dyDescent="0.5">
      <c r="J20" s="54"/>
    </row>
    <row r="21" spans="1:10" x14ac:dyDescent="0.5">
      <c r="A21">
        <v>8</v>
      </c>
      <c r="B21" s="55" t="s">
        <v>3529</v>
      </c>
      <c r="D21" s="51"/>
      <c r="F21" s="52"/>
      <c r="H21" s="53" t="str" cm="1">
        <f t="array" ref="H21">num_ad(D21)</f>
        <v/>
      </c>
      <c r="J21" s="54" t="str">
        <f>IF(AND(H21="",NOT(H21=0)),"PASS","FAIL")</f>
        <v>PASS</v>
      </c>
    </row>
    <row r="23" spans="1:10" x14ac:dyDescent="0.5">
      <c r="A23" s="46">
        <v>9</v>
      </c>
      <c r="B23" s="47" t="s">
        <v>3607</v>
      </c>
      <c r="D23" s="51" t="s">
        <v>192</v>
      </c>
      <c r="F23" s="52">
        <v>1</v>
      </c>
      <c r="H23" s="53" cm="1">
        <f t="array" ref="H23">num_ad(D23)</f>
        <v>1</v>
      </c>
      <c r="J23" s="54" t="str">
        <f>IF(F23=H23,"PASS","FAIL")</f>
        <v>PASS</v>
      </c>
    </row>
    <row r="25" spans="1:10" x14ac:dyDescent="0.5">
      <c r="A25" s="46">
        <v>10</v>
      </c>
      <c r="B25" s="47" t="s">
        <v>3608</v>
      </c>
      <c r="D25" s="51" t="s">
        <v>3057</v>
      </c>
      <c r="F25" s="52">
        <v>3000004</v>
      </c>
      <c r="H25" s="53" cm="1">
        <f t="array" ref="H25:H26">num_ad(D25:D26)</f>
        <v>3000004</v>
      </c>
      <c r="J25" s="54" t="str" cm="1">
        <f t="array" ref="J25">IF(AND(F25:F26=H25:H26),"PASS","FAIL")</f>
        <v>PASS</v>
      </c>
    </row>
    <row r="26" spans="1:10" x14ac:dyDescent="0.5">
      <c r="D26" s="51" t="s">
        <v>160</v>
      </c>
      <c r="F26" s="52">
        <v>-1000000</v>
      </c>
      <c r="H26">
        <v>-1000000</v>
      </c>
    </row>
  </sheetData>
  <mergeCells count="3">
    <mergeCell ref="I1:R1"/>
    <mergeCell ref="B2:R2"/>
    <mergeCell ref="B1:F1"/>
  </mergeCells>
  <pageMargins left="0.75" right="0.75" top="1" bottom="1" header="0.5" footer="0.5"/>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C33B43-4C62-4CD6-BE87-91B282DBBD64}">
  <sheetPr codeName="Sheet73"/>
  <dimension ref="A1:S1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offset_letter(st, offset)</v>
      </c>
      <c r="C1" s="79"/>
      <c r="D1" s="79"/>
      <c r="E1" s="79"/>
      <c r="F1" s="80"/>
      <c r="H1" s="45" t="s">
        <v>2</v>
      </c>
      <c r="I1" s="78" t="str" cm="1">
        <f t="array" aca="1" ref="I1" ca="1">_xlfn.LET(_xlpm.fn, CELL("filename",$A$1), _xlpm.nm, MID(_xlpm.fn, FIND("]", _xlpm.fn) + 1, 255), _xlfn.XLOOKUP(_xlpm.nm &amp; "(*", Lamb!$A$2:$A$1000, Lamb!$D$2:$D$1000, "", 2))</f>
        <v>Caesar-shifts the letters of a string by a fixed offset.
Arguments:
  st     - the text (or array of text) to shift.
  offset - integer number of positions to advance each letter (wraps A-Z).
Returns:
  The shifted text, preserving case and leaving non-letters untouched. Works on arrays.
Example:
  offset_letter("xyz", 2)  -&gt;  "zab"</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 offset, LET(
   r, ROWS(st),
   c, COLUMNS(st),
   f, LAMBDA(s, o, LET(
      s_text, s &amp; "",
      n, LEN(s_text),
      chars, IF(n = 0, "", MID(s_text, SEQUENCE(n), 1)),
      shifted, IF(
         n = 0,
         "",
         MAP(
            chars,
            LAMBDA(ch, LET(
               code, CODE(ch),
               is_u, (code &gt;= 65) * (code &lt;= 90),
               is_l, (code &gt;= 97) * (code &lt;= 122),
               new_u, CHAR(65 + MOD(code - 65 + o, 26)),
               new_l, CHAR(97 + MOD(code - 97 + o, 26)),
               IF(is_u, new_u, IF(is_l, new_l, ch))
            ))
         )
      ),
      IF(n = 0, "", TEXTJOIN("", TRUE, shifted))
   )),
   MAKEARRAY(
      r,
      c,
      LAMBDA(i, j,
         f(
            INDEX(st, i, j),
            IF(ROWS(offset) * COLUMNS(offset) = 1, offset, INDEX(offset, i, j))
         )
      )
   )
))</v>
      </c>
      <c r="C2" s="82"/>
      <c r="D2" s="82"/>
      <c r="E2" s="82"/>
      <c r="F2" s="82"/>
      <c r="G2" s="82"/>
      <c r="H2" s="82"/>
      <c r="I2" s="82"/>
      <c r="J2" s="82"/>
      <c r="K2" s="82"/>
      <c r="L2" s="82"/>
      <c r="M2" s="82"/>
      <c r="N2" s="82"/>
      <c r="O2" s="82"/>
      <c r="P2" s="82"/>
      <c r="Q2" s="82"/>
      <c r="R2" s="82"/>
    </row>
    <row r="4" spans="1:19" x14ac:dyDescent="0.5">
      <c r="A4" s="45" t="s">
        <v>3067</v>
      </c>
      <c r="L4" s="45" t="str">
        <f>COUNTIF(L6:L19,"PASS")&amp;" / 6 PASS"</f>
        <v>6 / 6 PASS</v>
      </c>
    </row>
    <row r="5" spans="1:19" x14ac:dyDescent="0.5">
      <c r="A5" s="45" t="s">
        <v>7</v>
      </c>
      <c r="B5" s="45" t="s">
        <v>8</v>
      </c>
      <c r="D5" s="45" t="s">
        <v>9</v>
      </c>
      <c r="H5" s="48" t="s">
        <v>10</v>
      </c>
      <c r="J5" s="49" t="s">
        <v>11</v>
      </c>
      <c r="L5" s="50" t="s">
        <v>12</v>
      </c>
    </row>
    <row r="6" spans="1:19" x14ac:dyDescent="0.5">
      <c r="A6" s="46">
        <v>1</v>
      </c>
      <c r="B6" s="47" t="s">
        <v>3068</v>
      </c>
      <c r="D6" s="51" t="s">
        <v>3069</v>
      </c>
      <c r="F6" s="51">
        <v>2</v>
      </c>
      <c r="H6" s="52" t="s">
        <v>3070</v>
      </c>
      <c r="J6" s="53" t="str" cm="1">
        <f t="array" ref="J6">offset_letter(D6,F6)</f>
        <v>zab</v>
      </c>
      <c r="L6" s="54" t="str">
        <f>IF(J6=H6,"PASS","FAIL")</f>
        <v>PASS</v>
      </c>
    </row>
    <row r="8" spans="1:19" x14ac:dyDescent="0.5">
      <c r="A8" s="46">
        <v>2</v>
      </c>
      <c r="B8" s="47" t="s">
        <v>3071</v>
      </c>
      <c r="D8" s="51" t="s">
        <v>3072</v>
      </c>
      <c r="F8" s="51">
        <v>1</v>
      </c>
      <c r="H8" s="52" t="s">
        <v>3073</v>
      </c>
      <c r="J8" s="53" t="str" cm="1">
        <f t="array" ref="J8">offset_letter(D8,F8)</f>
        <v>bcd</v>
      </c>
      <c r="L8" s="54" t="str">
        <f>IF(J8=H8,"PASS","FAIL")</f>
        <v>PASS</v>
      </c>
    </row>
    <row r="10" spans="1:19" x14ac:dyDescent="0.5">
      <c r="A10" s="46">
        <v>3</v>
      </c>
      <c r="B10" s="47" t="s">
        <v>3074</v>
      </c>
      <c r="D10" s="51" t="s">
        <v>3075</v>
      </c>
      <c r="F10" s="51">
        <v>1</v>
      </c>
      <c r="H10" s="52" t="s">
        <v>3076</v>
      </c>
      <c r="J10" s="53" t="str" cm="1">
        <f t="array" ref="J10">offset_letter(D10,F10)</f>
        <v>Ifmmp</v>
      </c>
      <c r="L10" s="54" t="str">
        <f>IF(J10=H10,"PASS","FAIL")</f>
        <v>PASS</v>
      </c>
    </row>
    <row r="12" spans="1:19" x14ac:dyDescent="0.5">
      <c r="A12" s="46">
        <v>4</v>
      </c>
      <c r="B12" s="47" t="s">
        <v>3077</v>
      </c>
      <c r="D12" s="51" t="s">
        <v>3078</v>
      </c>
      <c r="F12" s="51">
        <v>1</v>
      </c>
      <c r="H12" s="52" t="s">
        <v>3079</v>
      </c>
      <c r="J12" s="53" t="str" cm="1">
        <f t="array" ref="J12">offset_letter(D12,F12)</f>
        <v>b1c</v>
      </c>
      <c r="L12" s="54" t="str">
        <f>IF(J12=H12,"PASS","FAIL")</f>
        <v>PASS</v>
      </c>
    </row>
    <row r="14" spans="1:19" x14ac:dyDescent="0.5">
      <c r="A14" s="46">
        <v>5</v>
      </c>
      <c r="B14" s="47" t="s">
        <v>3080</v>
      </c>
      <c r="D14" s="51" t="s">
        <v>3073</v>
      </c>
      <c r="F14" s="51">
        <v>-1</v>
      </c>
      <c r="H14" s="52" t="s">
        <v>3072</v>
      </c>
      <c r="J14" s="53" t="str" cm="1">
        <f t="array" ref="J14">offset_letter(D14,F14)</f>
        <v>abc</v>
      </c>
      <c r="L14" s="54" t="str">
        <f>IF(J14=H14,"PASS","FAIL")</f>
        <v>PASS</v>
      </c>
    </row>
    <row r="16" spans="1:19" x14ac:dyDescent="0.5">
      <c r="A16" s="46">
        <v>6</v>
      </c>
      <c r="B16" s="47" t="s">
        <v>3081</v>
      </c>
      <c r="D16" s="51" t="s">
        <v>3072</v>
      </c>
      <c r="F16" s="51">
        <v>1</v>
      </c>
      <c r="H16" s="52" t="s">
        <v>3073</v>
      </c>
      <c r="J16" s="53" t="str" cm="1">
        <f t="array" ref="J16:J17">offset_letter(D16:D17,F16)</f>
        <v>bcd</v>
      </c>
      <c r="L16" s="54" t="str" cm="1">
        <f t="array" ref="L16">IF(AND(H16:H17=J16:J17),"PASS","FAIL")</f>
        <v>PASS</v>
      </c>
    </row>
    <row r="17" spans="1:10" x14ac:dyDescent="0.5">
      <c r="A17" s="55"/>
      <c r="B17" s="55"/>
      <c r="D17" s="51" t="s">
        <v>3082</v>
      </c>
      <c r="H17" s="52" t="s">
        <v>3083</v>
      </c>
      <c r="J17" s="53" t="str">
        <v>YZA</v>
      </c>
    </row>
  </sheetData>
  <mergeCells count="3">
    <mergeCell ref="I1:R1"/>
    <mergeCell ref="B2:R2"/>
    <mergeCell ref="B1:F1"/>
  </mergeCells>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1985C4-EA07-413C-A4C0-C69316E4AA84}">
  <sheetPr codeName="Sheet74"/>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only_letters(st)</v>
      </c>
      <c r="C1" s="79"/>
      <c r="D1" s="79"/>
      <c r="E1" s="79"/>
      <c r="F1" s="80"/>
      <c r="H1" s="45" t="s">
        <v>2</v>
      </c>
      <c r="I1" s="78" t="str" cm="1">
        <f t="array" aca="1" ref="I1" ca="1">_xlfn.LET(_xlpm.fn, CELL("filename",$A$1), _xlpm.nm, MID(_xlpm.fn, FIND("]", _xlpm.fn) + 1, 255), _xlfn.XLOOKUP(_xlpm.nm &amp; "(*", Lamb!$A$2:$A$1000, Lamb!$D$2:$D$1000, "", 2))</f>
        <v>Strips everything except letters from text.
Arguments:
  st - a string or array of strings.
Returns:
  The input with all non-letter characters removed.
Example:
  only_letters("A12")  -&gt;  "A"</v>
      </c>
      <c r="J1" s="79"/>
      <c r="K1" s="79"/>
      <c r="L1" s="79"/>
      <c r="M1" s="79"/>
      <c r="N1" s="79"/>
      <c r="O1" s="79"/>
      <c r="P1" s="79"/>
      <c r="Q1" s="79"/>
      <c r="R1" s="80"/>
      <c r="S1" s="77" t="str">
        <f>HYPERLINK("#lambda_tests!A1","&lt;- test summary")</f>
        <v>&lt;- test summary</v>
      </c>
    </row>
    <row r="2" spans="1:19" ht="84" customHeight="1" x14ac:dyDescent="0.5">
      <c r="A2" s="45" t="s">
        <v>4</v>
      </c>
      <c r="B2" s="81" t="str" cm="1">
        <f t="array" aca="1" ref="B2" ca="1">_xlfn.LET(_xlpm.fn, CELL("filename",$A$1), _xlpm.nm, MID(_xlpm.fn, FIND("]", _xlpm.fn) + 1, 255), _xlfn.XLOOKUP(_xlpm.nm &amp; "(*", Lamb!$A$2:$A$1000, Lamb!$C$2:$C$1000, "", 2))</f>
        <v>=LAMBDA(arr, LET(
   f, LAMBDA(x, IFERROR(CONCAT(REGEXEXTRACT(x, "[a-z]", 1, 1)), "")),
   IF(ROWS(arr) * COLUMNS(arr) = 1, f(arr), MAP(arr, f))
))</v>
      </c>
      <c r="C2" s="82"/>
      <c r="D2" s="82"/>
      <c r="E2" s="82"/>
      <c r="F2" s="82"/>
      <c r="G2" s="82"/>
      <c r="H2" s="82"/>
      <c r="I2" s="82"/>
      <c r="J2" s="82"/>
      <c r="K2" s="82"/>
      <c r="L2" s="82"/>
      <c r="M2" s="82"/>
      <c r="N2" s="82"/>
      <c r="O2" s="82"/>
      <c r="P2" s="82"/>
      <c r="Q2" s="82"/>
      <c r="R2" s="82"/>
    </row>
    <row r="4" spans="1:19" x14ac:dyDescent="0.5">
      <c r="A4" s="45" t="s">
        <v>3084</v>
      </c>
      <c r="J4" s="45" t="str">
        <f>COUNTIF(J6:J17,"PASS")&amp;" / 5 PASS"</f>
        <v>5 / 5 PASS</v>
      </c>
    </row>
    <row r="5" spans="1:19" x14ac:dyDescent="0.5">
      <c r="A5" s="45" t="s">
        <v>7</v>
      </c>
      <c r="B5" s="45" t="s">
        <v>8</v>
      </c>
      <c r="D5" s="45" t="s">
        <v>9</v>
      </c>
      <c r="F5" s="48" t="s">
        <v>10</v>
      </c>
      <c r="H5" s="49" t="s">
        <v>11</v>
      </c>
      <c r="J5" s="50" t="s">
        <v>12</v>
      </c>
    </row>
    <row r="6" spans="1:19" x14ac:dyDescent="0.5">
      <c r="A6" s="46">
        <v>1</v>
      </c>
      <c r="B6" s="47" t="s">
        <v>3085</v>
      </c>
      <c r="D6" s="51" t="s">
        <v>3086</v>
      </c>
      <c r="F6" s="52" t="s">
        <v>3087</v>
      </c>
      <c r="H6" s="53" t="str" cm="1">
        <f t="array" ref="H6">only_letters(D6)</f>
        <v>aBc</v>
      </c>
      <c r="J6" s="54" t="str">
        <f>IF(H6=F6,"PASS","FAIL")</f>
        <v>PASS</v>
      </c>
    </row>
    <row r="8" spans="1:19" x14ac:dyDescent="0.5">
      <c r="A8" s="46">
        <v>2</v>
      </c>
      <c r="B8" s="47" t="s">
        <v>3088</v>
      </c>
      <c r="D8" s="51" t="s">
        <v>3075</v>
      </c>
      <c r="F8" s="52" t="s">
        <v>3075</v>
      </c>
      <c r="H8" s="53" t="str" cm="1">
        <f t="array" ref="H8">only_letters(D8)</f>
        <v>Hello</v>
      </c>
      <c r="J8" s="54" t="str">
        <f>IF(H8=F8,"PASS","FAIL")</f>
        <v>PASS</v>
      </c>
    </row>
    <row r="10" spans="1:19" x14ac:dyDescent="0.5">
      <c r="A10" s="46">
        <v>3</v>
      </c>
      <c r="B10" s="47" t="s">
        <v>3089</v>
      </c>
      <c r="D10" s="51" t="s">
        <v>3090</v>
      </c>
      <c r="F10" s="52" t="s">
        <v>3091</v>
      </c>
      <c r="H10" s="53" t="str" cm="1">
        <f t="array" ref="H10">only_letters(D10)</f>
        <v>XYz</v>
      </c>
      <c r="J10" s="54" t="str">
        <f>IF(H10=F10,"PASS","FAIL")</f>
        <v>PASS</v>
      </c>
    </row>
    <row r="12" spans="1:19" x14ac:dyDescent="0.5">
      <c r="A12" s="46">
        <v>4</v>
      </c>
      <c r="B12" s="47" t="s">
        <v>3092</v>
      </c>
      <c r="D12" s="51" t="s">
        <v>3093</v>
      </c>
      <c r="F12" s="52"/>
      <c r="H12" s="53" t="str" cm="1">
        <f t="array" ref="H12">only_letters(D12)</f>
        <v/>
      </c>
      <c r="J12" s="54" t="str">
        <f>IF(H12=F12,"PASS","FAIL")</f>
        <v>PASS</v>
      </c>
    </row>
    <row r="14" spans="1:19" x14ac:dyDescent="0.5">
      <c r="A14" s="46">
        <v>5</v>
      </c>
      <c r="B14" s="47" t="s">
        <v>3094</v>
      </c>
      <c r="D14" s="51" t="s">
        <v>3078</v>
      </c>
      <c r="F14" s="52" t="s">
        <v>3095</v>
      </c>
      <c r="H14" s="53" t="str" cm="1">
        <f t="array" ref="H14:H15">only_letters(D14:D15)</f>
        <v>ab</v>
      </c>
      <c r="J14" s="54" t="str" cm="1">
        <f t="array" ref="J14">IF(AND(F14:F15=H14:H15),"PASS","FAIL")</f>
        <v>PASS</v>
      </c>
    </row>
    <row r="15" spans="1:19" x14ac:dyDescent="0.5">
      <c r="A15" s="55"/>
      <c r="B15" s="55"/>
      <c r="D15" s="51" t="s">
        <v>3096</v>
      </c>
      <c r="F15" s="52" t="s">
        <v>3097</v>
      </c>
      <c r="H15" s="53" t="str">
        <v>Cd</v>
      </c>
    </row>
  </sheetData>
  <mergeCells count="3">
    <mergeCell ref="I1:R1"/>
    <mergeCell ref="B2:R2"/>
    <mergeCell ref="B1:F1"/>
  </mergeCells>
  <pageMargins left="0.75" right="0.75" top="1" bottom="1" header="0.5" footer="0.5"/>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E63C1-5957-4CCA-B869-9D2EFBEE3A32}">
  <sheetPr codeName="Sheet75"/>
  <dimension ref="A1:S1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only_numbers(st)</v>
      </c>
      <c r="C1" s="79"/>
      <c r="D1" s="79"/>
      <c r="E1" s="79"/>
      <c r="F1" s="80"/>
      <c r="H1" s="45" t="s">
        <v>2</v>
      </c>
      <c r="I1" s="78" t="str" cm="1">
        <f t="array" aca="1" ref="I1" ca="1">_xlfn.LET(_xlpm.fn, CELL("filename",$A$1), _xlpm.nm, MID(_xlpm.fn, FIND("]", _xlpm.fn) + 1, 255), _xlfn.XLOOKUP(_xlpm.nm &amp; "(*", Lamb!$A$2:$A$1000, Lamb!$D$2:$D$1000, "", 2))</f>
        <v>Extracts numeric values from a string.
Arguments:
  st - the text to pull numbers from.
Returns:
  The number(s) found, using the pattern -?\d+(?:\.\d+)?. A single string can yield several numbers, so this is not array-safe; wrap in MAP when applying one-to-one across an array.
Example:
  only_numbers("A12.5")  -&gt;  12.5</v>
      </c>
      <c r="J1" s="79"/>
      <c r="K1" s="79"/>
      <c r="L1" s="79"/>
      <c r="M1" s="79"/>
      <c r="N1" s="79"/>
      <c r="O1" s="79"/>
      <c r="P1" s="79"/>
      <c r="Q1" s="79"/>
      <c r="R1" s="80"/>
      <c r="S1" s="77" t="str">
        <f>HYPERLINK("#lambda_tests!A1","&lt;- test summary")</f>
        <v>&lt;- test summary</v>
      </c>
    </row>
    <row r="2" spans="1:19" ht="84" customHeight="1" x14ac:dyDescent="0.5">
      <c r="A2" s="45" t="s">
        <v>4</v>
      </c>
      <c r="B2" s="81" t="str" cm="1">
        <f t="array" aca="1" ref="B2" ca="1">_xlfn.LET(_xlpm.fn, CELL("filename",$A$1), _xlpm.nm, MID(_xlpm.fn, FIND("]", _xlpm.fn) + 1, 255), _xlfn.XLOOKUP(_xlpm.nm &amp; "(*", Lamb!$A$2:$A$1000, Lamb!$C$2:$C$1000, "", 2))</f>
        <v>=LAMBDA(txt, LET(
   matches, IFERROR(--REGEXEXTRACT(txt, "-?\d+(?:\.\d+)?", 1), ""),
   IF(ROWS(matches) * COLUMNS(matches) = 1, INDEX(matches, 1), matches)
))</v>
      </c>
      <c r="C2" s="82"/>
      <c r="D2" s="82"/>
      <c r="E2" s="82"/>
      <c r="F2" s="82"/>
      <c r="G2" s="82"/>
      <c r="H2" s="82"/>
      <c r="I2" s="82"/>
      <c r="J2" s="82"/>
      <c r="K2" s="82"/>
      <c r="L2" s="82"/>
      <c r="M2" s="82"/>
      <c r="N2" s="82"/>
      <c r="O2" s="82"/>
      <c r="P2" s="82"/>
      <c r="Q2" s="82"/>
      <c r="R2" s="82"/>
    </row>
    <row r="4" spans="1:19" x14ac:dyDescent="0.5">
      <c r="A4" s="45" t="s">
        <v>3098</v>
      </c>
      <c r="J4" s="45" t="str">
        <f>COUNTIF(J6:J19,"PASS")&amp;" / 5 PASS"</f>
        <v>5 / 5 PASS</v>
      </c>
    </row>
    <row r="5" spans="1:19" x14ac:dyDescent="0.5">
      <c r="A5" s="45" t="s">
        <v>7</v>
      </c>
      <c r="B5" s="45" t="s">
        <v>8</v>
      </c>
      <c r="D5" s="45" t="s">
        <v>9</v>
      </c>
      <c r="F5" s="48" t="s">
        <v>10</v>
      </c>
      <c r="H5" s="49" t="s">
        <v>11</v>
      </c>
      <c r="J5" s="50" t="s">
        <v>12</v>
      </c>
    </row>
    <row r="6" spans="1:19" x14ac:dyDescent="0.5">
      <c r="A6" s="46">
        <v>1</v>
      </c>
      <c r="B6" s="47" t="s">
        <v>3099</v>
      </c>
      <c r="D6" s="51" t="s">
        <v>3100</v>
      </c>
      <c r="F6" s="52">
        <v>10</v>
      </c>
      <c r="H6" s="53" cm="1">
        <f t="array" ref="H6">only_numbers(D6)</f>
        <v>10</v>
      </c>
      <c r="J6" s="54" t="str">
        <f>IF(H6=F6,"PASS","FAIL")</f>
        <v>PASS</v>
      </c>
    </row>
    <row r="8" spans="1:19" x14ac:dyDescent="0.5">
      <c r="A8" s="46">
        <v>2</v>
      </c>
      <c r="B8" s="47" t="s">
        <v>3101</v>
      </c>
      <c r="D8" s="51" t="s">
        <v>3102</v>
      </c>
      <c r="F8" s="52">
        <v>3.5</v>
      </c>
      <c r="H8" s="53" cm="1">
        <f t="array" ref="H8">only_numbers(D8)</f>
        <v>3.5</v>
      </c>
      <c r="J8" s="54" t="str">
        <f>IF(H8=F8,"PASS","FAIL")</f>
        <v>PASS</v>
      </c>
    </row>
    <row r="10" spans="1:19" x14ac:dyDescent="0.5">
      <c r="A10" s="46">
        <v>3</v>
      </c>
      <c r="B10" s="47" t="s">
        <v>3103</v>
      </c>
      <c r="D10" s="51" t="s">
        <v>3072</v>
      </c>
      <c r="H10" s="53" t="str" cm="1">
        <f t="array" ref="H10">only_numbers(D10)</f>
        <v/>
      </c>
      <c r="J10" s="54" t="str" cm="1">
        <f t="array" ref="J10">IF(AND(F9:F10=H9:H10),"PASS","FAIL")</f>
        <v>PASS</v>
      </c>
    </row>
    <row r="12" spans="1:19" x14ac:dyDescent="0.5">
      <c r="A12" s="46">
        <v>4</v>
      </c>
      <c r="B12" s="47" t="s">
        <v>3104</v>
      </c>
      <c r="D12" s="51" t="s">
        <v>3105</v>
      </c>
      <c r="F12" s="52">
        <v>1</v>
      </c>
      <c r="H12" s="53" cm="1">
        <f t="array" ref="H12:H14">_xlfn.TOCOL(only_numbers(D12))</f>
        <v>1</v>
      </c>
      <c r="J12" s="54" t="str" cm="1">
        <f t="array" ref="J12">IF(AND(F12:F14=H12:H14),"PASS","FAIL")</f>
        <v>PASS</v>
      </c>
    </row>
    <row r="13" spans="1:19" x14ac:dyDescent="0.5">
      <c r="A13" s="55"/>
      <c r="B13" s="55"/>
      <c r="F13" s="52">
        <v>2</v>
      </c>
      <c r="H13" s="53">
        <v>2</v>
      </c>
    </row>
    <row r="14" spans="1:19" x14ac:dyDescent="0.5">
      <c r="A14" s="55"/>
      <c r="B14" s="55"/>
      <c r="F14" s="52">
        <v>3</v>
      </c>
      <c r="H14" s="53">
        <v>3</v>
      </c>
    </row>
    <row r="16" spans="1:19" x14ac:dyDescent="0.5">
      <c r="A16" s="46">
        <v>5</v>
      </c>
      <c r="B16" s="47" t="s">
        <v>3106</v>
      </c>
      <c r="D16" s="51" t="s">
        <v>3106</v>
      </c>
      <c r="F16" s="52">
        <v>-5</v>
      </c>
      <c r="H16" s="53" cm="1">
        <f t="array" ref="H16:H17">_xlfn.TOCOL(only_numbers(D16))</f>
        <v>-5</v>
      </c>
      <c r="J16" s="54" t="str" cm="1">
        <f t="array" ref="J16">IF(AND(F16:F17=H16:H17),"PASS","FAIL")</f>
        <v>PASS</v>
      </c>
    </row>
    <row r="17" spans="1:8" x14ac:dyDescent="0.5">
      <c r="A17" s="55"/>
      <c r="B17" s="55"/>
      <c r="F17" s="52">
        <v>12</v>
      </c>
      <c r="H17" s="53">
        <v>12</v>
      </c>
    </row>
  </sheetData>
  <mergeCells count="3">
    <mergeCell ref="I1:R1"/>
    <mergeCell ref="B2:R2"/>
    <mergeCell ref="B1:F1"/>
  </mergeCells>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2FEC11-0655-4639-9C9F-6411C5B45ADD}">
  <sheetPr codeName="Sheet128"/>
  <dimension ref="A1:S19"/>
  <sheetViews>
    <sheetView topLeftCell="A2" workbookViewId="0">
      <selection activeCell="T8" sqref="T8"/>
    </sheetView>
  </sheetViews>
  <sheetFormatPr defaultRowHeight="21" x14ac:dyDescent="0.5"/>
  <cols>
    <col min="1" max="1" width="4" customWidth="1"/>
    <col min="2" max="2" width="30" customWidth="1"/>
    <col min="4" max="4" width="11" customWidth="1"/>
    <col min="5" max="5" width="5.6875" bestFit="1" customWidth="1"/>
    <col min="6" max="6" width="11" customWidth="1"/>
    <col min="7" max="7" width="3" customWidth="1"/>
    <col min="8" max="8" width="11" customWidth="1"/>
    <col min="9" max="9" width="3"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rc_to_ad(row_n, col_n, [str])</v>
      </c>
      <c r="C1" s="79"/>
      <c r="D1" s="79"/>
      <c r="E1" s="79"/>
      <c r="F1" s="80"/>
      <c r="H1" s="45" t="s">
        <v>2</v>
      </c>
      <c r="I1" s="78" t="str" cm="1">
        <f t="array" aca="1" ref="I1" ca="1">_xlfn.LET(_xlpm.fn, CELL("filename",$A$1), _xlpm.nm, MID(_xlpm.fn, FIND("]", _xlpm.fn) + 1, 255), _xlfn.XLOOKUP(_xlpm.nm &amp; "(*", Lamb!$A$2:$A$1000, Lamb!$D$2:$D$1000, "", 2))</f>
        <v>Build an address from a row and column number. The inverse of ad_to_rc.
Numeric output is the project's standard packed address (1e6 * row + col). The string form is produced via str_ad, so it matches the relative A1 style used everywhere else in the library.
Arguments:
  row_n - row number, 1 to 1048576.
  col_n - column number, 1 to 16384.
  [str] - 0 (default) returns the numeric address; 1 returns an A1 string.
Returns:
  The address in the requested form. Returns #VALUE! if either coordinate is non-numeric, non-integer, or outside the sheet.
Example:
  rc_to_ad(3, 4)     -&gt;  3000004
  rc_to_ad(3, 4, 1)  -&gt;  "D3"
  rc_to_ad(0, 4)     -&gt;  #VALUE!</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=LAMBDA(row_n, col_n, [str],
  LET(
    want_str, IF(ISOMITTED(str), 0, str),
    ok, IFERROR(AND(ISNUMBER(row_n), ISNUMBER(col_n),
                    row_n = INT(row_n), col_n = INT(col_n),
                    row_n &gt;= 1, row_n &lt;= 1048576,
                    col_n &gt;= 1, col_n &lt;= 16384), FALSE),
    IF(NOT(ok), #VALUE!,
       IF(want_str,
          str_ad(1000000 * row_n + col_n),
          1000000 * row_n + col_n))
  )
)</v>
      </c>
      <c r="C2" s="82"/>
      <c r="D2" s="82"/>
      <c r="E2" s="82"/>
      <c r="F2" s="82"/>
      <c r="G2" s="82"/>
      <c r="H2" s="82"/>
      <c r="I2" s="82"/>
      <c r="J2" s="82"/>
      <c r="K2" s="82"/>
      <c r="L2" s="82"/>
      <c r="M2" s="82"/>
      <c r="N2" s="82"/>
      <c r="O2" s="82"/>
      <c r="P2" s="82"/>
      <c r="Q2" s="82"/>
      <c r="R2" s="82"/>
    </row>
    <row r="4" spans="1:19" x14ac:dyDescent="0.5">
      <c r="A4" s="45" t="s">
        <v>3530</v>
      </c>
      <c r="J4" s="45" t="str">
        <f>COUNTIF(J6:J20,"PASS")&amp;" / 7 PASS"</f>
        <v>7 / 7 PASS</v>
      </c>
    </row>
    <row r="5" spans="1:19" x14ac:dyDescent="0.5">
      <c r="A5" s="45" t="s">
        <v>7</v>
      </c>
      <c r="B5" s="45" t="s">
        <v>8</v>
      </c>
      <c r="D5" s="45" t="s">
        <v>9</v>
      </c>
      <c r="E5" s="45"/>
      <c r="F5" s="48" t="s">
        <v>10</v>
      </c>
      <c r="H5" s="49" t="s">
        <v>11</v>
      </c>
      <c r="J5" s="50" t="s">
        <v>12</v>
      </c>
    </row>
    <row r="6" spans="1:19" x14ac:dyDescent="0.5">
      <c r="A6" s="46">
        <v>1</v>
      </c>
      <c r="B6" s="47" t="s">
        <v>3466</v>
      </c>
      <c r="D6" s="51">
        <v>3</v>
      </c>
      <c r="E6" s="51">
        <v>4</v>
      </c>
      <c r="F6" s="52">
        <v>3000004</v>
      </c>
      <c r="H6" s="53" cm="1">
        <f t="array" ref="H6">rc_to_ad(D6,E6)</f>
        <v>3000004</v>
      </c>
      <c r="J6" s="54" t="str">
        <f>IF(H6=F6,"PASS","FAIL")</f>
        <v>PASS</v>
      </c>
    </row>
    <row r="7" spans="1:19" x14ac:dyDescent="0.5">
      <c r="B7" s="47"/>
      <c r="D7" s="51"/>
      <c r="E7" s="51"/>
      <c r="F7" s="52"/>
      <c r="H7" s="53"/>
      <c r="J7" s="54"/>
    </row>
    <row r="8" spans="1:19" x14ac:dyDescent="0.5">
      <c r="A8" s="46">
        <v>2</v>
      </c>
      <c r="B8" s="47" t="s">
        <v>3467</v>
      </c>
      <c r="D8" s="51">
        <v>3</v>
      </c>
      <c r="E8" s="51">
        <v>4</v>
      </c>
      <c r="F8" s="52" t="s">
        <v>3057</v>
      </c>
      <c r="G8">
        <v>1</v>
      </c>
      <c r="H8" s="53" t="str" cm="1">
        <f t="array" ref="H8">rc_to_ad(D8,E8,G8)</f>
        <v>D3</v>
      </c>
      <c r="J8" s="54" t="str">
        <f>IF(H8=F8,"PASS","FAIL")</f>
        <v>PASS</v>
      </c>
    </row>
    <row r="9" spans="1:19" x14ac:dyDescent="0.5">
      <c r="B9" s="47"/>
      <c r="D9" s="51"/>
      <c r="E9" s="51"/>
      <c r="F9" s="52"/>
      <c r="H9" s="53"/>
      <c r="J9" s="54"/>
    </row>
    <row r="10" spans="1:19" x14ac:dyDescent="0.5">
      <c r="A10" s="46">
        <v>3</v>
      </c>
      <c r="B10" s="47" t="s">
        <v>3468</v>
      </c>
      <c r="D10" s="51">
        <v>0</v>
      </c>
      <c r="E10" s="51">
        <v>4</v>
      </c>
      <c r="F10" s="52">
        <v>3</v>
      </c>
      <c r="H10" s="53" cm="1">
        <f t="array" ref="H10">ERROR.TYPE(rc_to_ad(D10,E10))</f>
        <v>3</v>
      </c>
      <c r="J10" s="54" t="str">
        <f>IF(H10=F10,"PASS","FAIL")</f>
        <v>PASS</v>
      </c>
    </row>
    <row r="11" spans="1:19" x14ac:dyDescent="0.5">
      <c r="B11" s="47"/>
      <c r="D11" s="51"/>
      <c r="E11" s="51"/>
      <c r="F11" s="52"/>
      <c r="H11" s="53"/>
      <c r="J11" s="54"/>
    </row>
    <row r="12" spans="1:19" x14ac:dyDescent="0.5">
      <c r="A12" s="46">
        <v>4</v>
      </c>
      <c r="B12" s="47" t="s">
        <v>3469</v>
      </c>
      <c r="D12" s="51">
        <v>3</v>
      </c>
      <c r="E12" s="51">
        <v>16385</v>
      </c>
      <c r="F12" s="52">
        <v>3</v>
      </c>
      <c r="H12" s="53" cm="1">
        <f t="array" ref="H12">ERROR.TYPE(rc_to_ad(D12,E12))</f>
        <v>3</v>
      </c>
      <c r="J12" s="54" t="str">
        <f>IF(H12=F12,"PASS","FAIL")</f>
        <v>PASS</v>
      </c>
    </row>
    <row r="13" spans="1:19" x14ac:dyDescent="0.5">
      <c r="B13" s="47"/>
      <c r="D13" s="51"/>
      <c r="E13" s="51"/>
      <c r="F13" s="52"/>
      <c r="H13" s="53"/>
      <c r="J13" s="54"/>
    </row>
    <row r="14" spans="1:19" x14ac:dyDescent="0.5">
      <c r="A14" s="46">
        <v>5</v>
      </c>
      <c r="B14" s="47" t="s">
        <v>3470</v>
      </c>
      <c r="D14" s="51">
        <v>3.5</v>
      </c>
      <c r="E14" s="51">
        <v>4</v>
      </c>
      <c r="F14" s="52">
        <v>3</v>
      </c>
      <c r="H14" s="53" cm="1">
        <f t="array" ref="H14">ERROR.TYPE(rc_to_ad(D14,E14))</f>
        <v>3</v>
      </c>
      <c r="J14" s="54" t="str">
        <f>IF(H14=F14,"PASS","FAIL")</f>
        <v>PASS</v>
      </c>
    </row>
    <row r="15" spans="1:19" x14ac:dyDescent="0.5">
      <c r="B15" s="47"/>
      <c r="D15" s="51"/>
      <c r="E15" s="51"/>
      <c r="F15" s="52"/>
      <c r="H15" s="53"/>
      <c r="J15" s="54"/>
    </row>
    <row r="16" spans="1:19" x14ac:dyDescent="0.5">
      <c r="A16" s="46">
        <v>6</v>
      </c>
      <c r="B16" s="47" t="s">
        <v>3471</v>
      </c>
      <c r="D16" s="51">
        <v>1048576</v>
      </c>
      <c r="E16" s="51">
        <v>16384</v>
      </c>
      <c r="F16" s="52" t="s">
        <v>3465</v>
      </c>
      <c r="G16">
        <v>1</v>
      </c>
      <c r="H16" s="53" t="str" cm="1">
        <f t="array" ref="H16">rc_to_ad(D16,E16,G16)</f>
        <v>XFD1048576</v>
      </c>
      <c r="J16" s="54" t="str">
        <f>IF(H16=F16,"PASS","FAIL")</f>
        <v>PASS</v>
      </c>
    </row>
    <row r="17" spans="1:10" x14ac:dyDescent="0.5">
      <c r="A17" s="55"/>
      <c r="B17" s="47"/>
      <c r="D17" s="51"/>
      <c r="E17" s="51"/>
      <c r="F17" s="52"/>
      <c r="H17" s="53"/>
      <c r="J17" s="54"/>
    </row>
    <row r="18" spans="1:10" x14ac:dyDescent="0.5">
      <c r="A18">
        <v>7</v>
      </c>
      <c r="B18" s="47" t="s">
        <v>3472</v>
      </c>
      <c r="D18" s="51">
        <v>3</v>
      </c>
      <c r="E18" s="51">
        <v>4</v>
      </c>
      <c r="F18" s="52">
        <v>3000004</v>
      </c>
      <c r="H18" s="53" cm="1">
        <f t="array" ref="H18">rc_to_ad(INDEX(ad_to_rc(rc_to_ad(D18,E18)),1),INDEX(ad_to_rc(rc_to_ad(D18,E18)),2))</f>
        <v>3000004</v>
      </c>
      <c r="J18" s="54" t="str">
        <f>IF(H18=F18,"PASS","FAIL")</f>
        <v>PASS</v>
      </c>
    </row>
    <row r="19" spans="1:10" x14ac:dyDescent="0.5">
      <c r="B19" s="47"/>
      <c r="D19" s="51"/>
      <c r="E19" s="51"/>
      <c r="F19" s="52"/>
      <c r="H19" s="53"/>
      <c r="J19" s="54"/>
    </row>
  </sheetData>
  <mergeCells count="3">
    <mergeCell ref="B1:F1"/>
    <mergeCell ref="I1:R1"/>
    <mergeCell ref="B2:R2"/>
  </mergeCells>
  <pageMargins left="0.75" right="0.75" top="1" bottom="1" header="0.5" footer="0.5"/>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A1A2BF-6263-4CDE-8A29-39C24ED55026}">
  <sheetPr codeName="Sheet77"/>
  <dimension ref="A1:S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rev(arr)</v>
      </c>
      <c r="C1" s="79"/>
      <c r="D1" s="79"/>
      <c r="E1" s="79"/>
      <c r="F1" s="80"/>
      <c r="H1" s="45" t="s">
        <v>2</v>
      </c>
      <c r="I1" s="78" t="str" cm="1">
        <f t="array" aca="1" ref="I1" ca="1">_xlfn.LET(_xlpm.fn, CELL("filename",$A$1), _xlpm.nm, MID(_xlpm.fn, FIND("]", _xlpm.fn) + 1, 255), _xlfn.XLOOKUP(_xlpm.nm &amp; "(*", Lamb!$A$2:$A$1000, Lamb!$D$2:$D$1000, "", 2))</f>
        <v>Reverses the order of an array.
Arguments:
  arr - the array to reverse.
Returns:
  The cleaned, fully reversed array (equivalent to xtocol(arr, 0, , "←↑")).
Example:
  rev({1;2;3})  -&gt;  {3;2;1}</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=LAMBDA(arr, xtocol(arr, 0, , arrow("L") &amp; arrow("U")))</v>
      </c>
      <c r="C2" s="82"/>
      <c r="D2" s="82"/>
      <c r="E2" s="82"/>
      <c r="F2" s="82"/>
      <c r="G2" s="82"/>
      <c r="H2" s="82"/>
      <c r="I2" s="82"/>
      <c r="J2" s="82"/>
      <c r="K2" s="82"/>
      <c r="L2" s="82"/>
      <c r="M2" s="82"/>
      <c r="N2" s="82"/>
      <c r="O2" s="82"/>
      <c r="P2" s="82"/>
      <c r="Q2" s="82"/>
      <c r="R2" s="82"/>
    </row>
    <row r="4" spans="1:19" x14ac:dyDescent="0.5">
      <c r="A4" s="45" t="s">
        <v>3107</v>
      </c>
      <c r="J4" s="45" t="str">
        <f>COUNTIF(J6:J18,"PASS")&amp;" / 3 PASS"</f>
        <v>3 / 3 PASS</v>
      </c>
    </row>
    <row r="5" spans="1:19" x14ac:dyDescent="0.5">
      <c r="A5" s="45" t="s">
        <v>7</v>
      </c>
      <c r="B5" s="45" t="s">
        <v>8</v>
      </c>
      <c r="D5" s="45" t="s">
        <v>9</v>
      </c>
      <c r="F5" s="48" t="s">
        <v>10</v>
      </c>
      <c r="H5" s="49" t="s">
        <v>11</v>
      </c>
      <c r="J5" s="50" t="s">
        <v>12</v>
      </c>
    </row>
    <row r="6" spans="1:19" x14ac:dyDescent="0.5">
      <c r="A6" s="46">
        <v>1</v>
      </c>
      <c r="B6" s="47" t="s">
        <v>2972</v>
      </c>
      <c r="D6" s="51">
        <v>1</v>
      </c>
      <c r="F6" s="52">
        <v>3</v>
      </c>
      <c r="H6" s="53" cm="1">
        <f t="array" ref="H6:H8">rev(D6:D8)</f>
        <v>3</v>
      </c>
      <c r="J6" s="54" t="str" cm="1">
        <f t="array" ref="J6">IF(AND(F6:F8=H6:H8),"PASS","FAIL")</f>
        <v>PASS</v>
      </c>
    </row>
    <row r="7" spans="1:19" x14ac:dyDescent="0.5">
      <c r="A7" s="55"/>
      <c r="B7" s="55"/>
      <c r="D7" s="51">
        <v>2</v>
      </c>
      <c r="F7" s="52">
        <v>2</v>
      </c>
      <c r="H7" s="53">
        <v>2</v>
      </c>
    </row>
    <row r="8" spans="1:19" x14ac:dyDescent="0.5">
      <c r="A8" s="55"/>
      <c r="B8" s="55"/>
      <c r="D8" s="51">
        <v>3</v>
      </c>
      <c r="F8" s="52">
        <v>1</v>
      </c>
      <c r="H8" s="53">
        <v>1</v>
      </c>
    </row>
    <row r="10" spans="1:19" x14ac:dyDescent="0.5">
      <c r="A10" s="46">
        <v>2</v>
      </c>
      <c r="B10" s="47" t="s">
        <v>3108</v>
      </c>
      <c r="D10" s="51" t="s">
        <v>2937</v>
      </c>
      <c r="F10" s="52" t="s">
        <v>2946</v>
      </c>
      <c r="H10" s="53" t="str" cm="1">
        <f t="array" ref="H10:H12">rev(D10:D12)</f>
        <v>c</v>
      </c>
      <c r="J10" s="54" t="str" cm="1">
        <f t="array" ref="J10">IF(AND(F10:F12=H10:H12),"PASS","FAIL")</f>
        <v>PASS</v>
      </c>
    </row>
    <row r="11" spans="1:19" x14ac:dyDescent="0.5">
      <c r="A11" s="55"/>
      <c r="B11" s="55"/>
      <c r="D11" s="51" t="s">
        <v>2938</v>
      </c>
      <c r="F11" s="52" t="s">
        <v>2938</v>
      </c>
      <c r="H11" s="53" t="str">
        <v>b</v>
      </c>
    </row>
    <row r="12" spans="1:19" x14ac:dyDescent="0.5">
      <c r="A12" s="55"/>
      <c r="B12" s="55"/>
      <c r="D12" s="51" t="s">
        <v>2946</v>
      </c>
      <c r="F12" s="52" t="s">
        <v>2937</v>
      </c>
      <c r="H12" s="53" t="str">
        <v>a</v>
      </c>
    </row>
    <row r="14" spans="1:19" x14ac:dyDescent="0.5">
      <c r="A14" s="46">
        <v>3</v>
      </c>
      <c r="B14" s="47" t="s">
        <v>3109</v>
      </c>
      <c r="D14" s="51">
        <v>1</v>
      </c>
      <c r="F14" s="52">
        <v>3</v>
      </c>
      <c r="H14" s="53" cm="1">
        <f t="array" ref="H14:H15">rev(D14:D16)</f>
        <v>3</v>
      </c>
      <c r="J14" s="54" t="str" cm="1">
        <f t="array" ref="J14">IF(AND(F14:F15=H14:H15),"PASS","FAIL")</f>
        <v>PASS</v>
      </c>
    </row>
    <row r="15" spans="1:19" x14ac:dyDescent="0.5">
      <c r="A15" s="55"/>
      <c r="B15" s="55"/>
      <c r="D15" s="51"/>
      <c r="F15" s="52">
        <v>1</v>
      </c>
      <c r="H15" s="53">
        <v>1</v>
      </c>
    </row>
    <row r="16" spans="1:19" x14ac:dyDescent="0.5">
      <c r="A16" s="55"/>
      <c r="B16" s="55"/>
      <c r="D16" s="51">
        <v>3</v>
      </c>
    </row>
  </sheetData>
  <mergeCells count="3">
    <mergeCell ref="I1:R1"/>
    <mergeCell ref="B2:R2"/>
    <mergeCell ref="B1:F1"/>
  </mergeCells>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C5C90-9BF5-4A26-B947-72932C260F1E}">
  <sheetPr codeName="Sheet78"/>
  <dimension ref="A1:S2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rotate_arrow(arrow, steps, [clockwise], [as_num])</v>
      </c>
      <c r="C1" s="79"/>
      <c r="D1" s="79"/>
      <c r="E1" s="79"/>
      <c r="F1" s="80"/>
      <c r="H1" s="45" t="s">
        <v>2</v>
      </c>
      <c r="I1" s="78" t="str" cm="1">
        <f t="array" aca="1" ref="I1" ca="1">_xlfn.LET(_xlpm.fn, CELL("filename",$A$1), _xlpm.nm, MID(_xlpm.fn, FIND("]", _xlpm.fn) + 1, 255), _xlfn.XLOOKUP(_xlpm.nm &amp; "(*", Lamb!$A$2:$A$1000, Lamb!$D$2:$D$1000, "", 2))</f>
        <v>Rotates an arrow around the eight compass directions.
Arguments:
  arrow       - the arrow to rotate: a standard arrow (↑↗→↘↓↙←↖), its numeric equivalent (1, -1000000, ...), or a letter code (U D L R UL UR DL DR).
  steps       - number of 45-degree turns.
  [clockwise] - 1 = clockwise (default), 0 = counter-clockwise (the string "ccw" also means counter-clockwise).
  [as_num]    - 0 = return the arrow glyph (default), 1 = return its numeric equivalent.
Returns:
  The rotated arrow (or, with as_num = 1, its numeric equivalent), or "" if arrow is not one of the eight directions.
Example:
  rotate_arrow("→", 1)         -&gt;  "↘"
  rotate_arrow("→", 1, 0)      -&gt;  "↗"
  rotate_arrow("→", 1, 1, 1)   -&gt;  1000001   (the number for ↘)
  rotate_arrow(1, 2)           -&gt;  "↓"       (1 is →, two turns clockwise)</v>
      </c>
      <c r="J1" s="79"/>
      <c r="K1" s="79"/>
      <c r="L1" s="79"/>
      <c r="M1" s="79"/>
      <c r="N1" s="79"/>
      <c r="O1" s="79"/>
      <c r="P1" s="79"/>
      <c r="Q1" s="79"/>
      <c r="R1" s="80"/>
      <c r="S1" s="77" t="str">
        <f>HYPERLINK("#lambda_tests!A1","&lt;- test summary")</f>
        <v>&lt;- test summary</v>
      </c>
    </row>
    <row r="2" spans="1:19" ht="168" customHeight="1" x14ac:dyDescent="0.5">
      <c r="A2" s="45" t="s">
        <v>4</v>
      </c>
      <c r="B2" s="81" t="str" cm="1">
        <f t="array" aca="1" ref="B2" ca="1">_xlfn.LET(_xlpm.fn, CELL("filename",$A$1), _xlpm.nm, MID(_xlpm.fn, FIND("]", _xlpm.fn) + 1, 255), _xlfn.XLOOKUP(_xlpm.nm &amp; "(*", Lamb!$A$2:$A$1000, Lamb!$C$2:$C$1000, "", 2))</f>
        <v>=LAMBDA(arrow, steps, [clockwise], [as_num], LET(
   arrows, "↑↗→↘↓↙←↖",
   arrow_list, MID(arrows, SEQUENCE(8), 1),
   idx, XMATCH(z_dir_to_arrow(arrow), arrow_list),
   turn, IF(ISOMITTED(clockwise), steps, IF(OR(clockwise = 0, clockwise = "ccw"), -steps, steps)),
   pos, MOD(idx - 1 + turn, 8) + 1,
   out, IFNA(MID(arrows, pos, 1), ""),
   IF(IF(ISOMITTED(as_num), 0, as_num) = 1, z_arrow_to_num(out), out)
))</v>
      </c>
      <c r="C2" s="82"/>
      <c r="D2" s="82"/>
      <c r="E2" s="82"/>
      <c r="F2" s="82"/>
      <c r="G2" s="82"/>
      <c r="H2" s="82"/>
      <c r="I2" s="82"/>
      <c r="J2" s="82"/>
      <c r="K2" s="82"/>
      <c r="L2" s="82"/>
      <c r="M2" s="82"/>
      <c r="N2" s="82"/>
      <c r="O2" s="82"/>
      <c r="P2" s="82"/>
      <c r="Q2" s="82"/>
      <c r="R2" s="82"/>
    </row>
    <row r="4" spans="1:19" x14ac:dyDescent="0.5">
      <c r="A4" s="45" t="s">
        <v>3110</v>
      </c>
      <c r="N4" s="45" t="str">
        <f>COUNTIF(N6:N60,"PASS")&amp;" / 10 PASS"</f>
        <v>10 / 10 PASS</v>
      </c>
    </row>
    <row r="5" spans="1:19" x14ac:dyDescent="0.5">
      <c r="A5" s="45" t="s">
        <v>7</v>
      </c>
      <c r="B5" s="45" t="s">
        <v>8</v>
      </c>
      <c r="D5" s="45" t="s">
        <v>9</v>
      </c>
      <c r="J5" s="48" t="s">
        <v>10</v>
      </c>
      <c r="L5" s="49" t="s">
        <v>11</v>
      </c>
      <c r="N5" s="50" t="s">
        <v>12</v>
      </c>
    </row>
    <row r="6" spans="1:19" x14ac:dyDescent="0.5">
      <c r="A6" s="46">
        <v>1</v>
      </c>
      <c r="B6" s="47" t="s">
        <v>3111</v>
      </c>
      <c r="D6" s="51" t="s">
        <v>192</v>
      </c>
      <c r="F6" s="51">
        <v>1</v>
      </c>
      <c r="J6" s="52" t="s">
        <v>374</v>
      </c>
      <c r="L6" s="53" t="str" cm="1">
        <f t="array" ref="L6">rotate_arrow(D6,F6)</f>
        <v>↘</v>
      </c>
      <c r="N6" s="54" t="str">
        <f>IF(L6=J6,"PASS","FAIL")</f>
        <v>PASS</v>
      </c>
    </row>
    <row r="8" spans="1:19" x14ac:dyDescent="0.5">
      <c r="A8" s="46">
        <v>2</v>
      </c>
      <c r="B8" s="47" t="s">
        <v>3112</v>
      </c>
      <c r="D8" s="51" t="s">
        <v>160</v>
      </c>
      <c r="F8" s="51">
        <v>2</v>
      </c>
      <c r="J8" s="52" t="s">
        <v>192</v>
      </c>
      <c r="L8" s="53" t="str" cm="1">
        <f t="array" ref="L8">rotate_arrow(D8,F8)</f>
        <v>→</v>
      </c>
      <c r="N8" s="54" t="str">
        <f>IF(L8=J8,"PASS","FAIL")</f>
        <v>PASS</v>
      </c>
    </row>
    <row r="10" spans="1:19" x14ac:dyDescent="0.5">
      <c r="A10" s="46">
        <v>3</v>
      </c>
      <c r="B10" s="47" t="s">
        <v>3113</v>
      </c>
      <c r="D10" s="51" t="s">
        <v>160</v>
      </c>
      <c r="F10" s="51">
        <v>1</v>
      </c>
      <c r="H10" s="51" t="s">
        <v>3114</v>
      </c>
      <c r="J10" s="52" t="s">
        <v>522</v>
      </c>
      <c r="L10" s="53" t="str" cm="1">
        <f t="array" ref="L10">rotate_arrow(D10,F10,H10)</f>
        <v>↖</v>
      </c>
      <c r="N10" s="54" t="str">
        <f>IF(L10=J10,"PASS","FAIL")</f>
        <v>PASS</v>
      </c>
    </row>
    <row r="12" spans="1:19" x14ac:dyDescent="0.5">
      <c r="A12" s="46">
        <v>4</v>
      </c>
      <c r="B12" s="47" t="s">
        <v>3115</v>
      </c>
      <c r="D12" s="51" t="s">
        <v>160</v>
      </c>
      <c r="F12" s="51">
        <v>4</v>
      </c>
      <c r="J12" s="52" t="s">
        <v>181</v>
      </c>
      <c r="L12" s="53" t="str" cm="1">
        <f t="array" ref="L12">rotate_arrow(D12,F12)</f>
        <v>↓</v>
      </c>
      <c r="N12" s="54" t="str">
        <f>IF(L12=J12,"PASS","FAIL")</f>
        <v>PASS</v>
      </c>
    </row>
    <row r="14" spans="1:19" x14ac:dyDescent="0.5">
      <c r="A14" s="46">
        <v>5</v>
      </c>
      <c r="B14" s="47" t="s">
        <v>3116</v>
      </c>
      <c r="D14" s="51" t="s">
        <v>192</v>
      </c>
      <c r="F14" s="51">
        <v>1</v>
      </c>
      <c r="H14" s="51" t="s">
        <v>3114</v>
      </c>
      <c r="J14" s="52" t="s">
        <v>254</v>
      </c>
      <c r="L14" s="53" t="str" cm="1">
        <f t="array" ref="L14">rotate_arrow(D14,F14,H14)</f>
        <v>↗</v>
      </c>
      <c r="N14" s="54" t="str">
        <f>IF(L14=J14,"PASS","FAIL")</f>
        <v>PASS</v>
      </c>
    </row>
    <row r="16" spans="1:19" x14ac:dyDescent="0.5">
      <c r="A16" s="46">
        <v>6</v>
      </c>
      <c r="B16" s="47" t="s">
        <v>3285</v>
      </c>
      <c r="D16" s="51" t="s">
        <v>2633</v>
      </c>
      <c r="F16" s="51">
        <v>1</v>
      </c>
      <c r="J16" s="52" t="str">
        <f>""</f>
        <v/>
      </c>
      <c r="L16" s="53" t="str" cm="1">
        <f t="array" ref="L16">rotate_arrow(D16,F16)</f>
        <v/>
      </c>
      <c r="N16" s="54" t="str">
        <f>IF(L16=J16,"PASS","FAIL")</f>
        <v>PASS</v>
      </c>
    </row>
    <row r="18" spans="1:14" x14ac:dyDescent="0.5">
      <c r="A18" s="46">
        <v>7</v>
      </c>
      <c r="B18" s="47" t="s">
        <v>3609</v>
      </c>
      <c r="D18" s="51">
        <v>1</v>
      </c>
      <c r="F18" s="51">
        <v>2</v>
      </c>
      <c r="J18" s="52" t="s">
        <v>181</v>
      </c>
      <c r="L18" s="53" t="str" cm="1">
        <f t="array" ref="L18">rotate_arrow(D18,F18)</f>
        <v>↓</v>
      </c>
      <c r="N18" s="54" t="str">
        <f>IF(L18=J18,"PASS","FAIL")</f>
        <v>PASS</v>
      </c>
    </row>
    <row r="20" spans="1:14" x14ac:dyDescent="0.5">
      <c r="A20" s="46">
        <v>8</v>
      </c>
      <c r="B20" s="47" t="s">
        <v>3610</v>
      </c>
      <c r="D20" s="51" t="s">
        <v>192</v>
      </c>
      <c r="F20" s="51">
        <v>1</v>
      </c>
      <c r="J20" s="52">
        <v>1000001</v>
      </c>
      <c r="L20" s="53" cm="1">
        <f t="array" ref="L20">rotate_arrow(D20,F20,1,1)</f>
        <v>1000001</v>
      </c>
      <c r="N20" s="54" t="str">
        <f>IF(L20=J20,"PASS","FAIL")</f>
        <v>PASS</v>
      </c>
    </row>
    <row r="22" spans="1:14" x14ac:dyDescent="0.5">
      <c r="A22" s="46">
        <v>9</v>
      </c>
      <c r="B22" s="47" t="s">
        <v>3611</v>
      </c>
      <c r="D22" s="51" t="s">
        <v>192</v>
      </c>
      <c r="F22" s="51">
        <v>1</v>
      </c>
      <c r="H22" s="51">
        <v>0</v>
      </c>
      <c r="J22" s="52" t="s">
        <v>254</v>
      </c>
      <c r="L22" s="53" t="str" cm="1">
        <f t="array" ref="L22">rotate_arrow(D22,F22,H22)</f>
        <v>↗</v>
      </c>
      <c r="N22" s="54" t="str">
        <f>IF(L22=J22,"PASS","FAIL")</f>
        <v>PASS</v>
      </c>
    </row>
    <row r="24" spans="1:14" x14ac:dyDescent="0.5">
      <c r="A24" s="46">
        <v>10</v>
      </c>
      <c r="B24" s="47" t="s">
        <v>3612</v>
      </c>
      <c r="D24" s="51" t="s">
        <v>191</v>
      </c>
      <c r="F24" s="51">
        <v>1</v>
      </c>
      <c r="J24" s="52" t="s">
        <v>374</v>
      </c>
      <c r="L24" s="53" t="str" cm="1">
        <f t="array" ref="L24">rotate_arrow(D24,F24)</f>
        <v>↘</v>
      </c>
      <c r="N24" s="54" t="str">
        <f>IF(L24=J24,"PASS","FAIL")</f>
        <v>PASS</v>
      </c>
    </row>
  </sheetData>
  <mergeCells count="3">
    <mergeCell ref="I1:R1"/>
    <mergeCell ref="B2:R2"/>
    <mergeCell ref="B1:F1"/>
  </mergeCells>
  <pageMargins left="0.75" right="0.75" top="1" bottom="1" header="0.5" footer="0.5"/>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E63AF6-2BE9-4C17-B62B-69698C87D9A3}">
  <sheetPr codeName="Sheet79"/>
  <dimension ref="A1:S23"/>
  <sheetViews>
    <sheetView workbookViewId="0">
      <selection activeCell="B2" sqref="B2:R2"/>
    </sheetView>
  </sheetViews>
  <sheetFormatPr defaultRowHeight="21" x14ac:dyDescent="0.5"/>
  <cols>
    <col min="1" max="1" width="4" customWidth="1"/>
    <col min="2" max="2" width="26" customWidth="1"/>
    <col min="4" max="5" width="5" customWidth="1"/>
    <col min="9" max="10" width="6" customWidth="1"/>
    <col min="12" max="13" width="6" customWidth="1"/>
    <col min="15" max="15" width="9" customWidth="1"/>
  </cols>
  <sheetData>
    <row r="1" spans="1:19" ht="231" customHeight="1" x14ac:dyDescent="0.5">
      <c r="A1" s="45" t="s">
        <v>0</v>
      </c>
      <c r="B1" s="83" t="str" cm="1">
        <f t="array" aca="1" ref="B1" ca="1">_xlfn.LET(_xlpm.fn, CELL("filename",$A$1), _xlpm.nm, MID(_xlpm.fn, FIND("]", _xlpm.fn) + 1, 255), _xlfn.XLOOKUP(_xlpm.nm &amp; "(*", Lamb!$A$2:$A$1000, Lamb!$A$2:$A$1000, "", 2))</f>
        <v>route_cost(cost_map, start_ref, [diag_allowed])</v>
      </c>
      <c r="C1" s="79"/>
      <c r="D1" s="79"/>
      <c r="E1" s="79"/>
      <c r="F1" s="80"/>
      <c r="H1" s="45" t="s">
        <v>2</v>
      </c>
      <c r="I1" s="78" t="str" cm="1">
        <f t="array" aca="1" ref="I1" ca="1">_xlfn.LET(_xlpm.fn, CELL("filename",$A$1), _xlpm.nm, MID(_xlpm.fn, FIND("]", _xlpm.fn) + 1, 255), _xlfn.XLOOKUP(_xlpm.nm &amp; "(*", Lamb!$A$2:$A$1000, Lamb!$D$2:$D$1000, "", 2))</f>
        <v>Least-cost distance from a start cell to every reachable cell (Dijkstra).
Arguments:
  cost_map       - a grid where numbers are entry costs and text cells are impassable walls.
  start_ref      - starting cell as A1 text, a numeric address (1e6*row+col), or a {row, col} coordinate pair (relative to the top-left of cost_map).
  [diag_allowed] - 1 to allow diagonal moves (default 1).
Returns:
  An array the same size as cost_map giving the minimum total cost to reach each cell. The destination cell's cost is included; the start cell's cost is ignored. Unreachable cells are left blank/impassable. A start point outside cost_map returns "X".
Note: the recursion is done by the private helper z_route_worker.</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=LAMBDA(cost_map, start_ref, [diag_allowed], LET(
   _nr, ROWS(cost_map),
   _nc, COLUMNS(cost_map),
   _c, IF(
      ROWS(start_ref) * COLUMNS(start_ref) = 1,
      LET(
         _n, num_ad(start_ref),
         HSTACK(
            INT(_n / 1000000) - MIN(ROW(cost_map)) + 1,
            MOD(_n, 1000000) - MIN(COLUMN(cost_map)) + 1
         )
      ),
      start_ref
   ),
   _rr, INDEX(_c, 1),
   _rc, INDEX(_c, 2),
   IF(
      OR(_rr &lt; 1, _rr &gt; _nr, _rc &lt; 1, _rc &gt; _nc),
      "X",
      LET(
         _dg, IF(ISOMITTED(diag_allowed), 1, diag_allowed),
         _rd, IF(_dg, {-1, 1, 0, 0, -1, -1, 1, 1}, {-1, 1, 0, 0}),
         _cd, IF(_dg, {0, 0, -1, 1, -1, 1, -1, 1}, {0, 0, -1, 1}),
         _sq, (INT(SEQUENCE(_nr, _nc, 0, 1) / _nc) + 1) &amp; "|"
            &amp; (MOD(SEQUENCE(_nr, _nc, 0, 1), _nc) + 1),
         _im, IF(
            (INT(SEQUENCE(_nr, _nc, 0, 1) / _nc) + 1) = _rr,
            IF((MOD(SEQUENCE(_nr, _nc, 0, 1), _nc) + 1) = _rc, 0, "X"),
            "X"
         ),
         z_route_worker(z_route_worker, _im, HSTACK(_rr, _rc, 0), cost_map, _nr, _nc, _rd, _cd, _sq)
      )
   )
))</v>
      </c>
      <c r="C2" s="82"/>
      <c r="D2" s="82"/>
      <c r="E2" s="82"/>
      <c r="F2" s="82"/>
      <c r="G2" s="82"/>
      <c r="H2" s="82"/>
      <c r="I2" s="82"/>
      <c r="J2" s="82"/>
      <c r="K2" s="82"/>
      <c r="L2" s="82"/>
      <c r="M2" s="82"/>
      <c r="N2" s="82"/>
      <c r="O2" s="82"/>
      <c r="P2" s="82"/>
      <c r="Q2" s="82"/>
      <c r="R2" s="82"/>
    </row>
    <row r="4" spans="1:19" x14ac:dyDescent="0.5">
      <c r="A4" s="45" t="s">
        <v>3117</v>
      </c>
      <c r="O4" s="45" t="str">
        <f>COUNTIF(O11:O30,"PASS")&amp;" / 5 PASS"</f>
        <v>5 / 5 PASS</v>
      </c>
    </row>
    <row r="5" spans="1:19" x14ac:dyDescent="0.5">
      <c r="B5" s="45" t="s">
        <v>8</v>
      </c>
      <c r="I5" s="48" t="s">
        <v>10</v>
      </c>
      <c r="L5" s="49" t="s">
        <v>11</v>
      </c>
      <c r="O5" s="50" t="s">
        <v>12</v>
      </c>
    </row>
    <row r="6" spans="1:19" x14ac:dyDescent="0.5">
      <c r="D6" s="45" t="s">
        <v>3118</v>
      </c>
    </row>
    <row r="7" spans="1:19" x14ac:dyDescent="0.5">
      <c r="D7" s="51">
        <v>1</v>
      </c>
      <c r="E7" s="51">
        <v>1</v>
      </c>
    </row>
    <row r="8" spans="1:19" x14ac:dyDescent="0.5">
      <c r="D8" s="51">
        <v>1</v>
      </c>
      <c r="E8" s="51">
        <v>1</v>
      </c>
    </row>
    <row r="11" spans="1:19" x14ac:dyDescent="0.5">
      <c r="B11" s="47" t="s">
        <v>3119</v>
      </c>
      <c r="I11" s="52">
        <v>0</v>
      </c>
      <c r="J11" s="52">
        <v>1</v>
      </c>
      <c r="L11" s="53" cm="1">
        <f t="array" ref="L11:M12">route_cost(D7:E8,{1,1},0)</f>
        <v>0</v>
      </c>
      <c r="M11" s="53">
        <v>1</v>
      </c>
      <c r="O11" s="54" t="str" cm="1">
        <f t="array" ref="O11">IF(AND(I11:J12=L11:M12),"PASS","FAIL")</f>
        <v>PASS</v>
      </c>
    </row>
    <row r="12" spans="1:19" x14ac:dyDescent="0.5">
      <c r="I12" s="52">
        <v>1</v>
      </c>
      <c r="J12" s="52">
        <v>2</v>
      </c>
      <c r="L12" s="53">
        <v>1</v>
      </c>
      <c r="M12" s="53">
        <v>2</v>
      </c>
    </row>
    <row r="14" spans="1:19" x14ac:dyDescent="0.5">
      <c r="B14" s="47" t="s">
        <v>3120</v>
      </c>
      <c r="I14" s="52">
        <v>0</v>
      </c>
      <c r="J14" s="52">
        <v>1</v>
      </c>
      <c r="L14" s="53" cm="1">
        <f t="array" ref="L14:M15">route_cost(D7:E8,"D7",0)</f>
        <v>0</v>
      </c>
      <c r="M14" s="53">
        <v>1</v>
      </c>
      <c r="O14" s="54" t="str" cm="1">
        <f t="array" ref="O14">IF(AND(I14:J15=L14:M15),"PASS","FAIL")</f>
        <v>PASS</v>
      </c>
    </row>
    <row r="15" spans="1:19" x14ac:dyDescent="0.5">
      <c r="I15" s="52">
        <v>1</v>
      </c>
      <c r="J15" s="52">
        <v>2</v>
      </c>
      <c r="L15" s="53">
        <v>1</v>
      </c>
      <c r="M15" s="53">
        <v>2</v>
      </c>
    </row>
    <row r="17" spans="2:15" x14ac:dyDescent="0.5">
      <c r="B17" s="47" t="s">
        <v>3121</v>
      </c>
      <c r="I17" s="52">
        <v>0</v>
      </c>
      <c r="J17" s="52">
        <v>1</v>
      </c>
      <c r="L17" s="53" cm="1">
        <f t="array" ref="L17:M18">route_cost(D7:E8,7000004,0)</f>
        <v>0</v>
      </c>
      <c r="M17" s="53">
        <v>1</v>
      </c>
      <c r="O17" s="54" t="str" cm="1">
        <f t="array" ref="O17">IF(AND(I17:J18=L17:M18),"PASS","FAIL")</f>
        <v>PASS</v>
      </c>
    </row>
    <row r="18" spans="2:15" x14ac:dyDescent="0.5">
      <c r="I18" s="52">
        <v>1</v>
      </c>
      <c r="J18" s="52">
        <v>2</v>
      </c>
      <c r="L18" s="53">
        <v>1</v>
      </c>
      <c r="M18" s="53">
        <v>2</v>
      </c>
    </row>
    <row r="20" spans="2:15" x14ac:dyDescent="0.5">
      <c r="B20" s="47" t="s">
        <v>3122</v>
      </c>
      <c r="I20" s="52">
        <v>0</v>
      </c>
      <c r="J20" s="52">
        <v>1</v>
      </c>
      <c r="L20" s="53" cm="1">
        <f t="array" ref="L20:M21">route_cost(D7:E8,{1,1},1)</f>
        <v>0</v>
      </c>
      <c r="M20" s="53">
        <v>1</v>
      </c>
      <c r="O20" s="54" t="str" cm="1">
        <f t="array" ref="O20">IF(AND(I20:J21=L20:M21),"PASS","FAIL")</f>
        <v>PASS</v>
      </c>
    </row>
    <row r="21" spans="2:15" x14ac:dyDescent="0.5">
      <c r="I21" s="52">
        <v>1</v>
      </c>
      <c r="J21" s="52">
        <v>1</v>
      </c>
      <c r="L21" s="53">
        <v>1</v>
      </c>
      <c r="M21" s="53">
        <v>1</v>
      </c>
    </row>
    <row r="23" spans="2:15" x14ac:dyDescent="0.5">
      <c r="B23" s="47" t="s">
        <v>3286</v>
      </c>
      <c r="I23" s="52" t="s">
        <v>2631</v>
      </c>
      <c r="L23" s="53" t="str" cm="1">
        <f t="array" ref="L23">route_cost(D7:E8,{9,9})</f>
        <v>X</v>
      </c>
      <c r="O23" s="54" t="str">
        <f>IF(L23=I23,"PASS","FAIL")</f>
        <v>PASS</v>
      </c>
    </row>
  </sheetData>
  <mergeCells count="3">
    <mergeCell ref="I1:R1"/>
    <mergeCell ref="B2:R2"/>
    <mergeCell ref="B1:F1"/>
  </mergeCells>
  <pageMargins left="0.75" right="0.75" top="1" bottom="1" header="0.5" footer="0.5"/>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0E34B7-AC4B-4ED9-8CAB-592318DDCC48}">
  <sheetPr codeName="Sheet80"/>
  <dimension ref="A1:S12"/>
  <sheetViews>
    <sheetView workbookViewId="0"/>
  </sheetViews>
  <sheetFormatPr defaultRowHeight="21" x14ac:dyDescent="0.5"/>
  <cols>
    <col min="1" max="1" width="4" customWidth="1"/>
    <col min="2" max="2" width="30" customWidth="1"/>
    <col min="4" max="5" width="11" customWidth="1"/>
    <col min="6" max="6" width="3" customWidth="1"/>
    <col min="7" max="7" width="11" customWidth="1"/>
    <col min="8" max="8" width="3" customWidth="1"/>
    <col min="9" max="9" width="11" customWidth="1"/>
    <col min="10" max="10" width="3" customWidth="1"/>
    <col min="11" max="11" width="11" customWidth="1"/>
    <col min="12" max="12" width="3" customWidth="1"/>
    <col min="13" max="13" width="11" customWidth="1"/>
    <col min="14" max="14" width="3" customWidth="1"/>
    <col min="15" max="15" width="9" customWidth="1"/>
  </cols>
  <sheetData>
    <row r="1" spans="1:19" ht="252" customHeight="1" x14ac:dyDescent="0.5">
      <c r="A1" s="45" t="s">
        <v>0</v>
      </c>
      <c r="B1" s="83" t="str" cm="1">
        <f t="array" aca="1" ref="B1" ca="1">_xlfn.LET(_xlpm.fn, CELL("filename",$A$1), _xlpm.nm, MID(_xlpm.fn, FIND("]", _xlpm.fn) + 1, 255), _xlfn.XLOOKUP(_xlpm.nm &amp; "(*", Lamb!$A$2:$A$1000, Lamb!$A$2:$A$1000, "", 2))</f>
        <v>save_array(input_array,[col_delimiter],[row_delimiter])</v>
      </c>
      <c r="C1" s="79"/>
      <c r="D1" s="79"/>
      <c r="E1" s="79"/>
      <c r="F1" s="80"/>
      <c r="H1" s="45" t="s">
        <v>2</v>
      </c>
      <c r="I1" s="78" t="str" cm="1">
        <f t="array" aca="1" ref="I1" ca="1">_xlfn.LET(_xlpm.fn, CELL("filename",$A$1), _xlpm.nm, MID(_xlpm.fn, FIND("]", _xlpm.fn) + 1, 255), _xlfn.XLOOKUP(_xlpm.nm &amp; "(*", Lamb!$A$2:$A$1000, Lamb!$D$2:$D$1000, "", 2))</f>
        <v>Serializes a 2D array into a single delimited string (inverse of load_array).
Arguments:
  input_array     - the array to serialize.
  [col_delimiter] - column separator (default "|").
  [row_delimiter] - row separator (default ";").
Returns:
  A text string encoding the array.
Example:
  save_array({1,2;3,4})  -&gt;  "1|2;3|4"</v>
      </c>
      <c r="J1" s="79"/>
      <c r="K1" s="79"/>
      <c r="L1" s="79"/>
      <c r="M1" s="79"/>
      <c r="N1" s="79"/>
      <c r="O1" s="79"/>
      <c r="P1" s="79"/>
      <c r="Q1" s="79"/>
      <c r="R1" s="80"/>
      <c r="S1" s="77" t="str">
        <f>HYPERLINK("#lambda_tests!A1","&lt;- test summary")</f>
        <v>&lt;- test summary</v>
      </c>
    </row>
    <row r="2" spans="1:19" ht="189" customHeight="1" x14ac:dyDescent="0.5">
      <c r="A2" s="45" t="s">
        <v>4</v>
      </c>
      <c r="B2" s="81" t="str" cm="1">
        <f t="array" aca="1" ref="B2" ca="1">_xlfn.LET(_xlpm.fn, CELL("filename",$A$1), _xlpm.nm, MID(_xlpm.fn, FIND("]", _xlpm.fn) + 1, 255), _xlfn.XLOOKUP(_xlpm.nm &amp; "(*", Lamb!$A$2:$A$1000, Lamb!$C$2:$C$1000, "", 2))</f>
        <v>=LAMBDA(input_array, [col_delimiter], [row_delimiter], LET(
   cd, IF(ISOMITTED(col_delimiter), "|", col_delimiter),
   rd, IF(ISOMITTED(row_delimiter), ";", row_delimiter),
   TEXTJOIN(
      rd,
      FALSE,
      BYROW(input_array, LAMBDA(row, TEXTJOIN(cd, FALSE, row)))
   )
))</v>
      </c>
      <c r="C2" s="82"/>
      <c r="D2" s="82"/>
      <c r="E2" s="82"/>
      <c r="F2" s="82"/>
      <c r="G2" s="82"/>
      <c r="H2" s="82"/>
      <c r="I2" s="82"/>
      <c r="J2" s="82"/>
      <c r="K2" s="82"/>
      <c r="L2" s="82"/>
      <c r="M2" s="82"/>
      <c r="N2" s="82"/>
      <c r="O2" s="82"/>
      <c r="P2" s="82"/>
      <c r="Q2" s="82"/>
      <c r="R2" s="82"/>
    </row>
    <row r="4" spans="1:19" x14ac:dyDescent="0.5">
      <c r="A4" s="45" t="s">
        <v>3123</v>
      </c>
      <c r="O4" s="45" t="str">
        <f>COUNTIF(O6:O14,"PASS")&amp;" / 3 PASS"</f>
        <v>3 / 3 PASS</v>
      </c>
    </row>
    <row r="5" spans="1:19" x14ac:dyDescent="0.5">
      <c r="A5" s="45" t="s">
        <v>7</v>
      </c>
      <c r="B5" s="45" t="s">
        <v>8</v>
      </c>
      <c r="D5" s="45" t="s">
        <v>9</v>
      </c>
      <c r="K5" s="48" t="s">
        <v>10</v>
      </c>
      <c r="M5" s="49" t="s">
        <v>11</v>
      </c>
      <c r="O5" s="50" t="s">
        <v>12</v>
      </c>
    </row>
    <row r="6" spans="1:19" x14ac:dyDescent="0.5">
      <c r="A6" s="46">
        <v>1</v>
      </c>
      <c r="B6" s="47" t="s">
        <v>3124</v>
      </c>
      <c r="D6" s="51">
        <v>1</v>
      </c>
      <c r="E6" s="51">
        <v>2</v>
      </c>
      <c r="K6" s="52" t="s">
        <v>3035</v>
      </c>
      <c r="M6" s="53" t="str" cm="1">
        <f t="array" ref="M6">save_array(D6:E7)</f>
        <v>1|2;3|4</v>
      </c>
      <c r="O6" s="54" t="str">
        <f>IF(M6=K6,"PASS","FAIL")</f>
        <v>PASS</v>
      </c>
    </row>
    <row r="7" spans="1:19" x14ac:dyDescent="0.5">
      <c r="A7" s="55"/>
      <c r="B7" s="55"/>
      <c r="D7" s="51">
        <v>3</v>
      </c>
      <c r="E7" s="51">
        <v>4</v>
      </c>
    </row>
    <row r="9" spans="1:19" x14ac:dyDescent="0.5">
      <c r="A9" s="46">
        <v>2</v>
      </c>
      <c r="B9" s="47" t="s">
        <v>3125</v>
      </c>
      <c r="D9" s="51" t="s">
        <v>2937</v>
      </c>
      <c r="E9" s="51" t="s">
        <v>2938</v>
      </c>
      <c r="K9" s="52" t="s">
        <v>3126</v>
      </c>
      <c r="M9" s="53" t="str" cm="1">
        <f t="array" ref="M9">save_array(D9:E9)</f>
        <v>a|b</v>
      </c>
      <c r="O9" s="54" t="str">
        <f>IF(M9=K9,"PASS","FAIL")</f>
        <v>PASS</v>
      </c>
    </row>
    <row r="11" spans="1:19" x14ac:dyDescent="0.5">
      <c r="A11" s="46">
        <v>3</v>
      </c>
      <c r="B11" s="47" t="s">
        <v>3037</v>
      </c>
      <c r="D11" s="51">
        <v>1</v>
      </c>
      <c r="E11" s="51">
        <v>2</v>
      </c>
      <c r="G11" s="51" t="s">
        <v>3039</v>
      </c>
      <c r="I11" s="51" t="s">
        <v>3040</v>
      </c>
      <c r="K11" s="52" t="s">
        <v>3038</v>
      </c>
      <c r="M11" s="53" t="str" cm="1">
        <f t="array" ref="M11">save_array(D11:E12,G11,I11)</f>
        <v>1,2/3,4</v>
      </c>
      <c r="O11" s="54" t="str">
        <f>IF(M11=K11,"PASS","FAIL")</f>
        <v>PASS</v>
      </c>
    </row>
    <row r="12" spans="1:19" x14ac:dyDescent="0.5">
      <c r="A12" s="55"/>
      <c r="B12" s="55"/>
      <c r="D12" s="51">
        <v>3</v>
      </c>
      <c r="E12" s="51">
        <v>4</v>
      </c>
    </row>
  </sheetData>
  <mergeCells count="3">
    <mergeCell ref="I1:R1"/>
    <mergeCell ref="B2:R2"/>
    <mergeCell ref="B1:F1"/>
  </mergeCells>
  <pageMargins left="0.75" right="0.75" top="1" bottom="1" header="0.5" footer="0.5"/>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7ABB8-CFAC-4AF0-9267-0B212C8ABFA8}">
  <sheetPr codeName="Sheet133"/>
  <dimension ref="A1:S19"/>
  <sheetViews>
    <sheetView topLeftCell="A2" zoomScale="85" zoomScaleNormal="85" workbookViewId="0">
      <selection activeCell="M16" sqref="M1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scan2(start_a, start_b, arr, lambda_a, lambda_b)</v>
      </c>
      <c r="C1" s="79"/>
      <c r="D1" s="79"/>
      <c r="E1" s="79"/>
      <c r="F1" s="80"/>
      <c r="H1" s="45" t="s">
        <v>2</v>
      </c>
      <c r="I1" s="78" t="str" cm="1">
        <f t="array" aca="1" ref="I1" ca="1">_xlfn.LET(_xlpm.fn, CELL("filename",$A$1), _xlpm.nm, MID(_xlpm.fn, FIND("]", _xlpm.fn) + 1, 255), _xlfn.XLOOKUP(_xlpm.nm &amp; "(*", Lamb!$A$2:$A$1000, Lamb!$D$2:$D$1000, "", 2))</f>
        <v>A two-accumulator SCAN. Ordinary SCAN can only carry one scalar accumulator, so carrying two values forces you to concatenate them into one; scan2 threads two independent accumulators for you.
Arguments:
  start_a  - initial value of the first accumulator.
  start_b  - initial value of the second accumulator.
  arr      - the items to iterate over (flattened top-to-bottom, like TOCOL).
  lambda_a - LAMBDA(a, b, item) returning the next value of accumulator a. It sees the CURRENT a and b and the current item.
  lambda_b - LAMBDA(a, b, item) returning the next value of accumulator b (also sees the current a and b).
Returns:
  A 2-column array with one row per item of arr: column 1 is the running a, column 2 is the running b, each taken AFTER that item is processed (matching SCAN's per-item semantics). Take the last row for the final pair.
Both new values are computed from the PRE-update a and b, so lambda_a and lambda_b can reference each other's previous value. Accumulators should be scalars (numbers or text), like SCAN.
Example - running sum in a, running max in b, over {3;1;4;1;5}:
  scan2(0, -1E+308, {3;1;4;1;5}, LAMBDA(a,b,x, a + x), LAMBDA(a,b,x, MAX(b, x)))
  -&gt; {3,3; 4,3; 8,4; 9,4; 14,5}
Note: builds the result by appending rows (order n^2), so it suits small/medium arrays. See scan3 for three accumulators.</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 start_b, arr, lambda_a, lambda_b, LET(
   vec, TOCOL(arr),
   seeded, REDUCE(HSTACK(start_a, start_b), vec, LAMBDA(acc, item, LET(
      cur_a, INDEX(acc, ROWS(acc), 1),
      cur_b, INDEX(acc, ROWS(acc), 2),
      VSTACK(acc, HSTACK(lambda_a(cur_a, cur_b, item), lambda_b(cur_a, cur_b, item)))
   ))),
   DROP(seeded, 1)
))</v>
      </c>
      <c r="C2" s="82"/>
      <c r="D2" s="82"/>
      <c r="E2" s="82"/>
      <c r="F2" s="82"/>
      <c r="G2" s="82"/>
      <c r="H2" s="82"/>
      <c r="I2" s="82"/>
      <c r="J2" s="82"/>
      <c r="K2" s="82"/>
      <c r="L2" s="82"/>
      <c r="M2" s="82"/>
      <c r="N2" s="82"/>
      <c r="O2" s="82"/>
      <c r="P2" s="82"/>
      <c r="Q2" s="82"/>
      <c r="R2" s="82"/>
    </row>
    <row r="4" spans="1:19" x14ac:dyDescent="0.5">
      <c r="A4" s="45" t="s">
        <v>3590</v>
      </c>
      <c r="P4" s="45" t="str">
        <f>COUNTIF(P6:P40,"PASS")&amp;" / 3 PASS"</f>
        <v>3 / 3 PASS</v>
      </c>
    </row>
    <row r="5" spans="1:19" x14ac:dyDescent="0.5">
      <c r="A5" s="45" t="s">
        <v>7</v>
      </c>
      <c r="B5" s="45" t="s">
        <v>8</v>
      </c>
      <c r="D5" s="45" t="s">
        <v>9</v>
      </c>
      <c r="J5" s="48" t="s">
        <v>3591</v>
      </c>
      <c r="K5" s="48"/>
      <c r="M5" s="49" t="s">
        <v>11</v>
      </c>
      <c r="N5" s="49"/>
      <c r="P5" s="50" t="s">
        <v>12</v>
      </c>
    </row>
    <row r="6" spans="1:19" ht="32" x14ac:dyDescent="0.5">
      <c r="A6" s="46">
        <v>1</v>
      </c>
      <c r="B6" s="47" t="s">
        <v>3592</v>
      </c>
      <c r="D6" s="51">
        <v>3</v>
      </c>
      <c r="J6" s="52">
        <v>3</v>
      </c>
      <c r="K6" s="52">
        <v>3</v>
      </c>
      <c r="M6" s="53" cm="1">
        <f t="array" ref="M6:N10">scan2(0,0,D6:D10,_xlfn.LAMBDA(_xlpm.a,_xlpm.b,_xlpm.x,_xlpm.a+_xlpm.x),_xlfn.LAMBDA(_xlpm.a,_xlpm.b,_xlpm.x,MAX(_xlpm.b,_xlpm.x)))</f>
        <v>3</v>
      </c>
      <c r="N6" s="53">
        <v>3</v>
      </c>
      <c r="P6" s="54" t="str" cm="1">
        <f t="array" ref="P6">IF(AND(J6:K10=M6:N10),"PASS","FAIL")</f>
        <v>PASS</v>
      </c>
    </row>
    <row r="7" spans="1:19" x14ac:dyDescent="0.5">
      <c r="A7" s="55"/>
      <c r="B7" s="55"/>
      <c r="D7" s="51">
        <v>1</v>
      </c>
      <c r="J7" s="52">
        <v>4</v>
      </c>
      <c r="K7" s="52">
        <v>3</v>
      </c>
      <c r="M7" s="53">
        <v>4</v>
      </c>
      <c r="N7" s="53">
        <v>3</v>
      </c>
    </row>
    <row r="8" spans="1:19" x14ac:dyDescent="0.5">
      <c r="A8" s="55"/>
      <c r="B8" s="55"/>
      <c r="D8" s="51">
        <v>4</v>
      </c>
      <c r="J8" s="52">
        <v>8</v>
      </c>
      <c r="K8" s="52">
        <v>4</v>
      </c>
      <c r="M8" s="53">
        <v>8</v>
      </c>
      <c r="N8" s="53">
        <v>4</v>
      </c>
    </row>
    <row r="9" spans="1:19" x14ac:dyDescent="0.5">
      <c r="A9" s="55"/>
      <c r="B9" s="55"/>
      <c r="D9" s="51">
        <v>1</v>
      </c>
      <c r="J9" s="52">
        <v>9</v>
      </c>
      <c r="K9" s="52">
        <v>4</v>
      </c>
      <c r="M9" s="53">
        <v>9</v>
      </c>
      <c r="N9" s="53">
        <v>4</v>
      </c>
    </row>
    <row r="10" spans="1:19" x14ac:dyDescent="0.5">
      <c r="A10" s="55"/>
      <c r="B10" s="55"/>
      <c r="D10" s="51">
        <v>5</v>
      </c>
      <c r="J10" s="52">
        <v>14</v>
      </c>
      <c r="K10" s="52">
        <v>5</v>
      </c>
      <c r="M10" s="53">
        <v>14</v>
      </c>
      <c r="N10" s="53">
        <v>5</v>
      </c>
    </row>
    <row r="12" spans="1:19" ht="32" x14ac:dyDescent="0.5">
      <c r="A12" s="46">
        <v>2</v>
      </c>
      <c r="B12" s="47" t="s">
        <v>3593</v>
      </c>
      <c r="D12" s="51">
        <v>10</v>
      </c>
      <c r="J12" s="52">
        <v>10</v>
      </c>
      <c r="K12" s="52">
        <v>1</v>
      </c>
      <c r="M12" s="53" cm="1">
        <f t="array" ref="M12:N14">scan2(0,0,D12:D14,_xlfn.LAMBDA(_xlpm.a,_xlpm.b,_xlpm.x,_xlpm.a+_xlpm.x),_xlfn.LAMBDA(_xlpm.a,_xlpm.b,_xlpm.x,_xlpm.b+1))</f>
        <v>10</v>
      </c>
      <c r="N12" s="53">
        <v>1</v>
      </c>
      <c r="P12" s="54" t="str" cm="1">
        <f t="array" ref="P12">IF(AND(J12:K14=M12:N14),"PASS","FAIL")</f>
        <v>PASS</v>
      </c>
    </row>
    <row r="13" spans="1:19" x14ac:dyDescent="0.5">
      <c r="A13" s="55"/>
      <c r="B13" s="55"/>
      <c r="D13" s="51">
        <v>20</v>
      </c>
      <c r="J13" s="52">
        <v>30</v>
      </c>
      <c r="K13" s="52">
        <v>2</v>
      </c>
      <c r="M13" s="53">
        <v>30</v>
      </c>
      <c r="N13" s="53">
        <v>2</v>
      </c>
    </row>
    <row r="14" spans="1:19" x14ac:dyDescent="0.5">
      <c r="A14" s="55"/>
      <c r="B14" s="55"/>
      <c r="D14" s="51">
        <v>30</v>
      </c>
      <c r="J14" s="52">
        <v>60</v>
      </c>
      <c r="K14" s="52">
        <v>3</v>
      </c>
      <c r="M14" s="53">
        <v>60</v>
      </c>
      <c r="N14" s="53">
        <v>3</v>
      </c>
    </row>
    <row r="16" spans="1:19" x14ac:dyDescent="0.5">
      <c r="A16" s="46">
        <v>3</v>
      </c>
      <c r="B16" s="47" t="s">
        <v>3594</v>
      </c>
      <c r="D16" s="51">
        <v>1</v>
      </c>
      <c r="J16" s="52">
        <v>1</v>
      </c>
      <c r="K16" s="52">
        <v>1</v>
      </c>
      <c r="M16" s="53" cm="1">
        <f t="array" ref="M16:N19">scan2(0,1,D16:D19,_xlfn.LAMBDA(_xlpm.a,_xlpm.b,_xlpm.x,_xlpm.b),_xlfn.LAMBDA(_xlpm.a,_xlpm.b,_xlpm.x,_xlpm.a+_xlpm.b))</f>
        <v>1</v>
      </c>
      <c r="N16" s="53">
        <v>1</v>
      </c>
      <c r="P16" s="54" t="str" cm="1">
        <f t="array" ref="P16">IF(AND(J16:K19=M16:N19),"PASS","FAIL")</f>
        <v>PASS</v>
      </c>
    </row>
    <row r="17" spans="1:14" x14ac:dyDescent="0.5">
      <c r="A17" s="55"/>
      <c r="B17" s="55"/>
      <c r="D17" s="51">
        <v>1</v>
      </c>
      <c r="J17" s="52">
        <v>1</v>
      </c>
      <c r="K17" s="52">
        <v>2</v>
      </c>
      <c r="M17" s="53">
        <v>1</v>
      </c>
      <c r="N17" s="53">
        <v>2</v>
      </c>
    </row>
    <row r="18" spans="1:14" x14ac:dyDescent="0.5">
      <c r="A18" s="55"/>
      <c r="B18" s="55"/>
      <c r="D18" s="51">
        <v>1</v>
      </c>
      <c r="J18" s="52">
        <v>2</v>
      </c>
      <c r="K18" s="52">
        <v>3</v>
      </c>
      <c r="M18" s="53">
        <v>2</v>
      </c>
      <c r="N18" s="53">
        <v>3</v>
      </c>
    </row>
    <row r="19" spans="1:14" x14ac:dyDescent="0.5">
      <c r="A19" s="55"/>
      <c r="B19" s="55"/>
      <c r="D19" s="51">
        <v>1</v>
      </c>
      <c r="J19" s="52">
        <v>3</v>
      </c>
      <c r="K19" s="52">
        <v>5</v>
      </c>
      <c r="M19" s="53">
        <v>3</v>
      </c>
      <c r="N19" s="53">
        <v>5</v>
      </c>
    </row>
  </sheetData>
  <mergeCells count="3">
    <mergeCell ref="I1:R1"/>
    <mergeCell ref="B2:R2"/>
    <mergeCell ref="B1:F1"/>
  </mergeCells>
  <pageMargins left="0.75" right="0.75" top="1" bottom="1" header="0.5" footer="0.5"/>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3BD39A-28F0-425D-AE47-BBDE41CB355D}">
  <sheetPr codeName="Sheet134"/>
  <dimension ref="A1:S18"/>
  <sheetViews>
    <sheetView topLeftCell="A2" zoomScale="85" zoomScaleNormal="85" workbookViewId="0">
      <selection activeCell="A25" sqref="A25:XFD25"/>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scan3(start_a, start_b, start_c, arr, lambda_a, lambda_b, lambda_c)</v>
      </c>
      <c r="C1" s="79"/>
      <c r="D1" s="79"/>
      <c r="E1" s="79"/>
      <c r="F1" s="80"/>
      <c r="H1" s="45" t="s">
        <v>2</v>
      </c>
      <c r="I1" s="78" t="str" cm="1">
        <f t="array" aca="1" ref="I1" ca="1">_xlfn.LET(_xlpm.fn, CELL("filename",$A$1), _xlpm.nm, MID(_xlpm.fn, FIND("]", _xlpm.fn) + 1, 255), _xlfn.XLOOKUP(_xlpm.nm &amp; "(*", Lamb!$A$2:$A$1000, Lamb!$D$2:$D$1000, "", 2))</f>
        <v>A three-accumulator SCAN. Threads three independent accumulators through arr so you don't have to pack them into one.
Arguments:
  start_a, start_b, start_c - initial values of the three accumulators.
  arr      - the items to iterate over (flattened top-to-bottom, like TOCOL).
  lambda_a - LAMBDA(a, b, c, item) returning the next a (sees current a, b, c and the item).
  lambda_b - LAMBDA(a, b, c, item) returning the next b.
  lambda_c - LAMBDA(a, b, c, item) returning the next c.
Returns:
  A 3-column array with one row per item of arr: columns 1/2/3 are the running a/b/c AFTER that item is processed (matching SCAN's per-item semantics). Take the last row for the final triple.
All three new values are computed from the PRE-update a, b and c, so the update lambdas can reference each other's previous values. Accumulators should be scalars (numbers or text), like SCAN.
Example - running sum, running product, running count over {2;3;4}:
  scan3(0, 1, 0, {2;3;4}, LAMBDA(a,b,c,x, a+x), LAMBDA(a,b,c,x, b*x), LAMBDA(a,b,c,x, c+1))
  -&gt; {2,2,1; 5,6,2; 9,24,3}
Note: builds the result by appending rows (order n^2), so it suits small/medium arrays. See scan2 for two accumulators.</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 start_b, start_c, arr, lambda_a, lambda_b, lambda_c, LET(
   vec, TOCOL(arr),
   seeded, REDUCE(HSTACK(start_a, start_b, start_c), vec, LAMBDA(acc, item, LET(
      cur_a, INDEX(acc, ROWS(acc), 1),
      cur_b, INDEX(acc, ROWS(acc), 2),
      cur_c, INDEX(acc, ROWS(acc), 3),
      VSTACK(acc, HSTACK(
         lambda_a(cur_a, cur_b, cur_c, item),
         lambda_b(cur_a, cur_b, cur_c, item),
         lambda_c(cur_a, cur_b, cur_c, item)
      ))
   ))),
   DROP(seeded, 1)
))</v>
      </c>
      <c r="C2" s="82"/>
      <c r="D2" s="82"/>
      <c r="E2" s="82"/>
      <c r="F2" s="82"/>
      <c r="G2" s="82"/>
      <c r="H2" s="82"/>
      <c r="I2" s="82"/>
      <c r="J2" s="82"/>
      <c r="K2" s="82"/>
      <c r="L2" s="82"/>
      <c r="M2" s="82"/>
      <c r="N2" s="82"/>
      <c r="O2" s="82"/>
      <c r="P2" s="82"/>
      <c r="Q2" s="82"/>
      <c r="R2" s="82"/>
    </row>
    <row r="4" spans="1:19" x14ac:dyDescent="0.5">
      <c r="A4" s="45" t="s">
        <v>3595</v>
      </c>
      <c r="R4" s="45" t="str">
        <f>COUNTIF(R6:R40,"PASS")&amp;" / 2 PASS"</f>
        <v>2 / 2 PASS</v>
      </c>
    </row>
    <row r="5" spans="1:19" x14ac:dyDescent="0.5">
      <c r="A5" s="45" t="s">
        <v>7</v>
      </c>
      <c r="B5" s="45" t="s">
        <v>8</v>
      </c>
      <c r="D5" s="45" t="s">
        <v>9</v>
      </c>
      <c r="J5" s="48" t="s">
        <v>3596</v>
      </c>
      <c r="K5" s="48"/>
      <c r="L5" s="48"/>
      <c r="N5" s="49" t="s">
        <v>11</v>
      </c>
      <c r="O5" s="49"/>
      <c r="P5" s="49"/>
      <c r="R5" s="50" t="s">
        <v>12</v>
      </c>
    </row>
    <row r="6" spans="1:19" x14ac:dyDescent="0.5">
      <c r="A6" s="46">
        <v>1</v>
      </c>
      <c r="B6" s="47" t="s">
        <v>3597</v>
      </c>
      <c r="D6" s="51">
        <v>2</v>
      </c>
      <c r="J6" s="52">
        <v>2</v>
      </c>
      <c r="K6" s="52">
        <v>2</v>
      </c>
      <c r="L6" s="52">
        <v>1</v>
      </c>
      <c r="N6" s="53" cm="1">
        <f t="array" ref="N6:P8">scan3(0,1,0,D6:D8,_xlfn.LAMBDA(_xlpm.a,_xlpm.b,_xlpm.c,_xlpm.x,_xlpm.a+_xlpm.x),_xlfn.LAMBDA(_xlpm.a,_xlpm.b,_xlpm.c,_xlpm.x,_xlpm.b*_xlpm.x),_xlfn.LAMBDA(_xlpm.a,_xlpm.b,_xlpm.c,_xlpm.x,_xlpm.c+1))</f>
        <v>2</v>
      </c>
      <c r="O6" s="53">
        <v>2</v>
      </c>
      <c r="P6" s="53">
        <v>1</v>
      </c>
      <c r="R6" s="54" t="str" cm="1">
        <f t="array" ref="R6">IF(AND(J6:L8=N6:P8),"PASS","FAIL")</f>
        <v>PASS</v>
      </c>
    </row>
    <row r="7" spans="1:19" x14ac:dyDescent="0.5">
      <c r="A7" s="55"/>
      <c r="B7" s="55"/>
      <c r="D7" s="51">
        <v>3</v>
      </c>
      <c r="J7" s="52">
        <v>5</v>
      </c>
      <c r="K7" s="52">
        <v>6</v>
      </c>
      <c r="L7" s="52">
        <v>2</v>
      </c>
      <c r="N7" s="53">
        <v>5</v>
      </c>
      <c r="O7" s="53">
        <v>6</v>
      </c>
      <c r="P7" s="53">
        <v>2</v>
      </c>
    </row>
    <row r="8" spans="1:19" x14ac:dyDescent="0.5">
      <c r="A8" s="55"/>
      <c r="B8" s="55"/>
      <c r="D8" s="51">
        <v>4</v>
      </c>
      <c r="J8" s="52">
        <v>9</v>
      </c>
      <c r="K8" s="52">
        <v>24</v>
      </c>
      <c r="L8" s="52">
        <v>3</v>
      </c>
      <c r="N8" s="53">
        <v>9</v>
      </c>
      <c r="O8" s="53">
        <v>24</v>
      </c>
      <c r="P8" s="53">
        <v>3</v>
      </c>
    </row>
    <row r="10" spans="1:19" x14ac:dyDescent="0.5">
      <c r="A10" s="46">
        <v>2</v>
      </c>
      <c r="B10" s="47" t="s">
        <v>3598</v>
      </c>
      <c r="D10" s="51">
        <v>5</v>
      </c>
      <c r="J10" s="52">
        <v>5</v>
      </c>
      <c r="K10" s="52">
        <v>5</v>
      </c>
      <c r="L10" s="52">
        <v>5</v>
      </c>
      <c r="N10" s="53" cm="1">
        <f t="array" ref="N10:P12">scan3(0,0,1000000000,D10:D12,_xlfn.LAMBDA(_xlpm.a,_xlpm.b,_xlpm.c,_xlpm.x,_xlpm.a+_xlpm.x),_xlfn.LAMBDA(_xlpm.a,_xlpm.b,_xlpm.c,_xlpm.x,MAX(_xlpm.b,_xlpm.x)),_xlfn.LAMBDA(_xlpm.a,_xlpm.b,_xlpm.c,_xlpm.x,MIN(_xlpm.c,_xlpm.x)))</f>
        <v>5</v>
      </c>
      <c r="O10" s="53">
        <v>5</v>
      </c>
      <c r="P10" s="53">
        <v>5</v>
      </c>
      <c r="R10" s="54" t="str" cm="1">
        <f t="array" ref="R10">IF(AND(J10:L12=N10:P12),"PASS","FAIL")</f>
        <v>PASS</v>
      </c>
    </row>
    <row r="11" spans="1:19" x14ac:dyDescent="0.5">
      <c r="A11" s="55"/>
      <c r="B11" s="55"/>
      <c r="D11" s="51">
        <v>2</v>
      </c>
      <c r="J11" s="52">
        <v>7</v>
      </c>
      <c r="K11" s="52">
        <v>5</v>
      </c>
      <c r="L11" s="52">
        <v>2</v>
      </c>
      <c r="N11" s="53">
        <v>7</v>
      </c>
      <c r="O11" s="53">
        <v>5</v>
      </c>
      <c r="P11" s="53">
        <v>2</v>
      </c>
    </row>
    <row r="12" spans="1:19" x14ac:dyDescent="0.5">
      <c r="A12" s="55"/>
      <c r="B12" s="55"/>
      <c r="D12" s="51">
        <v>8</v>
      </c>
      <c r="J12" s="52">
        <v>15</v>
      </c>
      <c r="K12" s="52">
        <v>8</v>
      </c>
      <c r="L12" s="52">
        <v>2</v>
      </c>
      <c r="N12" s="53">
        <v>15</v>
      </c>
      <c r="O12" s="53">
        <v>8</v>
      </c>
      <c r="P12" s="53">
        <v>2</v>
      </c>
    </row>
    <row r="15" spans="1:19" x14ac:dyDescent="0.5">
      <c r="A15" s="55"/>
      <c r="B15" s="55"/>
      <c r="F15" s="51"/>
      <c r="J15" s="52"/>
      <c r="L15" s="53"/>
    </row>
    <row r="17" spans="1:14" x14ac:dyDescent="0.5">
      <c r="A17" s="46"/>
      <c r="B17" s="47"/>
      <c r="D17" s="51"/>
      <c r="F17" s="51"/>
      <c r="J17" s="52"/>
      <c r="L17" s="53"/>
      <c r="N17" s="54"/>
    </row>
    <row r="18" spans="1:14" x14ac:dyDescent="0.5">
      <c r="A18" s="55"/>
      <c r="B18" s="55"/>
      <c r="D18" s="51"/>
      <c r="J18" s="52"/>
      <c r="L18" s="53"/>
    </row>
  </sheetData>
  <mergeCells count="3">
    <mergeCell ref="I1:R1"/>
    <mergeCell ref="B2:R2"/>
    <mergeCell ref="B1:F1"/>
  </mergeCells>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CAAB2F-3D41-461E-97DC-B74BB2D002ED}">
  <sheetPr codeName="Sheet81"/>
  <dimension ref="A1:S30"/>
  <sheetViews>
    <sheetView workbookViewId="0">
      <selection sqref="A1:XFD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3" width="11" customWidth="1"/>
    <col min="14" max="14" width="3" customWidth="1"/>
    <col min="15" max="16" width="11" customWidth="1"/>
    <col min="17" max="17" width="3" customWidth="1"/>
    <col min="18" max="18" width="9" customWidth="1"/>
  </cols>
  <sheetData>
    <row r="1" spans="1:19" ht="315" customHeight="1" x14ac:dyDescent="0.5">
      <c r="A1" s="45" t="s">
        <v>0</v>
      </c>
      <c r="B1" s="83" t="str" cm="1">
        <f t="array" aca="1" ref="B1" ca="1">_xlfn.LET(_xlpm.fn, CELL("filename",$A$1), _xlpm.nm, MID(_xlpm.fn, FIND("]", _xlpm.fn) + 1, 255), _xlfn.XLOOKUP(_xlpm.nm &amp; "(*", Lamb!$A$2:$A$1000, Lamb!$A$2:$A$1000, "", 2))</f>
        <v>selections(arr, n, [order_matters], [repeats_allowed], [countdown_mode], [clean_inputs])</v>
      </c>
      <c r="C1" s="79"/>
      <c r="D1" s="79"/>
      <c r="E1" s="79"/>
      <c r="F1" s="80"/>
      <c r="H1" s="45" t="s">
        <v>2</v>
      </c>
      <c r="I1" s="78" t="str" cm="1">
        <f t="array" aca="1" ref="I1" ca="1">_xlfn.LET(_xlpm.fn, CELL("filename",$A$1), _xlpm.nm, MID(_xlpm.fn, FIND("]", _xlpm.fn) + 1, 255), _xlfn.XLOOKUP(_xlpm.nm &amp; "(*", Lamb!$A$2:$A$1000, Lamb!$D$2:$D$1000, "", 2))</f>
        <v>Generates permutations or combinations drawn from an array.
Arguments:
  arr               - the pool of items to choose from.
  n                 - number of items per selection.
  [order_matters]   - 1 = permutations, 0 = combinations (default 0).
  [repeats_allowed] - 1 to allow an item to be reused within a selection (default 0).
  [countdown_mode]  - 1 to also include selections of size n-1, n-2, ... 1 (default 0).
  [clean_input]     - 1 to de-duplicate and drop blanks from arr first (default 1).
Returns:
  An array of the generated selections, one per row.
Example:
  selections(A1:A4, 2)</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n, [order_matters], [repeats_allowed], [countdown_n], [clean_input],
 IF(
  n &lt; 1,
  NA(),
  LET(
   ci_, IF(ISOMITTED(clean_input), 1, clean_input),
   flat_, IF(
    ci_ = 1,
    LET(r_, TOCOL(arr, 3), UNIQUE(FILTER(r_, r_ &lt;&gt; ""))),
    TOCOL(arr)
   ),
   m_, ROWS(flat_),
   om_, IF(ISOMITTED(order_matters), 0, order_matters),
   rep_, IF(ISOMITTED(repeats_allowed), 0, repeats_allowed),
   cd_, IF(ISOMITTED(countdown_n), 0, countdown_n),
   chars_, UNICHAR(SEQUENCE(, m_, 20001)),
   one_k_, LAMBDA(k_,
    IF(
     k_ &lt; 1,
     NA(),
     LET(
      seq_, SEQUENCE(, k_),
      built_, REDUCE(
       "",
       seq_,
       LAMBDA(acc_, step_,
        TOCOL(
         IFS(
          IF(
           om_ = 1,
           IF(rep_ = 1, 1, ISERR(FIND(chars_, acc_))),
           IF(
            rep_ = 1,
            RIGHT(acc_) &lt;= chars_,
            RIGHT(acc_) &lt; chars_
           )
          ),
          acc_ &amp; chars_
         ),
         3
        )
       )
      ),
      IFERROR(
       MAP(UNICODE(MID(built_, seq_, 1)) - 20000, LAMBDA(pos_, INDEX(flat_, pos_))),
       NA()
      )
     )
    )
   ),
   pad_, LAMBDA(x_, EXPAND(x_, ROWS(x_), n, "")),
   IF(
    cd_ = 0,
    pad_(one_k_(n)),
    LET(
     max_k_, IF(rep_ = 1, n, MIN(n, m_)),
     seed_, pad_(one_k_(max_k_)),
     IF(
      max_k_ = 1,
      seed_,
      REDUCE(
       seed_,
       SEQUENCE(max_k_ - 1, 1, max_k_ - 1, -1),
       LAMBDA(acc_, k_, VSTACK(acc_, pad_(one_k_(k_))))
      )
     )
    )
   )
  )
 )
)</v>
      </c>
      <c r="C2" s="82"/>
      <c r="D2" s="82"/>
      <c r="E2" s="82"/>
      <c r="F2" s="82"/>
      <c r="G2" s="82"/>
      <c r="H2" s="82"/>
      <c r="I2" s="82"/>
      <c r="J2" s="82"/>
      <c r="K2" s="82"/>
      <c r="L2" s="82"/>
      <c r="M2" s="82"/>
      <c r="N2" s="82"/>
      <c r="O2" s="82"/>
      <c r="P2" s="82"/>
      <c r="Q2" s="82"/>
      <c r="R2" s="82"/>
    </row>
    <row r="4" spans="1:19" x14ac:dyDescent="0.5">
      <c r="A4" s="45" t="s">
        <v>3127</v>
      </c>
      <c r="R4" s="45">
        <f>COUNTIF(R6:R60,"PASS")&amp;" / 6 PASS"</f>
      </c>
    </row>
    <row r="5" spans="1:19" x14ac:dyDescent="0.5">
      <c r="A5" s="45" t="s">
        <v>7</v>
      </c>
      <c r="B5" s="45" t="s">
        <v>8</v>
      </c>
      <c r="D5" s="45" t="s">
        <v>9</v>
      </c>
      <c r="L5" s="48" t="s">
        <v>10</v>
      </c>
      <c r="O5" s="49" t="s">
        <v>11</v>
      </c>
      <c r="R5" s="50" t="s">
        <v>12</v>
      </c>
    </row>
    <row r="6" spans="1:19" x14ac:dyDescent="0.5">
      <c r="A6" s="46">
        <v>1</v>
      </c>
      <c r="B6" s="47" t="s">
        <v>3128</v>
      </c>
      <c r="D6" s="51" t="s">
        <v>2937</v>
      </c>
      <c r="F6" s="51">
        <v>2</v>
      </c>
      <c r="L6" s="52" t="s">
        <v>2937</v>
      </c>
      <c r="M6" s="52" t="s">
        <v>2938</v>
      </c>
      <c r="O6" s="53" t="str" cm="1">
        <f t="array" ref="O6:P8">selections(D6:D8,F6)</f>
        <v>a</v>
      </c>
      <c r="P6" s="53" t="str">
        <v>b</v>
      </c>
      <c r="R6" s="54" t="str" cm="1">
        <f t="array" ref="R6">IF(AND(L6:M8=O6:P8),"PASS","FAIL")</f>
        <v>PASS</v>
      </c>
    </row>
    <row r="7" spans="1:19" x14ac:dyDescent="0.5">
      <c r="A7" s="55"/>
      <c r="B7" s="55"/>
      <c r="D7" s="51" t="s">
        <v>2938</v>
      </c>
      <c r="L7" s="52" t="s">
        <v>2937</v>
      </c>
      <c r="M7" s="52" t="s">
        <v>2946</v>
      </c>
      <c r="O7" s="53" t="str">
        <v>a</v>
      </c>
      <c r="P7" s="53" t="str">
        <v>c</v>
      </c>
    </row>
    <row r="8" spans="1:19" x14ac:dyDescent="0.5">
      <c r="A8" s="55"/>
      <c r="B8" s="55"/>
      <c r="D8" s="51" t="s">
        <v>2946</v>
      </c>
      <c r="L8" s="52" t="s">
        <v>2938</v>
      </c>
      <c r="M8" s="52" t="s">
        <v>2946</v>
      </c>
      <c r="O8" s="53" t="str">
        <v>b</v>
      </c>
      <c r="P8" s="53" t="str">
        <v>c</v>
      </c>
    </row>
    <row r="10" spans="1:19" x14ac:dyDescent="0.5">
      <c r="A10" s="46">
        <v>2</v>
      </c>
      <c r="B10" s="47" t="s">
        <v>3129</v>
      </c>
      <c r="D10" s="51">
        <v>1</v>
      </c>
      <c r="F10" s="51">
        <v>2</v>
      </c>
      <c r="L10" s="52">
        <v>1</v>
      </c>
      <c r="M10" s="52">
        <v>2</v>
      </c>
      <c r="O10" s="53" cm="1">
        <f t="array" ref="O10:P15">selections(D10:D13,F10)</f>
        <v>1</v>
      </c>
      <c r="P10" s="53">
        <v>2</v>
      </c>
      <c r="R10" s="54" t="str" cm="1">
        <f t="array" ref="R10">IF(AND(L10:M15=O10:P15),"PASS","FAIL")</f>
        <v>PASS</v>
      </c>
    </row>
    <row r="11" spans="1:19" x14ac:dyDescent="0.5">
      <c r="A11" s="55"/>
      <c r="B11" s="55"/>
      <c r="D11" s="51">
        <v>2</v>
      </c>
      <c r="L11" s="52">
        <v>1</v>
      </c>
      <c r="M11" s="52">
        <v>3</v>
      </c>
      <c r="O11" s="53">
        <v>1</v>
      </c>
      <c r="P11" s="53">
        <v>3</v>
      </c>
    </row>
    <row r="12" spans="1:19" x14ac:dyDescent="0.5">
      <c r="A12" s="55"/>
      <c r="B12" s="55"/>
      <c r="D12" s="51">
        <v>3</v>
      </c>
      <c r="L12" s="52">
        <v>1</v>
      </c>
      <c r="M12" s="52">
        <v>4</v>
      </c>
      <c r="O12" s="53">
        <v>1</v>
      </c>
      <c r="P12" s="53">
        <v>4</v>
      </c>
    </row>
    <row r="13" spans="1:19" x14ac:dyDescent="0.5">
      <c r="A13" s="55"/>
      <c r="B13" s="55"/>
      <c r="D13" s="51">
        <v>4</v>
      </c>
      <c r="L13" s="52">
        <v>2</v>
      </c>
      <c r="M13" s="52">
        <v>3</v>
      </c>
      <c r="O13" s="53">
        <v>2</v>
      </c>
      <c r="P13" s="53">
        <v>3</v>
      </c>
    </row>
    <row r="14" spans="1:19" x14ac:dyDescent="0.5">
      <c r="A14" s="55"/>
      <c r="B14" s="55"/>
      <c r="L14" s="52">
        <v>2</v>
      </c>
      <c r="M14" s="52">
        <v>4</v>
      </c>
      <c r="O14" s="53">
        <v>2</v>
      </c>
      <c r="P14" s="53">
        <v>4</v>
      </c>
    </row>
    <row r="15" spans="1:19" x14ac:dyDescent="0.5">
      <c r="A15" s="55"/>
      <c r="B15" s="55"/>
      <c r="L15" s="52">
        <v>3</v>
      </c>
      <c r="M15" s="52">
        <v>4</v>
      </c>
      <c r="O15" s="53">
        <v>3</v>
      </c>
      <c r="P15" s="53">
        <v>4</v>
      </c>
    </row>
    <row r="17" spans="1:18" x14ac:dyDescent="0.5">
      <c r="A17" s="46">
        <v>3</v>
      </c>
      <c r="B17" s="47" t="s">
        <v>3130</v>
      </c>
      <c r="D17" s="51" t="s">
        <v>2937</v>
      </c>
      <c r="F17" s="51">
        <v>2</v>
      </c>
      <c r="H17" s="51">
        <v>1</v>
      </c>
      <c r="L17" s="52" t="s">
        <v>2937</v>
      </c>
      <c r="M17" s="52" t="s">
        <v>2938</v>
      </c>
      <c r="O17" s="53" t="str" cm="1">
        <f t="array" ref="O17:P22">selections(D17:D19,F17,H17)</f>
        <v>a</v>
      </c>
      <c r="P17" s="53" t="str">
        <v>b</v>
      </c>
      <c r="R17" s="54" t="str" cm="1">
        <f t="array" ref="R17">IF(AND(L17:M22=O17:P22),"PASS","FAIL")</f>
        <v>PASS</v>
      </c>
    </row>
    <row r="18" spans="1:18" x14ac:dyDescent="0.5">
      <c r="A18" s="55"/>
      <c r="B18" s="55"/>
      <c r="D18" s="51" t="s">
        <v>2938</v>
      </c>
      <c r="L18" s="52" t="s">
        <v>2937</v>
      </c>
      <c r="M18" s="52" t="s">
        <v>2946</v>
      </c>
      <c r="O18" s="53" t="str">
        <v>a</v>
      </c>
      <c r="P18" s="53" t="str">
        <v>c</v>
      </c>
    </row>
    <row r="19" spans="1:18" x14ac:dyDescent="0.5">
      <c r="A19" s="55"/>
      <c r="B19" s="55"/>
      <c r="D19" s="51" t="s">
        <v>2946</v>
      </c>
      <c r="L19" s="52" t="s">
        <v>2938</v>
      </c>
      <c r="M19" s="52" t="s">
        <v>2937</v>
      </c>
      <c r="O19" s="53" t="str">
        <v>b</v>
      </c>
      <c r="P19" s="53" t="str">
        <v>a</v>
      </c>
    </row>
    <row r="20" spans="1:18" x14ac:dyDescent="0.5">
      <c r="A20" s="55"/>
      <c r="B20" s="55"/>
      <c r="L20" s="52" t="s">
        <v>2938</v>
      </c>
      <c r="M20" s="52" t="s">
        <v>2946</v>
      </c>
      <c r="O20" s="53" t="str">
        <v>b</v>
      </c>
      <c r="P20" s="53" t="str">
        <v>c</v>
      </c>
    </row>
    <row r="21" spans="1:18" x14ac:dyDescent="0.5">
      <c r="A21" s="55"/>
      <c r="B21" s="55"/>
      <c r="L21" s="52" t="s">
        <v>2946</v>
      </c>
      <c r="M21" s="52" t="s">
        <v>2937</v>
      </c>
      <c r="O21" s="53" t="str">
        <v>c</v>
      </c>
      <c r="P21" s="53" t="str">
        <v>a</v>
      </c>
    </row>
    <row r="22" spans="1:18" x14ac:dyDescent="0.5">
      <c r="A22" s="55"/>
      <c r="B22" s="55"/>
      <c r="L22" s="52" t="s">
        <v>2946</v>
      </c>
      <c r="M22" s="52" t="s">
        <v>2938</v>
      </c>
      <c r="O22" s="53" t="str">
        <v>c</v>
      </c>
      <c r="P22" s="53" t="str">
        <v>b</v>
      </c>
    </row>
    <row r="24" spans="1:18" x14ac:dyDescent="0.5">
      <c r="A24" s="46">
        <v>4</v>
      </c>
      <c r="B24" s="47" t="s">
        <v>3131</v>
      </c>
      <c r="D24" s="51" t="s">
        <v>2937</v>
      </c>
      <c r="F24" s="51">
        <v>2</v>
      </c>
      <c r="H24" s="51">
        <v>0</v>
      </c>
      <c r="J24" s="51">
        <v>1</v>
      </c>
      <c r="L24" s="52" t="s">
        <v>2937</v>
      </c>
      <c r="M24" s="52" t="s">
        <v>2937</v>
      </c>
      <c r="O24" s="53" t="str" cm="1">
        <f t="array" ref="O24:P26">selections(D24:D25,F24,H24,J24)</f>
        <v>a</v>
      </c>
      <c r="P24" s="53" t="str">
        <v>a</v>
      </c>
      <c r="R24" s="54" t="str" cm="1">
        <f t="array" ref="R24">IF(AND(L24:M26=O24:P26),"PASS","FAIL")</f>
        <v>PASS</v>
      </c>
    </row>
    <row r="25" spans="1:18" x14ac:dyDescent="0.5">
      <c r="A25" s="55"/>
      <c r="B25" s="55"/>
      <c r="D25" s="51" t="s">
        <v>2938</v>
      </c>
      <c r="L25" s="52" t="s">
        <v>2937</v>
      </c>
      <c r="M25" s="52" t="s">
        <v>2938</v>
      </c>
      <c r="O25" s="53" t="str">
        <v>a</v>
      </c>
      <c r="P25" s="53" t="str">
        <v>b</v>
      </c>
    </row>
    <row r="26" spans="1:18" x14ac:dyDescent="0.5">
      <c r="A26" s="55"/>
      <c r="B26" s="55"/>
      <c r="L26" s="52" t="s">
        <v>2938</v>
      </c>
      <c r="M26" s="52" t="s">
        <v>2938</v>
      </c>
      <c r="O26" s="53" t="str">
        <v>b</v>
      </c>
      <c r="P26" s="53" t="str">
        <v>b</v>
      </c>
    </row>
    <row r="28" spans="1:18" x14ac:dyDescent="0.5">
      <c r="A28" s="46">
        <v>5</v>
      </c>
      <c r="B28" s="47" t="s">
        <v>3647</v>
      </c>
      <c r="D28" s="51" t="s">
        <v>2937</v>
      </c>
      <c r="F28" s="51">
        <v>2</v>
      </c>
      <c r="L28" s="52">
        <v>3</v>
      </c>
      <c r="O28" s="53">
        <f>ROWS(selections(D28:D30,F28))</f>
        <v>3</v>
      </c>
      <c r="R28" s="54" t="str">
        <f>IF(O28=L28,"PASS","FAIL")</f>
        <v>PASS</v>
      </c>
    </row>
    <row r="29" spans="1:18" x14ac:dyDescent="0.5">
      <c r="D29" s="51" t="s">
        <v>2938</v>
      </c>
    </row>
    <row r="30" spans="1:18" x14ac:dyDescent="0.5">
      <c r="D30" s="51" t="s">
        <v>2946</v>
      </c>
    </row>
    <row r="33">
      <c r="A33">
        <v>6</v>
      </c>
      <c r="B33" t="inlineStr">
        <is>
          <t xml:space="preserve">&gt;255-char value survives (IFERROR/IFNA would blank it)</t>
        </is>
      </c>
      <c r="D33" s="51">
        <f>REPT("z",300)</f>
      </c>
      <c r="L33">
        <f>REPT("z",300)</f>
      </c>
      <c r="O33" cm="1">
        <f t="array" ref="O33">selections(D33,1)</f>
        <v>0</v>
      </c>
      <c r="R33" cm="1">
        <f t="array" ref="R33">IF(AND(L33=O33),"PASS","FAIL")</f>
        <v>0</v>
      </c>
    </row>
  </sheetData>
  <mergeCells count="3">
    <mergeCell ref="I1:R1"/>
    <mergeCell ref="B2:R2"/>
    <mergeCell ref="B1:F1"/>
  </mergeCells>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08C998-5A97-470C-B659-F20810ACBF51}">
  <sheetPr codeName="Sheet82"/>
  <dimension ref="A1:S2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set(rng, [as_row])</v>
      </c>
      <c r="C1" s="79"/>
      <c r="D1" s="79"/>
      <c r="E1" s="79"/>
      <c r="F1" s="80"/>
      <c r="H1" s="45" t="s">
        <v>2</v>
      </c>
      <c r="I1" s="78" t="str" cm="1">
        <f t="array" aca="1" ref="I1" ca="1">_xlfn.LET(_xlpm.fn, CELL("filename",$A$1), _xlpm.nm, MID(_xlpm.fn, FIND("]", _xlpm.fn) + 1, 255), _xlfn.XLOOKUP(_xlpm.nm &amp; "(*", Lamb!$A$2:$A$1000, Lamb!$D$2:$D$1000, "", 2))</f>
        <v>Reduces a range to a clean, sorted set of unique values.
Arguments:
  rng      - the source range.
  [as_row] - 1 to return a horizontal row; default 0 returns a vertical column.
Returns:
  The unique, sorted values with blanks and errors removed.
Example:
  set(A1:A20)</v>
      </c>
      <c r="J1" s="79"/>
      <c r="K1" s="79"/>
      <c r="L1" s="79"/>
      <c r="M1" s="79"/>
      <c r="N1" s="79"/>
      <c r="O1" s="79"/>
      <c r="P1" s="79"/>
      <c r="Q1" s="79"/>
      <c r="R1" s="80"/>
      <c r="S1" s="77" t="str">
        <f>HYPERLINK("#lambda_tests!A1","&lt;- test summary")</f>
        <v>&lt;- test summary</v>
      </c>
    </row>
    <row r="2" spans="1:19" ht="231" customHeight="1" x14ac:dyDescent="0.5">
      <c r="A2" s="45" t="s">
        <v>4</v>
      </c>
      <c r="B2" s="81" t="str" cm="1">
        <f t="array" aca="1" ref="B2" ca="1">_xlfn.LET(_xlpm.fn, CELL("filename",$A$1), _xlpm.nm, MID(_xlpm.fn, FIND("]", _xlpm.fn) + 1, 255), _xlfn.XLOOKUP(_xlpm.nm &amp; "(*", Lamb!$A$2:$A$1000, Lamb!$C$2:$C$1000, "", 2))</f>
        <v>=LAMBDA(data_rng, [as_row],
   IFERROR(
      LET(
         _flat, TOCOL(data_rng, 3),
         _clean, FILTER(_flat, _flat &lt;&gt; ""),
         _res, SORT(UNIQUE(_clean)),
         IF(IF(ISOMITTED(as_row), 0, as_row), TOROW(_res), _res)
      ),
      ""
   )
)</v>
      </c>
      <c r="C2" s="82"/>
      <c r="D2" s="82"/>
      <c r="E2" s="82"/>
      <c r="F2" s="82"/>
      <c r="G2" s="82"/>
      <c r="H2" s="82"/>
      <c r="I2" s="82"/>
      <c r="J2" s="82"/>
      <c r="K2" s="82"/>
      <c r="L2" s="82"/>
      <c r="M2" s="82"/>
      <c r="N2" s="82"/>
      <c r="O2" s="82"/>
      <c r="P2" s="82"/>
      <c r="Q2" s="82"/>
      <c r="R2" s="82"/>
    </row>
    <row r="4" spans="1:19" x14ac:dyDescent="0.5">
      <c r="A4" s="45" t="s">
        <v>3132</v>
      </c>
      <c r="P4" s="45">
        <f>COUNTIF(P6:P60,"PASS")&amp;" / 5 PASS"</f>
      </c>
    </row>
    <row r="5" spans="1:19" x14ac:dyDescent="0.5">
      <c r="A5" s="45" t="s">
        <v>7</v>
      </c>
      <c r="B5" s="45" t="s">
        <v>8</v>
      </c>
      <c r="D5" s="45" t="s">
        <v>9</v>
      </c>
      <c r="H5" s="48" t="s">
        <v>10</v>
      </c>
      <c r="L5" s="49" t="s">
        <v>11</v>
      </c>
      <c r="P5" s="50" t="s">
        <v>12</v>
      </c>
    </row>
    <row r="6" spans="1:19" x14ac:dyDescent="0.5">
      <c r="A6" s="46">
        <v>1</v>
      </c>
      <c r="B6" s="47" t="s">
        <v>3133</v>
      </c>
      <c r="D6" s="51">
        <v>3</v>
      </c>
      <c r="H6" s="52">
        <v>1</v>
      </c>
      <c r="L6" s="53" cm="1">
        <f t="array" ref="L6:L8">set(D6:D9)</f>
        <v>1</v>
      </c>
      <c r="P6" s="54" t="str" cm="1">
        <f t="array" ref="P6">IF(AND(H6:H8=L6:L8),"PASS","FAIL")</f>
        <v>PASS</v>
      </c>
    </row>
    <row r="7" spans="1:19" x14ac:dyDescent="0.5">
      <c r="A7" s="55"/>
      <c r="B7" s="55"/>
      <c r="D7" s="51">
        <v>1</v>
      </c>
      <c r="H7" s="52">
        <v>2</v>
      </c>
      <c r="L7" s="53">
        <v>2</v>
      </c>
    </row>
    <row r="8" spans="1:19" x14ac:dyDescent="0.5">
      <c r="A8" s="55"/>
      <c r="B8" s="55"/>
      <c r="D8" s="51">
        <v>2</v>
      </c>
      <c r="H8" s="52">
        <v>3</v>
      </c>
      <c r="L8" s="53">
        <v>3</v>
      </c>
    </row>
    <row r="9" spans="1:19" x14ac:dyDescent="0.5">
      <c r="A9" s="55"/>
      <c r="B9" s="55"/>
      <c r="D9" s="51">
        <v>1</v>
      </c>
    </row>
    <row r="11" spans="1:19" x14ac:dyDescent="0.5">
      <c r="A11" s="46">
        <v>2</v>
      </c>
      <c r="B11" s="47" t="s">
        <v>3134</v>
      </c>
      <c r="D11" s="51" t="s">
        <v>2946</v>
      </c>
      <c r="H11" s="52" t="s">
        <v>2937</v>
      </c>
      <c r="L11" s="53" t="str" cm="1">
        <f t="array" ref="L11:L13">set(D11:D14)</f>
        <v>a</v>
      </c>
      <c r="P11" s="54" t="str" cm="1">
        <f t="array" ref="P11">IF(AND(H11:H13=L11:L13),"PASS","FAIL")</f>
        <v>PASS</v>
      </c>
    </row>
    <row r="12" spans="1:19" x14ac:dyDescent="0.5">
      <c r="A12" s="55"/>
      <c r="B12" s="55"/>
      <c r="D12" s="51" t="s">
        <v>2937</v>
      </c>
      <c r="H12" s="52" t="s">
        <v>2938</v>
      </c>
      <c r="L12" s="53" t="str">
        <v>b</v>
      </c>
    </row>
    <row r="13" spans="1:19" x14ac:dyDescent="0.5">
      <c r="A13" s="55"/>
      <c r="B13" s="55"/>
      <c r="D13" s="51" t="s">
        <v>2938</v>
      </c>
      <c r="H13" s="52" t="s">
        <v>2946</v>
      </c>
      <c r="L13" s="53" t="str">
        <v>c</v>
      </c>
    </row>
    <row r="14" spans="1:19" x14ac:dyDescent="0.5">
      <c r="A14" s="55"/>
      <c r="B14" s="55"/>
      <c r="D14" s="51" t="s">
        <v>2937</v>
      </c>
    </row>
    <row r="16" spans="1:19" x14ac:dyDescent="0.5">
      <c r="A16" s="46">
        <v>3</v>
      </c>
      <c r="B16" s="47" t="s">
        <v>3135</v>
      </c>
      <c r="D16" s="51">
        <v>3</v>
      </c>
      <c r="H16" s="52">
        <v>1</v>
      </c>
      <c r="L16" s="53" cm="1">
        <f t="array" ref="L16:L18">set(D16:D19)</f>
        <v>1</v>
      </c>
      <c r="P16" s="54" t="str" cm="1">
        <f t="array" ref="P16">IF(AND(H16:H18=L16:L18),"PASS","FAIL")</f>
        <v>PASS</v>
      </c>
    </row>
    <row r="17" spans="1:16" x14ac:dyDescent="0.5">
      <c r="A17" s="55"/>
      <c r="B17" s="55"/>
      <c r="D17" s="51"/>
      <c r="H17" s="52">
        <v>2</v>
      </c>
      <c r="L17" s="53">
        <v>2</v>
      </c>
    </row>
    <row r="18" spans="1:16" x14ac:dyDescent="0.5">
      <c r="A18" s="55"/>
      <c r="B18" s="55"/>
      <c r="D18" s="51">
        <v>1</v>
      </c>
      <c r="H18" s="52">
        <v>3</v>
      </c>
      <c r="L18" s="53">
        <v>3</v>
      </c>
    </row>
    <row r="19" spans="1:16" x14ac:dyDescent="0.5">
      <c r="A19" s="55"/>
      <c r="B19" s="55"/>
      <c r="D19" s="51">
        <v>2</v>
      </c>
    </row>
    <row r="21" spans="1:16" x14ac:dyDescent="0.5">
      <c r="A21" s="46">
        <v>4</v>
      </c>
      <c r="B21" s="47" t="s">
        <v>3136</v>
      </c>
      <c r="D21" s="51">
        <v>3</v>
      </c>
      <c r="F21" s="51">
        <v>1</v>
      </c>
      <c r="H21" s="52">
        <v>1</v>
      </c>
      <c r="I21" s="52">
        <v>2</v>
      </c>
      <c r="J21" s="52">
        <v>3</v>
      </c>
      <c r="L21" s="53" cm="1">
        <f t="array" ref="L21:N21">set(D21:D23,F21)</f>
        <v>1</v>
      </c>
      <c r="M21" s="53">
        <v>2</v>
      </c>
      <c r="N21" s="53">
        <v>3</v>
      </c>
      <c r="P21" s="54" t="str" cm="1">
        <f t="array" ref="P21">IF(AND(H21:J21=L21:N21),"PASS","FAIL")</f>
        <v>PASS</v>
      </c>
    </row>
    <row r="22" spans="1:16" x14ac:dyDescent="0.5">
      <c r="A22" s="55"/>
      <c r="B22" s="55"/>
      <c r="D22" s="51">
        <v>1</v>
      </c>
    </row>
    <row r="23" spans="1:16" x14ac:dyDescent="0.5">
      <c r="A23" s="55"/>
      <c r="B23" s="55"/>
      <c r="D23" s="51">
        <v>2</v>
      </c>
    </row>
    <row r="25">
      <c r="A25">
        <v>5</v>
      </c>
      <c r="B25" s="55" t="inlineStr">
        <is>
          <t xml:space="preserve">&gt;255-char value survives (IFERROR/IFNA would blank it)</t>
        </is>
      </c>
      <c r="D25" s="51" t="inlineStr">
        <is>
          <t xml:space="preserve">a</t>
        </is>
      </c>
      <c r="H25" t="inlineStr">
        <is>
          <t xml:space="preserve">a</t>
        </is>
      </c>
      <c r="L25" cm="1">
        <f t="array" ref="L25:L26">set(D25:D26)</f>
        <v>0</v>
      </c>
      <c r="P25" cm="1">
        <f t="array" ref="P25">IF(AND(H25:H26=L25:L26),"PASS","FAIL")</f>
        <v>0</v>
      </c>
    </row>
    <row r="26">
      <c r="D26">
        <f>REPT("z",300)</f>
      </c>
      <c r="H26">
        <f>REPT("z",300)</f>
      </c>
    </row>
  </sheetData>
  <mergeCells count="3">
    <mergeCell ref="I1:R1"/>
    <mergeCell ref="B2:R2"/>
    <mergeCell ref="B1:F1"/>
  </mergeCells>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91F02A-452E-4B2E-81BF-EA7551D66457}">
  <sheetPr codeName="Sheet83"/>
  <dimension ref="A1:S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52" customHeight="1" x14ac:dyDescent="0.5">
      <c r="A1" s="45" t="s">
        <v>0</v>
      </c>
      <c r="B1" s="83" t="str" cm="1">
        <f t="array" aca="1" ref="B1" ca="1">_xlfn.LET(_xlpm.fn, CELL("filename",$A$1), _xlpm.nm, MID(_xlpm.fn, FIND("]", _xlpm.fn) + 1, 255), _xlfn.XLOOKUP(_xlpm.nm &amp; "(*", Lamb!$A$2:$A$1000, Lamb!$A$2:$A$1000, "", 2))</f>
        <v>set_d(a, b, [as_row])</v>
      </c>
      <c r="C1" s="79"/>
      <c r="D1" s="79"/>
      <c r="E1" s="79"/>
      <c r="F1" s="80"/>
      <c r="H1" s="45" t="s">
        <v>2</v>
      </c>
      <c r="I1" s="78" t="str" cm="1">
        <f t="array" aca="1" ref="I1" ca="1">_xlfn.LET(_xlpm.fn, CELL("filename",$A$1), _xlpm.nm, MID(_xlpm.fn, FIND("]", _xlpm.fn) + 1, 255), _xlfn.XLOOKUP(_xlpm.nm &amp; "(*", Lamb!$A$2:$A$1000, Lamb!$D$2:$D$1000, "", 2))</f>
        <v>Set difference of two ranges (a minus b).
Arguments:
  a        - first range/set.
  b        - second range/set.
  [as_row] - 1 for a horizontal result; default 0 vertical.
Returns:
  The cleaned, sorted values that appear in a but not in b.
Example:
  set_d(A1:A5, B1:B5)</v>
      </c>
      <c r="J1" s="79"/>
      <c r="K1" s="79"/>
      <c r="L1" s="79"/>
      <c r="M1" s="79"/>
      <c r="N1" s="79"/>
      <c r="O1" s="79"/>
      <c r="P1" s="79"/>
      <c r="Q1" s="79"/>
      <c r="R1" s="80"/>
      <c r="S1" s="77" t="str">
        <f>HYPERLINK("#lambda_tests!A1","&lt;- test summary")</f>
        <v>&lt;- test summary</v>
      </c>
    </row>
    <row r="2" spans="1:19" ht="231" customHeight="1" x14ac:dyDescent="0.5">
      <c r="A2" s="45" t="s">
        <v>4</v>
      </c>
      <c r="B2" s="81" t="str" cm="1">
        <f t="array" aca="1" ref="B2" ca="1">_xlfn.LET(_xlpm.fn, CELL("filename",$A$1), _xlpm.nm, MID(_xlpm.fn, FIND("]", _xlpm.fn) + 1, 255), _xlfn.XLOOKUP(_xlpm.nm &amp; "(*", Lamb!$A$2:$A$1000, Lamb!$C$2:$C$1000, "", 2))</f>
        <v>=LAMBDA(val_a, val_b, [as_row],
   IFERROR(
      LET(
         list_a, set(val_a),
         list_b, set(val_b),
         res, FILTER(list_a, ISNA(XMATCH(list_a, list_b))),
         IF(IF(ISOMITTED(as_row), 0, as_row), TOROW(res), res)
      ),
      ""
   )
)</v>
      </c>
      <c r="C2" s="82"/>
      <c r="D2" s="82"/>
      <c r="E2" s="82"/>
      <c r="F2" s="82"/>
      <c r="G2" s="82"/>
      <c r="H2" s="82"/>
      <c r="I2" s="82"/>
      <c r="J2" s="82"/>
      <c r="K2" s="82"/>
      <c r="L2" s="82"/>
      <c r="M2" s="82"/>
      <c r="N2" s="82"/>
      <c r="O2" s="82"/>
      <c r="P2" s="82"/>
      <c r="Q2" s="82"/>
      <c r="R2" s="82"/>
    </row>
    <row r="4" spans="1:19" x14ac:dyDescent="0.5">
      <c r="A4" s="45" t="s">
        <v>3137</v>
      </c>
      <c r="L4" s="45">
        <f>COUNTIF(L6:L60,"PASS")&amp;" / 3 PASS"</f>
      </c>
    </row>
    <row r="5" spans="1:19" x14ac:dyDescent="0.5">
      <c r="A5" s="45" t="s">
        <v>7</v>
      </c>
      <c r="B5" s="45" t="s">
        <v>8</v>
      </c>
      <c r="D5" s="45" t="s">
        <v>9</v>
      </c>
      <c r="H5" s="48" t="s">
        <v>10</v>
      </c>
      <c r="J5" s="49" t="s">
        <v>11</v>
      </c>
      <c r="L5" s="50" t="s">
        <v>12</v>
      </c>
    </row>
    <row r="6" spans="1:19" x14ac:dyDescent="0.5">
      <c r="A6" s="46">
        <v>1</v>
      </c>
      <c r="B6" s="47" t="s">
        <v>3138</v>
      </c>
      <c r="D6" s="51">
        <v>1</v>
      </c>
      <c r="F6" s="51">
        <v>2</v>
      </c>
      <c r="H6" s="52">
        <v>1</v>
      </c>
      <c r="J6" s="53" cm="1">
        <f t="array" ref="J6:J7">set_d(D6:D8,F6)</f>
        <v>1</v>
      </c>
      <c r="L6" s="54" t="str" cm="1">
        <f t="array" ref="L6">IF(AND(H6:H7=J6:J7),"PASS","FAIL")</f>
        <v>PASS</v>
      </c>
    </row>
    <row r="7" spans="1:19" x14ac:dyDescent="0.5">
      <c r="A7" s="55"/>
      <c r="B7" s="55"/>
      <c r="D7" s="51">
        <v>2</v>
      </c>
      <c r="H7" s="52">
        <v>3</v>
      </c>
      <c r="J7" s="53">
        <v>3</v>
      </c>
    </row>
    <row r="8" spans="1:19" x14ac:dyDescent="0.5">
      <c r="A8" s="55"/>
      <c r="B8" s="55"/>
      <c r="D8" s="51">
        <v>3</v>
      </c>
    </row>
    <row r="10" spans="1:19" x14ac:dyDescent="0.5">
      <c r="A10" s="46">
        <v>2</v>
      </c>
      <c r="B10" s="47" t="s">
        <v>3139</v>
      </c>
      <c r="D10" s="51" t="s">
        <v>2937</v>
      </c>
      <c r="F10" s="51" t="s">
        <v>2938</v>
      </c>
      <c r="H10" s="52" t="s">
        <v>2937</v>
      </c>
      <c r="J10" s="53" t="str" cm="1">
        <f t="array" ref="J10:J11">set_d(D10:D13,F10:F11)</f>
        <v>a</v>
      </c>
      <c r="L10" s="54" t="str" cm="1">
        <f t="array" ref="L10">IF(AND(H10:H11=J10:J11),"PASS","FAIL")</f>
        <v>PASS</v>
      </c>
    </row>
    <row r="11" spans="1:19" x14ac:dyDescent="0.5">
      <c r="A11" s="55"/>
      <c r="B11" s="55"/>
      <c r="D11" s="51" t="s">
        <v>2938</v>
      </c>
      <c r="F11" s="51" t="s">
        <v>2939</v>
      </c>
      <c r="H11" s="52" t="s">
        <v>2946</v>
      </c>
      <c r="J11" s="53" t="str">
        <v>c</v>
      </c>
    </row>
    <row r="12" spans="1:19" x14ac:dyDescent="0.5">
      <c r="A12" s="55"/>
      <c r="B12" s="55"/>
      <c r="D12" s="51" t="s">
        <v>2946</v>
      </c>
    </row>
    <row r="13" spans="1:19" x14ac:dyDescent="0.5">
      <c r="A13" s="55"/>
      <c r="B13" s="55"/>
      <c r="D13" s="51" t="s">
        <v>2939</v>
      </c>
    </row>
    <row r="15">
      <c r="A15">
        <v>3</v>
      </c>
      <c r="B15" s="55" t="inlineStr">
        <is>
          <t xml:space="preserve">&gt;255-char value survives (IFERROR/IFNA would blank it)</t>
        </is>
      </c>
      <c r="D15" s="51">
        <f>REPT("z",300)</f>
      </c>
      <c r="F15" t="inlineStr">
        <is>
          <t xml:space="preserve">b</t>
        </is>
      </c>
      <c r="H15">
        <f>REPT("z",300)</f>
      </c>
      <c r="J15" cm="1">
        <f t="array" ref="J15">set_d(D15:D16,F15)</f>
        <v>0</v>
      </c>
      <c r="L15" cm="1">
        <f t="array" ref="L15">IF(AND(H15=J15),"PASS","FAIL")</f>
        <v>0</v>
      </c>
    </row>
    <row r="16">
      <c r="D16" t="inlineStr">
        <is>
          <t xml:space="preserve">b</t>
        </is>
      </c>
    </row>
  </sheetData>
  <mergeCells count="3">
    <mergeCell ref="I1:R1"/>
    <mergeCell ref="B2:R2"/>
    <mergeCell ref="B1:F1"/>
  </mergeCells>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3E69E9-94CB-4A55-AD90-0D8D934F281E}">
  <sheetPr codeName="Sheet84"/>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52" customHeight="1" x14ac:dyDescent="0.5">
      <c r="A1" s="45" t="s">
        <v>0</v>
      </c>
      <c r="B1" s="83" t="str" cm="1">
        <f t="array" aca="1" ref="B1" ca="1">_xlfn.LET(_xlpm.fn, CELL("filename",$A$1), _xlpm.nm, MID(_xlpm.fn, FIND("]", _xlpm.fn) + 1, 255), _xlfn.XLOOKUP(_xlpm.nm &amp; "(*", Lamb!$A$2:$A$1000, Lamb!$A$2:$A$1000, "", 2))</f>
        <v>set_i(a, b, [as_row])</v>
      </c>
      <c r="C1" s="79"/>
      <c r="D1" s="79"/>
      <c r="E1" s="79"/>
      <c r="F1" s="80"/>
      <c r="H1" s="45" t="s">
        <v>2</v>
      </c>
      <c r="I1" s="78" t="str" cm="1">
        <f t="array" aca="1" ref="I1" ca="1">_xlfn.LET(_xlpm.fn, CELL("filename",$A$1), _xlpm.nm, MID(_xlpm.fn, FIND("]", _xlpm.fn) + 1, 255), _xlfn.XLOOKUP(_xlpm.nm &amp; "(*", Lamb!$A$2:$A$1000, Lamb!$D$2:$D$1000, "", 2))</f>
        <v>Set intersection of two ranges.
Arguments:
  a        - first range/set.
  b        - second range/set.
  [as_row] - 1 for a horizontal result; default 0 vertical.
Returns:
  The cleaned, sorted values common to both a and b.
Example:
  set_i(A1:A5, B1:B5)</v>
      </c>
      <c r="J1" s="79"/>
      <c r="K1" s="79"/>
      <c r="L1" s="79"/>
      <c r="M1" s="79"/>
      <c r="N1" s="79"/>
      <c r="O1" s="79"/>
      <c r="P1" s="79"/>
      <c r="Q1" s="79"/>
      <c r="R1" s="80"/>
      <c r="S1" s="77" t="str">
        <f>HYPERLINK("#lambda_tests!A1","&lt;- test summary")</f>
        <v>&lt;- test summary</v>
      </c>
    </row>
    <row r="2" spans="1:19" ht="231" customHeight="1" x14ac:dyDescent="0.5">
      <c r="A2" s="45" t="s">
        <v>4</v>
      </c>
      <c r="B2" s="81" t="str" cm="1">
        <f t="array" aca="1" ref="B2" ca="1">_xlfn.LET(_xlpm.fn, CELL("filename",$A$1), _xlpm.nm, MID(_xlpm.fn, FIND("]", _xlpm.fn) + 1, 255), _xlfn.XLOOKUP(_xlpm.nm &amp; "(*", Lamb!$A$2:$A$1000, Lamb!$C$2:$C$1000, "", 2))</f>
        <v>=LAMBDA(val_a, val_b, [as_row],
   IFERROR(
      LET(
         list_a, set(val_a),
         list_b, set(val_b),
         res, FILTER(list_a, ISNUMBER(XMATCH(list_a, list_b))),
         IF(IF(ISOMITTED(as_row), 0, as_row), TOROW(res), res)
      ),
      ""
   )
)</v>
      </c>
      <c r="C2" s="82"/>
      <c r="D2" s="82"/>
      <c r="E2" s="82"/>
      <c r="F2" s="82"/>
      <c r="G2" s="82"/>
      <c r="H2" s="82"/>
      <c r="I2" s="82"/>
      <c r="J2" s="82"/>
      <c r="K2" s="82"/>
      <c r="L2" s="82"/>
      <c r="M2" s="82"/>
      <c r="N2" s="82"/>
      <c r="O2" s="82"/>
      <c r="P2" s="82"/>
      <c r="Q2" s="82"/>
      <c r="R2" s="82"/>
    </row>
    <row r="4" spans="1:19" x14ac:dyDescent="0.5">
      <c r="A4" s="45" t="s">
        <v>3140</v>
      </c>
      <c r="L4" s="45">
        <f>COUNTIF(L6:L60,"PASS")&amp;" / 4 PASS"</f>
      </c>
    </row>
    <row r="5" spans="1:19" x14ac:dyDescent="0.5">
      <c r="A5" s="45" t="s">
        <v>7</v>
      </c>
      <c r="B5" s="45" t="s">
        <v>8</v>
      </c>
      <c r="D5" s="45" t="s">
        <v>9</v>
      </c>
      <c r="H5" s="48" t="s">
        <v>10</v>
      </c>
      <c r="J5" s="49" t="s">
        <v>11</v>
      </c>
      <c r="L5" s="50" t="s">
        <v>12</v>
      </c>
    </row>
    <row r="6" spans="1:19" x14ac:dyDescent="0.5">
      <c r="A6" s="46">
        <v>1</v>
      </c>
      <c r="B6" s="47" t="s">
        <v>3141</v>
      </c>
      <c r="D6" s="51">
        <v>1</v>
      </c>
      <c r="F6" s="51">
        <v>2</v>
      </c>
      <c r="H6" s="52">
        <v>2</v>
      </c>
      <c r="J6" s="53" cm="1">
        <f t="array" ref="J6:J7">set_i(D6:D8,F6:F8)</f>
        <v>2</v>
      </c>
      <c r="L6" s="54" t="str" cm="1">
        <f t="array" ref="L6">IF(AND(H6:H7=J6:J7),"PASS","FAIL")</f>
        <v>PASS</v>
      </c>
    </row>
    <row r="7" spans="1:19" x14ac:dyDescent="0.5">
      <c r="A7" s="55"/>
      <c r="B7" s="55"/>
      <c r="D7" s="51">
        <v>2</v>
      </c>
      <c r="F7" s="51">
        <v>3</v>
      </c>
      <c r="H7" s="52">
        <v>3</v>
      </c>
      <c r="J7" s="53">
        <v>3</v>
      </c>
    </row>
    <row r="8" spans="1:19" x14ac:dyDescent="0.5">
      <c r="A8" s="55"/>
      <c r="B8" s="55"/>
      <c r="D8" s="51">
        <v>3</v>
      </c>
      <c r="F8" s="51">
        <v>4</v>
      </c>
    </row>
    <row r="10" spans="1:19" x14ac:dyDescent="0.5">
      <c r="A10" s="46">
        <v>2</v>
      </c>
      <c r="B10" s="47" t="s">
        <v>3142</v>
      </c>
      <c r="D10" s="51" t="s">
        <v>2937</v>
      </c>
      <c r="F10" s="51" t="s">
        <v>2938</v>
      </c>
      <c r="H10" s="52" t="s">
        <v>2938</v>
      </c>
      <c r="J10" s="53" t="str" cm="1">
        <f t="array" ref="J10:J11">set_i(D10:D12,F10:F11)</f>
        <v>b</v>
      </c>
      <c r="L10" s="54" t="str" cm="1">
        <f t="array" ref="L10">IF(AND(H10:H11=J10:J11),"PASS","FAIL")</f>
        <v>PASS</v>
      </c>
    </row>
    <row r="11" spans="1:19" x14ac:dyDescent="0.5">
      <c r="A11" s="55"/>
      <c r="B11" s="55"/>
      <c r="D11" s="51" t="s">
        <v>2938</v>
      </c>
      <c r="F11" s="51" t="s">
        <v>2946</v>
      </c>
      <c r="H11" s="52" t="s">
        <v>2946</v>
      </c>
      <c r="J11" s="53" t="str">
        <v>c</v>
      </c>
    </row>
    <row r="12" spans="1:19" x14ac:dyDescent="0.5">
      <c r="A12" s="55"/>
      <c r="B12" s="55"/>
      <c r="D12" s="51" t="s">
        <v>2946</v>
      </c>
    </row>
    <row r="14" spans="1:19" x14ac:dyDescent="0.5">
      <c r="A14" s="46">
        <v>3</v>
      </c>
      <c r="B14" s="47" t="s">
        <v>3143</v>
      </c>
      <c r="D14" s="51">
        <v>1</v>
      </c>
      <c r="F14" s="51">
        <v>3</v>
      </c>
      <c r="H14" s="52"/>
      <c r="J14" s="53" t="str" cm="1">
        <f t="array" ref="J14">IFERROR(set_i(D14:D15,F14:F15),"")</f>
        <v/>
      </c>
      <c r="L14" s="54" t="str">
        <f>IF(J14=H14,"PASS","FAIL")</f>
        <v>PASS</v>
      </c>
    </row>
    <row r="15" spans="1:19" x14ac:dyDescent="0.5">
      <c r="A15" s="55"/>
      <c r="B15" s="55"/>
      <c r="D15" s="51">
        <v>2</v>
      </c>
      <c r="F15" s="51">
        <v>4</v>
      </c>
    </row>
    <row r="17">
      <c r="A17">
        <v>4</v>
      </c>
      <c r="B17" s="55" t="inlineStr">
        <is>
          <t xml:space="preserve">&gt;255-char value survives (IFERROR/IFNA would blank it)</t>
        </is>
      </c>
      <c r="D17" s="51">
        <f>REPT("z",300)</f>
      </c>
      <c r="F17" s="51">
        <f>REPT("z",300)</f>
      </c>
      <c r="H17">
        <f>REPT("z",300)</f>
      </c>
      <c r="J17" cm="1">
        <f t="array" ref="J17">set_i(D17:D18,F17)</f>
        <v>0</v>
      </c>
      <c r="L17" cm="1">
        <f t="array" ref="L17">IF(AND(H17=J17),"PASS","FAIL")</f>
        <v>0</v>
      </c>
    </row>
    <row r="18">
      <c r="D18" t="inlineStr">
        <is>
          <t xml:space="preserve">b</t>
        </is>
      </c>
    </row>
  </sheetData>
  <mergeCells count="3">
    <mergeCell ref="I1:R1"/>
    <mergeCell ref="B2:R2"/>
    <mergeCell ref="B1:F1"/>
  </mergeCells>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B60220-02F0-4E8F-BEE9-06F145294C7B}">
  <sheetPr codeName="Sheet85"/>
  <dimension ref="A1:S16"/>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2" width="11" customWidth="1"/>
    <col min="13" max="13" width="3" customWidth="1"/>
    <col min="14" max="16" width="11" customWidth="1"/>
    <col min="17" max="17" width="3" customWidth="1"/>
    <col min="18" max="18" width="9" customWidth="1"/>
  </cols>
  <sheetData>
    <row r="1" spans="1:19" ht="252" customHeight="1" x14ac:dyDescent="0.5">
      <c r="A1" s="45" t="s">
        <v>0</v>
      </c>
      <c r="B1" s="83" t="str" cm="1">
        <f t="array" aca="1" ref="B1" ca="1">_xlfn.LET(_xlpm.fn, CELL("filename",$A$1), _xlpm.nm, MID(_xlpm.fn, FIND("]", _xlpm.fn) + 1, 255), _xlfn.XLOOKUP(_xlpm.nm &amp; "(*", Lamb!$A$2:$A$1000, Lamb!$A$2:$A$1000, "", 2))</f>
        <v>set_u(a, b, [as_row])</v>
      </c>
      <c r="C1" s="79"/>
      <c r="D1" s="79"/>
      <c r="E1" s="79"/>
      <c r="F1" s="80"/>
      <c r="H1" s="45" t="s">
        <v>2</v>
      </c>
      <c r="I1" s="78" t="str" cm="1">
        <f t="array" aca="1" ref="I1" ca="1">_xlfn.LET(_xlpm.fn, CELL("filename",$A$1), _xlpm.nm, MID(_xlpm.fn, FIND("]", _xlpm.fn) + 1, 255), _xlfn.XLOOKUP(_xlpm.nm &amp; "(*", Lamb!$A$2:$A$1000, Lamb!$D$2:$D$1000, "", 2))</f>
        <v>Set union of two ranges.
Arguments:
  a        - first range/set.
  b        - second range/set.
  [as_row] - 1 for a horizontal result; default 0 vertical.
Returns:
  The cleaned, sorted values found in either a or b.
Example:
  set_u(A1:A5, B1:B5)</v>
      </c>
      <c r="J1" s="79"/>
      <c r="K1" s="79"/>
      <c r="L1" s="79"/>
      <c r="M1" s="79"/>
      <c r="N1" s="79"/>
      <c r="O1" s="79"/>
      <c r="P1" s="79"/>
      <c r="Q1" s="79"/>
      <c r="R1" s="80"/>
      <c r="S1" s="77" t="str">
        <f>HYPERLINK("#lambda_tests!A1","&lt;- test summary")</f>
        <v>&lt;- test summary</v>
      </c>
    </row>
    <row r="2" spans="1:19" ht="63" customHeight="1" x14ac:dyDescent="0.5">
      <c r="A2" s="45" t="s">
        <v>4</v>
      </c>
      <c r="B2" s="81" t="str" cm="1">
        <f t="array" aca="1" ref="B2" ca="1">_xlfn.LET(_xlpm.fn, CELL("filename",$A$1), _xlpm.nm, MID(_xlpm.fn, FIND("]", _xlpm.fn) + 1, 255), _xlfn.XLOOKUP(_xlpm.nm &amp; "(*", Lamb!$A$2:$A$1000, Lamb!$C$2:$C$1000, "", 2))</f>
        <v>=LAMBDA(val_a, val_b, [as_row],
   set(VSTACK(val_a, val_b), IF(ISOMITTED(as_row), 0, as_row))
)</v>
      </c>
      <c r="C2" s="82"/>
      <c r="D2" s="82"/>
      <c r="E2" s="82"/>
      <c r="F2" s="82"/>
      <c r="G2" s="82"/>
      <c r="H2" s="82"/>
      <c r="I2" s="82"/>
      <c r="J2" s="82"/>
      <c r="K2" s="82"/>
      <c r="L2" s="82"/>
      <c r="M2" s="82"/>
      <c r="N2" s="82"/>
      <c r="O2" s="82"/>
      <c r="P2" s="82"/>
      <c r="Q2" s="82"/>
      <c r="R2" s="82"/>
    </row>
    <row r="4" spans="1:19" x14ac:dyDescent="0.5">
      <c r="A4" s="45" t="s">
        <v>3144</v>
      </c>
      <c r="R4" s="45" t="str">
        <f>COUNTIF(R6:R18,"PASS")&amp;" / 3 PASS"</f>
        <v>3 / 3 PASS</v>
      </c>
    </row>
    <row r="5" spans="1:19" x14ac:dyDescent="0.5">
      <c r="A5" s="45" t="s">
        <v>7</v>
      </c>
      <c r="B5" s="45" t="s">
        <v>8</v>
      </c>
      <c r="D5" s="45" t="s">
        <v>9</v>
      </c>
      <c r="J5" s="48" t="s">
        <v>10</v>
      </c>
      <c r="N5" s="49" t="s">
        <v>11</v>
      </c>
      <c r="R5" s="50" t="s">
        <v>12</v>
      </c>
    </row>
    <row r="6" spans="1:19" x14ac:dyDescent="0.5">
      <c r="A6" s="46">
        <v>1</v>
      </c>
      <c r="B6" s="47" t="s">
        <v>3145</v>
      </c>
      <c r="D6" s="51">
        <v>1</v>
      </c>
      <c r="F6" s="51">
        <v>2</v>
      </c>
      <c r="J6" s="52">
        <v>1</v>
      </c>
      <c r="N6" s="53" cm="1">
        <f t="array" ref="N6:N8">set_u(D6:D7,F6:F7)</f>
        <v>1</v>
      </c>
      <c r="R6" s="54" t="str" cm="1">
        <f t="array" ref="R6">IF(AND(J6:J8=N6:N8),"PASS","FAIL")</f>
        <v>PASS</v>
      </c>
    </row>
    <row r="7" spans="1:19" x14ac:dyDescent="0.5">
      <c r="A7" s="55"/>
      <c r="B7" s="55"/>
      <c r="D7" s="51">
        <v>2</v>
      </c>
      <c r="F7" s="51">
        <v>3</v>
      </c>
      <c r="J7" s="52">
        <v>2</v>
      </c>
      <c r="N7" s="53">
        <v>2</v>
      </c>
    </row>
    <row r="8" spans="1:19" x14ac:dyDescent="0.5">
      <c r="A8" s="55"/>
      <c r="B8" s="55"/>
      <c r="J8" s="52">
        <v>3</v>
      </c>
      <c r="N8" s="53">
        <v>3</v>
      </c>
    </row>
    <row r="10" spans="1:19" x14ac:dyDescent="0.5">
      <c r="A10" s="46">
        <v>2</v>
      </c>
      <c r="B10" s="47" t="s">
        <v>3146</v>
      </c>
      <c r="D10" s="51" t="s">
        <v>2937</v>
      </c>
      <c r="F10" s="51" t="s">
        <v>2938</v>
      </c>
      <c r="J10" s="52" t="s">
        <v>2937</v>
      </c>
      <c r="N10" s="53" t="str" cm="1">
        <f t="array" ref="N10:N13">set_u(D10:D11,F10:F12)</f>
        <v>a</v>
      </c>
      <c r="R10" s="54" t="str" cm="1">
        <f t="array" ref="R10">IF(AND(J10:J13=N10:N13),"PASS","FAIL")</f>
        <v>PASS</v>
      </c>
    </row>
    <row r="11" spans="1:19" x14ac:dyDescent="0.5">
      <c r="A11" s="55"/>
      <c r="B11" s="55"/>
      <c r="D11" s="51" t="s">
        <v>2938</v>
      </c>
      <c r="F11" s="51" t="s">
        <v>2946</v>
      </c>
      <c r="J11" s="52" t="s">
        <v>2938</v>
      </c>
      <c r="N11" s="53" t="str">
        <v>b</v>
      </c>
    </row>
    <row r="12" spans="1:19" x14ac:dyDescent="0.5">
      <c r="A12" s="55"/>
      <c r="B12" s="55"/>
      <c r="F12" s="51" t="s">
        <v>2939</v>
      </c>
      <c r="J12" s="52" t="s">
        <v>2946</v>
      </c>
      <c r="N12" s="53" t="str">
        <v>c</v>
      </c>
    </row>
    <row r="13" spans="1:19" x14ac:dyDescent="0.5">
      <c r="A13" s="55"/>
      <c r="B13" s="55"/>
      <c r="J13" s="52" t="s">
        <v>2939</v>
      </c>
      <c r="N13" s="53" t="str">
        <v>d</v>
      </c>
    </row>
    <row r="15" spans="1:19" x14ac:dyDescent="0.5">
      <c r="A15" s="46">
        <v>3</v>
      </c>
      <c r="B15" s="47" t="s">
        <v>3147</v>
      </c>
      <c r="D15" s="51">
        <v>1</v>
      </c>
      <c r="F15" s="51">
        <v>2</v>
      </c>
      <c r="H15" s="51">
        <v>1</v>
      </c>
      <c r="J15" s="52">
        <v>1</v>
      </c>
      <c r="K15" s="52">
        <v>2</v>
      </c>
      <c r="L15" s="52">
        <v>3</v>
      </c>
      <c r="N15" s="53" cm="1">
        <f t="array" ref="N15:P15">set_u(D15:D16,F15,H15)</f>
        <v>1</v>
      </c>
      <c r="O15" s="53">
        <v>2</v>
      </c>
      <c r="P15" s="53">
        <v>3</v>
      </c>
      <c r="R15" s="54" t="str" cm="1">
        <f t="array" ref="R15">IF(AND(J15:L15=N15:P15),"PASS","FAIL")</f>
        <v>PASS</v>
      </c>
    </row>
    <row r="16" spans="1:19" x14ac:dyDescent="0.5">
      <c r="A16" s="55"/>
      <c r="B16" s="55"/>
      <c r="D16" s="51">
        <v>3</v>
      </c>
    </row>
  </sheetData>
  <mergeCells count="3">
    <mergeCell ref="I1:R1"/>
    <mergeCell ref="B2:R2"/>
    <mergeCell ref="B1:F1"/>
  </mergeCells>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5ABFC-A67F-4618-BF44-9B8EC161926B}">
  <sheetPr codeName="Sheet86"/>
  <dimension ref="A1:S29"/>
  <sheetViews>
    <sheetView topLeftCell="C9" workbookViewId="0">
      <selection activeCell="A7" sqref="A7:C9"/>
    </sheetView>
  </sheetViews>
  <sheetFormatPr defaultRowHeight="21" x14ac:dyDescent="0.5"/>
  <cols>
    <col min="1" max="1" width="4" customWidth="1"/>
    <col min="2" max="2" width="30" customWidth="1"/>
    <col min="4" max="8" width="11" customWidth="1"/>
    <col min="9" max="9" width="3" customWidth="1"/>
    <col min="10" max="10" width="11" customWidth="1"/>
    <col min="11" max="11" width="3" customWidth="1"/>
    <col min="12" max="13" width="11" customWidth="1"/>
    <col min="14" max="14" width="3" customWidth="1"/>
    <col min="15" max="16" width="11" customWidth="1"/>
    <col min="17" max="17" width="3" customWidth="1"/>
    <col min="18" max="18" width="9" customWidth="1"/>
  </cols>
  <sheetData>
    <row r="1" spans="1:19" ht="273" customHeight="1" x14ac:dyDescent="0.5">
      <c r="A1" s="45" t="s">
        <v>0</v>
      </c>
      <c r="B1" s="83" t="str" cm="1">
        <f t="array" aca="1" ref="B1" ca="1">_xlfn.LET(_xlpm.fn, CELL("filename",$A$1), _xlpm.nm, MID(_xlpm.fn, FIND("]", _xlpm.fn) + 1, 255), _xlfn.XLOOKUP(_xlpm.nm &amp; "(*", Lamb!$A$2:$A$1000, Lamb!$A$2:$A$1000, "", 2))</f>
        <v>shift_arr(arr, dir, [fill], [steps])</v>
      </c>
      <c r="C1" s="79"/>
      <c r="D1" s="79"/>
      <c r="E1" s="79"/>
      <c r="F1" s="80"/>
      <c r="H1" s="45" t="s">
        <v>2</v>
      </c>
      <c r="I1" s="78" t="str" cm="1">
        <f t="array" aca="1" ref="I1" ca="1">_xlfn.LET(_xlpm.fn, CELL("filename",$A$1), _xlpm.nm, MID(_xlpm.fn, FIND("]", _xlpm.fn) + 1, 255), _xlfn.XLOOKUP(_xlpm.nm &amp; "(*", Lamb!$A$2:$A$1000, Lamb!$D$2:$D$1000, "", 2))</f>
        <v>Shifts the contents of an array in a direction.
Arguments:
  arr     - the array to shift (1D or 2D).
  dir     - direction: a letter code (U D L R UL UR DL DR), a standard arrow (↑↓←→↖↗↙↘), or the numeric equivalent (1, -1000000, ...).
  [fill]  - value to place in vacated cells; if omitted, contents wrap around.
  [steps] - number of cells to shift (default 1).
Returns:
  The shifted array, same shape as arr, or "" if dir is not a recognized direction.
Note: the argument order is (arr, dir, [fill], [steps]) - fill comes before steps.
Example:
  shift_arr(grid, "R")            wrap one cell right
  shift_arr(grid, "R", 0, 2)      shift right 2, filling vacated cells with 0</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dir, [fill], [steps], LET(
   s, IF(ISOMITTED(steps), 1, steps),
   wrap_mode, IF(ISOMITTED(fill), TRUE, fill = "wrap"),
   num_rows, ROWS(arr),
   num_cols, COLUMNS(arr),
   dir_norm, z_dir_to_arrow(dir),
   dir_list, {"U", "D", "L", "R", "UL", "UR", "DL", "DR", "↑", "↓", "←", "→", "↖", "↗", "↙", "↘", "⇑", "⇓", "⇐", "⇒", "⇖", "⇗", "⇙", "⇘"},
   delta_r, CHOOSE(
      XMATCH(dir_norm, dir_list),
      -1,
      1,
      0,
      0,
      -1,
      -1,
      1,
      1,
      -1,
      1,
      0,
      0,
      -1,
      -1,
      1,
      1,
      -1,
      1,
      0,
      0,
      -1,
      -1,
      1,
      1
   ),
   delta_c, CHOOSE(
      XMATCH(dir_norm, dir_list),
      0,
      0,
      -1,
      1,
      -1,
      1,
      -1,
      1,
      0,
      0,
      -1,
      1,
      -1,
      1,
      -1,
      1,
      0,
      0,
      -1,
      1,
      -1,
      1,
      -1,
      1
   ),
   d_row, delta_r * s,
   d_col, delta_c * s,
   result, IF(
      wrap_mode,
      MAKEARRAY(
         num_rows,
         num_cols,
         LAMBDA(i, j,
            INDEX(
               arr,
               MOD(i - 1 - d_row + num_rows, num_rows) + 1,
               MOD(j - 1 - d_col + num_cols, num_cols) + 1
            )
         )
      ),
      MAKEARRAY(
         num_rows,
         num_cols,
         LAMBDA(i, j, LET(
            src_r, i - d_row,
            src_c, j - d_col,
            IF(
               AND(src_r &gt;= 1, src_r &lt;= num_rows, src_c &gt;= 1, src_c &lt;= num_cols),
               INDEX(arr, src_r, src_c),
               fill
            )
         ))
      )
   ),
   IFNA(result, "")
))</v>
      </c>
      <c r="C2" s="82"/>
      <c r="D2" s="82"/>
      <c r="E2" s="82"/>
      <c r="F2" s="82"/>
      <c r="G2" s="82"/>
      <c r="H2" s="82"/>
      <c r="I2" s="82"/>
      <c r="J2" s="82"/>
      <c r="K2" s="82"/>
      <c r="L2" s="82"/>
      <c r="M2" s="82"/>
      <c r="N2" s="82"/>
      <c r="O2" s="82"/>
      <c r="P2" s="82"/>
      <c r="Q2" s="82"/>
      <c r="R2" s="82"/>
    </row>
    <row r="4" spans="1:19" x14ac:dyDescent="0.5">
      <c r="A4" s="45" t="s">
        <v>3148</v>
      </c>
      <c r="R4" s="45">
        <f>COUNTIF(R6:R60,"PASS")&amp;" / 8 PASS"</f>
      </c>
    </row>
    <row r="5" spans="1:19" x14ac:dyDescent="0.5">
      <c r="A5" s="45" t="s">
        <v>7</v>
      </c>
      <c r="B5" s="45" t="s">
        <v>8</v>
      </c>
      <c r="D5" s="45" t="s">
        <v>9</v>
      </c>
      <c r="L5" s="48" t="s">
        <v>10</v>
      </c>
      <c r="O5" s="49" t="s">
        <v>11</v>
      </c>
      <c r="R5" s="50" t="s">
        <v>12</v>
      </c>
    </row>
    <row r="6" spans="1:19" x14ac:dyDescent="0.5">
      <c r="A6" s="46">
        <v>1</v>
      </c>
      <c r="B6" s="47" t="s">
        <v>3149</v>
      </c>
      <c r="D6" s="51">
        <v>1</v>
      </c>
      <c r="F6" s="51" t="s">
        <v>157</v>
      </c>
      <c r="L6" s="52">
        <v>3</v>
      </c>
      <c r="O6" s="53" cm="1">
        <f t="array" ref="O6:O8">shift_arr(D6:D8,F6)</f>
        <v>3</v>
      </c>
      <c r="R6" s="54" t="str" cm="1">
        <f t="array" ref="R6">IF(AND(L6:L8=O6:O8),"PASS","FAIL")</f>
        <v>PASS</v>
      </c>
    </row>
    <row r="7" spans="1:19" x14ac:dyDescent="0.5">
      <c r="A7" s="55"/>
      <c r="B7" s="55"/>
      <c r="D7" s="51">
        <v>2</v>
      </c>
      <c r="L7" s="52">
        <v>1</v>
      </c>
      <c r="O7" s="53">
        <v>1</v>
      </c>
    </row>
    <row r="8" spans="1:19" x14ac:dyDescent="0.5">
      <c r="A8" s="55"/>
      <c r="B8" s="55"/>
      <c r="D8" s="51">
        <v>3</v>
      </c>
      <c r="L8" s="52">
        <v>2</v>
      </c>
      <c r="O8" s="53">
        <v>2</v>
      </c>
    </row>
    <row r="10" spans="1:19" x14ac:dyDescent="0.5">
      <c r="A10" s="46">
        <v>2</v>
      </c>
      <c r="B10" s="47" t="s">
        <v>3150</v>
      </c>
      <c r="D10" s="51">
        <v>1</v>
      </c>
      <c r="F10" s="51" t="s">
        <v>159</v>
      </c>
      <c r="L10" s="52">
        <v>2</v>
      </c>
      <c r="O10" s="53" cm="1">
        <f t="array" ref="O10:O12">shift_arr(D10:D12,F10)</f>
        <v>2</v>
      </c>
      <c r="R10" s="54" t="str" cm="1">
        <f t="array" ref="R10">IF(AND(L10:L12=O10:O12),"PASS","FAIL")</f>
        <v>PASS</v>
      </c>
    </row>
    <row r="11" spans="1:19" x14ac:dyDescent="0.5">
      <c r="A11" s="55"/>
      <c r="B11" s="55"/>
      <c r="D11" s="51">
        <v>2</v>
      </c>
      <c r="L11" s="52">
        <v>3</v>
      </c>
      <c r="O11" s="53">
        <v>3</v>
      </c>
    </row>
    <row r="12" spans="1:19" x14ac:dyDescent="0.5">
      <c r="A12" s="55"/>
      <c r="B12" s="55"/>
      <c r="D12" s="51">
        <v>3</v>
      </c>
      <c r="L12" s="52">
        <v>1</v>
      </c>
      <c r="O12" s="53">
        <v>1</v>
      </c>
    </row>
    <row r="14" spans="1:19" x14ac:dyDescent="0.5">
      <c r="A14" s="46">
        <v>3</v>
      </c>
      <c r="B14" s="47" t="s">
        <v>3613</v>
      </c>
      <c r="D14" s="51">
        <v>1</v>
      </c>
      <c r="F14" s="51" t="s">
        <v>157</v>
      </c>
      <c r="H14" s="51">
        <v>0</v>
      </c>
      <c r="J14" s="51">
        <v>1</v>
      </c>
      <c r="L14" s="52">
        <v>0</v>
      </c>
      <c r="O14" s="53" cm="1">
        <f t="array" ref="O14:O16">shift_arr(D14:D16,F14,H14,J14)</f>
        <v>0</v>
      </c>
      <c r="R14" s="54" t="str" cm="1">
        <f t="array" ref="R14">IF(AND(L14:L16=O14:O16),"PASS","FAIL")</f>
        <v>PASS</v>
      </c>
    </row>
    <row r="15" spans="1:19" x14ac:dyDescent="0.5">
      <c r="A15" s="55"/>
      <c r="B15" s="55"/>
      <c r="D15" s="51">
        <v>2</v>
      </c>
      <c r="L15" s="52">
        <v>1</v>
      </c>
      <c r="O15" s="53">
        <v>1</v>
      </c>
    </row>
    <row r="16" spans="1:19" x14ac:dyDescent="0.5">
      <c r="A16" s="55"/>
      <c r="B16" s="55"/>
      <c r="D16" s="51">
        <v>3</v>
      </c>
      <c r="L16" s="52">
        <v>2</v>
      </c>
      <c r="O16" s="53">
        <v>2</v>
      </c>
    </row>
    <row r="18" spans="1:18" x14ac:dyDescent="0.5">
      <c r="A18" s="46">
        <v>4</v>
      </c>
      <c r="B18" s="47" t="s">
        <v>3151</v>
      </c>
      <c r="D18" s="51">
        <v>1</v>
      </c>
      <c r="E18" s="51">
        <v>2</v>
      </c>
      <c r="G18" s="51" t="s">
        <v>191</v>
      </c>
      <c r="L18" s="52">
        <v>2</v>
      </c>
      <c r="M18" s="52">
        <v>1</v>
      </c>
      <c r="O18" s="53" cm="1">
        <f t="array" ref="O18:P19">shift_arr(D18:E19,G18)</f>
        <v>2</v>
      </c>
      <c r="P18" s="53">
        <v>1</v>
      </c>
      <c r="R18" s="54" t="str" cm="1">
        <f t="array" ref="R18">IF(AND(L18:M19=O18:P19),"PASS","FAIL")</f>
        <v>PASS</v>
      </c>
    </row>
    <row r="19" spans="1:18" x14ac:dyDescent="0.5">
      <c r="A19" s="55"/>
      <c r="B19" s="55"/>
      <c r="D19" s="51">
        <v>3</v>
      </c>
      <c r="E19" s="51">
        <v>4</v>
      </c>
      <c r="L19" s="52">
        <v>4</v>
      </c>
      <c r="M19" s="52">
        <v>3</v>
      </c>
      <c r="O19" s="53">
        <v>4</v>
      </c>
      <c r="P19" s="53">
        <v>3</v>
      </c>
    </row>
    <row r="21" spans="1:18" x14ac:dyDescent="0.5">
      <c r="A21" s="46">
        <v>5</v>
      </c>
      <c r="B21" s="47" t="s">
        <v>3280</v>
      </c>
      <c r="D21" s="51">
        <v>1</v>
      </c>
      <c r="F21" s="51" t="s">
        <v>3275</v>
      </c>
      <c r="L21" s="52" t="str">
        <f>""</f>
        <v/>
      </c>
      <c r="O21" s="53" t="str" cm="1">
        <f t="array" ref="O21">shift_arr(D21,F21)</f>
        <v/>
      </c>
      <c r="R21" s="54" t="str">
        <f>IF(O21=L21,"PASS","FAIL")</f>
        <v>PASS</v>
      </c>
    </row>
    <row r="23" spans="1:18" x14ac:dyDescent="0.5">
      <c r="A23" s="46">
        <v>6</v>
      </c>
      <c r="B23" s="47" t="s">
        <v>3614</v>
      </c>
      <c r="D23" s="51">
        <v>1</v>
      </c>
      <c r="F23" s="51">
        <v>1000000</v>
      </c>
      <c r="L23" s="52">
        <v>3</v>
      </c>
      <c r="O23" s="53" cm="1">
        <f t="array" ref="O23:O25">shift_arr(D23:D25,F23)</f>
        <v>3</v>
      </c>
      <c r="R23" s="54" t="str" cm="1">
        <f t="array" ref="R23">IF(AND(L23:L25=O23:O25),"PASS","FAIL")</f>
        <v>PASS</v>
      </c>
    </row>
    <row r="24" spans="1:18" x14ac:dyDescent="0.5">
      <c r="D24" s="51">
        <v>2</v>
      </c>
      <c r="L24" s="52">
        <v>1</v>
      </c>
      <c r="O24">
        <v>1</v>
      </c>
    </row>
    <row r="25" spans="1:18" x14ac:dyDescent="0.5">
      <c r="D25" s="51">
        <v>3</v>
      </c>
      <c r="L25" s="52">
        <v>2</v>
      </c>
      <c r="O25">
        <v>2</v>
      </c>
    </row>
    <row r="27" spans="1:18" x14ac:dyDescent="0.5">
      <c r="A27" s="46">
        <v>7</v>
      </c>
      <c r="B27" s="47" t="s">
        <v>3615</v>
      </c>
      <c r="D27" s="51">
        <v>1</v>
      </c>
      <c r="F27" s="51" t="s">
        <v>157</v>
      </c>
      <c r="H27" s="51">
        <v>9</v>
      </c>
      <c r="J27" s="51">
        <v>2</v>
      </c>
      <c r="L27" s="52">
        <v>9</v>
      </c>
      <c r="O27" s="53" cm="1">
        <f t="array" ref="O27:O29">shift_arr(D27:D29,F27,H27,J27)</f>
        <v>9</v>
      </c>
      <c r="R27" s="54" t="str" cm="1">
        <f t="array" ref="R27">IF(AND(L27:L29=O27:O29),"PASS","FAIL")</f>
        <v>PASS</v>
      </c>
    </row>
    <row r="28" spans="1:18" x14ac:dyDescent="0.5">
      <c r="D28" s="51">
        <v>2</v>
      </c>
      <c r="L28" s="52">
        <v>9</v>
      </c>
      <c r="O28">
        <v>9</v>
      </c>
    </row>
    <row r="29" spans="1:18" x14ac:dyDescent="0.5">
      <c r="D29" s="51">
        <v>3</v>
      </c>
      <c r="L29" s="52">
        <v>1</v>
      </c>
      <c r="O29">
        <v>1</v>
      </c>
    </row>
    <row r="32">
      <c r="A32">
        <v>8</v>
      </c>
      <c r="B32" t="inlineStr">
        <is>
          <t xml:space="preserve">&gt;255-char value survives (IFERROR/IFNA would blank it)</t>
        </is>
      </c>
      <c r="D32" s="51" t="inlineStr">
        <is>
          <t xml:space="preserve">a</t>
        </is>
      </c>
      <c r="F32" t="inlineStr">
        <is>
          <t xml:space="preserve">D</t>
        </is>
      </c>
      <c r="L32" s="52">
        <f>REPT("z",300)</f>
      </c>
      <c r="O32" cm="1">
        <f t="array" ref="O32:O33">shift_arr(D32:D33,F32)</f>
        <v>0</v>
      </c>
      <c r="R32" cm="1">
        <f t="array" ref="R32">IF(AND(L32:L33=O32:O33),"PASS","FAIL")</f>
        <v>0</v>
      </c>
    </row>
    <row r="33">
      <c r="D33">
        <f>REPT("z",300)</f>
      </c>
      <c r="L33" s="52" t="inlineStr">
        <is>
          <t xml:space="preserve">a</t>
        </is>
      </c>
    </row>
  </sheetData>
  <mergeCells count="3">
    <mergeCell ref="I1:R1"/>
    <mergeCell ref="B2:R2"/>
    <mergeCell ref="B1:F1"/>
  </mergeCells>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0BF7C7-B242-43F6-8833-7A2AD88E2BD2}">
  <sheetPr codeName="Sheet87"/>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smallest(check, return)</v>
      </c>
      <c r="C1" s="79"/>
      <c r="D1" s="79"/>
      <c r="E1" s="79"/>
      <c r="F1" s="80"/>
      <c r="H1" s="45" t="s">
        <v>2</v>
      </c>
      <c r="I1" s="78" t="str" cm="1">
        <f t="array" aca="1" ref="I1" ca="1">_xlfn.LET(_xlpm.fn, CELL("filename",$A$1), _xlpm.nm, MID(_xlpm.fn, FIND("]", _xlpm.fn) + 1, 255), _xlfn.XLOOKUP(_xlpm.nm &amp; "(*", Lamb!$A$2:$A$1000, Lamb!$D$2:$D$1000, "", 2))</f>
        <v>Returns the value paired with the minimum of a checked array.
Arguments:
  check  - array of numbers to take the minimum of.
  return - array (parallel to check) to return the matching value from.
Returns:
  The element of return aligned with the first occurrence of MIN(check), or "" if no match is found (e.g. an empty or all-text check).
Example:
  smallest(scores, names)  -&gt;  the name with the lowest score</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=LAMBDA(check, return, IFNA(XLOOKUP(MIN(check), check, return), ""))</v>
      </c>
      <c r="C2" s="82"/>
      <c r="D2" s="82"/>
      <c r="E2" s="82"/>
      <c r="F2" s="82"/>
      <c r="G2" s="82"/>
      <c r="H2" s="82"/>
      <c r="I2" s="82"/>
      <c r="J2" s="82"/>
      <c r="K2" s="82"/>
      <c r="L2" s="82"/>
      <c r="M2" s="82"/>
      <c r="N2" s="82"/>
      <c r="O2" s="82"/>
      <c r="P2" s="82"/>
      <c r="Q2" s="82"/>
      <c r="R2" s="82"/>
    </row>
    <row r="4" spans="1:19" x14ac:dyDescent="0.5">
      <c r="A4" s="45" t="s">
        <v>3152</v>
      </c>
      <c r="L4" s="45" t="str">
        <f>COUNTIF(L6:L15,"PASS")&amp;" / 3 PASS"</f>
        <v>3 / 3 PASS</v>
      </c>
    </row>
    <row r="5" spans="1:19" x14ac:dyDescent="0.5">
      <c r="A5" s="45" t="s">
        <v>7</v>
      </c>
      <c r="B5" s="45" t="s">
        <v>8</v>
      </c>
      <c r="D5" s="45" t="s">
        <v>9</v>
      </c>
      <c r="H5" s="48" t="s">
        <v>10</v>
      </c>
      <c r="J5" s="49" t="s">
        <v>11</v>
      </c>
      <c r="L5" s="50" t="s">
        <v>12</v>
      </c>
    </row>
    <row r="6" spans="1:19" x14ac:dyDescent="0.5">
      <c r="A6" s="46">
        <v>1</v>
      </c>
      <c r="B6" s="47" t="s">
        <v>3153</v>
      </c>
      <c r="D6" s="51">
        <v>30</v>
      </c>
      <c r="F6" s="51" t="s">
        <v>2937</v>
      </c>
      <c r="H6" s="52" t="s">
        <v>2937</v>
      </c>
      <c r="J6" s="53" t="str" cm="1">
        <f t="array" ref="J6">smallest(D6:D8,F6:F8)</f>
        <v>a</v>
      </c>
      <c r="L6" s="54" t="str">
        <f>IF(J6=H6,"PASS","FAIL")</f>
        <v>PASS</v>
      </c>
    </row>
    <row r="7" spans="1:19" x14ac:dyDescent="0.5">
      <c r="A7" s="55"/>
      <c r="B7" s="55"/>
      <c r="D7" s="51">
        <v>70</v>
      </c>
      <c r="F7" s="51" t="s">
        <v>2938</v>
      </c>
    </row>
    <row r="8" spans="1:19" x14ac:dyDescent="0.5">
      <c r="A8" s="55"/>
      <c r="B8" s="55"/>
      <c r="D8" s="51">
        <v>50</v>
      </c>
      <c r="F8" s="51" t="s">
        <v>2946</v>
      </c>
    </row>
    <row r="10" spans="1:19" x14ac:dyDescent="0.5">
      <c r="A10" s="46">
        <v>2</v>
      </c>
      <c r="B10" s="47" t="s">
        <v>3154</v>
      </c>
      <c r="D10" s="51">
        <v>5</v>
      </c>
      <c r="F10" s="51" t="s">
        <v>2948</v>
      </c>
      <c r="H10" s="52" t="s">
        <v>2950</v>
      </c>
      <c r="J10" s="53" t="str" cm="1">
        <f t="array" ref="J10">smallest(D10:D13,F10:F13)</f>
        <v>r</v>
      </c>
      <c r="L10" s="54" t="str">
        <f>IF(J10=H10,"PASS","FAIL")</f>
        <v>PASS</v>
      </c>
    </row>
    <row r="11" spans="1:19" x14ac:dyDescent="0.5">
      <c r="A11" s="55"/>
      <c r="B11" s="55"/>
      <c r="D11" s="51">
        <v>9</v>
      </c>
      <c r="F11" s="51" t="s">
        <v>2949</v>
      </c>
    </row>
    <row r="12" spans="1:19" x14ac:dyDescent="0.5">
      <c r="A12" s="55"/>
      <c r="B12" s="55"/>
      <c r="D12" s="51">
        <v>2</v>
      </c>
      <c r="F12" s="51" t="s">
        <v>2950</v>
      </c>
    </row>
    <row r="13" spans="1:19" x14ac:dyDescent="0.5">
      <c r="A13" s="55"/>
      <c r="B13" s="55"/>
      <c r="D13" s="51">
        <v>2</v>
      </c>
      <c r="F13" s="51" t="s">
        <v>2951</v>
      </c>
    </row>
    <row r="15" spans="1:19" x14ac:dyDescent="0.5">
      <c r="A15" s="46">
        <v>3</v>
      </c>
      <c r="B15" s="47" t="s">
        <v>3281</v>
      </c>
      <c r="D15" s="51" t="s">
        <v>2957</v>
      </c>
      <c r="F15" s="51" t="s">
        <v>3282</v>
      </c>
      <c r="H15" s="52" t="str">
        <f>""</f>
        <v/>
      </c>
      <c r="J15" s="53" t="str" cm="1">
        <f t="array" ref="J15">smallest(D15,F15)</f>
        <v/>
      </c>
      <c r="L15" s="54" t="str">
        <f>IF(J15=H15,"PASS","FAIL")</f>
        <v>PASS</v>
      </c>
    </row>
  </sheetData>
  <mergeCells count="3">
    <mergeCell ref="I1:R1"/>
    <mergeCell ref="B2:R2"/>
    <mergeCell ref="B1:F1"/>
  </mergeCells>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42F4D-C1A6-40E1-89FA-05F7AC7D55E2}">
  <sheetPr codeName="Sheet89"/>
  <dimension ref="A1:S20"/>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94" customHeight="1" x14ac:dyDescent="0.5">
      <c r="A1" s="45" t="s">
        <v>0</v>
      </c>
      <c r="B1" s="83" t="str" cm="1">
        <f t="array" aca="1" ref="B1" ca="1">_xlfn.LET(_xlpm.fn, CELL("filename",$A$1), _xlpm.nm, MID(_xlpm.fn, FIND("]", _xlpm.fn) + 1, 255), _xlfn.XLOOKUP(_xlpm.nm &amp; "(*", Lamb!$A$2:$A$1000, Lamb!$A$2:$A$1000, "", 2))</f>
        <v>str_ad(ad_or_rng)</v>
      </c>
      <c r="C1" s="79"/>
      <c r="D1" s="79"/>
      <c r="E1" s="79"/>
      <c r="F1" s="80"/>
      <c r="H1" s="45" t="s">
        <v>2</v>
      </c>
      <c r="I1" s="78" t="str" cm="1">
        <f t="array" aca="1" ref="I1" ca="1">_xlfn.LET(_xlpm.fn, CELL("filename",$A$1), _xlpm.nm, MID(_xlpm.fn, FIND("]", _xlpm.fn) + 1, 255), _xlfn.XLOOKUP(_xlpm.nm &amp; "(*", Lamb!$A$2:$A$1000, Lamb!$D$2:$D$1000, "", 2))</f>
        <v>Convert any address or range to A1 string form - the mirror of num_ad, matching the relative A1 style used across the library.
Behaviour by input:
  valid numeric address (3000004)        -&gt; the A1 string ("D3")
  valid A1 range ("A1:B4")               -&gt; an array of A1 strings, top-left first, bottom-right last
  valid numeric range ("1000001:4000002")-&gt; the same array of A1 strings
  empty                                  -&gt; "" (never coerced to 0)
  any other single value                 -&gt; passed through unchanged (a string address is already A1, so it is returned as is)
  an array                               -&gt; element-wise; numeric addresses convert, everything else (including ranges) passes through
A single address returns a scalar. Ranges expand only when passed as a single value; inside an array they pass through, since expanding one element into many would need a ragged result Excel cannot make. Strings are produced with ADDRESS(..., 4) for relative style. Parsing is shared with num_ad and the rest of the library via z_numval / z_ad_box.
Arguments:
  ad_or_rng - a numeric address, A1 string, A1 range, numeric range, or an array of these.
Returns:
  An A1 string for a single address, an array of A1 strings for a single range, "" for empty, the input unchanged otherwise; element-wise over an array.
Example:
  str_ad(3000004)             -&gt;  "D3"
  str_ad("1000001:2000002")   -&gt;  {"A1", "B1"; "A2", "B2"}
  str_ad("D3")                -&gt;  "D3"
  str_ad("hi")                -&gt;  "hi"</v>
      </c>
      <c r="J1" s="79"/>
      <c r="K1" s="79"/>
      <c r="L1" s="79"/>
      <c r="M1" s="79"/>
      <c r="N1" s="79"/>
      <c r="O1" s="79"/>
      <c r="P1" s="79"/>
      <c r="Q1" s="79"/>
      <c r="R1" s="80"/>
      <c r="S1" s="77" t="str">
        <f>HYPERLINK("#lambda_tests!A1","&lt;- test summary")</f>
        <v>&lt;- test summary</v>
      </c>
    </row>
    <row r="2" spans="1:19" ht="294" customHeight="1" x14ac:dyDescent="0.5">
      <c r="A2" s="45" t="s">
        <v>4</v>
      </c>
      <c r="B2" s="81" t="str" cm="1">
        <f t="array" aca="1" ref="B2" ca="1">_xlfn.LET(_xlpm.fn, CELL("filename",$A$1), _xlpm.nm, MID(_xlpm.fn, FIND("]", _xlpm.fn) + 1, 255), _xlfn.XLOOKUP(_xlpm.nm &amp; "(*", Lamb!$A$2:$A$1000, Lamb!$C$2:$C$1000, "", 2))</f>
        <v>=LAMBDA(ad_or_rng,
  LET(
    to_str_1, LAMBDA(one, IF(one = "", "",
      IFERROR(LET(num, z_numval(one), ADDRESS(INT(num / 1000000), MOD(num, 1000000), 4)), one))),
    IF(ROWS(ad_or_rng) * COLUMNS(ad_or_rng) &gt; 1,
      MAP(ad_or_rng, to_str_1),
      LET(
        has_colon, AND(ISTEXT(ad_or_rng), ISNUMBER(SEARCH(":", ad_or_rng))),
        box, IFERROR(z_ad_box(ad_or_rng), 0),
        IF(AND(has_colon, COUNT(box) = 4),
          LET(top, SUM(INDEX(box, 1)), lft, SUM(INDEX(box, 2)), bot, SUM(INDEX(box, 3)), rgt, SUM(INDEX(box, 4)),
              MAKEARRAY(bot - top + 1, rgt - lft + 1, LAMBDA(dr, dc, ADDRESS(top + dr - 1, lft + dc - 1, 4)))),
          to_str_1(ad_or_rng))))
  )
)</v>
      </c>
      <c r="C2" s="82"/>
      <c r="D2" s="82"/>
      <c r="E2" s="82"/>
      <c r="F2" s="82"/>
      <c r="G2" s="82"/>
      <c r="H2" s="82"/>
      <c r="I2" s="82"/>
      <c r="J2" s="82"/>
      <c r="K2" s="82"/>
      <c r="L2" s="82"/>
      <c r="M2" s="82"/>
      <c r="N2" s="82"/>
      <c r="O2" s="82"/>
      <c r="P2" s="82"/>
      <c r="Q2" s="82"/>
      <c r="R2" s="82"/>
    </row>
    <row r="4" spans="1:19" x14ac:dyDescent="0.5">
      <c r="A4" s="45" t="s">
        <v>3531</v>
      </c>
      <c r="J4" s="45" t="str">
        <f>COUNTIF(J6:J40,"PASS")&amp;" / 7 PASS"</f>
        <v>7 / 7 PASS</v>
      </c>
    </row>
    <row r="5" spans="1:19" x14ac:dyDescent="0.5">
      <c r="A5" s="45" t="s">
        <v>7</v>
      </c>
      <c r="B5" s="45" t="s">
        <v>8</v>
      </c>
      <c r="D5" s="45" t="s">
        <v>9</v>
      </c>
      <c r="F5" s="48" t="s">
        <v>10</v>
      </c>
      <c r="H5" s="49" t="s">
        <v>11</v>
      </c>
      <c r="J5" s="50" t="s">
        <v>12</v>
      </c>
    </row>
    <row r="6" spans="1:19" x14ac:dyDescent="0.5">
      <c r="A6" s="46">
        <v>1</v>
      </c>
      <c r="B6" s="47" t="s">
        <v>3161</v>
      </c>
      <c r="D6" s="51">
        <v>3000004</v>
      </c>
      <c r="F6" s="52" t="s">
        <v>3057</v>
      </c>
      <c r="H6" s="53" t="str" cm="1">
        <f t="array" ref="H6">str_ad(D6)</f>
        <v>D3</v>
      </c>
      <c r="J6" s="54" t="str">
        <f>IF(H6=F6,"PASS","FAIL")</f>
        <v>PASS</v>
      </c>
    </row>
    <row r="7" spans="1:19" x14ac:dyDescent="0.5">
      <c r="F7" s="52"/>
      <c r="H7" s="53"/>
      <c r="J7" s="54"/>
    </row>
    <row r="8" spans="1:19" x14ac:dyDescent="0.5">
      <c r="A8" s="46">
        <v>2</v>
      </c>
      <c r="B8" s="47" t="s">
        <v>3162</v>
      </c>
      <c r="D8" s="51" t="s">
        <v>3057</v>
      </c>
      <c r="F8" s="52" t="s">
        <v>3057</v>
      </c>
      <c r="H8" s="53" t="str" cm="1">
        <f t="array" ref="H8">str_ad(D8)</f>
        <v>D3</v>
      </c>
      <c r="J8" s="54" t="str">
        <f>IF(H8=F8,"PASS","FAIL")</f>
        <v>PASS</v>
      </c>
    </row>
    <row r="9" spans="1:19" x14ac:dyDescent="0.5">
      <c r="F9" s="52"/>
      <c r="H9" s="53"/>
      <c r="J9" s="54"/>
    </row>
    <row r="10" spans="1:19" x14ac:dyDescent="0.5">
      <c r="A10" s="46">
        <v>3</v>
      </c>
      <c r="B10" s="47" t="s">
        <v>3163</v>
      </c>
      <c r="D10" s="51">
        <v>2000000</v>
      </c>
      <c r="F10" s="52">
        <v>2000000</v>
      </c>
      <c r="H10" s="53" cm="1">
        <f t="array" ref="H10">str_ad(D10)</f>
        <v>2000000</v>
      </c>
      <c r="J10" s="54" t="str">
        <f>IF(H10=F10,"PASS","FAIL")</f>
        <v>PASS</v>
      </c>
    </row>
    <row r="11" spans="1:19" x14ac:dyDescent="0.5">
      <c r="F11" s="52"/>
      <c r="H11" s="53"/>
      <c r="J11" s="54"/>
    </row>
    <row r="12" spans="1:19" x14ac:dyDescent="0.5">
      <c r="A12" s="46">
        <v>4</v>
      </c>
      <c r="B12" s="47" t="s">
        <v>3164</v>
      </c>
      <c r="D12" s="51">
        <v>1000001</v>
      </c>
      <c r="F12" s="52" t="s">
        <v>2925</v>
      </c>
      <c r="H12" s="53" t="str" cm="1">
        <f t="array" ref="H12:H13">str_ad(D12:D13)</f>
        <v>A1</v>
      </c>
      <c r="J12" s="54" t="str" cm="1">
        <f t="array" ref="J12">IF(AND(F12:F13=H12:H13),"PASS","FAIL")</f>
        <v>PASS</v>
      </c>
    </row>
    <row r="13" spans="1:19" x14ac:dyDescent="0.5">
      <c r="A13" s="55"/>
      <c r="B13" s="55"/>
      <c r="D13" s="51">
        <v>2000002</v>
      </c>
      <c r="F13" s="52" t="s">
        <v>3049</v>
      </c>
      <c r="H13" s="53" t="str">
        <v>B2</v>
      </c>
      <c r="J13" s="54"/>
    </row>
    <row r="14" spans="1:19" x14ac:dyDescent="0.5">
      <c r="J14" s="54"/>
    </row>
    <row r="15" spans="1:19" x14ac:dyDescent="0.5">
      <c r="A15">
        <v>5</v>
      </c>
      <c r="B15" s="55" t="s">
        <v>3532</v>
      </c>
      <c r="D15" s="51" t="s">
        <v>3518</v>
      </c>
      <c r="F15" s="52" t="s">
        <v>2925</v>
      </c>
      <c r="G15" s="52" t="s">
        <v>3021</v>
      </c>
      <c r="H15" s="53" t="str" cm="1">
        <f t="array" ref="H15:I16">str_ad(D15)</f>
        <v>A1</v>
      </c>
      <c r="I15" s="53" t="str">
        <v>B1</v>
      </c>
      <c r="J15" s="54" t="str" cm="1">
        <f t="array" ref="J15">IF(AND(F15:G16=H15:I16),"PASS","FAIL")</f>
        <v>PASS</v>
      </c>
    </row>
    <row r="16" spans="1:19" x14ac:dyDescent="0.5">
      <c r="F16" s="52" t="s">
        <v>3050</v>
      </c>
      <c r="G16" s="52" t="s">
        <v>3049</v>
      </c>
      <c r="H16" s="53" t="str">
        <v>A2</v>
      </c>
      <c r="I16" s="53" t="str">
        <v>B2</v>
      </c>
      <c r="J16" s="54"/>
    </row>
    <row r="17" spans="1:10" x14ac:dyDescent="0.5">
      <c r="J17" s="54"/>
    </row>
    <row r="18" spans="1:10" x14ac:dyDescent="0.5">
      <c r="A18">
        <v>6</v>
      </c>
      <c r="B18" t="s">
        <v>3533</v>
      </c>
      <c r="D18" t="s">
        <v>3534</v>
      </c>
      <c r="F18" s="52" t="s">
        <v>3049</v>
      </c>
      <c r="G18" s="52" t="s">
        <v>3051</v>
      </c>
      <c r="H18" s="53" t="str" cm="1">
        <f t="array" ref="H18:I18">str_ad(D18)</f>
        <v>B2</v>
      </c>
      <c r="I18" s="53" t="str">
        <v>C2</v>
      </c>
      <c r="J18" s="54" t="str" cm="1">
        <f t="array" ref="J18">IF(AND(F18:G18=H18:I18),"PASS","FAIL")</f>
        <v>PASS</v>
      </c>
    </row>
    <row r="19" spans="1:10" x14ac:dyDescent="0.5">
      <c r="J19" s="54"/>
    </row>
    <row r="20" spans="1:10" x14ac:dyDescent="0.5">
      <c r="A20">
        <v>7</v>
      </c>
      <c r="B20" t="s">
        <v>3529</v>
      </c>
      <c r="H20" s="53" t="str" cm="1">
        <f t="array" ref="H20">str_ad(D20)</f>
        <v/>
      </c>
      <c r="J20" s="54" t="str">
        <f>IF(AND(H20="",NOT(H20=0)),"PASS","FAIL")</f>
        <v>PASS</v>
      </c>
    </row>
  </sheetData>
  <mergeCells count="3">
    <mergeCell ref="I1:R1"/>
    <mergeCell ref="B2:R2"/>
    <mergeCell ref="B1:F1"/>
  </mergeCells>
  <pageMargins left="0.75" right="0.75" top="1" bottom="1" header="0.5" footer="0.5"/>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2EFBC7-6C72-4EEB-87EC-85F288E165B0}">
  <sheetPr codeName="Sheet90"/>
  <dimension ref="A1:S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str_rev(str)</v>
      </c>
      <c r="C1" s="79"/>
      <c r="D1" s="79"/>
      <c r="E1" s="79"/>
      <c r="F1" s="80"/>
      <c r="H1" s="45" t="s">
        <v>2</v>
      </c>
      <c r="I1" s="78" t="str" cm="1">
        <f t="array" aca="1" ref="I1" ca="1">_xlfn.LET(_xlpm.fn, CELL("filename",$A$1), _xlpm.nm, MID(_xlpm.fn, FIND("]", _xlpm.fn) + 1, 255), _xlfn.XLOOKUP(_xlpm.nm &amp; "(*", Lamb!$A$2:$A$1000, Lamb!$D$2:$D$1000, "", 2))</f>
        <v>Reverses the characters of a string.
Arguments:
  str - the text to reverse.
Returns:
  The string reversed. Works on arrays of strings.
Example:
  str_rev("abc")  -&gt;  "cba"</v>
      </c>
      <c r="J1" s="79"/>
      <c r="K1" s="79"/>
      <c r="L1" s="79"/>
      <c r="M1" s="79"/>
      <c r="N1" s="79"/>
      <c r="O1" s="79"/>
      <c r="P1" s="79"/>
      <c r="Q1" s="79"/>
      <c r="R1" s="80"/>
      <c r="S1" s="77" t="str">
        <f>HYPERLINK("#lambda_tests!A1","&lt;- test summary")</f>
        <v>&lt;- test summary</v>
      </c>
    </row>
    <row r="2" spans="1:19" ht="210" customHeight="1" x14ac:dyDescent="0.5">
      <c r="A2" s="45" t="s">
        <v>4</v>
      </c>
      <c r="B2" s="81" t="str" cm="1">
        <f t="array" aca="1" ref="B2" ca="1">_xlfn.LET(_xlpm.fn, CELL("filename",$A$1), _xlpm.nm, MID(_xlpm.fn, FIND("]", _xlpm.fn) + 1, 255), _xlfn.XLOOKUP(_xlpm.nm &amp; "(*", Lamb!$A$2:$A$1000, Lamb!$C$2:$C$1000, "", 2))</f>
        <v>=LAMBDA(str,
   IF(
      ROWS(str) * COLUMNS(str) = 1,
      TEXTJOIN("", , MID(str, SEQUENCE(LEN(str), , LEN(str), -1), 1)),
      BYROW(
         str,
         LAMBDA(x, TEXTJOIN("", , MID(x, SEQUENCE(LEN(x), , LEN(x), -1), 1)))
      )
   )
)</v>
      </c>
      <c r="C2" s="82"/>
      <c r="D2" s="82"/>
      <c r="E2" s="82"/>
      <c r="F2" s="82"/>
      <c r="G2" s="82"/>
      <c r="H2" s="82"/>
      <c r="I2" s="82"/>
      <c r="J2" s="82"/>
      <c r="K2" s="82"/>
      <c r="L2" s="82"/>
      <c r="M2" s="82"/>
      <c r="N2" s="82"/>
      <c r="O2" s="82"/>
      <c r="P2" s="82"/>
      <c r="Q2" s="82"/>
      <c r="R2" s="82"/>
    </row>
    <row r="4" spans="1:19" x14ac:dyDescent="0.5">
      <c r="A4" s="45" t="s">
        <v>3165</v>
      </c>
      <c r="J4" s="45" t="str">
        <f>COUNTIF(J6:J15,"PASS")&amp;" / 4 PASS"</f>
        <v>4 / 4 PASS</v>
      </c>
    </row>
    <row r="5" spans="1:19" x14ac:dyDescent="0.5">
      <c r="A5" s="45" t="s">
        <v>7</v>
      </c>
      <c r="B5" s="45" t="s">
        <v>8</v>
      </c>
      <c r="D5" s="45" t="s">
        <v>9</v>
      </c>
      <c r="F5" s="48" t="s">
        <v>10</v>
      </c>
      <c r="H5" s="49" t="s">
        <v>11</v>
      </c>
      <c r="J5" s="50" t="s">
        <v>12</v>
      </c>
    </row>
    <row r="6" spans="1:19" x14ac:dyDescent="0.5">
      <c r="A6" s="46">
        <v>1</v>
      </c>
      <c r="B6" s="47" t="s">
        <v>3072</v>
      </c>
      <c r="D6" s="51" t="s">
        <v>3072</v>
      </c>
      <c r="F6" s="52" t="s">
        <v>3166</v>
      </c>
      <c r="H6" s="53" t="str" cm="1">
        <f t="array" ref="H6">str_rev(D6)</f>
        <v>cba</v>
      </c>
      <c r="J6" s="54" t="str">
        <f>IF(H6=F6,"PASS","FAIL")</f>
        <v>PASS</v>
      </c>
    </row>
    <row r="8" spans="1:19" x14ac:dyDescent="0.5">
      <c r="A8" s="46">
        <v>2</v>
      </c>
      <c r="B8" s="47" t="s">
        <v>3167</v>
      </c>
      <c r="D8" s="51" t="s">
        <v>3167</v>
      </c>
      <c r="F8" s="52" t="s">
        <v>3168</v>
      </c>
      <c r="H8" s="53" t="str" cm="1">
        <f t="array" ref="H8">str_rev(D8)</f>
        <v>olleh</v>
      </c>
      <c r="J8" s="54" t="str">
        <f>IF(H8=F8,"PASS","FAIL")</f>
        <v>PASS</v>
      </c>
    </row>
    <row r="10" spans="1:19" x14ac:dyDescent="0.5">
      <c r="A10" s="46">
        <v>3</v>
      </c>
      <c r="B10" s="47" t="s">
        <v>3169</v>
      </c>
      <c r="D10" s="51" t="s">
        <v>3170</v>
      </c>
      <c r="F10" s="52" t="s">
        <v>3171</v>
      </c>
      <c r="H10" s="53" t="str" cm="1">
        <f t="array" ref="H10">str_rev(D10)</f>
        <v>b1A</v>
      </c>
      <c r="J10" s="54" t="str">
        <f>IF(H10=F10,"PASS","FAIL")</f>
        <v>PASS</v>
      </c>
    </row>
    <row r="12" spans="1:19" x14ac:dyDescent="0.5">
      <c r="A12" s="46">
        <v>4</v>
      </c>
      <c r="B12" s="47" t="s">
        <v>3094</v>
      </c>
      <c r="D12" s="51" t="s">
        <v>3072</v>
      </c>
      <c r="F12" s="52" t="s">
        <v>3166</v>
      </c>
      <c r="H12" s="53" t="str" cm="1">
        <f t="array" ref="H12:H13">str_rev(D12:D13)</f>
        <v>cba</v>
      </c>
      <c r="J12" s="54" t="str" cm="1">
        <f t="array" ref="J12">IF(AND(F12:F13=H12:H13),"PASS","FAIL")</f>
        <v>PASS</v>
      </c>
    </row>
    <row r="13" spans="1:19" x14ac:dyDescent="0.5">
      <c r="A13" s="55"/>
      <c r="B13" s="55"/>
      <c r="D13" s="51" t="s">
        <v>3172</v>
      </c>
      <c r="F13" s="52" t="s">
        <v>3173</v>
      </c>
      <c r="H13" s="53" t="str">
        <v>yx</v>
      </c>
    </row>
  </sheetData>
  <mergeCells count="3">
    <mergeCell ref="I1:R1"/>
    <mergeCell ref="B2:R2"/>
    <mergeCell ref="B1:F1"/>
  </mergeCells>
  <pageMargins left="0.75" right="0.75" top="1" bottom="1" header="0.5" footer="0.5"/>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88"/>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s">
        <v>3155</v>
      </c>
      <c r="P4" s="45" t="str">
        <f>COUNTIF(P6:P16,"PASS")&amp;" / 3 PASS"</f>
        <v>3 / 3 PASS</v>
      </c>
    </row>
    <row r="5" spans="1:19" x14ac:dyDescent="0.5">
      <c r="A5" s="45" t="s">
        <v>7</v>
      </c>
      <c r="B5" s="45" t="s">
        <v>8</v>
      </c>
      <c r="D5" s="45" t="s">
        <v>9</v>
      </c>
      <c r="H5" s="48" t="s">
        <v>10</v>
      </c>
      <c r="L5" s="49" t="s">
        <v>11</v>
      </c>
      <c r="P5" s="50" t="s">
        <v>12</v>
      </c>
    </row>
    <row r="6" spans="1:19" x14ac:dyDescent="0.5">
      <c r="A6" s="46">
        <v>1</v>
      </c>
      <c r="B6" s="47" t="s">
        <v>3156</v>
      </c>
      <c r="D6" s="51" t="s">
        <v>3072</v>
      </c>
      <c r="H6" s="52" t="s">
        <v>2937</v>
      </c>
      <c r="L6" s="53" t="str" cm="1">
        <f t="array" ref="L6:L8">str_to_arr(D6)</f>
        <v>a</v>
      </c>
      <c r="P6" s="54" t="str" cm="1">
        <f t="array" ref="P6">IF(AND(H6:H8=L6:L8),"PASS","FAIL")</f>
        <v>PASS</v>
      </c>
    </row>
    <row r="7" spans="1:19" x14ac:dyDescent="0.5">
      <c r="A7" s="55"/>
      <c r="B7" s="55"/>
      <c r="H7" s="52" t="s">
        <v>2938</v>
      </c>
      <c r="L7" s="53" t="str">
        <v>b</v>
      </c>
    </row>
    <row r="8" spans="1:19" x14ac:dyDescent="0.5">
      <c r="A8" s="55"/>
      <c r="B8" s="55"/>
      <c r="H8" s="52" t="s">
        <v>2946</v>
      </c>
      <c r="L8" s="53" t="str">
        <v>c</v>
      </c>
    </row>
    <row r="10" spans="1:19" x14ac:dyDescent="0.5">
      <c r="A10" s="46">
        <v>2</v>
      </c>
      <c r="B10" s="47" t="s">
        <v>3157</v>
      </c>
      <c r="D10" s="51" t="s">
        <v>3158</v>
      </c>
      <c r="H10" s="52" t="s">
        <v>2957</v>
      </c>
      <c r="L10" s="53" t="str" cm="1">
        <f t="array" ref="L10:L12">str_to_arr(D10)</f>
        <v>x</v>
      </c>
      <c r="P10" s="54" t="str" cm="1">
        <f t="array" ref="P10">IF(AND(H10:H12=L10:L12),"PASS","FAIL")</f>
        <v>PASS</v>
      </c>
    </row>
    <row r="11" spans="1:19" x14ac:dyDescent="0.5">
      <c r="A11" s="55"/>
      <c r="B11" s="55"/>
      <c r="H11" s="52">
        <v>1</v>
      </c>
      <c r="L11" s="53">
        <v>1</v>
      </c>
    </row>
    <row r="12" spans="1:19" x14ac:dyDescent="0.5">
      <c r="A12" s="55"/>
      <c r="B12" s="55"/>
      <c r="H12" s="52" t="s">
        <v>3159</v>
      </c>
      <c r="L12" s="53" t="str">
        <v>y</v>
      </c>
    </row>
    <row r="14" spans="1:19" x14ac:dyDescent="0.5">
      <c r="A14" s="46">
        <v>3</v>
      </c>
      <c r="B14" s="47" t="s">
        <v>3160</v>
      </c>
      <c r="D14" s="51" t="s">
        <v>3072</v>
      </c>
      <c r="F14" s="51">
        <v>1</v>
      </c>
      <c r="H14" s="52" t="s">
        <v>2937</v>
      </c>
      <c r="I14" s="52" t="s">
        <v>2938</v>
      </c>
      <c r="J14" s="52" t="s">
        <v>2946</v>
      </c>
      <c r="L14" s="53" t="str" cm="1">
        <f t="array" ref="L14:N14">str_to_arr(D14,F14)</f>
        <v>a</v>
      </c>
      <c r="M14" s="53" t="str">
        <v>b</v>
      </c>
      <c r="N14" s="53" t="str">
        <v>c</v>
      </c>
      <c r="P14" s="54" t="str" cm="1">
        <f t="array" ref="P14">IF(AND(H14:J14=L14:N14),"PASS","FAIL")</f>
        <v>PASS</v>
      </c>
    </row>
  </sheetData>
  <mergeCells count="3">
    <mergeCell ref="I1:R1"/>
    <mergeCell ref="B2:R2"/>
    <mergeCell ref="B1:F1"/>
  </mergeCells>
  <pageMargins left="0.75" right="0.75" top="1" bottom="1" header="0.5" footer="0.5"/>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FC01C-B71A-4079-B066-EEEEF32D556E}">
  <sheetPr codeName="Sheet91"/>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textbetween(str_or_arr, prefix, suffix)</v>
      </c>
      <c r="C1" s="79"/>
      <c r="D1" s="79"/>
      <c r="E1" s="79"/>
      <c r="F1" s="80"/>
      <c r="H1" s="45" t="s">
        <v>2</v>
      </c>
      <c r="I1" s="78" t="str" cm="1">
        <f t="array" aca="1" ref="I1" ca="1">_xlfn.LET(_xlpm.fn, CELL("filename",$A$1), _xlpm.nm, MID(_xlpm.fn, FIND("]", _xlpm.fn) + 1, 255), _xlfn.XLOOKUP(_xlpm.nm &amp; "(*", Lamb!$A$2:$A$1000, Lamb!$D$2:$D$1000, "", 2))</f>
        <v>Extracts the text lying between two markers.
Arguments:
  str_or_arr - the string (or array of strings) to search.
  prefix     - the marker before the wanted text.
  suffix     - the marker after the wanted text.
Returns:
  The trimmed text between prefix and suffix, converted to a number when possible. Arrays return an array of the same size.
Example:
  textbetween("[x]", "[", "]")  -&gt;  "x"</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 prefix, suffix, LET(
   extract_between, LAMBDA(item,
      IF(
         ISERROR(item),
         item,
         LET(
            item_text, item &amp; "",
            lower_item, LOWER(item_text),
            lower_prefix, LOWER(prefix &amp; ""),
            lower_suffix, LOWER(suffix &amp; ""),
            start_num, IF(
               OR(lower_prefix = "", lower_suffix = ""),
               0,
               IFERROR(SEARCH(lower_prefix, lower_item), 0)
            ),
            after_num, start_num + LEN(lower_prefix),
            end_num, IF(
               start_num = 0,
               0,
               IFERROR(SEARCH(lower_suffix, lower_item, after_num), 0)
            ),
            between_text, IF(
               OR(start_num = 0, end_num = 0),
               "",
               MID(item_text, after_num, end_num - after_num)
            ),
            cleaned_text, TRIM(between_text),
            IF(cleaned_text = "", "", IFERROR(--cleaned_text, cleaned_text))
         )
      )
   ),
   row_count, ROWS(str_or_arr),
   col_count, COLUMNS(str_or_arr),
   IF(
      row_count * col_count = 1,
      extract_between(str_or_arr),
      MAP(str_or_arr, extract_between)
   )
))</v>
      </c>
      <c r="C2" s="82"/>
      <c r="D2" s="82"/>
      <c r="E2" s="82"/>
      <c r="F2" s="82"/>
      <c r="G2" s="82"/>
      <c r="H2" s="82"/>
      <c r="I2" s="82"/>
      <c r="J2" s="82"/>
      <c r="K2" s="82"/>
      <c r="L2" s="82"/>
      <c r="M2" s="82"/>
      <c r="N2" s="82"/>
      <c r="O2" s="82"/>
      <c r="P2" s="82"/>
      <c r="Q2" s="82"/>
      <c r="R2" s="82"/>
    </row>
    <row r="4" spans="1:19" x14ac:dyDescent="0.5">
      <c r="A4" s="45" t="s">
        <v>3174</v>
      </c>
      <c r="N4" s="45" t="str">
        <f>COUNTIF(N6:N17,"PASS")&amp;" / 5 PASS"</f>
        <v>5 / 5 PASS</v>
      </c>
    </row>
    <row r="5" spans="1:19" x14ac:dyDescent="0.5">
      <c r="A5" s="45" t="s">
        <v>7</v>
      </c>
      <c r="B5" s="45" t="s">
        <v>8</v>
      </c>
      <c r="D5" s="45" t="s">
        <v>9</v>
      </c>
      <c r="J5" s="48" t="s">
        <v>10</v>
      </c>
      <c r="L5" s="49" t="s">
        <v>11</v>
      </c>
      <c r="N5" s="50" t="s">
        <v>12</v>
      </c>
    </row>
    <row r="6" spans="1:19" x14ac:dyDescent="0.5">
      <c r="A6" s="46">
        <v>1</v>
      </c>
      <c r="B6" s="47" t="s">
        <v>3175</v>
      </c>
      <c r="D6" s="51" t="s">
        <v>3176</v>
      </c>
      <c r="F6" s="51" t="s">
        <v>3177</v>
      </c>
      <c r="H6" s="51" t="s">
        <v>3178</v>
      </c>
      <c r="J6" s="52" t="s">
        <v>2957</v>
      </c>
      <c r="L6" s="53" t="str" cm="1">
        <f t="array" ref="L6">textbetween(D6,F6,H6)</f>
        <v>x</v>
      </c>
      <c r="N6" s="54" t="str">
        <f>IF(L6=J6,"PASS","FAIL")</f>
        <v>PASS</v>
      </c>
    </row>
    <row r="8" spans="1:19" x14ac:dyDescent="0.5">
      <c r="A8" s="46">
        <v>2</v>
      </c>
      <c r="B8" s="47" t="s">
        <v>3179</v>
      </c>
      <c r="D8" s="51" t="s">
        <v>3180</v>
      </c>
      <c r="F8" s="51" t="s">
        <v>3181</v>
      </c>
      <c r="H8" s="51" t="s">
        <v>3182</v>
      </c>
      <c r="J8" s="52" t="s">
        <v>3063</v>
      </c>
      <c r="L8" s="53" t="str" cm="1">
        <f t="array" ref="L8">textbetween(D8,F8,H8)</f>
        <v>hi</v>
      </c>
      <c r="N8" s="54" t="str">
        <f>IF(L8=J8,"PASS","FAIL")</f>
        <v>PASS</v>
      </c>
    </row>
    <row r="10" spans="1:19" x14ac:dyDescent="0.5">
      <c r="A10" s="46">
        <v>3</v>
      </c>
      <c r="B10" s="47" t="s">
        <v>3183</v>
      </c>
      <c r="D10" s="51" t="s">
        <v>3184</v>
      </c>
      <c r="F10" s="51" t="s">
        <v>3185</v>
      </c>
      <c r="H10" s="51" t="s">
        <v>3186</v>
      </c>
      <c r="J10" s="52">
        <v>5</v>
      </c>
      <c r="L10" s="53" cm="1">
        <f t="array" ref="L10">textbetween(D10,F10,H10)</f>
        <v>5</v>
      </c>
      <c r="N10" s="54" t="str">
        <f>IF(L10=J10,"PASS","FAIL")</f>
        <v>PASS</v>
      </c>
    </row>
    <row r="12" spans="1:19" x14ac:dyDescent="0.5">
      <c r="A12" s="46">
        <v>4</v>
      </c>
      <c r="B12" s="47" t="s">
        <v>3187</v>
      </c>
      <c r="D12" s="51" t="s">
        <v>3072</v>
      </c>
      <c r="F12" s="51" t="s">
        <v>3177</v>
      </c>
      <c r="H12" s="51" t="s">
        <v>3178</v>
      </c>
      <c r="J12" s="52"/>
      <c r="L12" s="53" t="str" cm="1">
        <f t="array" ref="L12">textbetween(D12,F12,H12)</f>
        <v/>
      </c>
      <c r="N12" s="54" t="str">
        <f>IF(L12=J12,"PASS","FAIL")</f>
        <v>PASS</v>
      </c>
    </row>
    <row r="14" spans="1:19" x14ac:dyDescent="0.5">
      <c r="A14" s="46">
        <v>5</v>
      </c>
      <c r="B14" s="47" t="s">
        <v>3094</v>
      </c>
      <c r="D14" s="51" t="s">
        <v>3188</v>
      </c>
      <c r="F14" s="51" t="s">
        <v>3177</v>
      </c>
      <c r="H14" s="51" t="s">
        <v>3178</v>
      </c>
      <c r="J14" s="52" t="s">
        <v>2937</v>
      </c>
      <c r="L14" s="53" t="str" cm="1">
        <f t="array" ref="L14:L15">textbetween(D14:D15,F14,H14)</f>
        <v>a</v>
      </c>
      <c r="N14" s="54" t="str" cm="1">
        <f t="array" ref="N14">IF(AND(J14:J15=L14:L15),"PASS","FAIL")</f>
        <v>PASS</v>
      </c>
    </row>
    <row r="15" spans="1:19" x14ac:dyDescent="0.5">
      <c r="A15" s="55"/>
      <c r="B15" s="55"/>
      <c r="D15" s="51" t="s">
        <v>3189</v>
      </c>
      <c r="J15" s="52" t="s">
        <v>3190</v>
      </c>
      <c r="L15" s="53" t="str">
        <v>bc</v>
      </c>
    </row>
  </sheetData>
  <mergeCells count="3">
    <mergeCell ref="I1:R1"/>
    <mergeCell ref="B2:R2"/>
    <mergeCell ref="B1:F1"/>
  </mergeCells>
  <pageMargins left="0.75" right="0.75" top="1" bottom="1" header="0.5" footer="0.5"/>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349ED5-A141-457C-84EE-8D856A10B1C0}">
  <sheetPr codeName="Sheet92"/>
  <dimension ref="A1:S25"/>
  <sheetViews>
    <sheetView topLeftCell="A2" workbookViewId="0"/>
  </sheetViews>
  <sheetFormatPr defaultRowHeight="21" x14ac:dyDescent="0.5"/>
  <cols>
    <col min="1" max="1" width="4" customWidth="1"/>
    <col min="2" max="2" width="30" customWidth="1"/>
    <col min="4" max="8" width="11" customWidth="1"/>
    <col min="9" max="9" width="3" customWidth="1"/>
    <col min="10" max="11" width="11" customWidth="1"/>
    <col min="12" max="12" width="3" customWidth="1"/>
    <col min="13"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transform_array(arr, dir)</v>
      </c>
      <c r="C1" s="79"/>
      <c r="D1" s="79"/>
      <c r="E1" s="79"/>
      <c r="F1" s="80"/>
      <c r="H1" s="45" t="s">
        <v>2</v>
      </c>
      <c r="I1" s="78" t="str" cm="1">
        <f t="array" aca="1" ref="I1" ca="1">_xlfn.LET(_xlpm.fn, CELL("filename",$A$1), _xlpm.nm, MID(_xlpm.fn, FIND("]", _xlpm.fn) + 1, 255), _xlfn.XLOOKUP(_xlpm.nm &amp; "(*", Lamb!$A$2:$A$1000, Lamb!$D$2:$D$1000, "", 2))</f>
        <v>Rotates or flips a 2D array.
Arguments:
  arr - the array to transform.
  dir - one or two operation arrows: ↺ (rotate CCW), ↻ (rotate CW), ↕ (flip vertical), ↔ (flip horizontal). Concatenate two for a double operation ("↕↔", "↺↺").
Returns:
  The transformed array, or #VALUE! if dir contains an unrecognized operation or more than two operations.
Example:
  transform_array(board, "↻")</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dir, LET(
   base, arr,
   is_scalar, AND(ROWS(base) = 1, COLUMNS(base) = 1),
   op_count, LEN(dir),
   apply_one, LAMBDA(cur, op, LET(
      row_count, ROWS(cur),
      col_count, COLUMNS(cur),
      IF(
         op = "↻",
         MAKEARRAY(
            col_count,
            row_count,
            LAMBDA(i, j, INDEX(cur, row_count - j + 1, i))
         ),
         IF(
            op = "↺",
            MAKEARRAY(
               col_count,
               row_count,
               LAMBDA(i, j, INDEX(cur, j, col_count - i + 1))
            ),
            IF(
               op = "↕",
               MAKEARRAY(
                  row_count,
                  col_count,
                  LAMBDA(i, j, INDEX(cur, row_count - i + 1, j))
               ),
               IF(
                  op = "↔",
                  MAKEARRAY(
                     row_count,
                     col_count,
                     LAMBDA(i, j, INDEX(cur, i, col_count - j + 1))
                  ),
                  #VALUE!
               )
            )
         )
      )
   )),
   IF(
      is_scalar,
      base,
      IF(
         op_count = 0,
         base,
         IF(
            op_count &gt; 2,
            #VALUE!,
            REDUCE(
               base,
               SEQUENCE(op_count),
               LAMBDA(cur, k, apply_one(cur, MID(dir, k, 1)))
            )
         )
      )
   )
))</v>
      </c>
      <c r="C2" s="82"/>
      <c r="D2" s="82"/>
      <c r="E2" s="82"/>
      <c r="F2" s="82"/>
      <c r="G2" s="82"/>
      <c r="H2" s="82"/>
      <c r="I2" s="82"/>
      <c r="J2" s="82"/>
      <c r="K2" s="82"/>
      <c r="L2" s="82"/>
      <c r="M2" s="82"/>
      <c r="N2" s="82"/>
      <c r="O2" s="82"/>
      <c r="P2" s="82"/>
      <c r="Q2" s="82"/>
      <c r="R2" s="82"/>
    </row>
    <row r="4" spans="1:19" x14ac:dyDescent="0.5">
      <c r="A4" s="45" t="s">
        <v>3191</v>
      </c>
      <c r="P4" s="45" t="str">
        <f>COUNTIF(P6:P25,"PASS")&amp;" / 7 PASS"</f>
        <v>7 / 7 PASS</v>
      </c>
    </row>
    <row r="5" spans="1:19" x14ac:dyDescent="0.5">
      <c r="A5" s="45" t="s">
        <v>7</v>
      </c>
      <c r="B5" s="45" t="s">
        <v>8</v>
      </c>
      <c r="D5" s="45" t="s">
        <v>9</v>
      </c>
      <c r="J5" s="48" t="s">
        <v>10</v>
      </c>
      <c r="M5" s="49" t="s">
        <v>11</v>
      </c>
      <c r="P5" s="50" t="s">
        <v>12</v>
      </c>
    </row>
    <row r="6" spans="1:19" x14ac:dyDescent="0.5">
      <c r="A6" s="46">
        <v>1</v>
      </c>
      <c r="B6" s="47" t="s">
        <v>3192</v>
      </c>
      <c r="D6" s="51">
        <v>1</v>
      </c>
      <c r="E6" s="51">
        <v>2</v>
      </c>
      <c r="G6" s="51" t="s">
        <v>538</v>
      </c>
      <c r="J6" s="52">
        <v>2</v>
      </c>
      <c r="K6" s="52">
        <v>1</v>
      </c>
      <c r="M6" s="53" cm="1">
        <f t="array" ref="M6:N7">transform_array(D6:E7,G6)</f>
        <v>2</v>
      </c>
      <c r="N6" s="53">
        <v>1</v>
      </c>
      <c r="P6" s="54" t="str" cm="1">
        <f t="array" ref="P6">IF(AND(J6:K7=M6:N7),"PASS","FAIL")</f>
        <v>PASS</v>
      </c>
    </row>
    <row r="7" spans="1:19" x14ac:dyDescent="0.5">
      <c r="A7" s="55"/>
      <c r="B7" s="55"/>
      <c r="D7" s="51">
        <v>3</v>
      </c>
      <c r="E7" s="51">
        <v>4</v>
      </c>
      <c r="J7" s="52">
        <v>4</v>
      </c>
      <c r="K7" s="52">
        <v>3</v>
      </c>
      <c r="M7" s="53">
        <v>4</v>
      </c>
      <c r="N7" s="53">
        <v>3</v>
      </c>
    </row>
    <row r="9" spans="1:19" x14ac:dyDescent="0.5">
      <c r="A9" s="46">
        <v>2</v>
      </c>
      <c r="B9" s="47" t="s">
        <v>3193</v>
      </c>
      <c r="D9" s="51">
        <v>1</v>
      </c>
      <c r="E9" s="51">
        <v>2</v>
      </c>
      <c r="G9" s="51" t="s">
        <v>555</v>
      </c>
      <c r="J9" s="52">
        <v>3</v>
      </c>
      <c r="K9" s="52">
        <v>4</v>
      </c>
      <c r="M9" s="53" cm="1">
        <f t="array" ref="M9:N10">transform_array(D9:E10,G9)</f>
        <v>3</v>
      </c>
      <c r="N9" s="53">
        <v>4</v>
      </c>
      <c r="P9" s="54" t="str" cm="1">
        <f t="array" ref="P9">IF(AND(J9:K10=M9:N10),"PASS","FAIL")</f>
        <v>PASS</v>
      </c>
    </row>
    <row r="10" spans="1:19" x14ac:dyDescent="0.5">
      <c r="A10" s="55"/>
      <c r="B10" s="55"/>
      <c r="D10" s="51">
        <v>3</v>
      </c>
      <c r="E10" s="51">
        <v>4</v>
      </c>
      <c r="J10" s="52">
        <v>1</v>
      </c>
      <c r="K10" s="52">
        <v>2</v>
      </c>
      <c r="M10" s="53">
        <v>1</v>
      </c>
      <c r="N10" s="53">
        <v>2</v>
      </c>
    </row>
    <row r="12" spans="1:19" x14ac:dyDescent="0.5">
      <c r="A12" s="46">
        <v>3</v>
      </c>
      <c r="B12" s="47" t="s">
        <v>3194</v>
      </c>
      <c r="D12" s="51">
        <v>1</v>
      </c>
      <c r="E12" s="51">
        <v>2</v>
      </c>
      <c r="G12" s="51" t="s">
        <v>564</v>
      </c>
      <c r="J12" s="52">
        <v>3</v>
      </c>
      <c r="K12" s="52">
        <v>1</v>
      </c>
      <c r="M12" s="53" cm="1">
        <f t="array" ref="M12:N13">transform_array(D12:E13,G12)</f>
        <v>3</v>
      </c>
      <c r="N12" s="53">
        <v>1</v>
      </c>
      <c r="P12" s="54" t="str" cm="1">
        <f t="array" ref="P12">IF(AND(J12:K13=M12:N13),"PASS","FAIL")</f>
        <v>PASS</v>
      </c>
    </row>
    <row r="13" spans="1:19" x14ac:dyDescent="0.5">
      <c r="A13" s="55"/>
      <c r="B13" s="55"/>
      <c r="D13" s="51">
        <v>3</v>
      </c>
      <c r="E13" s="51">
        <v>4</v>
      </c>
      <c r="J13" s="52">
        <v>4</v>
      </c>
      <c r="K13" s="52">
        <v>2</v>
      </c>
      <c r="M13" s="53">
        <v>4</v>
      </c>
      <c r="N13" s="53">
        <v>2</v>
      </c>
    </row>
    <row r="15" spans="1:19" x14ac:dyDescent="0.5">
      <c r="A15" s="46">
        <v>4</v>
      </c>
      <c r="B15" s="47" t="s">
        <v>3195</v>
      </c>
      <c r="D15" s="51">
        <v>1</v>
      </c>
      <c r="E15" s="51">
        <v>2</v>
      </c>
      <c r="G15" s="51" t="s">
        <v>573</v>
      </c>
      <c r="J15" s="52">
        <v>2</v>
      </c>
      <c r="K15" s="52">
        <v>4</v>
      </c>
      <c r="M15" s="53" cm="1">
        <f t="array" ref="M15:N16">transform_array(D15:E16,G15)</f>
        <v>2</v>
      </c>
      <c r="N15" s="53">
        <v>4</v>
      </c>
      <c r="P15" s="54" t="str" cm="1">
        <f t="array" ref="P15">IF(AND(J15:K16=M15:N16),"PASS","FAIL")</f>
        <v>PASS</v>
      </c>
    </row>
    <row r="16" spans="1:19" x14ac:dyDescent="0.5">
      <c r="A16" s="55"/>
      <c r="B16" s="55"/>
      <c r="D16" s="51">
        <v>3</v>
      </c>
      <c r="E16" s="51">
        <v>4</v>
      </c>
      <c r="J16" s="52">
        <v>1</v>
      </c>
      <c r="K16" s="52">
        <v>3</v>
      </c>
      <c r="M16" s="53">
        <v>1</v>
      </c>
      <c r="N16" s="53">
        <v>3</v>
      </c>
    </row>
    <row r="18" spans="1:16" x14ac:dyDescent="0.5">
      <c r="A18" s="46">
        <v>5</v>
      </c>
      <c r="B18" s="47" t="s">
        <v>3196</v>
      </c>
      <c r="D18" s="51">
        <v>1</v>
      </c>
      <c r="E18" s="51">
        <v>2</v>
      </c>
      <c r="G18" s="51" t="s">
        <v>3197</v>
      </c>
      <c r="J18" s="52">
        <v>4</v>
      </c>
      <c r="K18" s="52">
        <v>3</v>
      </c>
      <c r="M18" s="53" cm="1">
        <f t="array" ref="M18:N19">transform_array(D18:E19,G18)</f>
        <v>4</v>
      </c>
      <c r="N18" s="53">
        <v>3</v>
      </c>
      <c r="P18" s="54" t="str" cm="1">
        <f t="array" ref="P18">IF(AND(J18:K19=M18:N19),"PASS","FAIL")</f>
        <v>PASS</v>
      </c>
    </row>
    <row r="19" spans="1:16" x14ac:dyDescent="0.5">
      <c r="A19" s="55"/>
      <c r="B19" s="55"/>
      <c r="D19" s="51">
        <v>3</v>
      </c>
      <c r="E19" s="51">
        <v>4</v>
      </c>
      <c r="J19" s="52">
        <v>2</v>
      </c>
      <c r="K19" s="52">
        <v>1</v>
      </c>
      <c r="M19" s="53">
        <v>2</v>
      </c>
      <c r="N19" s="53">
        <v>1</v>
      </c>
    </row>
    <row r="21" spans="1:16" x14ac:dyDescent="0.5">
      <c r="A21" s="46">
        <v>6</v>
      </c>
      <c r="B21" s="47" t="s">
        <v>3198</v>
      </c>
      <c r="D21" s="51">
        <v>1</v>
      </c>
      <c r="E21" s="51">
        <v>2</v>
      </c>
      <c r="F21" s="51">
        <v>3</v>
      </c>
      <c r="H21" s="51" t="s">
        <v>564</v>
      </c>
      <c r="J21" s="52">
        <v>4</v>
      </c>
      <c r="K21" s="52">
        <v>1</v>
      </c>
      <c r="M21" s="53" cm="1">
        <f t="array" ref="M21:N23">transform_array(D21:F22,H21)</f>
        <v>4</v>
      </c>
      <c r="N21" s="53">
        <v>1</v>
      </c>
      <c r="P21" s="54" t="str" cm="1">
        <f t="array" ref="P21">IF(AND(J21:K23=M21:N23),"PASS","FAIL")</f>
        <v>PASS</v>
      </c>
    </row>
    <row r="22" spans="1:16" x14ac:dyDescent="0.5">
      <c r="A22" s="55"/>
      <c r="B22" s="55"/>
      <c r="D22" s="51">
        <v>4</v>
      </c>
      <c r="E22" s="51">
        <v>5</v>
      </c>
      <c r="F22" s="51">
        <v>6</v>
      </c>
      <c r="J22" s="52">
        <v>5</v>
      </c>
      <c r="K22" s="52">
        <v>2</v>
      </c>
      <c r="M22" s="53">
        <v>5</v>
      </c>
      <c r="N22" s="53">
        <v>2</v>
      </c>
    </row>
    <row r="23" spans="1:16" x14ac:dyDescent="0.5">
      <c r="A23" s="55"/>
      <c r="B23" s="55"/>
      <c r="J23" s="52">
        <v>6</v>
      </c>
      <c r="K23" s="52">
        <v>3</v>
      </c>
      <c r="M23" s="53">
        <v>6</v>
      </c>
      <c r="N23" s="53">
        <v>3</v>
      </c>
    </row>
    <row r="25" spans="1:16" x14ac:dyDescent="0.5">
      <c r="A25" s="46">
        <v>7</v>
      </c>
      <c r="B25" s="47" t="s">
        <v>3287</v>
      </c>
      <c r="J25" s="52" t="s">
        <v>3288</v>
      </c>
      <c r="M25" s="53" t="e" cm="1">
        <f t="array" ref="M25">transform_array({1,2;3,4},"Z")</f>
        <v>#VALUE!</v>
      </c>
      <c r="P25" s="54" t="str">
        <f>IF(ERROR.TYPE(M25)=3,"PASS","FAIL")</f>
        <v>PASS</v>
      </c>
    </row>
  </sheetData>
  <mergeCells count="3">
    <mergeCell ref="I1:R1"/>
    <mergeCell ref="B2:R2"/>
    <mergeCell ref="B1:F1"/>
  </mergeCells>
  <pageMargins left="0.75" right="0.75" top="1" bottom="1" header="0.5" footer="0.5"/>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F4A65-8614-4EAA-9B0D-F7E95A7175B4}">
  <sheetPr codeName="Sheet93"/>
  <dimension ref="A1:V9"/>
  <sheetViews>
    <sheetView workbookViewId="0"/>
  </sheetViews>
  <sheetFormatPr defaultRowHeight="21" x14ac:dyDescent="0.5"/>
  <cols>
    <col min="1" max="1" width="4" customWidth="1"/>
    <col min="2" max="2" width="30" customWidth="1"/>
    <col min="4" max="12" width="11" customWidth="1"/>
    <col min="13" max="13" width="3" customWidth="1"/>
    <col min="14" max="16" width="11" customWidth="1"/>
    <col min="17" max="17" width="3" customWidth="1"/>
    <col min="18" max="20" width="11" customWidth="1"/>
    <col min="21" max="21" width="3" customWidth="1"/>
    <col min="22" max="22" width="9" customWidth="1"/>
  </cols>
  <sheetData>
    <row r="1" spans="1:22" ht="273" customHeight="1" x14ac:dyDescent="0.5">
      <c r="A1" s="45" t="s">
        <v>0</v>
      </c>
      <c r="B1" s="83" t="str" cm="1">
        <f t="array" aca="1" ref="B1" ca="1">_xlfn.LET(_xlpm.fn, CELL("filename",$A$1), _xlpm.nm, MID(_xlpm.fn, FIND("]", _xlpm.fn) + 1, 255), _xlfn.XLOOKUP(_xlpm.nm &amp; "(*", Lamb!$A$2:$A$1000, Lamb!$A$2:$A$1000, "", 2))</f>
        <v>update_arr( array, r, c, value)</v>
      </c>
      <c r="C1" s="79"/>
      <c r="D1" s="79"/>
      <c r="E1" s="79"/>
      <c r="F1" s="80"/>
      <c r="H1" s="45" t="s">
        <v>2</v>
      </c>
      <c r="I1" s="78" t="str" cm="1">
        <f t="array" aca="1" ref="I1" ca="1">_xlfn.LET(_xlpm.fn, CELL("filename",$A$1), _xlpm.nm, MID(_xlpm.fn, FIND("]", _xlpm.fn) + 1, 255), _xlfn.XLOOKUP(_xlpm.nm &amp; "(*", Lamb!$A$2:$A$1000, Lamb!$D$2:$D$1000, "", 2))</f>
        <v>Returns an array with a single cell replaced.
Arguments:
  array - the source array.
  r     - row index of the cell to change.
  c     - column index of the cell to change.
  value - the new value for that cell.
Returns:
  A copy of array with (r, c) set to value.
Example:
  update_arr(grid, 2, 3, "x")</v>
      </c>
      <c r="J1" s="79"/>
      <c r="K1" s="79"/>
      <c r="L1" s="79"/>
      <c r="M1" s="79"/>
      <c r="N1" s="79"/>
      <c r="O1" s="79"/>
      <c r="P1" s="79"/>
      <c r="Q1" s="79"/>
      <c r="R1" s="80"/>
      <c r="S1" s="77" t="str">
        <f>HYPERLINK("#lambda_tests!A1","&lt;- test summary")</f>
        <v>&lt;- test summary</v>
      </c>
    </row>
    <row r="2" spans="1:22" ht="168" customHeight="1" x14ac:dyDescent="0.5">
      <c r="A2" s="45" t="s">
        <v>4</v>
      </c>
      <c r="B2" s="81" t="str" cm="1">
        <f t="array" aca="1" ref="B2" ca="1">_xlfn.LET(_xlpm.fn, CELL("filename",$A$1), _xlpm.nm, MID(_xlpm.fn, FIND("]", _xlpm.fn) + 1, 255), _xlfn.XLOOKUP(_xlpm.nm &amp; "(*", Lamb!$A$2:$A$1000, Lamb!$C$2:$C$1000, "", 2))</f>
        <v>=LAMBDA(array, r, c, value, LET(
   arr, array,
   MAKEARRAY(
      ROWS(arr),
      COLUMNS(arr),
      LAMBDA(i, j, IF((i = r) * (j = c), value, INDEX(arr, i, j)))
   )
))</v>
      </c>
      <c r="C2" s="82"/>
      <c r="D2" s="82"/>
      <c r="E2" s="82"/>
      <c r="F2" s="82"/>
      <c r="G2" s="82"/>
      <c r="H2" s="82"/>
      <c r="I2" s="82"/>
      <c r="J2" s="82"/>
      <c r="K2" s="82"/>
      <c r="L2" s="82"/>
      <c r="M2" s="82"/>
      <c r="N2" s="82"/>
      <c r="O2" s="82"/>
      <c r="P2" s="82"/>
      <c r="Q2" s="82"/>
      <c r="R2" s="82"/>
    </row>
    <row r="4" spans="1:22" x14ac:dyDescent="0.5">
      <c r="A4" s="45" t="s">
        <v>3199</v>
      </c>
      <c r="V4" s="45" t="str">
        <f>COUNTIF(V6:V11,"PASS")&amp;" / 2 PASS"</f>
        <v>2 / 2 PASS</v>
      </c>
    </row>
    <row r="5" spans="1:22" x14ac:dyDescent="0.5">
      <c r="A5" s="45" t="s">
        <v>7</v>
      </c>
      <c r="B5" s="45" t="s">
        <v>8</v>
      </c>
      <c r="D5" s="45" t="s">
        <v>9</v>
      </c>
      <c r="N5" s="48" t="s">
        <v>10</v>
      </c>
      <c r="R5" s="49" t="s">
        <v>11</v>
      </c>
      <c r="V5" s="50" t="s">
        <v>12</v>
      </c>
    </row>
    <row r="6" spans="1:22" x14ac:dyDescent="0.5">
      <c r="A6" s="46">
        <v>1</v>
      </c>
      <c r="B6" s="47" t="s">
        <v>3200</v>
      </c>
      <c r="D6" s="51">
        <v>1</v>
      </c>
      <c r="E6" s="51">
        <v>2</v>
      </c>
      <c r="G6" s="51">
        <v>2</v>
      </c>
      <c r="I6" s="51">
        <v>1</v>
      </c>
      <c r="K6" s="51">
        <v>9</v>
      </c>
      <c r="N6" s="52">
        <v>1</v>
      </c>
      <c r="O6" s="52">
        <v>2</v>
      </c>
      <c r="R6" s="53" cm="1">
        <f t="array" ref="R6:S7">update_arr(D6:E7,G6,I6,K6)</f>
        <v>1</v>
      </c>
      <c r="S6" s="53">
        <v>2</v>
      </c>
      <c r="V6" s="54" t="str" cm="1">
        <f t="array" ref="V6">IF(AND(N6:O7=R6:S7),"PASS","FAIL")</f>
        <v>PASS</v>
      </c>
    </row>
    <row r="7" spans="1:22" x14ac:dyDescent="0.5">
      <c r="A7" s="55"/>
      <c r="B7" s="55"/>
      <c r="D7" s="51">
        <v>3</v>
      </c>
      <c r="E7" s="51">
        <v>4</v>
      </c>
      <c r="N7" s="52">
        <v>9</v>
      </c>
      <c r="O7" s="52">
        <v>4</v>
      </c>
      <c r="R7" s="53">
        <v>9</v>
      </c>
      <c r="S7" s="53">
        <v>4</v>
      </c>
    </row>
    <row r="9" spans="1:22" x14ac:dyDescent="0.5">
      <c r="A9" s="46">
        <v>2</v>
      </c>
      <c r="B9" s="47" t="s">
        <v>3201</v>
      </c>
      <c r="D9" s="51">
        <v>1</v>
      </c>
      <c r="E9" s="51">
        <v>2</v>
      </c>
      <c r="F9" s="51">
        <v>3</v>
      </c>
      <c r="H9" s="51">
        <v>1</v>
      </c>
      <c r="J9" s="51">
        <v>3</v>
      </c>
      <c r="L9" s="51">
        <v>0</v>
      </c>
      <c r="N9" s="52">
        <v>1</v>
      </c>
      <c r="O9" s="52">
        <v>2</v>
      </c>
      <c r="P9" s="52">
        <v>0</v>
      </c>
      <c r="R9" s="53" cm="1">
        <f t="array" ref="R9:T9">update_arr(D9:F9,H9,J9,L9)</f>
        <v>1</v>
      </c>
      <c r="S9" s="53">
        <v>2</v>
      </c>
      <c r="T9" s="53">
        <v>0</v>
      </c>
      <c r="V9" s="54" t="str" cm="1">
        <f t="array" ref="V9">IF(AND(N9:P9=R9:T9),"PASS","FAIL")</f>
        <v>PASS</v>
      </c>
    </row>
  </sheetData>
  <mergeCells count="3">
    <mergeCell ref="I1:R1"/>
    <mergeCell ref="B2:R2"/>
    <mergeCell ref="B1:F1"/>
  </mergeCells>
  <pageMargins left="0.75" right="0.75" top="1" bottom="1" header="0.5" footer="0.5"/>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E0DFB-9EBE-410B-8E5E-CC4C2F2AFF0E}">
  <sheetPr codeName="Sheet94"/>
  <dimension ref="A1:Y19"/>
  <sheetViews>
    <sheetView workbookViewId="0"/>
  </sheetViews>
  <sheetFormatPr defaultRowHeight="21" x14ac:dyDescent="0.5"/>
  <cols>
    <col min="1" max="1" width="4" customWidth="1"/>
    <col min="2" max="2" width="26" customWidth="1"/>
    <col min="4" max="5" width="11" customWidth="1"/>
    <col min="6" max="6" width="3" customWidth="1"/>
    <col min="7" max="14" width="11" customWidth="1"/>
    <col min="15" max="15" width="3" customWidth="1"/>
    <col min="16" max="23" width="11" customWidth="1"/>
    <col min="24" max="24" width="3" customWidth="1"/>
    <col min="25" max="25" width="9" customWidth="1"/>
  </cols>
  <sheetData>
    <row r="1" spans="1:25" ht="273" customHeight="1" x14ac:dyDescent="0.5">
      <c r="A1" s="45" t="s">
        <v>0</v>
      </c>
      <c r="B1" s="83" t="str" cm="1">
        <f t="array" aca="1" ref="B1" ca="1">_xlfn.LET(_xlpm.fn, CELL("filename",$A$1), _xlpm.nm, MID(_xlpm.fn, FIND("]", _xlpm.fn) + 1, 255), _xlfn.XLOOKUP(_xlpm.nm &amp; "(*", Lamb!$A$2:$A$1000, Lamb!$A$2:$A$1000, "", 2))</f>
        <v>xbyrow(arr, function)</v>
      </c>
      <c r="C1" s="79"/>
      <c r="D1" s="79"/>
      <c r="E1" s="79"/>
      <c r="F1" s="80"/>
      <c r="H1" s="45" t="s">
        <v>2</v>
      </c>
      <c r="I1" s="78" t="str" cm="1">
        <f t="array" aca="1" ref="I1" ca="1">_xlfn.LET(_xlpm.fn, CELL("filename",$A$1), _xlpm.nm, MID(_xlpm.fn, FIND("]", _xlpm.fn) + 1, 255), _xlfn.XLOOKUP(_xlpm.nm &amp; "(*", Lamb!$A$2:$A$1000, Lamb!$D$2:$D$1000, "", 2))</f>
        <v>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v>
      </c>
      <c r="J1" s="79"/>
      <c r="K1" s="79"/>
      <c r="L1" s="79"/>
      <c r="M1" s="79"/>
      <c r="N1" s="79"/>
      <c r="O1" s="79"/>
      <c r="P1" s="79"/>
      <c r="Q1" s="79"/>
      <c r="R1" s="80"/>
      <c r="S1" s="77" t="str">
        <f>HYPERLINK("#lambda_tests!A1","&lt;- test summary")</f>
        <v>&lt;- test summary</v>
      </c>
    </row>
    <row r="2" spans="1:25" ht="63" customHeight="1" x14ac:dyDescent="0.5">
      <c r="A2" s="45" t="s">
        <v>4</v>
      </c>
      <c r="B2" s="81" t="str" cm="1">
        <f t="array" aca="1" ref="B2" ca="1">_xlfn.LET(_xlpm.fn, CELL("filename",$A$1), _xlpm.nm, MID(_xlpm.fn, FIND("]", _xlpm.fn) + 1, 255), _xlfn.XLOOKUP(_xlpm.nm &amp; "(*", Lamb!$A$2:$A$1000, Lamb!$C$2:$C$1000, "", 2))</f>
        <v>=LAMBDA(arr, function,
  IFNA(z_xbyrow_ix(arr, function, 1, ROWS(arr)), "")
)</v>
      </c>
      <c r="C2" s="82"/>
      <c r="D2" s="82"/>
      <c r="E2" s="82"/>
      <c r="F2" s="82"/>
      <c r="G2" s="82"/>
      <c r="H2" s="82"/>
      <c r="I2" s="82"/>
      <c r="J2" s="82"/>
      <c r="K2" s="82"/>
      <c r="L2" s="82"/>
      <c r="M2" s="82"/>
      <c r="N2" s="82"/>
      <c r="O2" s="82"/>
      <c r="P2" s="82"/>
      <c r="Q2" s="82"/>
      <c r="R2" s="82"/>
    </row>
    <row r="4" spans="1:25" x14ac:dyDescent="0.5">
      <c r="A4" s="45" t="s">
        <v>3202</v>
      </c>
      <c r="Y4" s="45">
        <f>COUNTIF(Y6:Y60,"PASS")&amp;" / 5 PASS"</f>
      </c>
    </row>
    <row r="5" spans="1:25" x14ac:dyDescent="0.5">
      <c r="A5" s="45" t="s">
        <v>7</v>
      </c>
      <c r="B5" s="45" t="s">
        <v>8</v>
      </c>
      <c r="D5" s="45" t="s">
        <v>9</v>
      </c>
      <c r="G5" s="48" t="s">
        <v>10</v>
      </c>
      <c r="P5" s="49" t="s">
        <v>11</v>
      </c>
      <c r="Y5" s="50" t="s">
        <v>12</v>
      </c>
    </row>
    <row r="6" spans="1:25" x14ac:dyDescent="0.5">
      <c r="A6" s="46">
        <v>1</v>
      </c>
      <c r="B6" s="47" t="s">
        <v>3203</v>
      </c>
      <c r="D6" s="51">
        <v>1</v>
      </c>
      <c r="G6" s="52">
        <v>10</v>
      </c>
      <c r="P6" s="53" cm="1">
        <f t="array" ref="P6:P8">xbyrow(D6:D8, _xlfn.LAMBDA(_xlpm.x, _xlpm.x*10))</f>
        <v>10</v>
      </c>
      <c r="Y6" s="54" t="str" cm="1">
        <f t="array" ref="Y6">IF(AND(G6:G8=P6:P8),"PASS","FAIL")</f>
        <v>PASS</v>
      </c>
    </row>
    <row r="7" spans="1:25" x14ac:dyDescent="0.5">
      <c r="A7" s="55"/>
      <c r="B7" s="55"/>
      <c r="D7" s="51">
        <v>2</v>
      </c>
      <c r="G7" s="52">
        <v>20</v>
      </c>
      <c r="P7" s="53">
        <v>20</v>
      </c>
    </row>
    <row r="8" spans="1:25" x14ac:dyDescent="0.5">
      <c r="A8" s="55"/>
      <c r="B8" s="55"/>
      <c r="D8" s="51">
        <v>3</v>
      </c>
      <c r="G8" s="52">
        <v>30</v>
      </c>
      <c r="P8" s="53">
        <v>30</v>
      </c>
    </row>
    <row r="10" spans="1:25" x14ac:dyDescent="0.5">
      <c r="A10" s="46">
        <v>2</v>
      </c>
      <c r="B10" s="47" t="s">
        <v>3204</v>
      </c>
      <c r="D10" s="51">
        <v>1</v>
      </c>
      <c r="G10" s="52">
        <v>1</v>
      </c>
      <c r="H10" s="52">
        <v>2</v>
      </c>
      <c r="P10" s="53" cm="1">
        <f t="array" ref="P10:Q12">xbyrow(D10:D12, _xlfn.LAMBDA(_xlpm.x, _xlfn.SEQUENCE(1,2,_xlpm.x)))</f>
        <v>1</v>
      </c>
      <c r="Q10" s="53">
        <v>2</v>
      </c>
      <c r="Y10" s="54" t="str" cm="1">
        <f t="array" ref="Y10">IF(AND(G10:H12=P10:Q12),"PASS","FAIL")</f>
        <v>PASS</v>
      </c>
    </row>
    <row r="11" spans="1:25" x14ac:dyDescent="0.5">
      <c r="A11" s="55"/>
      <c r="B11" s="55"/>
      <c r="D11" s="51">
        <v>2</v>
      </c>
      <c r="G11" s="52">
        <v>2</v>
      </c>
      <c r="H11" s="52">
        <v>3</v>
      </c>
      <c r="P11" s="53">
        <v>2</v>
      </c>
      <c r="Q11" s="53">
        <v>3</v>
      </c>
    </row>
    <row r="12" spans="1:25" x14ac:dyDescent="0.5">
      <c r="A12" s="55"/>
      <c r="B12" s="55"/>
      <c r="D12" s="51">
        <v>3</v>
      </c>
      <c r="G12" s="52">
        <v>3</v>
      </c>
      <c r="H12" s="52">
        <v>4</v>
      </c>
      <c r="P12" s="53">
        <v>3</v>
      </c>
      <c r="Q12" s="53">
        <v>4</v>
      </c>
    </row>
    <row r="14" spans="1:25" x14ac:dyDescent="0.5">
      <c r="A14" s="46">
        <v>3</v>
      </c>
      <c r="B14" s="47" t="s">
        <v>3205</v>
      </c>
      <c r="D14" s="51">
        <v>4</v>
      </c>
      <c r="E14" s="51">
        <v>1</v>
      </c>
      <c r="G14" s="52">
        <v>1</v>
      </c>
      <c r="P14" s="53" t="e" cm="1">
        <f t="array" aca="1" ref="P14" ca="1">xbyrow(D14:E16, min)</f>
        <v>#NAME?</v>
      </c>
      <c r="Y14" s="54" t="e" cm="1">
        <f t="array" aca="1" ref="Y14" ca="1">IF(AND(G14:G16=P14:P16),"PASS","FAIL")</f>
        <v>#NAME?</v>
      </c>
    </row>
    <row r="15" spans="1:25" x14ac:dyDescent="0.5">
      <c r="A15" s="55"/>
      <c r="B15" s="55"/>
      <c r="D15" s="51">
        <v>9</v>
      </c>
      <c r="E15" s="51">
        <v>2</v>
      </c>
      <c r="G15" s="52">
        <v>2</v>
      </c>
      <c r="P15" s="53"/>
    </row>
    <row r="16" spans="1:25" x14ac:dyDescent="0.5">
      <c r="A16" s="55"/>
      <c r="B16" s="55"/>
      <c r="D16" s="51">
        <v>7</v>
      </c>
      <c r="E16" s="51">
        <v>5</v>
      </c>
      <c r="G16" s="52">
        <v>5</v>
      </c>
      <c r="P16" s="53"/>
    </row>
    <row r="18" spans="1:25" x14ac:dyDescent="0.5">
      <c r="A18" s="46">
        <v>4</v>
      </c>
      <c r="B18" s="47" t="s">
        <v>3206</v>
      </c>
      <c r="D18" s="51" t="s">
        <v>3049</v>
      </c>
      <c r="G18" s="52" t="s">
        <v>2925</v>
      </c>
      <c r="H18" s="52" t="s">
        <v>3021</v>
      </c>
      <c r="I18" s="52" t="s">
        <v>3053</v>
      </c>
      <c r="J18" s="52" t="s">
        <v>3050</v>
      </c>
      <c r="K18" s="52" t="s">
        <v>3051</v>
      </c>
      <c r="L18" s="52" t="s">
        <v>2928</v>
      </c>
      <c r="M18" s="52" t="s">
        <v>3017</v>
      </c>
      <c r="N18" s="52" t="s">
        <v>2990</v>
      </c>
      <c r="P18" s="53" t="str" cm="1">
        <f t="array" ref="P18:W19">xbyrow(D18:D19, neighbors_list)</f>
        <v>A1</v>
      </c>
      <c r="Q18" s="53" t="str">
        <v>B1</v>
      </c>
      <c r="R18" s="53" t="str">
        <v>C1</v>
      </c>
      <c r="S18" s="53" t="str">
        <v>A2</v>
      </c>
      <c r="T18" s="53" t="str">
        <v>C2</v>
      </c>
      <c r="U18" s="53" t="str">
        <v>A3</v>
      </c>
      <c r="V18" s="53" t="str">
        <v>B3</v>
      </c>
      <c r="W18" s="53" t="str">
        <v>C3</v>
      </c>
      <c r="Y18" s="54" t="str" cm="1">
        <f t="array" ref="Y18">IF(AND(G18:N19=P18:W19),"PASS","FAIL")</f>
        <v>PASS</v>
      </c>
    </row>
    <row r="19" spans="1:25" x14ac:dyDescent="0.5">
      <c r="A19" s="55"/>
      <c r="B19" s="55"/>
      <c r="D19" s="51" t="s">
        <v>3207</v>
      </c>
      <c r="G19" s="52" t="s">
        <v>3208</v>
      </c>
      <c r="H19" s="52" t="s">
        <v>3058</v>
      </c>
      <c r="I19" s="52" t="s">
        <v>2997</v>
      </c>
      <c r="J19" s="52" t="s">
        <v>3209</v>
      </c>
      <c r="K19" s="52" t="s">
        <v>3210</v>
      </c>
      <c r="L19" s="52" t="s">
        <v>3211</v>
      </c>
      <c r="M19" s="52" t="s">
        <v>3212</v>
      </c>
      <c r="N19" s="52" t="s">
        <v>3213</v>
      </c>
      <c r="P19" s="53" t="str">
        <v>A4</v>
      </c>
      <c r="Q19" s="53" t="str">
        <v>B4</v>
      </c>
      <c r="R19" s="53" t="str">
        <v>C4</v>
      </c>
      <c r="S19" s="53" t="str">
        <v>A5</v>
      </c>
      <c r="T19" s="53" t="str">
        <v>C5</v>
      </c>
      <c r="U19" s="53" t="str">
        <v>A6</v>
      </c>
      <c r="V19" s="53" t="str">
        <v>B6</v>
      </c>
      <c r="W19" s="53" t="str">
        <v>C6</v>
      </c>
    </row>
    <row r="22">
      <c r="A22">
        <v>5</v>
      </c>
      <c r="B22" s="55" t="inlineStr">
        <is>
          <t xml:space="preserve">&gt;255-char value survives (IFERROR/IFNA would blank it)</t>
        </is>
      </c>
      <c r="D22" s="51" t="inlineStr">
        <is>
          <t xml:space="preserve">a</t>
        </is>
      </c>
      <c r="G22" s="52" t="inlineStr">
        <is>
          <t xml:space="preserve">a</t>
        </is>
      </c>
      <c r="P22" s="53" cm="1">
        <f t="array" ref="P22:P23">xbyrow(D22:D23,_xlfn.LAMBDA(_xlpm.x,_xlpm.x))</f>
        <v>0</v>
      </c>
      <c r="Y22" cm="1">
        <f t="array" ref="Y22">IF(AND(G22:G23=P22:P23),"PASS","FAIL")</f>
        <v>0</v>
      </c>
    </row>
    <row r="23">
      <c r="D23">
        <f>REPT("z",300)</f>
      </c>
      <c r="G23" s="52">
        <f>REPT("z",300)</f>
      </c>
    </row>
  </sheetData>
  <mergeCells count="3">
    <mergeCell ref="I1:R1"/>
    <mergeCell ref="B2:R2"/>
    <mergeCell ref="B1:F1"/>
  </mergeCells>
  <pageMargins left="0.75" right="0.75" top="1" bottom="1" header="0.5" footer="0.5"/>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CB73E9-E3F3-42F5-AD36-59CE90B61391}">
  <sheetPr codeName="Sheet95"/>
  <dimension ref="A1:S2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xcountif(arr, criteria)</v>
      </c>
      <c r="C1" s="79"/>
      <c r="D1" s="79"/>
      <c r="E1" s="79"/>
      <c r="F1" s="80"/>
      <c r="H1" s="45" t="s">
        <v>2</v>
      </c>
      <c r="I1" s="78" t="str" cm="1">
        <f t="array" aca="1" ref="I1" ca="1">_xlfn.LET(_xlpm.fn, CELL("filename",$A$1), _xlpm.nm, MID(_xlpm.fn, FIND("]", _xlpm.fn) + 1, 255), _xlfn.XLOOKUP(_xlpm.nm &amp; "(*", Lamb!$A$2:$A$1000, Lamb!$D$2:$D$1000, "", 2))</f>
        <v>COUNTIF that accepts arrays in either or both arguments.
Arguments:
  arr      - the values to count within.
  criteria - a value or array of criteria to match.
Returns:
  The match count(s); returns 0 rather than an error when a criterion matches nothing. An array criteria returns an array of counts.
Example:
  xcountif(grid, "o")</v>
      </c>
      <c r="J1" s="79"/>
      <c r="K1" s="79"/>
      <c r="L1" s="79"/>
      <c r="M1" s="79"/>
      <c r="N1" s="79"/>
      <c r="O1" s="79"/>
      <c r="P1" s="79"/>
      <c r="Q1" s="79"/>
      <c r="R1" s="80"/>
      <c r="S1" s="77" t="str">
        <f>HYPERLINK("#lambda_tests!A1","&lt;- test summary")</f>
        <v>&lt;- test summary</v>
      </c>
    </row>
    <row r="2" spans="1:19" ht="189" customHeight="1" x14ac:dyDescent="0.5">
      <c r="A2" s="45" t="s">
        <v>4</v>
      </c>
      <c r="B2" s="81" t="str" cm="1">
        <f t="array" aca="1" ref="B2" ca="1">_xlfn.LET(_xlpm.fn, CELL("filename",$A$1), _xlpm.nm, MID(_xlpm.fn, FIND("]", _xlpm.fn) + 1, 255), _xlfn.XLOOKUP(_xlpm.nm &amp; "(*", Lamb!$A$2:$A$1000, Lamb!$C$2:$C$1000, "", 2))</f>
        <v>=LAMBDA(arr, criteria, LET(
   flat, TOCOL(arr, 0),
   count_fx, LAMBDA(x, IFERROR(ROWS(FILTER(flat, flat = x)), 0)),
   IF(
      ROWS(criteria) * COLUMNS(criteria) = 1,
      count_fx(criteria),
      MAP(criteria, count_fx)
   )
))</v>
      </c>
      <c r="C2" s="82"/>
      <c r="D2" s="82"/>
      <c r="E2" s="82"/>
      <c r="F2" s="82"/>
      <c r="G2" s="82"/>
      <c r="H2" s="82"/>
      <c r="I2" s="82"/>
      <c r="J2" s="82"/>
      <c r="K2" s="82"/>
      <c r="L2" s="82"/>
      <c r="M2" s="82"/>
      <c r="N2" s="82"/>
      <c r="O2" s="82"/>
      <c r="P2" s="82"/>
      <c r="Q2" s="82"/>
      <c r="R2" s="82"/>
    </row>
    <row r="4" spans="1:19" x14ac:dyDescent="0.5">
      <c r="A4" s="45" t="s">
        <v>3214</v>
      </c>
      <c r="L4" s="45" t="str">
        <f>COUNTIF(L6:L29,"PASS")&amp;" / 5 PASS"</f>
        <v>5 / 5 PASS</v>
      </c>
    </row>
    <row r="5" spans="1:19" x14ac:dyDescent="0.5">
      <c r="A5" s="45" t="s">
        <v>7</v>
      </c>
      <c r="B5" s="45" t="s">
        <v>8</v>
      </c>
      <c r="D5" s="45" t="s">
        <v>9</v>
      </c>
      <c r="H5" s="48" t="s">
        <v>10</v>
      </c>
      <c r="J5" s="49" t="s">
        <v>11</v>
      </c>
      <c r="L5" s="50" t="s">
        <v>12</v>
      </c>
    </row>
    <row r="6" spans="1:19" x14ac:dyDescent="0.5">
      <c r="A6" s="46">
        <v>1</v>
      </c>
      <c r="B6" s="47" t="s">
        <v>3215</v>
      </c>
      <c r="D6" s="51">
        <v>1</v>
      </c>
      <c r="F6" s="51">
        <v>2</v>
      </c>
      <c r="H6" s="52">
        <v>2</v>
      </c>
      <c r="J6" s="53" cm="1">
        <f t="array" ref="J6">xcountif(D6:D9,F6)</f>
        <v>2</v>
      </c>
      <c r="L6" s="54" t="str">
        <f>IF(J6=H6,"PASS","FAIL")</f>
        <v>PASS</v>
      </c>
    </row>
    <row r="7" spans="1:19" x14ac:dyDescent="0.5">
      <c r="A7" s="55"/>
      <c r="B7" s="55"/>
      <c r="D7" s="51">
        <v>2</v>
      </c>
    </row>
    <row r="8" spans="1:19" x14ac:dyDescent="0.5">
      <c r="A8" s="55"/>
      <c r="B8" s="55"/>
      <c r="D8" s="51">
        <v>2</v>
      </c>
    </row>
    <row r="9" spans="1:19" x14ac:dyDescent="0.5">
      <c r="A9" s="55"/>
      <c r="B9" s="55"/>
      <c r="D9" s="51">
        <v>3</v>
      </c>
    </row>
    <row r="11" spans="1:19" x14ac:dyDescent="0.5">
      <c r="A11" s="46">
        <v>2</v>
      </c>
      <c r="B11" s="47" t="s">
        <v>3216</v>
      </c>
      <c r="D11" s="51" t="s">
        <v>2937</v>
      </c>
      <c r="F11" s="51" t="s">
        <v>2937</v>
      </c>
      <c r="H11" s="52">
        <v>2</v>
      </c>
      <c r="J11" s="53" cm="1">
        <f t="array" ref="J11">xcountif(D11:D13,F11)</f>
        <v>2</v>
      </c>
      <c r="L11" s="54" t="str">
        <f>IF(J11=H11,"PASS","FAIL")</f>
        <v>PASS</v>
      </c>
    </row>
    <row r="12" spans="1:19" x14ac:dyDescent="0.5">
      <c r="A12" s="55"/>
      <c r="B12" s="55"/>
      <c r="D12" s="51" t="s">
        <v>2938</v>
      </c>
    </row>
    <row r="13" spans="1:19" x14ac:dyDescent="0.5">
      <c r="A13" s="55"/>
      <c r="B13" s="55"/>
      <c r="D13" s="51" t="s">
        <v>2937</v>
      </c>
    </row>
    <row r="15" spans="1:19" x14ac:dyDescent="0.5">
      <c r="A15" s="46">
        <v>3</v>
      </c>
      <c r="B15" s="47" t="s">
        <v>3217</v>
      </c>
      <c r="D15" s="51">
        <v>1</v>
      </c>
      <c r="F15" s="51">
        <v>2</v>
      </c>
      <c r="H15" s="52">
        <v>2</v>
      </c>
      <c r="J15" s="53" cm="1">
        <f t="array" ref="J15:J16">xcountif(D15:D18,F15:F16)</f>
        <v>2</v>
      </c>
      <c r="L15" s="54" t="str" cm="1">
        <f t="array" ref="L15">IF(AND(H15:H16=J15:J16),"PASS","FAIL")</f>
        <v>PASS</v>
      </c>
    </row>
    <row r="16" spans="1:19" x14ac:dyDescent="0.5">
      <c r="A16" s="55"/>
      <c r="B16" s="55"/>
      <c r="D16" s="51">
        <v>2</v>
      </c>
      <c r="F16" s="51">
        <v>3</v>
      </c>
      <c r="H16" s="52">
        <v>1</v>
      </c>
      <c r="J16" s="53">
        <v>1</v>
      </c>
    </row>
    <row r="17" spans="1:12" x14ac:dyDescent="0.5">
      <c r="A17" s="55"/>
      <c r="B17" s="55"/>
      <c r="D17" s="51">
        <v>2</v>
      </c>
    </row>
    <row r="18" spans="1:12" x14ac:dyDescent="0.5">
      <c r="A18" s="55"/>
      <c r="B18" s="55"/>
      <c r="D18" s="51">
        <v>3</v>
      </c>
    </row>
    <row r="20" spans="1:12" x14ac:dyDescent="0.5">
      <c r="A20" s="46">
        <v>4</v>
      </c>
      <c r="B20" s="47" t="s">
        <v>3218</v>
      </c>
      <c r="D20" s="51">
        <v>1</v>
      </c>
      <c r="F20" s="51">
        <v>0</v>
      </c>
      <c r="H20" s="52">
        <v>2</v>
      </c>
      <c r="J20" s="53" cm="1">
        <f t="array" ref="J20">xcountif(D20:D23,F20)</f>
        <v>2</v>
      </c>
      <c r="L20" s="54" t="str">
        <f>IF(J20=H20,"PASS","FAIL")</f>
        <v>PASS</v>
      </c>
    </row>
    <row r="21" spans="1:12" x14ac:dyDescent="0.5">
      <c r="A21" s="55"/>
      <c r="B21" s="55"/>
      <c r="D21" s="51">
        <v>2</v>
      </c>
    </row>
    <row r="22" spans="1:12" x14ac:dyDescent="0.5">
      <c r="A22" s="55"/>
      <c r="B22" s="55"/>
      <c r="D22" s="51"/>
    </row>
    <row r="23" spans="1:12" x14ac:dyDescent="0.5">
      <c r="A23" s="55"/>
      <c r="B23" s="55"/>
      <c r="D23" s="51">
        <v>0</v>
      </c>
    </row>
    <row r="25" spans="1:12" x14ac:dyDescent="0.5">
      <c r="A25" s="46">
        <v>5</v>
      </c>
      <c r="B25" s="47" t="s">
        <v>3219</v>
      </c>
      <c r="D25" s="51">
        <v>1</v>
      </c>
      <c r="F25" s="51">
        <v>2</v>
      </c>
      <c r="H25" s="52">
        <v>0</v>
      </c>
      <c r="J25" s="53" cm="1">
        <f t="array" ref="J25">xcountif(D25:D27,F25)</f>
        <v>0</v>
      </c>
      <c r="L25" s="54" t="str">
        <f>IF(J25=H25,"PASS","FAIL")</f>
        <v>PASS</v>
      </c>
    </row>
    <row r="26" spans="1:12" x14ac:dyDescent="0.5">
      <c r="A26" s="55"/>
      <c r="B26" s="55"/>
      <c r="D26" s="51">
        <v>2</v>
      </c>
    </row>
    <row r="27" spans="1:12" x14ac:dyDescent="0.5">
      <c r="A27" s="55"/>
      <c r="B27" s="55"/>
      <c r="D27" s="51" t="e">
        <f>NA()</f>
        <v>#N/A</v>
      </c>
    </row>
  </sheetData>
  <mergeCells count="3">
    <mergeCell ref="I1:R1"/>
    <mergeCell ref="B2:R2"/>
    <mergeCell ref="B1:F1"/>
  </mergeCells>
  <pageMargins left="0.75" right="0.75" top="1" bottom="1" header="0.5" footer="0.5"/>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BDB50A-0207-4E15-91BF-68AE206DF166}">
  <sheetPr codeName="Sheet96"/>
  <dimension ref="A1:S16"/>
  <sheetViews>
    <sheetView workbookViewId="0">
      <selection activeCell="B1" sqref="B1:F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xdec2bin(number, [places])</v>
      </c>
      <c r="C1" s="79"/>
      <c r="D1" s="79"/>
      <c r="E1" s="79"/>
      <c r="F1" s="80"/>
      <c r="H1" s="45" t="s">
        <v>2</v>
      </c>
      <c r="I1" s="78" t="str" cm="1">
        <f t="array" aca="1" ref="I1" ca="1">_xlfn.LET(_xlpm.fn, CELL("filename",$A$1), _xlpm.nm, MID(_xlpm.fn, FIND("]", _xlpm.fn) + 1, 255), _xlfn.XLOOKUP(_xlpm.nm &amp; "(*", Lamb!$A$2:$A$1000, Lamb!$D$2:$D$1000, "", 2))</f>
        <v>Converts a decimal integer to a binary string, extended range.
Arguments:
  number   - the decimal integer to convert.
  [places] - minimum width, zero-padded (optional).
Returns:
  The binary representation as text, supporting up to 53 places (past 53 the value can no longer be stored exactly in a double).
Example:
  xdec2bin(5)  -&gt;  "101"</v>
      </c>
      <c r="J1" s="79"/>
      <c r="K1" s="79"/>
      <c r="L1" s="79"/>
      <c r="M1" s="79"/>
      <c r="N1" s="79"/>
      <c r="O1" s="79"/>
      <c r="P1" s="79"/>
      <c r="Q1" s="79"/>
      <c r="R1" s="80"/>
      <c r="S1" s="77" t="str">
        <f>HYPERLINK("#lambda_tests!A1","&lt;- test summary")</f>
        <v>&lt;- test summary</v>
      </c>
    </row>
    <row r="2" spans="1:19" ht="336" customHeight="1" x14ac:dyDescent="0.5">
      <c r="A2" s="45" t="s">
        <v>4</v>
      </c>
      <c r="B2" s="81" t="str" cm="1">
        <f t="array" aca="1" ref="B2" ca="1">_xlfn.LET(_xlpm.fn, CELL("filename",$A$1), _xlpm.nm, MID(_xlpm.fn, FIND("]", _xlpm.fn) + 1, 255), _xlfn.XLOOKUP(_xlpm.nm &amp; "(*", Lamb!$A$2:$A$1000, Lamb!$C$2:$C$1000, "", 2))</f>
        <v>=LAMBDA(number, [places], LET(
   n, ROUND(number, 0),
   p, IF(ISOMITTED(places), 0, places),
   IF(
      n &gt;= 0,
      BASE(n, 2, MAX(p, 1)),
      LET(
         bits, IF(p = 0, 64, p),
         IF(
            bits &gt; 53,
            "Error: Precision Limit",
            BASE(POWER(2, bits) + n, 2, bits)
         )
      )
   )
))</v>
      </c>
      <c r="C2" s="82"/>
      <c r="D2" s="82"/>
      <c r="E2" s="82"/>
      <c r="F2" s="82"/>
      <c r="G2" s="82"/>
      <c r="H2" s="82"/>
      <c r="I2" s="82"/>
      <c r="J2" s="82"/>
      <c r="K2" s="82"/>
      <c r="L2" s="82"/>
      <c r="M2" s="82"/>
      <c r="N2" s="82"/>
      <c r="O2" s="82"/>
      <c r="P2" s="82"/>
      <c r="Q2" s="82"/>
      <c r="R2" s="82"/>
    </row>
    <row r="4" spans="1:19" x14ac:dyDescent="0.5">
      <c r="A4" s="45" t="s">
        <v>3220</v>
      </c>
      <c r="L4" s="45" t="str">
        <f>COUNTIF(L6:L18,"PASS")&amp;" / 6 PASS"</f>
        <v>6 / 6 PASS</v>
      </c>
    </row>
    <row r="5" spans="1:19" x14ac:dyDescent="0.5">
      <c r="A5" s="45" t="s">
        <v>7</v>
      </c>
      <c r="B5" s="45" t="s">
        <v>8</v>
      </c>
      <c r="D5" s="45" t="s">
        <v>9</v>
      </c>
      <c r="H5" s="48" t="s">
        <v>10</v>
      </c>
      <c r="J5" s="49" t="s">
        <v>11</v>
      </c>
      <c r="L5" s="50" t="s">
        <v>12</v>
      </c>
    </row>
    <row r="6" spans="1:19" x14ac:dyDescent="0.5">
      <c r="A6" s="46">
        <v>1</v>
      </c>
      <c r="B6" s="47" t="s">
        <v>3221</v>
      </c>
      <c r="D6" s="51">
        <v>5</v>
      </c>
      <c r="H6" s="52" t="s">
        <v>3222</v>
      </c>
      <c r="J6" s="53" t="str" cm="1">
        <f t="array" ref="J6">xdec2bin(D6)</f>
        <v>101</v>
      </c>
      <c r="L6" s="54" t="str">
        <f>IF(J6=H6,"PASS","FAIL")</f>
        <v>PASS</v>
      </c>
    </row>
    <row r="8" spans="1:19" x14ac:dyDescent="0.5">
      <c r="A8" s="46">
        <v>2</v>
      </c>
      <c r="B8" s="47" t="s">
        <v>3223</v>
      </c>
      <c r="D8" s="51">
        <v>5</v>
      </c>
      <c r="F8" s="51">
        <v>8</v>
      </c>
      <c r="H8" s="52" t="s">
        <v>3224</v>
      </c>
      <c r="J8" s="53" t="str" cm="1">
        <f t="array" ref="J8">xdec2bin(D8,F8)</f>
        <v>00000101</v>
      </c>
      <c r="L8" s="54" t="str">
        <f>IF(J8=H8,"PASS","FAIL")</f>
        <v>PASS</v>
      </c>
    </row>
    <row r="10" spans="1:19" x14ac:dyDescent="0.5">
      <c r="A10" s="46">
        <v>3</v>
      </c>
      <c r="B10" s="47" t="s">
        <v>3225</v>
      </c>
      <c r="D10" s="51">
        <v>0</v>
      </c>
      <c r="H10" s="52" t="s">
        <v>3226</v>
      </c>
      <c r="J10" s="53" t="str" cm="1">
        <f t="array" ref="J10">xdec2bin(D10)</f>
        <v>0</v>
      </c>
      <c r="L10" s="54" t="str">
        <f>IF(J10=H10,"PASS","FAIL")</f>
        <v>PASS</v>
      </c>
    </row>
    <row r="12" spans="1:19" x14ac:dyDescent="0.5">
      <c r="A12" s="46">
        <v>4</v>
      </c>
      <c r="B12" s="47" t="s">
        <v>3227</v>
      </c>
      <c r="D12" s="51">
        <v>0</v>
      </c>
      <c r="F12" s="51">
        <v>4</v>
      </c>
      <c r="H12" s="52" t="s">
        <v>3228</v>
      </c>
      <c r="J12" s="53" t="str" cm="1">
        <f t="array" ref="J12">xdec2bin(D12,F12)</f>
        <v>0000</v>
      </c>
      <c r="L12" s="54" t="str">
        <f>IF(J12=H12,"PASS","FAIL")</f>
        <v>PASS</v>
      </c>
    </row>
    <row r="14" spans="1:19" x14ac:dyDescent="0.5">
      <c r="A14" s="46">
        <v>5</v>
      </c>
      <c r="B14" s="47" t="s">
        <v>3229</v>
      </c>
      <c r="D14" s="51">
        <v>10</v>
      </c>
      <c r="H14" s="52" t="s">
        <v>3230</v>
      </c>
      <c r="J14" s="53" t="str" cm="1">
        <f t="array" ref="J14">xdec2bin(D14)</f>
        <v>1010</v>
      </c>
      <c r="L14" s="54" t="str">
        <f>IF(J14=H14,"PASS","FAIL")</f>
        <v>PASS</v>
      </c>
    </row>
    <row r="16" spans="1:19" x14ac:dyDescent="0.5">
      <c r="A16" s="46">
        <v>6</v>
      </c>
      <c r="B16" s="47" t="s">
        <v>3231</v>
      </c>
      <c r="D16" s="51">
        <v>-1</v>
      </c>
      <c r="F16" s="51">
        <v>4</v>
      </c>
      <c r="H16" s="52" t="s">
        <v>3232</v>
      </c>
      <c r="J16" s="53" t="str" cm="1">
        <f t="array" ref="J16">xdec2bin(D16,F16)</f>
        <v>1111</v>
      </c>
      <c r="L16" s="54" t="str">
        <f>IF(J16=H16,"PASS","FAIL")</f>
        <v>PASS</v>
      </c>
    </row>
  </sheetData>
  <mergeCells count="3">
    <mergeCell ref="I1:R1"/>
    <mergeCell ref="B2:R2"/>
    <mergeCell ref="B1:F1"/>
  </mergeCells>
  <pageMargins left="0.75" right="0.75" top="1" bottom="1" header="0.5" footer="0.5"/>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ACDC9A-5063-4D58-8164-1DBA35FB8BD0}">
  <sheetPr codeName="Sheet97"/>
  <dimension ref="A1:V34"/>
  <sheetViews>
    <sheetView topLeftCell="A2" workbookViewId="0">
      <selection activeCell="V6" sqref="V6"/>
    </sheetView>
  </sheetViews>
  <sheetFormatPr defaultRowHeight="21" x14ac:dyDescent="0.5"/>
  <cols>
    <col min="1" max="1" width="4" customWidth="1"/>
    <col min="2" max="2" width="26" customWidth="1"/>
    <col min="4" max="6" width="11" customWidth="1"/>
    <col min="7" max="7" width="3" customWidth="1"/>
    <col min="8" max="12" width="11" customWidth="1"/>
    <col min="13" max="13" width="3" customWidth="1"/>
    <col min="14" max="16" width="11" customWidth="1"/>
    <col min="17" max="17" width="3" customWidth="1"/>
    <col min="18" max="20" width="11" customWidth="1"/>
    <col min="21" max="21" width="3" customWidth="1"/>
    <col min="22" max="22" width="9" customWidth="1"/>
  </cols>
  <sheetData>
    <row r="1" spans="1:22" ht="315" customHeight="1" x14ac:dyDescent="0.5">
      <c r="A1" s="45" t="s">
        <v>0</v>
      </c>
      <c r="B1" s="83" t="str" cm="1">
        <f t="array" aca="1" ref="B1" ca="1">_xlfn.LET(_xlpm.fn, CELL("filename",$A$1), _xlpm.nm, MID(_xlpm.fn, FIND("]", _xlpm.fn) + 1, 255), _xlfn.XLOOKUP(_xlpm.nm &amp; "(*", Lamb!$A$2:$A$1000, Lamb!$A$2:$A$1000, "", 2))</f>
        <v>xfilter(arr, f_1, [f_2], [f_3], [f_4], [f_5])</v>
      </c>
      <c r="C1" s="79"/>
      <c r="D1" s="79"/>
      <c r="E1" s="79"/>
      <c r="F1" s="80"/>
      <c r="H1" s="45" t="s">
        <v>2</v>
      </c>
      <c r="I1" s="78" t="str" cm="1">
        <f t="array" aca="1" ref="I1" ca="1">_xlfn.LET(_xlpm.fn, CELL("filename",$A$1), _xlpm.nm, MID(_xlpm.fn, FIND("]", _xlpm.fn) + 1, 255), _xlfn.XLOOKUP(_xlpm.nm &amp; "(*", Lamb!$A$2:$A$1000, Lamb!$D$2:$D$1000, "", 2))</f>
        <v>Applies FILTER with up to five criteria at once, joined by multiplication (logical AND), and can filter both directions in a single call.
Arguments:
  arr           - the array/range to filter.
  f_1           - first boolean mask (required).
  [f_2]..[f_5]  - further masks; any omitted one defaults to 1 (no effect).
Each mask is applied by its shape: a column-vector mask (height = ROWS(arr)) filters ROWS; a row-vector mask (width = COLUMNS(arr)) filters COLUMNS. All row masks are multiplied together, all column masks are multiplied together, so a single call can filter BOTH rows and columns - which a native FILTER cannot.
Returns:
  The filtered array, or "" when nothing matches.
Example:
  xfilter(data, colA&gt;5, colB="x")        ; rows where both conditions hold
  xfilter(grid, rowmask, colmask)        ; trim rows and columns together</v>
      </c>
      <c r="J1" s="79"/>
      <c r="K1" s="79"/>
      <c r="L1" s="79"/>
      <c r="M1" s="79"/>
      <c r="N1" s="79"/>
      <c r="O1" s="79"/>
      <c r="P1" s="79"/>
      <c r="Q1" s="79"/>
      <c r="R1" s="80"/>
      <c r="S1" s="77" t="str">
        <f>HYPERLINK("#lambda_tests!A1","&lt;- test summary")</f>
        <v>&lt;- test summary</v>
      </c>
    </row>
    <row r="2" spans="1:22" ht="315" customHeight="1" x14ac:dyDescent="0.5">
      <c r="A2" s="45" t="s">
        <v>4</v>
      </c>
      <c r="B2" s="81" t="str" cm="1">
        <f t="array" aca="1" ref="B2" ca="1">_xlfn.LET(_xlpm.fn, CELL("filename",$A$1), _xlpm.nm, MID(_xlpm.fn, FIND("]", _xlpm.fn) + 1, 255), _xlfn.XLOOKUP(_xlpm.nm &amp; "(*", Lamb!$A$2:$A$1000, Lamb!$C$2:$C$1000, "", 2))</f>
        <v>=LAMBDA(arr, f_1, [f_2], [f_3], [f_4], [f_5], LET(
   nr, ROWS(arr),
   nc, COLUMNS(arr),
   filt2, IF(ISOMITTED(f_2), 1, f_2),
   filt3, IF(ISOMITTED(f_3), 1, f_3),
   filt4, IF(ISOMITTED(f_4), 1, f_4),
   filt5, IF(ISOMITTED(f_5), 1, f_5),
   as_row_mask, LAMBDA(g, IF(AND(ROWS(g) = nr, COLUMNS(g) = 1, nr &gt; 1), g, 1)),
   as_col_mask, LAMBDA(g, IF(AND(COLUMNS(g) = nc, ROWS(g) = 1, nc &gt; 1), g, 1)),
   row_mask, SEQUENCE(nr, 1, 1, 0) * as_row_mask(f_1) * as_row_mask(filt2)
      * as_row_mask(filt3) * as_row_mask(filt4) * as_row_mask(filt5),
   col_mask, SEQUENCE(1, nc, 1, 0) * as_col_mask(f_1) * as_col_mask(filt2)
      * as_col_mask(filt3) * as_col_mask(filt4) * as_col_mask(filt5),
   IFERROR(FILTER(FILTER(arr, row_mask), col_mask), "")
))</v>
      </c>
      <c r="C2" s="82"/>
      <c r="D2" s="82"/>
      <c r="E2" s="82"/>
      <c r="F2" s="82"/>
      <c r="G2" s="82"/>
      <c r="H2" s="82"/>
      <c r="I2" s="82"/>
      <c r="J2" s="82"/>
      <c r="K2" s="82"/>
      <c r="L2" s="82"/>
      <c r="M2" s="82"/>
      <c r="N2" s="82"/>
      <c r="O2" s="82"/>
      <c r="P2" s="82"/>
      <c r="Q2" s="82"/>
      <c r="R2" s="82"/>
    </row>
    <row r="4" spans="1:22" x14ac:dyDescent="0.5">
      <c r="A4" s="45" t="s">
        <v>6</v>
      </c>
      <c r="V4" s="45">
        <f>COUNTIF(V6:V60,"PASS")&amp;" / 9 PASS"</f>
      </c>
    </row>
    <row r="5" spans="1:22" x14ac:dyDescent="0.5">
      <c r="A5" s="45" t="s">
        <v>7</v>
      </c>
      <c r="B5" s="45" t="s">
        <v>8</v>
      </c>
      <c r="D5" s="45" t="s">
        <v>9</v>
      </c>
      <c r="N5" s="48" t="s">
        <v>10</v>
      </c>
      <c r="R5" s="49" t="s">
        <v>11</v>
      </c>
      <c r="V5" s="50" t="s">
        <v>12</v>
      </c>
    </row>
    <row r="6" spans="1:22" x14ac:dyDescent="0.5">
      <c r="A6" s="46">
        <v>1</v>
      </c>
      <c r="B6" s="47" t="s">
        <v>13</v>
      </c>
      <c r="D6" s="51">
        <v>10</v>
      </c>
      <c r="E6" s="51">
        <v>20</v>
      </c>
      <c r="F6" s="51">
        <v>30</v>
      </c>
      <c r="H6" s="51">
        <v>1</v>
      </c>
      <c r="N6" s="52">
        <v>10</v>
      </c>
      <c r="O6" s="52">
        <v>20</v>
      </c>
      <c r="P6" s="52">
        <v>30</v>
      </c>
      <c r="R6" s="53" cm="1">
        <f t="array" ref="R6:T7">xfilter(D6:F9,H6:H9)</f>
        <v>10</v>
      </c>
      <c r="S6" s="53">
        <v>20</v>
      </c>
      <c r="T6" s="53">
        <v>30</v>
      </c>
      <c r="V6" s="54" t="str" cm="1">
        <f t="array" ref="V6">IF(AND(N6:P7=R6:T7),"PASS","FAIL")</f>
        <v>PASS</v>
      </c>
    </row>
    <row r="7" spans="1:22" x14ac:dyDescent="0.5">
      <c r="A7" s="55"/>
      <c r="B7" s="55"/>
      <c r="D7" s="51">
        <v>40</v>
      </c>
      <c r="E7" s="51">
        <v>50</v>
      </c>
      <c r="F7" s="51">
        <v>60</v>
      </c>
      <c r="H7" s="51">
        <v>0</v>
      </c>
      <c r="N7" s="52">
        <v>70</v>
      </c>
      <c r="O7" s="52">
        <v>80</v>
      </c>
      <c r="P7" s="52">
        <v>90</v>
      </c>
      <c r="R7" s="53">
        <v>70</v>
      </c>
      <c r="S7" s="53">
        <v>80</v>
      </c>
      <c r="T7" s="53">
        <v>90</v>
      </c>
    </row>
    <row r="8" spans="1:22" x14ac:dyDescent="0.5">
      <c r="A8" s="55"/>
      <c r="B8" s="55"/>
      <c r="D8" s="51">
        <v>70</v>
      </c>
      <c r="E8" s="51">
        <v>80</v>
      </c>
      <c r="F8" s="51">
        <v>90</v>
      </c>
      <c r="H8" s="51">
        <v>1</v>
      </c>
    </row>
    <row r="9" spans="1:22" x14ac:dyDescent="0.5">
      <c r="A9" s="55"/>
      <c r="B9" s="55"/>
      <c r="D9" s="51">
        <v>15</v>
      </c>
      <c r="E9" s="51">
        <v>25</v>
      </c>
      <c r="F9" s="51">
        <v>35</v>
      </c>
      <c r="H9" s="51">
        <v>0</v>
      </c>
    </row>
    <row r="11" spans="1:22" x14ac:dyDescent="0.5">
      <c r="A11" s="46">
        <v>2</v>
      </c>
      <c r="B11" s="47" t="s">
        <v>14</v>
      </c>
      <c r="D11" s="51">
        <v>10</v>
      </c>
      <c r="E11" s="51">
        <v>20</v>
      </c>
      <c r="F11" s="51">
        <v>30</v>
      </c>
      <c r="H11" s="51">
        <v>1</v>
      </c>
      <c r="J11" s="51">
        <v>1</v>
      </c>
      <c r="N11" s="52">
        <v>10</v>
      </c>
      <c r="O11" s="52">
        <v>20</v>
      </c>
      <c r="P11" s="52">
        <v>30</v>
      </c>
      <c r="R11" s="53" cm="1">
        <f t="array" ref="R11:T12">xfilter(D11:F14,H11:H14,J11:J14)</f>
        <v>10</v>
      </c>
      <c r="S11" s="53">
        <v>20</v>
      </c>
      <c r="T11" s="53">
        <v>30</v>
      </c>
      <c r="V11" s="54" t="str" cm="1">
        <f t="array" ref="V11">IF(AND(N11:P12=R11:T12),"PASS","FAIL")</f>
        <v>PASS</v>
      </c>
    </row>
    <row r="12" spans="1:22" x14ac:dyDescent="0.5">
      <c r="A12" s="55"/>
      <c r="B12" s="55"/>
      <c r="D12" s="51">
        <v>40</v>
      </c>
      <c r="E12" s="51">
        <v>50</v>
      </c>
      <c r="F12" s="51">
        <v>60</v>
      </c>
      <c r="H12" s="51">
        <v>1</v>
      </c>
      <c r="J12" s="51">
        <v>0</v>
      </c>
      <c r="N12" s="52">
        <v>70</v>
      </c>
      <c r="O12" s="52">
        <v>80</v>
      </c>
      <c r="P12" s="52">
        <v>90</v>
      </c>
      <c r="R12" s="53">
        <v>70</v>
      </c>
      <c r="S12" s="53">
        <v>80</v>
      </c>
      <c r="T12" s="53">
        <v>90</v>
      </c>
    </row>
    <row r="13" spans="1:22" x14ac:dyDescent="0.5">
      <c r="A13" s="55"/>
      <c r="B13" s="55"/>
      <c r="D13" s="51">
        <v>70</v>
      </c>
      <c r="E13" s="51">
        <v>80</v>
      </c>
      <c r="F13" s="51">
        <v>90</v>
      </c>
      <c r="H13" s="51">
        <v>1</v>
      </c>
      <c r="J13" s="51">
        <v>1</v>
      </c>
    </row>
    <row r="14" spans="1:22" x14ac:dyDescent="0.5">
      <c r="A14" s="55"/>
      <c r="B14" s="55"/>
      <c r="D14" s="51">
        <v>15</v>
      </c>
      <c r="E14" s="51">
        <v>25</v>
      </c>
      <c r="F14" s="51">
        <v>35</v>
      </c>
      <c r="H14" s="51">
        <v>0</v>
      </c>
      <c r="J14" s="51">
        <v>1</v>
      </c>
    </row>
    <row r="16" spans="1:22" x14ac:dyDescent="0.5">
      <c r="A16" s="46">
        <v>3</v>
      </c>
      <c r="B16" s="47" t="s">
        <v>15</v>
      </c>
      <c r="D16" s="51">
        <v>10</v>
      </c>
      <c r="E16" s="51">
        <v>20</v>
      </c>
      <c r="F16" s="51">
        <v>30</v>
      </c>
      <c r="H16" s="51">
        <v>1</v>
      </c>
      <c r="I16" s="51">
        <v>0</v>
      </c>
      <c r="J16" s="51">
        <v>1</v>
      </c>
      <c r="N16" s="52">
        <v>10</v>
      </c>
      <c r="O16" s="52">
        <v>30</v>
      </c>
      <c r="R16" s="53" cm="1">
        <f t="array" ref="R16:S19">xfilter(D16:F19,H16:J16)</f>
        <v>10</v>
      </c>
      <c r="S16" s="53">
        <v>30</v>
      </c>
      <c r="V16" s="54" t="str" cm="1">
        <f t="array" ref="V16">IF(AND(N16:O19=R16:S19),"PASS","FAIL")</f>
        <v>PASS</v>
      </c>
    </row>
    <row r="17" spans="1:22" x14ac:dyDescent="0.5">
      <c r="A17" s="55"/>
      <c r="B17" s="55"/>
      <c r="D17" s="51">
        <v>40</v>
      </c>
      <c r="E17" s="51">
        <v>50</v>
      </c>
      <c r="F17" s="51">
        <v>60</v>
      </c>
      <c r="N17" s="52">
        <v>40</v>
      </c>
      <c r="O17" s="52">
        <v>60</v>
      </c>
      <c r="R17" s="53">
        <v>40</v>
      </c>
      <c r="S17" s="53">
        <v>60</v>
      </c>
    </row>
    <row r="18" spans="1:22" x14ac:dyDescent="0.5">
      <c r="A18" s="55"/>
      <c r="B18" s="55"/>
      <c r="D18" s="51">
        <v>70</v>
      </c>
      <c r="E18" s="51">
        <v>80</v>
      </c>
      <c r="F18" s="51">
        <v>90</v>
      </c>
      <c r="N18" s="52">
        <v>70</v>
      </c>
      <c r="O18" s="52">
        <v>90</v>
      </c>
      <c r="R18" s="53">
        <v>70</v>
      </c>
      <c r="S18" s="53">
        <v>90</v>
      </c>
    </row>
    <row r="19" spans="1:22" x14ac:dyDescent="0.5">
      <c r="A19" s="55"/>
      <c r="B19" s="55"/>
      <c r="D19" s="51">
        <v>15</v>
      </c>
      <c r="E19" s="51">
        <v>25</v>
      </c>
      <c r="F19" s="51">
        <v>35</v>
      </c>
      <c r="N19" s="52">
        <v>15</v>
      </c>
      <c r="O19" s="52">
        <v>35</v>
      </c>
      <c r="R19" s="53">
        <v>15</v>
      </c>
      <c r="S19" s="53">
        <v>35</v>
      </c>
    </row>
    <row r="21" spans="1:22" x14ac:dyDescent="0.5">
      <c r="A21" s="46">
        <v>4</v>
      </c>
      <c r="B21" s="47" t="s">
        <v>16</v>
      </c>
      <c r="D21" s="51">
        <v>10</v>
      </c>
      <c r="E21" s="51">
        <v>20</v>
      </c>
      <c r="F21" s="51">
        <v>30</v>
      </c>
      <c r="H21" s="51">
        <v>1</v>
      </c>
      <c r="J21" s="51">
        <v>1</v>
      </c>
      <c r="K21" s="51">
        <v>0</v>
      </c>
      <c r="L21" s="51">
        <v>1</v>
      </c>
      <c r="N21" s="52">
        <v>10</v>
      </c>
      <c r="O21" s="52">
        <v>30</v>
      </c>
      <c r="R21" s="53" cm="1">
        <f t="array" ref="R21:S22">xfilter(D21:F24,H21:H24,J21:L21)</f>
        <v>10</v>
      </c>
      <c r="S21" s="53">
        <v>30</v>
      </c>
      <c r="V21" s="54" t="str" cm="1">
        <f t="array" ref="V21">IF(AND(N21:O22=R21:S22),"PASS","FAIL")</f>
        <v>PASS</v>
      </c>
    </row>
    <row r="22" spans="1:22" x14ac:dyDescent="0.5">
      <c r="A22" s="55"/>
      <c r="B22" s="55"/>
      <c r="D22" s="51">
        <v>40</v>
      </c>
      <c r="E22" s="51">
        <v>50</v>
      </c>
      <c r="F22" s="51">
        <v>60</v>
      </c>
      <c r="H22" s="51">
        <v>0</v>
      </c>
      <c r="N22" s="52">
        <v>70</v>
      </c>
      <c r="O22" s="52">
        <v>90</v>
      </c>
      <c r="R22" s="53">
        <v>70</v>
      </c>
      <c r="S22" s="53">
        <v>90</v>
      </c>
    </row>
    <row r="23" spans="1:22" x14ac:dyDescent="0.5">
      <c r="A23" s="55"/>
      <c r="B23" s="55"/>
      <c r="D23" s="51">
        <v>70</v>
      </c>
      <c r="E23" s="51">
        <v>80</v>
      </c>
      <c r="F23" s="51">
        <v>90</v>
      </c>
      <c r="H23" s="51">
        <v>1</v>
      </c>
    </row>
    <row r="24" spans="1:22" x14ac:dyDescent="0.5">
      <c r="A24" s="55"/>
      <c r="B24" s="55"/>
      <c r="D24" s="51">
        <v>15</v>
      </c>
      <c r="E24" s="51">
        <v>25</v>
      </c>
      <c r="F24" s="51">
        <v>35</v>
      </c>
      <c r="H24" s="51">
        <v>0</v>
      </c>
    </row>
    <row r="26" spans="1:22" x14ac:dyDescent="0.5">
      <c r="A26" s="46">
        <v>5</v>
      </c>
      <c r="B26" s="47" t="s">
        <v>17</v>
      </c>
      <c r="D26" s="51">
        <v>5</v>
      </c>
      <c r="F26" s="51">
        <v>0</v>
      </c>
      <c r="N26" s="52">
        <v>12</v>
      </c>
      <c r="R26" s="53" cm="1">
        <f t="array" ref="R26:R28">xfilter(D26:D29,F26:F29)</f>
        <v>12</v>
      </c>
      <c r="V26" s="54" t="str" cm="1">
        <f t="array" ref="V26">IF(AND(N26:N28=R26:R28),"PASS","FAIL")</f>
        <v>PASS</v>
      </c>
    </row>
    <row r="27" spans="1:22" x14ac:dyDescent="0.5">
      <c r="A27" s="55"/>
      <c r="B27" s="55"/>
      <c r="D27" s="51">
        <v>12</v>
      </c>
      <c r="F27" s="51">
        <v>1</v>
      </c>
      <c r="N27" s="52">
        <v>8</v>
      </c>
      <c r="R27" s="53">
        <v>8</v>
      </c>
    </row>
    <row r="28" spans="1:22" x14ac:dyDescent="0.5">
      <c r="A28" s="55"/>
      <c r="B28" s="55"/>
      <c r="D28" s="51">
        <v>8</v>
      </c>
      <c r="F28" s="51">
        <v>1</v>
      </c>
      <c r="N28" s="52">
        <v>20</v>
      </c>
      <c r="R28" s="53">
        <v>20</v>
      </c>
    </row>
    <row r="29" spans="1:22" x14ac:dyDescent="0.5">
      <c r="A29" s="55"/>
      <c r="B29" s="55"/>
      <c r="D29" s="51">
        <v>20</v>
      </c>
      <c r="F29" s="51">
        <v>1</v>
      </c>
    </row>
    <row r="31" spans="1:22" x14ac:dyDescent="0.5">
      <c r="A31" s="46">
        <v>6</v>
      </c>
      <c r="B31" s="47" t="s">
        <v>18</v>
      </c>
      <c r="D31" s="51">
        <v>10</v>
      </c>
      <c r="E31" s="51">
        <v>20</v>
      </c>
      <c r="F31" s="51">
        <v>30</v>
      </c>
      <c r="H31" s="51">
        <v>0</v>
      </c>
      <c r="N31" s="52"/>
      <c r="R31" s="53" t="str" cm="1">
        <f t="array" ref="R31">xfilter(D31:F34,H31:H34)</f>
        <v/>
      </c>
      <c r="V31" s="54" t="str">
        <f>IF(R31=N31,"PASS","FAIL")</f>
        <v>PASS</v>
      </c>
    </row>
    <row r="32" spans="1:22" x14ac:dyDescent="0.5">
      <c r="A32" s="55"/>
      <c r="B32" s="55"/>
      <c r="D32" s="51">
        <v>40</v>
      </c>
      <c r="E32" s="51">
        <v>50</v>
      </c>
      <c r="F32" s="51">
        <v>60</v>
      </c>
      <c r="H32" s="51">
        <v>0</v>
      </c>
    </row>
    <row r="33" spans="1:8" x14ac:dyDescent="0.5">
      <c r="A33" s="55"/>
      <c r="B33" s="55"/>
      <c r="D33" s="51">
        <v>70</v>
      </c>
      <c r="E33" s="51">
        <v>80</v>
      </c>
      <c r="F33" s="51">
        <v>90</v>
      </c>
      <c r="H33" s="51">
        <v>0</v>
      </c>
    </row>
    <row r="34" spans="1:8" x14ac:dyDescent="0.5">
      <c r="A34" s="55"/>
      <c r="B34" s="55"/>
      <c r="D34" s="51">
        <v>15</v>
      </c>
      <c r="E34" s="51">
        <v>25</v>
      </c>
      <c r="F34" s="51">
        <v>35</v>
      </c>
      <c r="H34" s="51">
        <v>0</v>
      </c>
    </row>
    <row r="36">
      <c r="A36">
        <v>7</v>
      </c>
      <c r="B36" s="55" t="inlineStr">
        <is>
          <t xml:space="preserve">&gt;255-char value survives (IFERROR/IFNA would blank it)</t>
        </is>
      </c>
      <c r="D36" s="51" t="inlineStr">
        <is>
          <t xml:space="preserve">a</t>
        </is>
      </c>
      <c r="H36" s="51">
        <v>0</v>
      </c>
      <c r="N36">
        <f>REPT("z",300)</f>
      </c>
      <c r="R36" cm="1">
        <f t="array" ref="R36">xfilter(D36:D37,H36:H37)</f>
        <v>0</v>
      </c>
      <c r="V36" cm="1">
        <f t="array" ref="V36">IF(AND(N36=R36),"PASS","FAIL")</f>
        <v>0</v>
      </c>
    </row>
    <row r="37">
      <c r="D37">
        <f>REPT("z",300)</f>
      </c>
      <c r="H37" s="51">
        <v>1</v>
      </c>
    </row>
    <row r="41">
      <c r="A41">
        <v>8</v>
      </c>
      <c r="B41" t="inlineStr">
        <is>
          <t xml:space="preserve">1-row array: 1x1 FALSE mask drops it (was returned unfiltered)</t>
        </is>
      </c>
      <c r="D41">
        <v>5</v>
      </c>
      <c r="H41" s="51">
        <v>0</v>
      </c>
      <c r="R41" cm="1">
        <f t="array" ref="R41">xfilter(D41,H41)</f>
        <v>0</v>
      </c>
      <c r="V41">
        <f>IF(R41="","PASS","FAIL")</f>
      </c>
    </row>
    <row r="43">
      <c r="A43">
        <v>9</v>
      </c>
      <c r="B43" t="inlineStr">
        <is>
          <t xml:space="preserve">1-row array: 1x1 TRUE mask keeps it</t>
        </is>
      </c>
      <c r="D43">
        <v>5</v>
      </c>
      <c r="H43" s="51">
        <v>1</v>
      </c>
      <c r="N43">
        <v>5</v>
      </c>
      <c r="R43" cm="1">
        <f t="array" ref="R43">xfilter(D43,H43)</f>
        <v>0</v>
      </c>
      <c r="V43">
        <f>IF(R43=N43,"PASS","FAIL")</f>
      </c>
    </row>
  </sheetData>
  <mergeCells count="3">
    <mergeCell ref="I1:R1"/>
    <mergeCell ref="B2:R2"/>
    <mergeCell ref="B1:F1"/>
  </mergeCells>
  <pageMargins left="0.75" right="0.75" top="1" bottom="1" header="0.5" footer="0.5"/>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6AA42D-80F0-47E5-9807-90694E2577EA}">
  <sheetPr codeName="Sheet98"/>
  <dimension ref="A1:S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xmod(a, b)</v>
      </c>
      <c r="C1" s="79"/>
      <c r="D1" s="79"/>
      <c r="E1" s="79"/>
      <c r="F1" s="80"/>
      <c r="H1" s="45" t="s">
        <v>2</v>
      </c>
      <c r="I1" s="78" t="str" cm="1">
        <f t="array" aca="1" ref="I1" ca="1">_xlfn.LET(_xlpm.fn, CELL("filename",$A$1), _xlpm.nm, MID(_xlpm.fn, FIND("]", _xlpm.fn) + 1, 255), _xlfn.XLOOKUP(_xlpm.nm &amp; "(*", Lamb!$A$2:$A$1000, Lamb!$D$2:$D$1000, "", 2))</f>
        <v>Modulo that returns the divisor instead of zero (1-based).
Arguments:
  a - the dividend.
  b - the divisor.
Returns:
  MOD(a, b), except returns b when MOD(a, b) would be 0. Useful for 1-based cycling.
Example:
  xmod(6, 3)  -&gt;  3</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 b, IF(MOD(a, b) = 0, b, MOD(a, b)))</v>
      </c>
      <c r="C2" s="82"/>
      <c r="D2" s="82"/>
      <c r="E2" s="82"/>
      <c r="F2" s="82"/>
      <c r="G2" s="82"/>
      <c r="H2" s="82"/>
      <c r="I2" s="82"/>
      <c r="J2" s="82"/>
      <c r="K2" s="82"/>
      <c r="L2" s="82"/>
      <c r="M2" s="82"/>
      <c r="N2" s="82"/>
      <c r="O2" s="82"/>
      <c r="P2" s="82"/>
      <c r="Q2" s="82"/>
      <c r="R2" s="82"/>
    </row>
    <row r="4" spans="1:19" x14ac:dyDescent="0.5">
      <c r="A4" s="45" t="s">
        <v>3233</v>
      </c>
      <c r="L4" s="45" t="str">
        <f>COUNTIF(L6:L18,"PASS")&amp;" / 6 PASS"</f>
        <v>6 / 6 PASS</v>
      </c>
    </row>
    <row r="5" spans="1:19" x14ac:dyDescent="0.5">
      <c r="A5" s="45" t="s">
        <v>7</v>
      </c>
      <c r="B5" s="45" t="s">
        <v>8</v>
      </c>
      <c r="D5" s="45" t="s">
        <v>9</v>
      </c>
      <c r="H5" s="48" t="s">
        <v>10</v>
      </c>
      <c r="J5" s="49" t="s">
        <v>11</v>
      </c>
      <c r="L5" s="50" t="s">
        <v>12</v>
      </c>
    </row>
    <row r="6" spans="1:19" x14ac:dyDescent="0.5">
      <c r="A6" s="46">
        <v>1</v>
      </c>
      <c r="B6" s="47" t="s">
        <v>3234</v>
      </c>
      <c r="D6" s="51">
        <v>6</v>
      </c>
      <c r="F6" s="51">
        <v>3</v>
      </c>
      <c r="H6" s="52">
        <v>3</v>
      </c>
      <c r="J6" s="53" cm="1">
        <f t="array" ref="J6">xmod(D6,F6)</f>
        <v>3</v>
      </c>
      <c r="L6" s="54" t="str">
        <f>IF(J6=H6,"PASS","FAIL")</f>
        <v>PASS</v>
      </c>
    </row>
    <row r="8" spans="1:19" x14ac:dyDescent="0.5">
      <c r="A8" s="46">
        <v>2</v>
      </c>
      <c r="B8" s="47" t="s">
        <v>3235</v>
      </c>
      <c r="D8" s="51">
        <v>7</v>
      </c>
      <c r="F8" s="51">
        <v>3</v>
      </c>
      <c r="H8" s="52">
        <v>1</v>
      </c>
      <c r="J8" s="53" cm="1">
        <f t="array" ref="J8">xmod(D8,F8)</f>
        <v>1</v>
      </c>
      <c r="L8" s="54" t="str">
        <f>IF(J8=H8,"PASS","FAIL")</f>
        <v>PASS</v>
      </c>
    </row>
    <row r="10" spans="1:19" x14ac:dyDescent="0.5">
      <c r="A10" s="46">
        <v>3</v>
      </c>
      <c r="B10" s="47" t="s">
        <v>3236</v>
      </c>
      <c r="D10" s="51">
        <v>5</v>
      </c>
      <c r="F10" s="51">
        <v>5</v>
      </c>
      <c r="H10" s="52">
        <v>5</v>
      </c>
      <c r="J10" s="53" cm="1">
        <f t="array" ref="J10">xmod(D10,F10)</f>
        <v>5</v>
      </c>
      <c r="L10" s="54" t="str">
        <f>IF(J10=H10,"PASS","FAIL")</f>
        <v>PASS</v>
      </c>
    </row>
    <row r="12" spans="1:19" x14ac:dyDescent="0.5">
      <c r="A12" s="46">
        <v>4</v>
      </c>
      <c r="B12" s="47" t="s">
        <v>3237</v>
      </c>
      <c r="D12" s="51">
        <v>10</v>
      </c>
      <c r="F12" s="51">
        <v>4</v>
      </c>
      <c r="H12" s="52">
        <v>2</v>
      </c>
      <c r="J12" s="53" cm="1">
        <f t="array" ref="J12">xmod(D12,F12)</f>
        <v>2</v>
      </c>
      <c r="L12" s="54" t="str">
        <f>IF(J12=H12,"PASS","FAIL")</f>
        <v>PASS</v>
      </c>
    </row>
    <row r="14" spans="1:19" x14ac:dyDescent="0.5">
      <c r="A14" s="46">
        <v>5</v>
      </c>
      <c r="B14" s="47" t="s">
        <v>3238</v>
      </c>
      <c r="D14" s="51">
        <v>12</v>
      </c>
      <c r="F14" s="51">
        <v>6</v>
      </c>
      <c r="H14" s="52">
        <v>6</v>
      </c>
      <c r="J14" s="53" cm="1">
        <f t="array" ref="J14">xmod(D14,F14)</f>
        <v>6</v>
      </c>
      <c r="L14" s="54" t="str">
        <f>IF(J14=H14,"PASS","FAIL")</f>
        <v>PASS</v>
      </c>
    </row>
    <row r="16" spans="1:19" x14ac:dyDescent="0.5">
      <c r="A16" s="46">
        <v>6</v>
      </c>
      <c r="B16" s="47" t="s">
        <v>3239</v>
      </c>
      <c r="D16" s="51">
        <v>1</v>
      </c>
      <c r="F16" s="51">
        <v>4</v>
      </c>
      <c r="H16" s="52">
        <v>1</v>
      </c>
      <c r="J16" s="53" cm="1">
        <f t="array" ref="J16">xmod(D16,F16)</f>
        <v>1</v>
      </c>
      <c r="L16" s="54" t="str">
        <f>IF(J16=H16,"PASS","FAIL")</f>
        <v>PASS</v>
      </c>
    </row>
  </sheetData>
  <mergeCells count="3">
    <mergeCell ref="I1:R1"/>
    <mergeCell ref="B2:R2"/>
    <mergeCell ref="B1:F1"/>
  </mergeCells>
  <pageMargins left="0.75" right="0.75" top="1" bottom="1" header="0.5" footer="0.5"/>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0E75E7-7A22-49F0-95A4-35F17CC4C80D}">
  <sheetPr codeName="Sheet99"/>
  <dimension ref="A1:S16"/>
  <sheetViews>
    <sheetView workbookViewId="0">
      <selection activeCell="H6" sqref="H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xn(value_or_array)</v>
      </c>
      <c r="C1" s="79"/>
      <c r="D1" s="79"/>
      <c r="E1" s="79"/>
      <c r="F1" s="80"/>
      <c r="H1" s="45" t="s">
        <v>2</v>
      </c>
      <c r="I1" s="78" t="str" cm="1">
        <f t="array" aca="1" ref="I1" ca="1">_xlfn.LET(_xlpm.fn, CELL("filename",$A$1), _xlpm.nm, MID(_xlpm.fn, FIND("]", _xlpm.fn) + 1, 255), _xlfn.XLOOKUP(_xlpm.nm &amp; "(*", Lamb!$A$2:$A$1000, Lamb!$D$2:$D$1000, "", 2))</f>
        <v>Coerces values to numbers where sensible.
Arguments:
  value_or_array - a value or array to convert.
Returns:
  Numeric strings become numbers; TRUE/FALSE become 1/0; blanks and "" become ""; non-numeric text is left unchanged. Works on arrays.
Example:
  xn("42")  -&gt;  42</v>
      </c>
      <c r="J1" s="79"/>
      <c r="K1" s="79"/>
      <c r="L1" s="79"/>
      <c r="M1" s="79"/>
      <c r="N1" s="79"/>
      <c r="O1" s="79"/>
      <c r="P1" s="79"/>
      <c r="Q1" s="79"/>
      <c r="R1" s="80"/>
      <c r="S1" s="77" t="str">
        <f>HYPERLINK("#lambda_tests!A1","&lt;- test summary")</f>
        <v>&lt;- test summary</v>
      </c>
    </row>
    <row r="2" spans="1:19" ht="294" customHeight="1" x14ac:dyDescent="0.5">
      <c r="A2" s="45" t="s">
        <v>4</v>
      </c>
      <c r="B2" s="81" t="str" cm="1">
        <f t="array" aca="1" ref="B2" ca="1">_xlfn.LET(_xlpm.fn, CELL("filename",$A$1), _xlpm.nm, MID(_xlpm.fn, FIND("]", _xlpm.fn) + 1, 255), _xlfn.XLOOKUP(_xlpm.nm &amp; "(*", Lamb!$A$2:$A$1000, Lamb!$C$2:$C$1000, "", 2))</f>
        <v>=LAMBDA(val_or_arr, LET(
   fn_convert, LAMBDA(x,
      IF(
         x = "",
         "",
         IF(ISNUMBER(x), x, IF(ISLOGICAL(x), N(x), IFERROR(VALUE(x), x)))
      )
   ),
   IF(
      ROWS(val_or_arr) * COLUMNS(val_or_arr) = 1,
      fn_convert(val_or_arr),
      MAP(val_or_arr, fn_convert)
   )
))</v>
      </c>
      <c r="C2" s="82"/>
      <c r="D2" s="82"/>
      <c r="E2" s="82"/>
      <c r="F2" s="82"/>
      <c r="G2" s="82"/>
      <c r="H2" s="82"/>
      <c r="I2" s="82"/>
      <c r="J2" s="82"/>
      <c r="K2" s="82"/>
      <c r="L2" s="82"/>
      <c r="M2" s="82"/>
      <c r="N2" s="82"/>
      <c r="O2" s="82"/>
      <c r="P2" s="82"/>
      <c r="Q2" s="82"/>
      <c r="R2" s="82"/>
    </row>
    <row r="4" spans="1:19" x14ac:dyDescent="0.5">
      <c r="A4" s="45" t="s">
        <v>3240</v>
      </c>
      <c r="J4" s="45" t="str">
        <f>COUNTIF(J6:J18,"PASS")&amp;" / 5 PASS"</f>
        <v>5 / 5 PASS</v>
      </c>
    </row>
    <row r="5" spans="1:19" x14ac:dyDescent="0.5">
      <c r="A5" s="45" t="s">
        <v>7</v>
      </c>
      <c r="B5" s="45" t="s">
        <v>8</v>
      </c>
      <c r="D5" s="45" t="s">
        <v>9</v>
      </c>
      <c r="F5" s="48" t="s">
        <v>10</v>
      </c>
      <c r="H5" s="49" t="s">
        <v>11</v>
      </c>
      <c r="J5" s="50" t="s">
        <v>12</v>
      </c>
    </row>
    <row r="6" spans="1:19" x14ac:dyDescent="0.5">
      <c r="A6" s="46">
        <v>1</v>
      </c>
      <c r="B6" s="47" t="s">
        <v>3241</v>
      </c>
      <c r="D6" s="51" t="s">
        <v>3242</v>
      </c>
      <c r="F6" s="52">
        <v>42</v>
      </c>
      <c r="H6" s="53" cm="1">
        <f t="array" ref="H6">xn(D6)</f>
        <v>42</v>
      </c>
      <c r="J6" s="54" t="str">
        <f>IF(H6=F6,"PASS","FAIL")</f>
        <v>PASS</v>
      </c>
    </row>
    <row r="8" spans="1:19" x14ac:dyDescent="0.5">
      <c r="A8" s="46">
        <v>2</v>
      </c>
      <c r="B8" s="47" t="s">
        <v>3243</v>
      </c>
      <c r="D8" s="51" t="b">
        <v>1</v>
      </c>
      <c r="F8" s="52">
        <v>1</v>
      </c>
      <c r="H8" s="53" cm="1">
        <f t="array" ref="H8">xn(D8)</f>
        <v>1</v>
      </c>
      <c r="J8" s="54" t="str">
        <f>IF(H8=F8,"PASS","FAIL")</f>
        <v>PASS</v>
      </c>
    </row>
    <row r="10" spans="1:19" x14ac:dyDescent="0.5">
      <c r="A10" s="46">
        <v>3</v>
      </c>
      <c r="B10" s="47" t="s">
        <v>3244</v>
      </c>
      <c r="D10" s="51" t="s">
        <v>3072</v>
      </c>
      <c r="F10" s="52" t="s">
        <v>3072</v>
      </c>
      <c r="H10" s="53" t="str" cm="1">
        <f t="array" ref="H10">xn(D10)</f>
        <v>abc</v>
      </c>
      <c r="J10" s="54" t="str">
        <f>IF(H10=F10,"PASS","FAIL")</f>
        <v>PASS</v>
      </c>
    </row>
    <row r="12" spans="1:19" x14ac:dyDescent="0.5">
      <c r="A12" s="46">
        <v>4</v>
      </c>
      <c r="B12" s="47" t="s">
        <v>3245</v>
      </c>
      <c r="D12" s="51"/>
      <c r="F12" s="52"/>
      <c r="H12" s="53" t="str" cm="1">
        <f t="array" ref="H12">xn(D12)</f>
        <v/>
      </c>
      <c r="J12" s="54" t="str">
        <f>IF(H12=F12,"PASS","FAIL")</f>
        <v>PASS</v>
      </c>
    </row>
    <row r="14" spans="1:19" x14ac:dyDescent="0.5">
      <c r="A14" s="46">
        <v>5</v>
      </c>
      <c r="B14" s="47" t="s">
        <v>3246</v>
      </c>
      <c r="D14" s="51" t="s">
        <v>577</v>
      </c>
      <c r="F14" s="52">
        <v>1</v>
      </c>
      <c r="H14" s="53" cm="1">
        <f t="array" ref="H14:H16">xn(D14:D16)</f>
        <v>1</v>
      </c>
      <c r="J14" s="54" t="str" cm="1">
        <f t="array" ref="J14">IF(AND(F14:F16=H14:H16),"PASS","FAIL")</f>
        <v>PASS</v>
      </c>
    </row>
    <row r="15" spans="1:19" x14ac:dyDescent="0.5">
      <c r="A15" s="55"/>
      <c r="B15" s="55"/>
      <c r="D15" s="51" t="s">
        <v>136</v>
      </c>
      <c r="F15" s="52">
        <v>2</v>
      </c>
      <c r="H15" s="53">
        <v>2</v>
      </c>
    </row>
    <row r="16" spans="1:19" x14ac:dyDescent="0.5">
      <c r="A16" s="55"/>
      <c r="B16" s="55"/>
      <c r="D16" s="51" t="s">
        <v>2957</v>
      </c>
      <c r="F16" s="52" t="s">
        <v>2957</v>
      </c>
      <c r="H16" s="53" t="str">
        <v>x</v>
      </c>
    </row>
  </sheetData>
  <mergeCells count="3">
    <mergeCell ref="I1:R1"/>
    <mergeCell ref="B2:R2"/>
    <mergeCell ref="B1:F1"/>
  </mergeCells>
  <pageMargins left="0.75" right="0.75" top="1" bottom="1" header="0.5" footer="0.5"/>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8331F-2202-469C-AA08-DA052F895533}">
  <sheetPr codeName="Sheet100"/>
  <dimension ref="A1:S25"/>
  <sheetViews>
    <sheetView workbookViewId="0"/>
  </sheetViews>
  <sheetFormatPr defaultRowHeight="21" x14ac:dyDescent="0.5"/>
  <cols>
    <col min="1" max="1" width="4" customWidth="1"/>
    <col min="2" max="2" width="30" customWidth="1"/>
    <col min="4" max="4" width="11" customWidth="1"/>
    <col min="5" max="5" width="3" customWidth="1"/>
    <col min="6"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xrank(value, array, [order])</v>
      </c>
      <c r="C1" s="79"/>
      <c r="D1" s="79"/>
      <c r="E1" s="79"/>
      <c r="F1" s="80"/>
      <c r="H1" s="45" t="s">
        <v>2</v>
      </c>
      <c r="I1" s="78" t="str" cm="1">
        <f t="array" aca="1" ref="I1" ca="1">_xlfn.LET(_xlpm.fn, CELL("filename",$A$1), _xlpm.nm, MID(_xlpm.fn, FIND("]", _xlpm.fn) + 1, 255), _xlfn.XLOOKUP(_xlpm.nm &amp; "(*", Lamb!$A$2:$A$1000, Lamb!$D$2:$D$1000, "", 2))</f>
        <v>Rank of a value within an array.
Arguments:
  value   - the value to rank.
  array   - the set of values to rank within.
  [order] - 0 = descending (default), 1 = ascending.
Returns:
  The 1-based rank of value among array, or "" if value is not found in array.
Example:
  xrank(50, scores)</v>
      </c>
      <c r="J1" s="79"/>
      <c r="K1" s="79"/>
      <c r="L1" s="79"/>
      <c r="M1" s="79"/>
      <c r="N1" s="79"/>
      <c r="O1" s="79"/>
      <c r="P1" s="79"/>
      <c r="Q1" s="79"/>
      <c r="R1" s="80"/>
      <c r="S1" s="77" t="str">
        <f>HYPERLINK("#lambda_tests!A1","&lt;- test summary")</f>
        <v>&lt;- test summary</v>
      </c>
    </row>
    <row r="2" spans="1:19" ht="105" customHeight="1" x14ac:dyDescent="0.5">
      <c r="A2" s="45" t="s">
        <v>4</v>
      </c>
      <c r="B2" s="81" t="str" cm="1">
        <f t="array" aca="1" ref="B2" ca="1">_xlfn.LET(_xlpm.fn, CELL("filename",$A$1), _xlpm.nm, MID(_xlpm.fn, FIND("]", _xlpm.fn) + 1, 255), _xlfn.XLOOKUP(_xlpm.nm &amp; "(*", Lamb!$A$2:$A$1000, Lamb!$C$2:$C$1000, "", 2))</f>
        <v>=LAMBDA(value, array, [order], LET(
   rank_style_order, IF(ISOMITTED(order), 0, order),
   sort_style_order, IF(rank_style_order = 0, -1, 1),
   IFNA(XMATCH(value, SORT(TOCOL(array), 1, sort_style_order)), "")
))</v>
      </c>
      <c r="C2" s="82"/>
      <c r="D2" s="82"/>
      <c r="E2" s="82"/>
      <c r="F2" s="82"/>
      <c r="G2" s="82"/>
      <c r="H2" s="82"/>
      <c r="I2" s="82"/>
      <c r="J2" s="82"/>
      <c r="K2" s="82"/>
      <c r="L2" s="82"/>
      <c r="M2" s="82"/>
      <c r="N2" s="82"/>
      <c r="O2" s="82"/>
      <c r="P2" s="82"/>
      <c r="Q2" s="82"/>
      <c r="R2" s="82"/>
    </row>
    <row r="4" spans="1:19" x14ac:dyDescent="0.5">
      <c r="A4" s="45" t="s">
        <v>3247</v>
      </c>
      <c r="N4" s="45" t="str">
        <f>COUNTIF(N6:N25,"PASS")&amp;" / 6 PASS"</f>
        <v>6 / 6 PASS</v>
      </c>
    </row>
    <row r="5" spans="1:19" x14ac:dyDescent="0.5">
      <c r="A5" s="45" t="s">
        <v>7</v>
      </c>
      <c r="B5" s="45" t="s">
        <v>8</v>
      </c>
      <c r="D5" s="45" t="s">
        <v>9</v>
      </c>
      <c r="J5" s="48" t="s">
        <v>10</v>
      </c>
      <c r="L5" s="49" t="s">
        <v>11</v>
      </c>
      <c r="N5" s="50" t="s">
        <v>12</v>
      </c>
    </row>
    <row r="6" spans="1:19" x14ac:dyDescent="0.5">
      <c r="A6" s="46">
        <v>1</v>
      </c>
      <c r="B6" s="47" t="s">
        <v>3248</v>
      </c>
      <c r="D6" s="51">
        <v>50</v>
      </c>
      <c r="F6" s="51">
        <v>10</v>
      </c>
      <c r="J6" s="52">
        <v>1</v>
      </c>
      <c r="L6" s="53" cm="1">
        <f t="array" ref="L6">xrank(D6,F6:F8)</f>
        <v>1</v>
      </c>
      <c r="N6" s="54" t="str">
        <f>IF(L6=J6,"PASS","FAIL")</f>
        <v>PASS</v>
      </c>
    </row>
    <row r="7" spans="1:19" x14ac:dyDescent="0.5">
      <c r="A7" s="55"/>
      <c r="B7" s="55"/>
      <c r="F7" s="51">
        <v>50</v>
      </c>
    </row>
    <row r="8" spans="1:19" x14ac:dyDescent="0.5">
      <c r="A8" s="55"/>
      <c r="B8" s="55"/>
      <c r="F8" s="51">
        <v>30</v>
      </c>
    </row>
    <row r="10" spans="1:19" x14ac:dyDescent="0.5">
      <c r="A10" s="46">
        <v>2</v>
      </c>
      <c r="B10" s="47" t="s">
        <v>3249</v>
      </c>
      <c r="D10" s="51">
        <v>30</v>
      </c>
      <c r="F10" s="51">
        <v>10</v>
      </c>
      <c r="J10" s="52">
        <v>2</v>
      </c>
      <c r="L10" s="53" cm="1">
        <f t="array" ref="L10">xrank(D10,F10:F12)</f>
        <v>2</v>
      </c>
      <c r="N10" s="54" t="str">
        <f>IF(L10=J10,"PASS","FAIL")</f>
        <v>PASS</v>
      </c>
    </row>
    <row r="11" spans="1:19" x14ac:dyDescent="0.5">
      <c r="A11" s="55"/>
      <c r="B11" s="55"/>
      <c r="F11" s="51">
        <v>50</v>
      </c>
    </row>
    <row r="12" spans="1:19" x14ac:dyDescent="0.5">
      <c r="A12" s="55"/>
      <c r="B12" s="55"/>
      <c r="F12" s="51">
        <v>30</v>
      </c>
    </row>
    <row r="14" spans="1:19" x14ac:dyDescent="0.5">
      <c r="A14" s="46">
        <v>3</v>
      </c>
      <c r="B14" s="47" t="s">
        <v>3250</v>
      </c>
      <c r="D14" s="51">
        <v>10</v>
      </c>
      <c r="F14" s="51">
        <v>10</v>
      </c>
      <c r="H14" s="51">
        <v>1</v>
      </c>
      <c r="J14" s="52">
        <v>1</v>
      </c>
      <c r="L14" s="53" cm="1">
        <f t="array" ref="L14">xrank(D14,F14:F16,H14)</f>
        <v>1</v>
      </c>
      <c r="N14" s="54" t="str">
        <f>IF(L14=J14,"PASS","FAIL")</f>
        <v>PASS</v>
      </c>
    </row>
    <row r="15" spans="1:19" x14ac:dyDescent="0.5">
      <c r="A15" s="55"/>
      <c r="B15" s="55"/>
      <c r="F15" s="51">
        <v>50</v>
      </c>
    </row>
    <row r="16" spans="1:19" x14ac:dyDescent="0.5">
      <c r="A16" s="55"/>
      <c r="B16" s="55"/>
      <c r="F16" s="51">
        <v>30</v>
      </c>
    </row>
    <row r="18" spans="1:14" x14ac:dyDescent="0.5">
      <c r="A18" s="46">
        <v>4</v>
      </c>
      <c r="B18" s="47" t="s">
        <v>3251</v>
      </c>
      <c r="D18" s="51">
        <v>50</v>
      </c>
      <c r="F18" s="51">
        <v>10</v>
      </c>
      <c r="G18" s="51">
        <v>50</v>
      </c>
      <c r="H18" s="51">
        <v>30</v>
      </c>
      <c r="J18" s="52">
        <v>1</v>
      </c>
      <c r="L18" s="53" cm="1">
        <f t="array" ref="L18">xrank(D18,F18:H18)</f>
        <v>1</v>
      </c>
      <c r="N18" s="54" t="str">
        <f>IF(L18=J18,"PASS","FAIL")</f>
        <v>PASS</v>
      </c>
    </row>
    <row r="20" spans="1:14" x14ac:dyDescent="0.5">
      <c r="A20" s="46">
        <v>5</v>
      </c>
      <c r="B20" s="47" t="s">
        <v>3252</v>
      </c>
      <c r="D20" s="51">
        <v>20</v>
      </c>
      <c r="F20" s="51">
        <v>10</v>
      </c>
      <c r="J20" s="52">
        <v>2</v>
      </c>
      <c r="L20" s="53" cm="1">
        <f t="array" ref="L20">xrank(D20,F20:F23)</f>
        <v>2</v>
      </c>
      <c r="N20" s="54" t="str">
        <f>IF(L20=J20,"PASS","FAIL")</f>
        <v>PASS</v>
      </c>
    </row>
    <row r="21" spans="1:14" x14ac:dyDescent="0.5">
      <c r="A21" s="55"/>
      <c r="B21" s="55"/>
      <c r="F21" s="51">
        <v>20</v>
      </c>
    </row>
    <row r="22" spans="1:14" x14ac:dyDescent="0.5">
      <c r="A22" s="55"/>
      <c r="B22" s="55"/>
      <c r="F22" s="51">
        <v>20</v>
      </c>
    </row>
    <row r="23" spans="1:14" x14ac:dyDescent="0.5">
      <c r="A23" s="55"/>
      <c r="B23" s="55"/>
      <c r="F23" s="51">
        <v>30</v>
      </c>
    </row>
    <row r="25" spans="1:14" x14ac:dyDescent="0.5">
      <c r="A25" s="46">
        <v>6</v>
      </c>
      <c r="B25" s="47" t="s">
        <v>3289</v>
      </c>
      <c r="D25" s="51">
        <v>999</v>
      </c>
      <c r="J25" s="52" t="str">
        <f>""</f>
        <v/>
      </c>
      <c r="L25" s="53" t="str" cm="1">
        <f t="array" ref="L25">xrank(D25,{10;20;30})</f>
        <v/>
      </c>
      <c r="N25" s="54" t="str">
        <f>IF(L25=J25,"PASS","FAIL")</f>
        <v>PASS</v>
      </c>
    </row>
  </sheetData>
  <mergeCells count="3">
    <mergeCell ref="I1:R1"/>
    <mergeCell ref="B2:R2"/>
    <mergeCell ref="B1:F1"/>
  </mergeCells>
  <pageMargins left="0.75" right="0.75" top="1" bottom="1" header="0.5" footer="0.5"/>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3170B-8453-4514-9CCB-727D55941517}">
  <sheetPr codeName="Sheet101"/>
  <dimension ref="A1:S38"/>
  <sheetViews>
    <sheetView topLeftCell="A8" workbookViewId="0">
      <selection activeCell="N19" sqref="N19"/>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11" customWidth="1"/>
    <col min="17" max="17" width="3" customWidth="1"/>
    <col min="18" max="18" width="9" customWidth="1"/>
  </cols>
  <sheetData>
    <row r="1" spans="1:19" ht="294" customHeight="1" x14ac:dyDescent="0.5">
      <c r="A1" s="45" t="s">
        <v>0</v>
      </c>
      <c r="B1" s="83" t="str" cm="1">
        <f t="array" aca="1" ref="B1" ca="1">_xlfn.LET(_xlpm.fn, CELL("filename",$A$1), _xlpm.nm, MID(_xlpm.fn, FIND("]", _xlpm.fn) + 1, 255), _xlfn.XLOOKUP(_xlpm.nm &amp; "(*", Lamb!$A$2:$A$1000, Lamb!$A$2:$A$1000, "", 2))</f>
        <v>xsequence(start, stop, [step], [repeat_element], [repeat_array])</v>
      </c>
      <c r="C1" s="79"/>
      <c r="D1" s="79"/>
      <c r="E1" s="79"/>
      <c r="F1" s="80"/>
      <c r="H1" s="45" t="s">
        <v>2</v>
      </c>
      <c r="I1" s="78" t="str" cm="1">
        <f t="array" aca="1" ref="I1" ca="1">_xlfn.LET(_xlpm.fn, CELL("filename",$A$1), _xlpm.nm, MID(_xlpm.fn, FIND("]", _xlpm.fn) + 1, 255), _xlfn.XLOOKUP(_xlpm.nm &amp; "(*", Lamb!$A$2:$A$1000, Lamb!$D$2:$D$1000, "", 2))</f>
        <v>Flexible numeric sequence with repetition options.
Arguments:
  start            - first value.
  stop             - last value (inclusive).
  [step]           - increment (default 1).
  [repeat_element] - times to repeat each element in place (default 1).
  [repeat_array]   - times to repeat the whole sequence (default 1).
Returns:
  A vertical array from start to stop, or #VALUE! if step is 0, points the wrong way, or does not divide the span evenly. Decimal steps may introduce floating-point error.
  The result is a real value array, so it reports its true size to ROWS/COLUMNS and nests correctly inside other functions (e.g. ROWS(xsequence(1, 10)) = 10). It is built by arithmetic on SEQUENCE rather than INDEX, because an INDEX-built array is seen as a single reference by dimension functions.
Example:
  xsequence(1, 5)  -&gt;  {1;2;3;4;5}</v>
      </c>
      <c r="J1" s="79"/>
      <c r="K1" s="79"/>
      <c r="L1" s="79"/>
      <c r="M1" s="79"/>
      <c r="N1" s="79"/>
      <c r="O1" s="79"/>
      <c r="P1" s="79"/>
      <c r="Q1" s="79"/>
      <c r="R1" s="80"/>
      <c r="S1" s="77" t="str">
        <f>HYPERLINK("#lambda_tests!A1","&lt;- test summary")</f>
        <v>&lt;- test summary</v>
      </c>
    </row>
    <row r="2" spans="1:19" ht="315" customHeight="1" x14ac:dyDescent="0.5">
      <c r="A2" s="45" t="s">
        <v>4</v>
      </c>
      <c r="B2" s="81" t="str" cm="1">
        <f t="array" aca="1" ref="B2" ca="1">_xlfn.LET(_xlpm.fn, CELL("filename",$A$1), _xlpm.nm, MID(_xlpm.fn, FIND("]", _xlpm.fn) + 1, 255), _xlfn.XLOOKUP(_xlpm.nm &amp; "(*", Lamb!$A$2:$A$1000, Lamb!$C$2:$C$1000, "", 2))</f>
        <v>=LAMBDA(start, stop, [step], [repeat_element], [repeat_array], LET(
   s, start,
   t, stop,
   stp, IF(ISOMITTED(step), IF(t &gt;= s, 1, -1), step),
   re, IF(ISOMITTED(repeat_element), 1, repeat_element),
   ra, IF(ISOMITTED(repeat_array), 1, repeat_array),
   d, t - s,
   ok_dir, OR(d = 0, SIGN(stp) = SIGN(d)),
   ok_div, MOD(ABS(d), ABS(stp)) = 0,
   n, QUOTIENT(ABS(d), ABS(stp)) + 1,
   out, s + stp * INT(MOD(SEQUENCE(n * re * ra) - 1, n * re) / re),
   IF(AND(stp &lt;&gt; 0, ok_dir, ok_div), out, #VALUE!)
))</v>
      </c>
      <c r="C2" s="82"/>
      <c r="D2" s="82"/>
      <c r="E2" s="82"/>
      <c r="F2" s="82"/>
      <c r="G2" s="82"/>
      <c r="H2" s="82"/>
      <c r="I2" s="82"/>
      <c r="J2" s="82"/>
      <c r="K2" s="82"/>
      <c r="L2" s="82"/>
      <c r="M2" s="82"/>
      <c r="N2" s="82"/>
      <c r="O2" s="82"/>
      <c r="P2" s="82"/>
      <c r="Q2" s="82"/>
      <c r="R2" s="82"/>
    </row>
    <row r="4" spans="1:19" x14ac:dyDescent="0.5">
      <c r="A4" s="45" t="s">
        <v>3253</v>
      </c>
      <c r="R4" s="45" t="str">
        <f>COUNTIF(R6:R50,"PASS")&amp;" / 7 PASS"</f>
        <v>7 / 7 PASS</v>
      </c>
    </row>
    <row r="5" spans="1:19" x14ac:dyDescent="0.5">
      <c r="A5" s="45" t="s">
        <v>7</v>
      </c>
      <c r="B5" s="45" t="s">
        <v>8</v>
      </c>
      <c r="D5" s="45" t="s">
        <v>9</v>
      </c>
      <c r="N5" s="48" t="s">
        <v>10</v>
      </c>
      <c r="P5" s="49" t="s">
        <v>11</v>
      </c>
      <c r="R5" s="50" t="s">
        <v>12</v>
      </c>
    </row>
    <row r="6" spans="1:19" x14ac:dyDescent="0.5">
      <c r="A6" s="46">
        <v>1</v>
      </c>
      <c r="B6" s="47" t="s">
        <v>3254</v>
      </c>
      <c r="D6" s="51">
        <v>1</v>
      </c>
      <c r="F6" s="51">
        <v>5</v>
      </c>
      <c r="N6" s="52">
        <v>1</v>
      </c>
      <c r="P6" s="53" cm="1">
        <f t="array" ref="P6:P10">xsequence(D6,F6)</f>
        <v>1</v>
      </c>
      <c r="R6" s="54" t="str" cm="1">
        <f t="array" ref="R6">IF(AND(N6:N10=P6:P10),"PASS","FAIL")</f>
        <v>PASS</v>
      </c>
    </row>
    <row r="7" spans="1:19" x14ac:dyDescent="0.5">
      <c r="A7" s="55"/>
      <c r="B7" s="55"/>
      <c r="N7" s="52">
        <v>2</v>
      </c>
      <c r="P7" s="53">
        <v>2</v>
      </c>
    </row>
    <row r="8" spans="1:19" x14ac:dyDescent="0.5">
      <c r="A8" s="55"/>
      <c r="B8" s="55"/>
      <c r="N8" s="52">
        <v>3</v>
      </c>
      <c r="P8" s="53">
        <v>3</v>
      </c>
    </row>
    <row r="9" spans="1:19" x14ac:dyDescent="0.5">
      <c r="A9" s="55"/>
      <c r="B9" s="55"/>
      <c r="N9" s="52">
        <v>4</v>
      </c>
      <c r="P9" s="53">
        <v>4</v>
      </c>
    </row>
    <row r="10" spans="1:19" x14ac:dyDescent="0.5">
      <c r="A10" s="55"/>
      <c r="B10" s="55"/>
      <c r="N10" s="52">
        <v>5</v>
      </c>
      <c r="P10" s="53">
        <v>5</v>
      </c>
    </row>
    <row r="12" spans="1:19" x14ac:dyDescent="0.5">
      <c r="A12" s="46">
        <v>2</v>
      </c>
      <c r="B12" s="47" t="s">
        <v>3255</v>
      </c>
      <c r="D12" s="51">
        <v>2</v>
      </c>
      <c r="F12" s="51">
        <v>6</v>
      </c>
      <c r="H12" s="51">
        <v>2</v>
      </c>
      <c r="N12" s="52">
        <v>2</v>
      </c>
      <c r="P12" s="53" cm="1">
        <f t="array" ref="P12:P14">xsequence(D12,F12,H12)</f>
        <v>2</v>
      </c>
      <c r="R12" s="54" t="str" cm="1">
        <f t="array" ref="R12">IF(AND(N12:N14=P12:P14),"PASS","FAIL")</f>
        <v>PASS</v>
      </c>
    </row>
    <row r="13" spans="1:19" x14ac:dyDescent="0.5">
      <c r="A13" s="55"/>
      <c r="B13" s="55"/>
      <c r="N13" s="52">
        <v>4</v>
      </c>
      <c r="P13" s="53">
        <v>4</v>
      </c>
    </row>
    <row r="14" spans="1:19" x14ac:dyDescent="0.5">
      <c r="A14" s="55"/>
      <c r="B14" s="55"/>
      <c r="N14" s="52">
        <v>6</v>
      </c>
      <c r="P14" s="53">
        <v>6</v>
      </c>
    </row>
    <row r="16" spans="1:19" x14ac:dyDescent="0.5">
      <c r="A16" s="46">
        <v>3</v>
      </c>
      <c r="B16" s="47" t="s">
        <v>3256</v>
      </c>
      <c r="D16" s="51">
        <v>1</v>
      </c>
      <c r="F16" s="51">
        <v>3</v>
      </c>
      <c r="H16" s="51"/>
      <c r="J16" s="51">
        <v>2</v>
      </c>
      <c r="N16" s="52">
        <v>1</v>
      </c>
      <c r="P16" s="53" cm="1">
        <f t="array" ref="P16:P21">xsequence(D16,F16,,J16)</f>
        <v>1</v>
      </c>
      <c r="R16" s="54" t="str" cm="1">
        <f t="array" ref="R16">IF(AND(N16:N21=P16:P21),"PASS","FAIL")</f>
        <v>PASS</v>
      </c>
    </row>
    <row r="17" spans="1:18" x14ac:dyDescent="0.5">
      <c r="A17" s="55"/>
      <c r="B17" s="55"/>
      <c r="N17" s="52">
        <v>1</v>
      </c>
      <c r="P17" s="53">
        <v>1</v>
      </c>
    </row>
    <row r="18" spans="1:18" x14ac:dyDescent="0.5">
      <c r="A18" s="55"/>
      <c r="B18" s="55"/>
      <c r="N18" s="52">
        <v>2</v>
      </c>
      <c r="P18" s="53">
        <v>2</v>
      </c>
    </row>
    <row r="19" spans="1:18" x14ac:dyDescent="0.5">
      <c r="A19" s="55"/>
      <c r="B19" s="55"/>
      <c r="N19" s="52">
        <v>2</v>
      </c>
      <c r="P19" s="53">
        <v>2</v>
      </c>
    </row>
    <row r="20" spans="1:18" x14ac:dyDescent="0.5">
      <c r="A20" s="55"/>
      <c r="B20" s="55"/>
      <c r="N20" s="52">
        <v>3</v>
      </c>
      <c r="P20" s="53">
        <v>3</v>
      </c>
    </row>
    <row r="21" spans="1:18" x14ac:dyDescent="0.5">
      <c r="A21" s="55"/>
      <c r="B21" s="55"/>
      <c r="N21" s="52">
        <v>3</v>
      </c>
      <c r="P21" s="53">
        <v>3</v>
      </c>
    </row>
    <row r="23" spans="1:18" x14ac:dyDescent="0.5">
      <c r="A23" s="46">
        <v>4</v>
      </c>
      <c r="B23" s="47" t="s">
        <v>3257</v>
      </c>
      <c r="D23" s="51">
        <v>1</v>
      </c>
      <c r="F23" s="51">
        <v>3</v>
      </c>
      <c r="H23" s="51"/>
      <c r="J23" s="51"/>
      <c r="L23" s="51">
        <v>2</v>
      </c>
      <c r="N23" s="52">
        <v>1</v>
      </c>
      <c r="P23" s="53" cm="1">
        <f t="array" ref="P23:P28">xsequence(D23,F23,,,L23)</f>
        <v>1</v>
      </c>
      <c r="R23" s="54" t="str" cm="1">
        <f t="array" ref="R23">IF(AND(N23:N28=P23:P28),"PASS","FAIL")</f>
        <v>PASS</v>
      </c>
    </row>
    <row r="24" spans="1:18" x14ac:dyDescent="0.5">
      <c r="A24" s="55"/>
      <c r="B24" s="55"/>
      <c r="N24" s="52">
        <v>2</v>
      </c>
      <c r="P24" s="53">
        <v>2</v>
      </c>
    </row>
    <row r="25" spans="1:18" x14ac:dyDescent="0.5">
      <c r="A25" s="55"/>
      <c r="B25" s="55"/>
      <c r="N25" s="52">
        <v>3</v>
      </c>
      <c r="P25" s="53">
        <v>3</v>
      </c>
    </row>
    <row r="26" spans="1:18" x14ac:dyDescent="0.5">
      <c r="A26" s="55"/>
      <c r="B26" s="55"/>
      <c r="N26" s="52">
        <v>1</v>
      </c>
      <c r="P26" s="53">
        <v>1</v>
      </c>
    </row>
    <row r="27" spans="1:18" x14ac:dyDescent="0.5">
      <c r="A27" s="55"/>
      <c r="B27" s="55"/>
      <c r="N27" s="52">
        <v>2</v>
      </c>
      <c r="P27" s="53">
        <v>2</v>
      </c>
    </row>
    <row r="28" spans="1:18" x14ac:dyDescent="0.5">
      <c r="A28" s="55"/>
      <c r="B28" s="55"/>
      <c r="N28" s="52">
        <v>3</v>
      </c>
      <c r="P28" s="53">
        <v>3</v>
      </c>
    </row>
    <row r="30" spans="1:18" x14ac:dyDescent="0.5">
      <c r="A30" s="46">
        <v>5</v>
      </c>
      <c r="B30" s="47" t="s">
        <v>3258</v>
      </c>
      <c r="D30" s="51">
        <v>5</v>
      </c>
      <c r="F30" s="51">
        <v>1</v>
      </c>
      <c r="N30" s="52">
        <v>5</v>
      </c>
      <c r="P30" s="53" cm="1">
        <f t="array" ref="P30:P34">xsequence(D30,F30)</f>
        <v>5</v>
      </c>
      <c r="R30" s="54" t="str" cm="1">
        <f t="array" ref="R30">IF(AND(N30:N34=P30:P34),"PASS","FAIL")</f>
        <v>PASS</v>
      </c>
    </row>
    <row r="31" spans="1:18" x14ac:dyDescent="0.5">
      <c r="A31" s="55"/>
      <c r="B31" s="55"/>
      <c r="N31" s="52">
        <v>4</v>
      </c>
      <c r="P31" s="53">
        <v>4</v>
      </c>
    </row>
    <row r="32" spans="1:18" x14ac:dyDescent="0.5">
      <c r="A32" s="55"/>
      <c r="B32" s="55"/>
      <c r="N32" s="52">
        <v>3</v>
      </c>
      <c r="P32" s="53">
        <v>3</v>
      </c>
    </row>
    <row r="33" spans="1:18" x14ac:dyDescent="0.5">
      <c r="A33" s="55"/>
      <c r="B33" s="55"/>
      <c r="N33" s="52">
        <v>2</v>
      </c>
      <c r="P33" s="53">
        <v>2</v>
      </c>
    </row>
    <row r="34" spans="1:18" x14ac:dyDescent="0.5">
      <c r="A34" s="55"/>
      <c r="B34" s="55"/>
      <c r="N34" s="52">
        <v>1</v>
      </c>
      <c r="P34" s="53">
        <v>1</v>
      </c>
    </row>
    <row r="36" spans="1:18" x14ac:dyDescent="0.5">
      <c r="A36" s="46">
        <v>6</v>
      </c>
      <c r="B36" s="47" t="s">
        <v>3290</v>
      </c>
      <c r="D36" s="51">
        <v>1</v>
      </c>
      <c r="F36" s="51">
        <v>5</v>
      </c>
      <c r="N36" s="52" t="s">
        <v>3288</v>
      </c>
      <c r="P36" s="53" t="e" cm="1">
        <f t="array" ref="P36">xsequence(D36,F36,-1)</f>
        <v>#VALUE!</v>
      </c>
      <c r="R36" s="54" t="str">
        <f>IF(ERROR.TYPE(P36)=3,"PASS","FAIL")</f>
        <v>PASS</v>
      </c>
    </row>
    <row r="38" spans="1:18" x14ac:dyDescent="0.5">
      <c r="A38" s="46">
        <v>7</v>
      </c>
      <c r="B38" s="47" t="s">
        <v>3647</v>
      </c>
      <c r="D38" s="51">
        <v>1</v>
      </c>
      <c r="F38" s="51">
        <v>10</v>
      </c>
      <c r="N38" s="52">
        <v>10</v>
      </c>
      <c r="P38" s="53">
        <f>ROWS(xsequence(D38,F38))</f>
        <v>10</v>
      </c>
      <c r="R38" s="54" t="str">
        <f>IF(P38=N38,"PASS","FAIL")</f>
        <v>PASS</v>
      </c>
    </row>
  </sheetData>
  <mergeCells count="3">
    <mergeCell ref="I1:R1"/>
    <mergeCell ref="B2:R2"/>
    <mergeCell ref="B1:F1"/>
  </mergeCells>
  <pageMargins left="0.75" right="0.75" top="1" bottom="1" header="0.5" footer="0.5"/>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7C04ED-A771-4383-95BD-CD9E247FC0E2}">
  <sheetPr codeName="Sheet103"/>
  <dimension ref="A1:S24"/>
  <sheetViews>
    <sheetView workbookViewId="0">
      <selection activeCell="D10" sqref="D10"/>
    </sheetView>
  </sheetViews>
  <sheetFormatPr defaultRowHeight="21" x14ac:dyDescent="0.5"/>
  <cols>
    <col min="1" max="1" width="4" customWidth="1"/>
    <col min="2" max="2" width="30" customWidth="1"/>
    <col min="4" max="6" width="11" customWidth="1"/>
    <col min="7" max="7" width="3" customWidth="1"/>
    <col min="8" max="8" width="11" customWidth="1"/>
    <col min="9" max="9" width="3" customWidth="1"/>
    <col min="10" max="10" width="11" customWidth="1"/>
    <col min="11" max="11" width="3" customWidth="1"/>
    <col min="12" max="12" width="9" customWidth="1"/>
  </cols>
  <sheetData>
    <row r="1" spans="1:19" ht="294" customHeight="1" x14ac:dyDescent="0.5">
      <c r="A1" s="45" t="s">
        <v>0</v>
      </c>
      <c r="B1" s="83" t="str" cm="1">
        <f t="array" aca="1" ref="B1" ca="1">_xlfn.LET(_xlpm.fn, CELL("filename",$A$1), _xlpm.nm, MID(_xlpm.fn, FIND("]", _xlpm.fn) + 1, 255), _xlfn.XLOOKUP(_xlpm.nm &amp; "(*", Lamb!$A$2:$A$1000, Lamb!$A$2:$A$1000, "", 2))</f>
        <v>xtocol(rng, [show_addr], [clean], [dir], [snake])</v>
      </c>
      <c r="C1" s="79"/>
      <c r="D1" s="79"/>
      <c r="E1" s="79"/>
      <c r="F1" s="80"/>
      <c r="H1" s="45" t="s">
        <v>2</v>
      </c>
      <c r="I1" s="78" t="str" cm="1">
        <f t="array" aca="1" ref="I1" ca="1">_xlfn.LET(_xlpm.fn, CELL("filename",$A$1), _xlpm.nm, MID(_xlpm.fn, FIND("]", _xlpm.fn) + 1, 255), _xlfn.XLOOKUP(_xlpm.nm &amp; "(*", Lamb!$A$2:$A$1000, Lamb!$D$2:$D$1000, "", 2))</f>
        <v>Flattens a 2D range into a single column, with scan and cleaning options.
Arguments:
  rng          - the range to flatten.
  [show_addr]  - 1 to also return a cell-address column (default 1).
  [clean]      - 1 to drop blanks, errors, and "" (default 1).
  [dir]        - scan order as arrows; "→↓" (default) is row-major (right, then down).
  [snake]      - 1 to snake back and forth across rows/columns (default 0).
Returns:
  The flattened values as a column (address + value when show_addr = 1). Returns #VALUE! if dir is not a valid one- or two-arrow scan direction.
Example:
  xtocol(A1:B5)</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=LAMBDA(rng, [show_addr], [clean], [dir], [snake], LET(
 _show, IF(ISOMITTED(show_addr), 1, show_addr),
 _clean, IF(ISOMITTED(clean), 1, clean),
 _in_dir, IF(ISOMITTED(dir), "→↓", dir),
 _snake, IF(ISOMITTED(snake), 0, snake),
 _len, LEN(_in_dir),
 _d, IF(
  _len = 2,
  _in_dir,
  IF(
   _len &lt;&gt; 1,
   #VALUE!,
   LET(
    char_one, _in_dir,
    is_vert, OR(char_one = "↑", char_one = "↓"),
    is_horz, OR(char_one = "←", char_one = "→"),
    IF(is_vert, char_one &amp; "→", IF(is_horz, char_one &amp; "↓", #VALUE!))
   )
  )
 ),
 first_char, LEFT(_d, 1),
 second_char, RIGHT(_d, 1),
 has_vert, OR(
  first_char = "↑",
  first_char = "↓",
  second_char = "↑",
  second_char = "↓"
 ),
 has_horz, OR(
  first_char = "←",
  first_char = "→",
  second_char = "←",
  second_char = "→"
 ),
 is_valid, AND(LEN(_d) = 2, has_vert, has_horz),
 IF(
  NOT(is_valid),
  #VALUE!,
  LET(
   op_h, IF(OR(first_char = "←", second_char = "←"), "↔", ""),
   op_v, IF(OR(first_char = "↑", second_char = "↑"), "↕", ""),
   need_transpose, OR(first_char = "↑", first_char = "↓"),
   ProcessGrid, LAMBDA(grid, LET(
    flipped, transform_array(grid, op_h &amp; op_v),
    oriented, IF(need_transpose, TRANSPOSE(flipped), flipped),
    rows_cnt, ROWS(oriented),
    cols_cnt, COLUMNS(oriented),
    IF(
     _snake,
     MAKEARRAY(
      rows_cnt,
      cols_cnt,
      LAMBDA(r_idx, c_idx,
       INDEX(
        oriented,
        r_idx,
        IF(ISODD(r_idx), c_idx, cols_cnt - c_idx + 1)
       )
      )
     ),
     oriented
    )
   )),
   val_grid, rng,
   addr_grid, ADDRESS(ROW(val_grid), COLUMN(val_grid), 4),
   flat_vals, TOCOL(ProcessGrid(val_grid)),
   flat_addrs, TOCOL(ProcessGrid(addr_grid)),
   base, IF(_show, HSTACK(flat_addrs, flat_vals), flat_vals),
   mask, IF(
    ISERROR(flat_vals),
    FALSE,
    (flat_vals &lt;&gt; "") * (NOT(ISBLANK(flat_vals)))
   ),
   IF(_clean, FILTER(base, mask), base)
  )
 )
))</v>
      </c>
      <c r="C2" s="82"/>
      <c r="D2" s="82"/>
      <c r="E2" s="82"/>
      <c r="F2" s="82"/>
      <c r="G2" s="82"/>
      <c r="H2" s="82"/>
      <c r="I2" s="82"/>
      <c r="J2" s="82"/>
      <c r="K2" s="82"/>
      <c r="L2" s="82"/>
      <c r="M2" s="82"/>
      <c r="N2" s="82"/>
      <c r="O2" s="82"/>
      <c r="P2" s="82"/>
      <c r="Q2" s="82"/>
      <c r="R2" s="82"/>
    </row>
    <row r="4" spans="1:19" x14ac:dyDescent="0.5">
      <c r="A4" s="45" t="s">
        <v>3269</v>
      </c>
      <c r="L4" s="45" t="str">
        <f>COUNTIF(L6:L24,"PASS")&amp;" / 5 PASS"</f>
        <v>5 / 5 PASS</v>
      </c>
    </row>
    <row r="5" spans="1:19" x14ac:dyDescent="0.5">
      <c r="A5" s="45" t="s">
        <v>7</v>
      </c>
      <c r="B5" s="45" t="s">
        <v>8</v>
      </c>
      <c r="D5" s="45" t="s">
        <v>9</v>
      </c>
      <c r="H5" s="48" t="s">
        <v>10</v>
      </c>
      <c r="J5" s="49" t="s">
        <v>11</v>
      </c>
      <c r="L5" s="50" t="s">
        <v>12</v>
      </c>
    </row>
    <row r="6" spans="1:19" x14ac:dyDescent="0.5">
      <c r="A6" s="46">
        <v>1</v>
      </c>
      <c r="B6" s="47" t="s">
        <v>3270</v>
      </c>
      <c r="D6" s="51">
        <v>1</v>
      </c>
      <c r="E6" s="51">
        <v>2</v>
      </c>
      <c r="H6" s="52">
        <v>1</v>
      </c>
      <c r="J6" s="53" cm="1">
        <f t="array" ref="J6:J9">xtocol(D6:E7,0)</f>
        <v>1</v>
      </c>
      <c r="L6" s="54" t="str" cm="1">
        <f t="array" ref="L6">IF(AND(H6:H9=J6:J9),"PASS","FAIL")</f>
        <v>PASS</v>
      </c>
    </row>
    <row r="7" spans="1:19" x14ac:dyDescent="0.5">
      <c r="A7" s="55"/>
      <c r="B7" s="55"/>
      <c r="D7" s="51">
        <v>3</v>
      </c>
      <c r="E7" s="51">
        <v>4</v>
      </c>
      <c r="H7" s="52">
        <v>2</v>
      </c>
      <c r="J7" s="53">
        <v>2</v>
      </c>
    </row>
    <row r="8" spans="1:19" x14ac:dyDescent="0.5">
      <c r="A8" s="55"/>
      <c r="B8" s="55"/>
      <c r="H8" s="52">
        <v>3</v>
      </c>
      <c r="J8" s="53">
        <v>3</v>
      </c>
    </row>
    <row r="9" spans="1:19" x14ac:dyDescent="0.5">
      <c r="A9" s="55"/>
      <c r="B9" s="55"/>
      <c r="H9" s="52">
        <v>4</v>
      </c>
      <c r="J9" s="53">
        <v>4</v>
      </c>
    </row>
    <row r="11" spans="1:19" x14ac:dyDescent="0.5">
      <c r="A11" s="46">
        <v>2</v>
      </c>
      <c r="B11" s="47" t="s">
        <v>3271</v>
      </c>
      <c r="D11" s="51">
        <v>1</v>
      </c>
      <c r="E11" s="51">
        <v>2</v>
      </c>
      <c r="H11" s="52">
        <v>1</v>
      </c>
      <c r="J11" s="53" cm="1">
        <f t="array" ref="J11:J14">xtocol(D11:E12,0,,"↓→")</f>
        <v>1</v>
      </c>
      <c r="L11" s="54" t="str" cm="1">
        <f t="array" ref="L11">IF(AND(H11:H14=J11:J14),"PASS","FAIL")</f>
        <v>PASS</v>
      </c>
    </row>
    <row r="12" spans="1:19" x14ac:dyDescent="0.5">
      <c r="A12" s="55"/>
      <c r="B12" s="55"/>
      <c r="D12" s="51">
        <v>3</v>
      </c>
      <c r="E12" s="51">
        <v>4</v>
      </c>
      <c r="H12" s="52">
        <v>3</v>
      </c>
      <c r="J12" s="53">
        <v>3</v>
      </c>
    </row>
    <row r="13" spans="1:19" x14ac:dyDescent="0.5">
      <c r="A13" s="55"/>
      <c r="B13" s="55"/>
      <c r="H13" s="52">
        <v>2</v>
      </c>
      <c r="J13" s="53">
        <v>2</v>
      </c>
    </row>
    <row r="14" spans="1:19" x14ac:dyDescent="0.5">
      <c r="A14" s="55"/>
      <c r="B14" s="55"/>
      <c r="H14" s="52">
        <v>4</v>
      </c>
      <c r="J14" s="53">
        <v>4</v>
      </c>
    </row>
    <row r="16" spans="1:19" x14ac:dyDescent="0.5">
      <c r="A16" s="46">
        <v>3</v>
      </c>
      <c r="B16" s="47" t="s">
        <v>3272</v>
      </c>
      <c r="D16" s="51">
        <v>1</v>
      </c>
      <c r="E16" s="51"/>
      <c r="F16" s="51">
        <v>3</v>
      </c>
      <c r="H16" s="52">
        <v>1</v>
      </c>
      <c r="J16" s="53" cm="1">
        <f t="array" ref="J16:J17">xtocol(D16:F16,0)</f>
        <v>1</v>
      </c>
      <c r="L16" s="54" t="str" cm="1">
        <f t="array" ref="L16">IF(AND(H16:H17=J16:J17),"PASS","FAIL")</f>
        <v>PASS</v>
      </c>
    </row>
    <row r="17" spans="1:12" x14ac:dyDescent="0.5">
      <c r="A17" s="55"/>
      <c r="B17" s="55"/>
      <c r="H17" s="52">
        <v>3</v>
      </c>
      <c r="J17" s="53">
        <v>3</v>
      </c>
    </row>
    <row r="19" spans="1:12" x14ac:dyDescent="0.5">
      <c r="A19" s="46">
        <v>4</v>
      </c>
      <c r="B19" s="47" t="s">
        <v>3273</v>
      </c>
      <c r="D19" s="51">
        <v>1</v>
      </c>
      <c r="E19" s="51">
        <v>2</v>
      </c>
      <c r="H19" s="52">
        <v>1</v>
      </c>
      <c r="J19" s="53" cm="1">
        <f t="array" ref="J19:J22">xtocol(D19:E20,0,,"→↓",1)</f>
        <v>1</v>
      </c>
      <c r="L19" s="54" t="str" cm="1">
        <f t="array" ref="L19">IF(AND(H19:H22=J19:J22),"PASS","FAIL")</f>
        <v>PASS</v>
      </c>
    </row>
    <row r="20" spans="1:12" x14ac:dyDescent="0.5">
      <c r="A20" s="55"/>
      <c r="B20" s="55"/>
      <c r="D20" s="51">
        <v>3</v>
      </c>
      <c r="E20" s="51">
        <v>4</v>
      </c>
      <c r="H20" s="52">
        <v>2</v>
      </c>
      <c r="J20" s="53">
        <v>2</v>
      </c>
    </row>
    <row r="21" spans="1:12" x14ac:dyDescent="0.5">
      <c r="A21" s="55"/>
      <c r="B21" s="55"/>
      <c r="H21" s="52">
        <v>4</v>
      </c>
      <c r="J21" s="53">
        <v>4</v>
      </c>
    </row>
    <row r="22" spans="1:12" x14ac:dyDescent="0.5">
      <c r="A22" s="55"/>
      <c r="B22" s="55"/>
      <c r="H22" s="52">
        <v>3</v>
      </c>
      <c r="J22" s="53">
        <v>3</v>
      </c>
    </row>
    <row r="24" spans="1:12" x14ac:dyDescent="0.5">
      <c r="A24" s="46">
        <v>5</v>
      </c>
      <c r="B24" s="47" t="s">
        <v>3291</v>
      </c>
      <c r="H24" s="52" t="s">
        <v>3288</v>
      </c>
      <c r="J24" s="53" t="e" cm="1">
        <f t="array" ref="J24">xtocol(D6:E7,1,1,"Z")</f>
        <v>#VALUE!</v>
      </c>
      <c r="L24" s="54" t="str">
        <f>IF(ERROR.TYPE(J24)=3,"PASS","FAIL")</f>
        <v>PASS</v>
      </c>
    </row>
  </sheetData>
  <mergeCells count="3">
    <mergeCell ref="I1:R1"/>
    <mergeCell ref="B2:R2"/>
    <mergeCell ref="B1:F1"/>
  </mergeCells>
  <pageMargins left="0.75" right="0.75" top="1" bottom="1" header="0.5" footer="0.5"/>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2368A1-B909-4363-ACE4-249D1821132C}">
  <sheetPr codeName="Sheet110"/>
  <dimension ref="A1:H4"/>
  <sheetViews>
    <sheetView workbookViewId="0">
      <selection sqref="A1:A2"/>
    </sheetView>
  </sheetViews>
  <sheetFormatPr defaultRowHeight="21" x14ac:dyDescent="0.5"/>
  <cols>
    <col min="5" max="5" width="20.9375" bestFit="1" customWidth="1"/>
    <col min="6" max="6" width="8.3125" style="56" bestFit="1" customWidth="1"/>
    <col min="7" max="7" width="7.6875" style="56" bestFit="1" customWidth="1"/>
    <col min="8" max="8" width="8.8125" bestFit="1" customWidth="1"/>
  </cols>
  <sheetData>
    <row r="1" spans="1:8" x14ac:dyDescent="0.5">
      <c r="A1" s="59" t="s">
        <v>3321</v>
      </c>
      <c r="C1" t="s">
        <v>3346</v>
      </c>
      <c r="E1" s="15" t="s">
        <v>3379</v>
      </c>
      <c r="H1" s="15" t="s">
        <v>3452</v>
      </c>
    </row>
    <row r="2" spans="1:8" x14ac:dyDescent="0.5">
      <c r="A2" s="60" t="s">
        <v>3325</v>
      </c>
      <c r="E2" s="15" t="s">
        <v>8</v>
      </c>
      <c r="F2" s="57" t="s">
        <v>10</v>
      </c>
      <c r="G2" s="57" t="s">
        <v>11</v>
      </c>
      <c r="H2" s="15" t="s">
        <v>3310</v>
      </c>
    </row>
    <row r="3" spans="1:8" x14ac:dyDescent="0.5">
      <c r="E3" t="s">
        <v>3380</v>
      </c>
      <c r="F3" s="56" t="s">
        <v>3321</v>
      </c>
      <c r="G3" s="56" t="s">
        <v>3321</v>
      </c>
      <c r="H3" s="58" t="s">
        <v>3314</v>
      </c>
    </row>
    <row r="4" spans="1:8" x14ac:dyDescent="0.5">
      <c r="E4" t="s">
        <v>3381</v>
      </c>
      <c r="F4" s="56" t="s">
        <v>3325</v>
      </c>
      <c r="G4" s="56" t="s">
        <v>3325</v>
      </c>
      <c r="H4" s="58" t="s">
        <v>3314</v>
      </c>
    </row>
  </sheetData>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62111E-9431-458A-A2E3-86F1D2EEF37F}">
  <sheetPr codeName="Sheet125"/>
  <dimension ref="C1:F6"/>
  <sheetViews>
    <sheetView workbookViewId="0"/>
  </sheetViews>
  <sheetFormatPr defaultRowHeight="21" x14ac:dyDescent="0.5"/>
  <cols>
    <col min="3" max="3" width="14.4375" bestFit="1" customWidth="1"/>
    <col min="4" max="4" width="8.3125" style="56" bestFit="1" customWidth="1"/>
    <col min="5" max="5" width="6.0625" style="56" bestFit="1" customWidth="1"/>
    <col min="6" max="6" width="8.8125" bestFit="1" customWidth="1"/>
  </cols>
  <sheetData>
    <row r="1" spans="3:6" x14ac:dyDescent="0.5">
      <c r="C1" s="15" t="s">
        <v>3416</v>
      </c>
      <c r="F1" s="15" t="s">
        <v>3454</v>
      </c>
    </row>
    <row r="2" spans="3:6" x14ac:dyDescent="0.5">
      <c r="C2" s="15" t="s">
        <v>8</v>
      </c>
      <c r="D2" s="57" t="s">
        <v>10</v>
      </c>
      <c r="E2" s="57" t="s">
        <v>11</v>
      </c>
      <c r="F2" s="15" t="s">
        <v>3310</v>
      </c>
    </row>
    <row r="3" spans="3:6" x14ac:dyDescent="0.5">
      <c r="C3" t="s">
        <v>3417</v>
      </c>
      <c r="D3" s="56" t="s">
        <v>137</v>
      </c>
      <c r="E3" s="56" t="s">
        <v>137</v>
      </c>
      <c r="F3" s="58" t="s">
        <v>3314</v>
      </c>
    </row>
    <row r="4" spans="3:6" x14ac:dyDescent="0.5">
      <c r="C4" t="s">
        <v>3418</v>
      </c>
      <c r="D4" s="56" t="s">
        <v>2633</v>
      </c>
      <c r="E4" s="56" t="s">
        <v>2633</v>
      </c>
      <c r="F4" s="58" t="s">
        <v>3314</v>
      </c>
    </row>
    <row r="5" spans="3:6" x14ac:dyDescent="0.5">
      <c r="C5" t="s">
        <v>3419</v>
      </c>
      <c r="D5" s="56" t="s">
        <v>3420</v>
      </c>
      <c r="E5" s="56" t="s">
        <v>3420</v>
      </c>
      <c r="F5" s="58" t="s">
        <v>3314</v>
      </c>
    </row>
    <row r="6" spans="3:6" x14ac:dyDescent="0.5">
      <c r="C6" t="s">
        <v>3421</v>
      </c>
      <c r="D6" s="56" t="s">
        <v>3422</v>
      </c>
      <c r="E6" s="56" t="s">
        <v>3422</v>
      </c>
      <c r="F6" s="58" t="s">
        <v>3314</v>
      </c>
    </row>
  </sheetData>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9A530-00B7-41FC-9ED1-D6913F8F3FE4}">
  <sheetPr codeName="Sheet104"/>
  <dimension ref="A1:H5"/>
  <sheetViews>
    <sheetView workbookViewId="0"/>
  </sheetViews>
  <sheetFormatPr defaultRowHeight="21" x14ac:dyDescent="0.5"/>
  <cols>
    <col min="5" max="5" width="13.4375" bestFit="1" customWidth="1"/>
    <col min="6" max="6" width="8.3125" style="56" bestFit="1" customWidth="1"/>
    <col min="7" max="7" width="7.6875" style="56" bestFit="1" customWidth="1"/>
    <col min="8" max="8" width="8.8125" bestFit="1" customWidth="1"/>
  </cols>
  <sheetData>
    <row r="1" spans="1:8" x14ac:dyDescent="0.5">
      <c r="A1" s="59"/>
      <c r="C1" t="s">
        <v>3338</v>
      </c>
      <c r="E1" s="15" t="s">
        <v>3319</v>
      </c>
      <c r="H1" s="15" t="s">
        <v>3451</v>
      </c>
    </row>
    <row r="2" spans="1:8" x14ac:dyDescent="0.5">
      <c r="A2" s="101"/>
      <c r="E2" s="15" t="s">
        <v>8</v>
      </c>
      <c r="F2" s="57" t="s">
        <v>10</v>
      </c>
      <c r="G2" s="57" t="s">
        <v>11</v>
      </c>
      <c r="H2" s="15" t="s">
        <v>3310</v>
      </c>
    </row>
    <row r="3" spans="1:8" x14ac:dyDescent="0.5">
      <c r="A3" s="60"/>
      <c r="E3" t="s">
        <v>3320</v>
      </c>
      <c r="F3" s="56" t="s">
        <v>3321</v>
      </c>
      <c r="G3" s="56" t="s">
        <v>3321</v>
      </c>
      <c r="H3" s="58" t="s">
        <v>3314</v>
      </c>
    </row>
    <row r="4" spans="1:8" x14ac:dyDescent="0.5">
      <c r="E4" t="s">
        <v>3322</v>
      </c>
      <c r="F4" s="56" t="s">
        <v>3323</v>
      </c>
      <c r="G4" s="56" t="s">
        <v>3323</v>
      </c>
      <c r="H4" s="58" t="s">
        <v>3314</v>
      </c>
    </row>
    <row r="5" spans="1:8" x14ac:dyDescent="0.5">
      <c r="E5" t="s">
        <v>3324</v>
      </c>
      <c r="F5" s="56" t="s">
        <v>3325</v>
      </c>
      <c r="G5" s="56" t="s">
        <v>3325</v>
      </c>
      <c r="H5" s="58" t="s">
        <v>3314</v>
      </c>
    </row>
  </sheetData>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3076C1-9760-4D42-A501-9C93FDCFBBA3}">
  <sheetPr codeName="Sheet108"/>
  <dimension ref="A1:H8"/>
  <sheetViews>
    <sheetView workbookViewId="0"/>
  </sheetViews>
  <sheetFormatPr defaultRowHeight="21" x14ac:dyDescent="0.5"/>
  <cols>
    <col min="5" max="5" width="23.4375" bestFit="1" customWidth="1"/>
    <col min="6" max="6" width="8.3125" style="56" bestFit="1" customWidth="1"/>
    <col min="7" max="7" width="7.625" style="56" bestFit="1" customWidth="1"/>
    <col min="8" max="8" width="8.8125" bestFit="1" customWidth="1"/>
  </cols>
  <sheetData>
    <row r="1" spans="1:8" x14ac:dyDescent="0.5">
      <c r="A1" t="s">
        <v>3339</v>
      </c>
      <c r="B1">
        <v>100</v>
      </c>
      <c r="C1" t="s">
        <v>3340</v>
      </c>
      <c r="E1" s="15" t="s">
        <v>3360</v>
      </c>
      <c r="H1" s="15" t="s">
        <v>3453</v>
      </c>
    </row>
    <row r="2" spans="1:8" x14ac:dyDescent="0.5">
      <c r="A2" t="s">
        <v>3341</v>
      </c>
      <c r="B2">
        <v>1000</v>
      </c>
      <c r="C2" t="s">
        <v>3339</v>
      </c>
      <c r="E2" s="15" t="s">
        <v>8</v>
      </c>
      <c r="F2" s="57" t="s">
        <v>10</v>
      </c>
      <c r="G2" s="57" t="s">
        <v>11</v>
      </c>
      <c r="H2" s="15" t="s">
        <v>3310</v>
      </c>
    </row>
    <row r="3" spans="1:8" x14ac:dyDescent="0.5">
      <c r="E3" t="s">
        <v>3361</v>
      </c>
      <c r="F3" s="56" t="s">
        <v>3362</v>
      </c>
      <c r="G3" s="56" t="s">
        <v>3362</v>
      </c>
      <c r="H3" s="58" t="s">
        <v>3314</v>
      </c>
    </row>
    <row r="4" spans="1:8" x14ac:dyDescent="0.5">
      <c r="A4" t="s">
        <v>3342</v>
      </c>
      <c r="E4" t="s">
        <v>3363</v>
      </c>
      <c r="F4" s="56" t="s">
        <v>136</v>
      </c>
      <c r="G4" s="56" t="s">
        <v>136</v>
      </c>
      <c r="H4" s="58" t="s">
        <v>3314</v>
      </c>
    </row>
    <row r="5" spans="1:8" x14ac:dyDescent="0.5">
      <c r="E5" t="s">
        <v>3364</v>
      </c>
      <c r="F5" s="56" t="s">
        <v>156</v>
      </c>
      <c r="G5" s="56" t="s">
        <v>156</v>
      </c>
      <c r="H5" s="58" t="s">
        <v>3314</v>
      </c>
    </row>
    <row r="6" spans="1:8" x14ac:dyDescent="0.5">
      <c r="E6" t="s">
        <v>3365</v>
      </c>
      <c r="F6" s="56" t="s">
        <v>3366</v>
      </c>
      <c r="G6" s="56" t="s">
        <v>3366</v>
      </c>
      <c r="H6" s="58" t="s">
        <v>3314</v>
      </c>
    </row>
    <row r="7" spans="1:8" x14ac:dyDescent="0.5">
      <c r="E7" t="s">
        <v>3367</v>
      </c>
      <c r="F7" s="56" t="s">
        <v>3328</v>
      </c>
      <c r="G7" s="56" t="s">
        <v>3328</v>
      </c>
      <c r="H7" s="58" t="s">
        <v>3314</v>
      </c>
    </row>
    <row r="8" spans="1:8" x14ac:dyDescent="0.5">
      <c r="E8" t="s">
        <v>3368</v>
      </c>
      <c r="F8" s="56" t="s">
        <v>3288</v>
      </c>
      <c r="G8" s="56" t="s">
        <v>3288</v>
      </c>
      <c r="H8" s="58" t="s">
        <v>3314</v>
      </c>
    </row>
  </sheetData>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58C60F-0D4A-42F8-A0B9-03BBBE623837}">
  <sheetPr codeName="Sheet117"/>
  <dimension ref="A1:G3"/>
  <sheetViews>
    <sheetView workbookViewId="0"/>
  </sheetViews>
  <sheetFormatPr defaultRowHeight="21" x14ac:dyDescent="0.5"/>
  <cols>
    <col min="4" max="4" width="30.4375" bestFit="1" customWidth="1"/>
    <col min="5" max="5" width="8.3125" style="56" bestFit="1" customWidth="1"/>
    <col min="6" max="6" width="6.0625" style="56" bestFit="1" customWidth="1"/>
    <col min="7" max="7" width="8.8125" bestFit="1" customWidth="1"/>
  </cols>
  <sheetData>
    <row r="1" spans="1:7" x14ac:dyDescent="0.5">
      <c r="A1" t="s">
        <v>3353</v>
      </c>
      <c r="B1" t="e">
        <f>NA()</f>
        <v>#N/A</v>
      </c>
      <c r="D1" s="15" t="s">
        <v>3430</v>
      </c>
      <c r="G1" s="15" t="s">
        <v>3456</v>
      </c>
    </row>
    <row r="2" spans="1:7" x14ac:dyDescent="0.5">
      <c r="A2" t="e">
        <f>1/0</f>
        <v>#DIV/0!</v>
      </c>
      <c r="B2">
        <v>5</v>
      </c>
      <c r="D2" s="15" t="s">
        <v>8</v>
      </c>
      <c r="E2" s="57" t="s">
        <v>10</v>
      </c>
      <c r="F2" s="57" t="s">
        <v>11</v>
      </c>
      <c r="G2" s="15" t="s">
        <v>3310</v>
      </c>
    </row>
    <row r="3" spans="1:7" x14ac:dyDescent="0.5">
      <c r="D3" t="s">
        <v>3431</v>
      </c>
      <c r="E3" s="56" t="s">
        <v>3328</v>
      </c>
      <c r="F3" s="56" t="s">
        <v>3328</v>
      </c>
      <c r="G3" s="58" t="s">
        <v>3314</v>
      </c>
    </row>
  </sheetData>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553CC-449E-43B6-B96B-066075C5C456}">
  <sheetPr codeName="Sheet116"/>
  <dimension ref="C1:F4"/>
  <sheetViews>
    <sheetView workbookViewId="0"/>
  </sheetViews>
  <sheetFormatPr defaultRowHeight="21" x14ac:dyDescent="0.5"/>
  <cols>
    <col min="3" max="3" width="21.625" bestFit="1" customWidth="1"/>
    <col min="4" max="4" width="8.3125" style="56" bestFit="1" customWidth="1"/>
    <col min="5" max="5" width="6.0625" style="56" bestFit="1" customWidth="1"/>
    <col min="6" max="6" width="8.8125" bestFit="1" customWidth="1"/>
  </cols>
  <sheetData>
    <row r="1" spans="3:6" x14ac:dyDescent="0.5">
      <c r="C1" s="15" t="s">
        <v>3423</v>
      </c>
      <c r="F1" s="15" t="s">
        <v>3452</v>
      </c>
    </row>
    <row r="2" spans="3:6" x14ac:dyDescent="0.5">
      <c r="C2" s="15" t="s">
        <v>8</v>
      </c>
      <c r="D2" s="57" t="s">
        <v>10</v>
      </c>
      <c r="E2" s="57" t="s">
        <v>11</v>
      </c>
      <c r="F2" s="15" t="s">
        <v>3310</v>
      </c>
    </row>
    <row r="3" spans="3:6" x14ac:dyDescent="0.5">
      <c r="C3" t="s">
        <v>3424</v>
      </c>
      <c r="D3" s="56" t="s">
        <v>3328</v>
      </c>
      <c r="E3" s="56" t="s">
        <v>3328</v>
      </c>
      <c r="F3" s="58" t="s">
        <v>3314</v>
      </c>
    </row>
    <row r="4" spans="3:6" x14ac:dyDescent="0.5">
      <c r="C4" t="s">
        <v>3425</v>
      </c>
      <c r="D4" s="56" t="s">
        <v>3328</v>
      </c>
      <c r="E4" s="56" t="s">
        <v>3328</v>
      </c>
      <c r="F4" s="58" t="s">
        <v>3314</v>
      </c>
    </row>
  </sheetData>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EE8E27-D561-458F-9AB9-D029634EDBBE}">
  <sheetPr codeName="Sheet111"/>
  <dimension ref="A1:I5"/>
  <sheetViews>
    <sheetView workbookViewId="0"/>
  </sheetViews>
  <sheetFormatPr defaultRowHeight="21" x14ac:dyDescent="0.5"/>
  <cols>
    <col min="6" max="6" width="33.5" bestFit="1" customWidth="1"/>
    <col min="7" max="7" width="8.3125" style="56" bestFit="1" customWidth="1"/>
    <col min="8" max="8" width="7.625" style="56" bestFit="1" customWidth="1"/>
    <col min="9" max="9" width="8.8125" bestFit="1" customWidth="1"/>
  </cols>
  <sheetData>
    <row r="1" spans="1:9" x14ac:dyDescent="0.5">
      <c r="A1" s="59" t="s">
        <v>2631</v>
      </c>
      <c r="B1" s="59" t="str">
        <f>""</f>
        <v/>
      </c>
      <c r="D1" t="s">
        <v>3347</v>
      </c>
      <c r="F1" s="15" t="s">
        <v>3382</v>
      </c>
      <c r="I1" s="15" t="s">
        <v>3451</v>
      </c>
    </row>
    <row r="2" spans="1:9" x14ac:dyDescent="0.5">
      <c r="A2" s="59" t="s">
        <v>2631</v>
      </c>
      <c r="F2" s="15" t="s">
        <v>8</v>
      </c>
      <c r="G2" s="57" t="s">
        <v>10</v>
      </c>
      <c r="H2" s="57" t="s">
        <v>11</v>
      </c>
      <c r="I2" s="15" t="s">
        <v>3310</v>
      </c>
    </row>
    <row r="3" spans="1:9" x14ac:dyDescent="0.5">
      <c r="A3" s="62"/>
      <c r="F3" t="s">
        <v>3383</v>
      </c>
      <c r="G3" s="56" t="s">
        <v>2631</v>
      </c>
      <c r="H3" s="56" t="s">
        <v>2631</v>
      </c>
      <c r="I3" s="58" t="s">
        <v>3314</v>
      </c>
    </row>
    <row r="4" spans="1:9" x14ac:dyDescent="0.5">
      <c r="F4" t="s">
        <v>3384</v>
      </c>
      <c r="G4" s="56" t="s">
        <v>3385</v>
      </c>
      <c r="H4" s="56" t="s">
        <v>3385</v>
      </c>
      <c r="I4" s="58" t="s">
        <v>3314</v>
      </c>
    </row>
    <row r="5" spans="1:9" x14ac:dyDescent="0.5">
      <c r="F5" t="s">
        <v>3386</v>
      </c>
      <c r="G5" s="56" t="s">
        <v>3328</v>
      </c>
      <c r="H5" s="56" t="s">
        <v>3328</v>
      </c>
      <c r="I5" s="58" t="s">
        <v>3314</v>
      </c>
    </row>
  </sheetData>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E58E8A-F7A4-4CE7-A065-88121A0F1BEC}">
  <sheetPr codeName="Sheet112"/>
  <dimension ref="A1:K6"/>
  <sheetViews>
    <sheetView workbookViewId="0">
      <selection activeCell="D1" sqref="D1:D2"/>
    </sheetView>
  </sheetViews>
  <sheetFormatPr defaultRowHeight="21" x14ac:dyDescent="0.5"/>
  <cols>
    <col min="8" max="8" width="38.3125" bestFit="1" customWidth="1"/>
    <col min="9" max="9" width="8.3125" style="56" bestFit="1" customWidth="1"/>
    <col min="10" max="10" width="7.625" style="56" bestFit="1" customWidth="1"/>
    <col min="11" max="11" width="8.8125" bestFit="1" customWidth="1"/>
  </cols>
  <sheetData>
    <row r="1" spans="1:11" x14ac:dyDescent="0.5">
      <c r="A1" s="59" t="s">
        <v>2631</v>
      </c>
      <c r="B1" s="62"/>
      <c r="D1" s="64" t="s">
        <v>2632</v>
      </c>
      <c r="F1" t="s">
        <v>3348</v>
      </c>
      <c r="H1" s="15" t="s">
        <v>3387</v>
      </c>
      <c r="K1" s="15" t="s">
        <v>3454</v>
      </c>
    </row>
    <row r="2" spans="1:11" x14ac:dyDescent="0.5">
      <c r="A2" s="59" t="s">
        <v>2631</v>
      </c>
      <c r="B2" s="62"/>
      <c r="D2" s="63"/>
      <c r="H2" s="15" t="s">
        <v>8</v>
      </c>
      <c r="I2" s="57" t="s">
        <v>10</v>
      </c>
      <c r="J2" s="57" t="s">
        <v>11</v>
      </c>
      <c r="K2" s="15" t="s">
        <v>3310</v>
      </c>
    </row>
    <row r="3" spans="1:11" x14ac:dyDescent="0.5">
      <c r="A3" s="59" t="s">
        <v>2631</v>
      </c>
      <c r="B3" s="62"/>
      <c r="H3" t="s">
        <v>3388</v>
      </c>
      <c r="I3" s="56" t="s">
        <v>2631</v>
      </c>
      <c r="J3" s="56" t="s">
        <v>2631</v>
      </c>
      <c r="K3" s="58" t="s">
        <v>3314</v>
      </c>
    </row>
    <row r="4" spans="1:11" x14ac:dyDescent="0.5">
      <c r="H4" t="s">
        <v>3389</v>
      </c>
      <c r="I4" s="56" t="s">
        <v>2631</v>
      </c>
      <c r="J4" s="56" t="s">
        <v>2631</v>
      </c>
      <c r="K4" s="58" t="s">
        <v>3314</v>
      </c>
    </row>
    <row r="5" spans="1:11" x14ac:dyDescent="0.5">
      <c r="H5" t="s">
        <v>3390</v>
      </c>
      <c r="I5" s="56" t="s">
        <v>3385</v>
      </c>
      <c r="J5" s="56" t="s">
        <v>3385</v>
      </c>
      <c r="K5" s="58" t="s">
        <v>3314</v>
      </c>
    </row>
    <row r="6" spans="1:11" x14ac:dyDescent="0.5">
      <c r="H6" t="s">
        <v>3391</v>
      </c>
      <c r="I6" s="56" t="s">
        <v>3385</v>
      </c>
      <c r="J6" s="56" t="s">
        <v>3385</v>
      </c>
      <c r="K6" s="58" t="s">
        <v>3314</v>
      </c>
    </row>
  </sheetData>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4F687-6F30-41EE-A291-A448822B1803}">
  <sheetPr codeName="Sheet114"/>
  <dimension ref="A1:F10"/>
  <sheetViews>
    <sheetView workbookViewId="0"/>
  </sheetViews>
  <sheetFormatPr defaultRowHeight="21" x14ac:dyDescent="0.5"/>
  <cols>
    <col min="3" max="3" width="31.3125" bestFit="1" customWidth="1"/>
    <col min="4" max="4" width="8.3125" style="56" bestFit="1" customWidth="1"/>
    <col min="5" max="5" width="6.0625" style="56" bestFit="1" customWidth="1"/>
    <col min="6" max="6" width="8.8125" bestFit="1" customWidth="1"/>
  </cols>
  <sheetData>
    <row r="1" spans="1:6" x14ac:dyDescent="0.5">
      <c r="A1" t="s">
        <v>3351</v>
      </c>
      <c r="C1" s="15" t="s">
        <v>3401</v>
      </c>
      <c r="F1" s="15" t="s">
        <v>3455</v>
      </c>
    </row>
    <row r="2" spans="1:6" x14ac:dyDescent="0.5">
      <c r="C2" s="15" t="s">
        <v>8</v>
      </c>
      <c r="D2" s="57" t="s">
        <v>10</v>
      </c>
      <c r="E2" s="57" t="s">
        <v>11</v>
      </c>
      <c r="F2" s="15" t="s">
        <v>3310</v>
      </c>
    </row>
    <row r="3" spans="1:6" x14ac:dyDescent="0.5">
      <c r="C3" t="s">
        <v>3402</v>
      </c>
      <c r="D3" s="56" t="s">
        <v>3328</v>
      </c>
      <c r="E3" s="56" t="s">
        <v>3328</v>
      </c>
      <c r="F3" s="58" t="s">
        <v>3314</v>
      </c>
    </row>
    <row r="4" spans="1:6" x14ac:dyDescent="0.5">
      <c r="C4" t="s">
        <v>3403</v>
      </c>
      <c r="D4" s="56" t="s">
        <v>3328</v>
      </c>
      <c r="E4" s="56" t="s">
        <v>3328</v>
      </c>
      <c r="F4" s="58" t="s">
        <v>3314</v>
      </c>
    </row>
    <row r="5" spans="1:6" x14ac:dyDescent="0.5">
      <c r="C5" t="s">
        <v>3404</v>
      </c>
      <c r="D5" s="56" t="s">
        <v>2937</v>
      </c>
      <c r="E5" s="56" t="s">
        <v>2937</v>
      </c>
      <c r="F5" s="58" t="s">
        <v>3314</v>
      </c>
    </row>
    <row r="6" spans="1:6" x14ac:dyDescent="0.5">
      <c r="C6" t="s">
        <v>3398</v>
      </c>
      <c r="D6" s="56" t="s">
        <v>136</v>
      </c>
      <c r="E6" s="56" t="s">
        <v>136</v>
      </c>
      <c r="F6" s="58" t="s">
        <v>3314</v>
      </c>
    </row>
    <row r="7" spans="1:6" x14ac:dyDescent="0.5">
      <c r="C7" t="s">
        <v>3405</v>
      </c>
      <c r="D7" s="56" t="s">
        <v>3406</v>
      </c>
      <c r="E7" s="56" t="s">
        <v>3406</v>
      </c>
      <c r="F7" s="58" t="s">
        <v>3314</v>
      </c>
    </row>
    <row r="8" spans="1:6" x14ac:dyDescent="0.5">
      <c r="C8" t="s">
        <v>3407</v>
      </c>
      <c r="D8" s="56" t="s">
        <v>2938</v>
      </c>
      <c r="E8" s="56" t="s">
        <v>2938</v>
      </c>
      <c r="F8" s="58" t="s">
        <v>3314</v>
      </c>
    </row>
    <row r="9" spans="1:6" x14ac:dyDescent="0.5">
      <c r="C9" t="s">
        <v>3400</v>
      </c>
      <c r="D9" s="56" t="s">
        <v>577</v>
      </c>
      <c r="E9" s="56" t="s">
        <v>577</v>
      </c>
      <c r="F9" s="58" t="s">
        <v>3314</v>
      </c>
    </row>
    <row r="10" spans="1:6" x14ac:dyDescent="0.5">
      <c r="C10" t="s">
        <v>3408</v>
      </c>
      <c r="D10" s="56" t="s">
        <v>3409</v>
      </c>
      <c r="E10" s="56" t="s">
        <v>3409</v>
      </c>
      <c r="F10" s="58" t="s">
        <v>3314</v>
      </c>
    </row>
  </sheetData>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281A1-7156-4A74-B403-9AD5F1551731}">
  <sheetPr codeName="Sheet113"/>
  <dimension ref="A1:F10"/>
  <sheetViews>
    <sheetView workbookViewId="0">
      <selection sqref="A1:A3"/>
    </sheetView>
  </sheetViews>
  <sheetFormatPr defaultRowHeight="21" x14ac:dyDescent="0.5"/>
  <cols>
    <col min="3" max="3" width="27.375" bestFit="1" customWidth="1"/>
    <col min="4" max="5" width="12.1875" style="56" bestFit="1" customWidth="1"/>
    <col min="6" max="6" width="8.8125" bestFit="1" customWidth="1"/>
  </cols>
  <sheetData>
    <row r="1" spans="1:6" x14ac:dyDescent="0.5">
      <c r="A1" t="s">
        <v>2937</v>
      </c>
      <c r="C1" s="15" t="s">
        <v>3392</v>
      </c>
      <c r="F1" s="15" t="s">
        <v>3455</v>
      </c>
    </row>
    <row r="2" spans="1:6" x14ac:dyDescent="0.5">
      <c r="A2" t="s">
        <v>2937</v>
      </c>
      <c r="C2" s="15" t="s">
        <v>8</v>
      </c>
      <c r="D2" s="57" t="s">
        <v>10</v>
      </c>
      <c r="E2" s="57" t="s">
        <v>11</v>
      </c>
      <c r="F2" s="15" t="s">
        <v>3310</v>
      </c>
    </row>
    <row r="3" spans="1:6" x14ac:dyDescent="0.5">
      <c r="A3" t="s">
        <v>2938</v>
      </c>
      <c r="C3" t="s">
        <v>3393</v>
      </c>
      <c r="D3" s="56" t="s">
        <v>3328</v>
      </c>
      <c r="E3" s="56" t="s">
        <v>3328</v>
      </c>
      <c r="F3" s="58" t="s">
        <v>3314</v>
      </c>
    </row>
    <row r="4" spans="1:6" x14ac:dyDescent="0.5">
      <c r="C4" t="s">
        <v>3394</v>
      </c>
      <c r="D4" s="56" t="s">
        <v>3328</v>
      </c>
      <c r="E4" s="56" t="s">
        <v>3328</v>
      </c>
      <c r="F4" s="58" t="s">
        <v>3314</v>
      </c>
    </row>
    <row r="5" spans="1:6" x14ac:dyDescent="0.5">
      <c r="C5" t="s">
        <v>3395</v>
      </c>
      <c r="D5" s="56" t="s">
        <v>3349</v>
      </c>
      <c r="E5" s="56" t="s">
        <v>3349</v>
      </c>
      <c r="F5" s="58" t="s">
        <v>3314</v>
      </c>
    </row>
    <row r="6" spans="1:6" x14ac:dyDescent="0.5">
      <c r="C6" t="s">
        <v>3396</v>
      </c>
      <c r="D6" s="56" t="s">
        <v>3350</v>
      </c>
      <c r="E6" s="56" t="s">
        <v>3350</v>
      </c>
      <c r="F6" s="58" t="s">
        <v>3314</v>
      </c>
    </row>
    <row r="7" spans="1:6" x14ac:dyDescent="0.5">
      <c r="C7" t="s">
        <v>3397</v>
      </c>
      <c r="D7" s="56" t="s">
        <v>2937</v>
      </c>
      <c r="E7" s="56" t="s">
        <v>2937</v>
      </c>
      <c r="F7" s="58" t="s">
        <v>3314</v>
      </c>
    </row>
    <row r="8" spans="1:6" x14ac:dyDescent="0.5">
      <c r="C8" t="s">
        <v>3398</v>
      </c>
      <c r="D8" s="56" t="s">
        <v>136</v>
      </c>
      <c r="E8" s="56" t="s">
        <v>136</v>
      </c>
      <c r="F8" s="58" t="s">
        <v>3314</v>
      </c>
    </row>
    <row r="9" spans="1:6" x14ac:dyDescent="0.5">
      <c r="C9" t="s">
        <v>3399</v>
      </c>
      <c r="D9" s="56" t="s">
        <v>2938</v>
      </c>
      <c r="E9" s="56" t="s">
        <v>2938</v>
      </c>
      <c r="F9" s="58" t="s">
        <v>3314</v>
      </c>
    </row>
    <row r="10" spans="1:6" x14ac:dyDescent="0.5">
      <c r="C10" t="s">
        <v>3400</v>
      </c>
      <c r="D10" s="56" t="s">
        <v>577</v>
      </c>
      <c r="E10" s="56" t="s">
        <v>577</v>
      </c>
      <c r="F10" s="58" t="s">
        <v>3314</v>
      </c>
    </row>
  </sheetData>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DE0E5-7BBC-4EBF-B256-B610C17890DA}">
  <sheetPr codeName="Sheet105"/>
  <dimension ref="B1:H4"/>
  <sheetViews>
    <sheetView workbookViewId="0"/>
  </sheetViews>
  <sheetFormatPr defaultRowHeight="21" x14ac:dyDescent="0.5"/>
  <cols>
    <col min="5" max="5" width="22.0625" bestFit="1" customWidth="1"/>
    <col min="6" max="7" width="64.9375" style="56" bestFit="1" customWidth="1"/>
    <col min="8" max="8" width="8.8125" bestFit="1" customWidth="1"/>
  </cols>
  <sheetData>
    <row r="1" spans="2:8" x14ac:dyDescent="0.5">
      <c r="E1" s="15" t="s">
        <v>3331</v>
      </c>
      <c r="H1" s="15" t="s">
        <v>3452</v>
      </c>
    </row>
    <row r="2" spans="2:8" x14ac:dyDescent="0.5">
      <c r="B2">
        <v>1</v>
      </c>
      <c r="C2">
        <v>2</v>
      </c>
      <c r="E2" s="15" t="s">
        <v>8</v>
      </c>
      <c r="F2" s="57" t="s">
        <v>10</v>
      </c>
      <c r="G2" s="57" t="s">
        <v>11</v>
      </c>
      <c r="H2" s="15" t="s">
        <v>3310</v>
      </c>
    </row>
    <row r="3" spans="2:8" x14ac:dyDescent="0.5">
      <c r="B3">
        <v>3</v>
      </c>
      <c r="C3">
        <v>4</v>
      </c>
      <c r="E3" t="s">
        <v>3332</v>
      </c>
      <c r="F3" s="56" t="s">
        <v>3333</v>
      </c>
      <c r="G3" s="56" t="s">
        <v>3333</v>
      </c>
      <c r="H3" s="58" t="s">
        <v>3314</v>
      </c>
    </row>
    <row r="4" spans="2:8" x14ac:dyDescent="0.5">
      <c r="E4" t="s">
        <v>3334</v>
      </c>
      <c r="F4" s="56" t="s">
        <v>3328</v>
      </c>
      <c r="G4" s="56" t="s">
        <v>3328</v>
      </c>
      <c r="H4" s="58" t="s">
        <v>3314</v>
      </c>
    </row>
  </sheetData>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775002-30E6-4A7A-8A08-9FD617A86C4E}">
  <sheetPr codeName="Sheet106"/>
  <dimension ref="B2:C3"/>
  <sheetViews>
    <sheetView workbookViewId="0"/>
  </sheetViews>
  <sheetFormatPr defaultRowHeight="21" x14ac:dyDescent="0.5"/>
  <sheetData>
    <row r="2" spans="2:3" x14ac:dyDescent="0.5">
      <c r="B2">
        <v>5</v>
      </c>
      <c r="C2">
        <v>6</v>
      </c>
    </row>
    <row r="3" spans="2:3" x14ac:dyDescent="0.5">
      <c r="B3">
        <v>7</v>
      </c>
      <c r="C3">
        <v>8</v>
      </c>
    </row>
  </sheetData>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C59CB-D95B-4ED2-ABFD-7277DEEA4BA0}">
  <sheetPr codeName="Sheet131"/>
  <dimension ref="C1:F10"/>
  <sheetViews>
    <sheetView workbookViewId="0"/>
  </sheetViews>
  <sheetFormatPr defaultRowHeight="21" x14ac:dyDescent="0.5"/>
  <cols>
    <col min="3" max="3" width="23.6875" bestFit="1" customWidth="1"/>
    <col min="4" max="4" width="8.3125" style="56" bestFit="1" customWidth="1"/>
    <col min="5" max="5" width="6.0625" style="56" bestFit="1" customWidth="1"/>
    <col min="6" max="6" width="8.8125" bestFit="1" customWidth="1"/>
  </cols>
  <sheetData>
    <row r="1" spans="3:6" x14ac:dyDescent="0.5">
      <c r="C1" s="15" t="s">
        <v>3481</v>
      </c>
      <c r="F1" s="15" t="s">
        <v>3455</v>
      </c>
    </row>
    <row r="2" spans="3:6" x14ac:dyDescent="0.5">
      <c r="C2" s="15" t="s">
        <v>8</v>
      </c>
      <c r="D2" s="57" t="s">
        <v>10</v>
      </c>
      <c r="E2" s="57" t="s">
        <v>11</v>
      </c>
      <c r="F2" s="15" t="s">
        <v>3310</v>
      </c>
    </row>
    <row r="3" spans="3:6" x14ac:dyDescent="0.5">
      <c r="C3" t="s">
        <v>3482</v>
      </c>
      <c r="D3" s="56" t="s">
        <v>3328</v>
      </c>
      <c r="E3" s="56" t="s">
        <v>3328</v>
      </c>
      <c r="F3" s="58" t="s">
        <v>3314</v>
      </c>
    </row>
    <row r="4" spans="3:6" x14ac:dyDescent="0.5">
      <c r="C4" t="s">
        <v>3483</v>
      </c>
      <c r="D4" s="56" t="s">
        <v>3328</v>
      </c>
      <c r="E4" s="56" t="s">
        <v>3328</v>
      </c>
      <c r="F4" s="58" t="s">
        <v>3314</v>
      </c>
    </row>
    <row r="5" spans="3:6" x14ac:dyDescent="0.5">
      <c r="C5" t="s">
        <v>3484</v>
      </c>
      <c r="D5" s="56" t="s">
        <v>3328</v>
      </c>
      <c r="E5" s="56" t="s">
        <v>3328</v>
      </c>
      <c r="F5" s="58" t="s">
        <v>3314</v>
      </c>
    </row>
    <row r="6" spans="3:6" x14ac:dyDescent="0.5">
      <c r="C6" t="s">
        <v>3485</v>
      </c>
      <c r="D6" s="56" t="s">
        <v>3328</v>
      </c>
      <c r="E6" s="56" t="s">
        <v>3328</v>
      </c>
      <c r="F6" s="58" t="s">
        <v>3314</v>
      </c>
    </row>
    <row r="7" spans="3:6" x14ac:dyDescent="0.5">
      <c r="C7" t="s">
        <v>3486</v>
      </c>
      <c r="D7" s="56" t="s">
        <v>3328</v>
      </c>
      <c r="E7" s="56" t="s">
        <v>3328</v>
      </c>
      <c r="F7" s="58" t="s">
        <v>3314</v>
      </c>
    </row>
    <row r="8" spans="3:6" x14ac:dyDescent="0.5">
      <c r="C8" t="s">
        <v>3487</v>
      </c>
      <c r="D8" s="56" t="s">
        <v>3328</v>
      </c>
      <c r="E8" s="56" t="s">
        <v>3328</v>
      </c>
      <c r="F8" s="58" t="s">
        <v>3314</v>
      </c>
    </row>
    <row r="9" spans="3:6" x14ac:dyDescent="0.5">
      <c r="C9" t="s">
        <v>3488</v>
      </c>
      <c r="D9" s="56" t="s">
        <v>3328</v>
      </c>
      <c r="E9" s="56" t="s">
        <v>3328</v>
      </c>
      <c r="F9" s="58" t="s">
        <v>3314</v>
      </c>
    </row>
    <row r="10" spans="3:6" x14ac:dyDescent="0.5">
      <c r="C10" t="s">
        <v>3489</v>
      </c>
      <c r="D10" s="56" t="s">
        <v>3328</v>
      </c>
      <c r="E10" s="56" t="s">
        <v>3328</v>
      </c>
      <c r="F10" s="58" t="s">
        <v>3314</v>
      </c>
    </row>
  </sheetData>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40C3C-9802-4875-AFDD-37E0DA39EFC3}">
  <sheetPr codeName="Sheet118"/>
  <dimension ref="B1:I8"/>
  <sheetViews>
    <sheetView workbookViewId="0"/>
  </sheetViews>
  <sheetFormatPr defaultRowHeight="21" x14ac:dyDescent="0.5"/>
  <cols>
    <col min="6" max="6" width="22.0625" bestFit="1" customWidth="1"/>
    <col min="7" max="7" width="8.3125" style="56" bestFit="1" customWidth="1"/>
    <col min="8" max="8" width="6.0625" style="56" bestFit="1" customWidth="1"/>
    <col min="9" max="9" width="8.8125" bestFit="1" customWidth="1"/>
  </cols>
  <sheetData>
    <row r="1" spans="2:9" x14ac:dyDescent="0.5">
      <c r="F1" s="15" t="s">
        <v>3432</v>
      </c>
      <c r="I1" s="15" t="s">
        <v>3453</v>
      </c>
    </row>
    <row r="2" spans="2:9" x14ac:dyDescent="0.5">
      <c r="B2" t="s">
        <v>2957</v>
      </c>
      <c r="F2" s="15" t="s">
        <v>8</v>
      </c>
      <c r="G2" s="57" t="s">
        <v>10</v>
      </c>
      <c r="H2" s="57" t="s">
        <v>11</v>
      </c>
      <c r="I2" s="15" t="s">
        <v>3310</v>
      </c>
    </row>
    <row r="3" spans="2:9" x14ac:dyDescent="0.5">
      <c r="F3" t="s">
        <v>3433</v>
      </c>
      <c r="G3" s="56" t="s">
        <v>3328</v>
      </c>
      <c r="H3" s="56" t="s">
        <v>3328</v>
      </c>
      <c r="I3" s="58" t="s">
        <v>3314</v>
      </c>
    </row>
    <row r="4" spans="2:9" x14ac:dyDescent="0.5">
      <c r="F4" t="s">
        <v>3434</v>
      </c>
      <c r="G4" s="56" t="s">
        <v>3328</v>
      </c>
      <c r="H4" s="56" t="s">
        <v>3328</v>
      </c>
      <c r="I4" s="58" t="s">
        <v>3314</v>
      </c>
    </row>
    <row r="5" spans="2:9" x14ac:dyDescent="0.5">
      <c r="D5" t="s">
        <v>3159</v>
      </c>
      <c r="F5" t="s">
        <v>3474</v>
      </c>
      <c r="G5" s="56" t="s">
        <v>3328</v>
      </c>
      <c r="H5" s="56" t="s">
        <v>3328</v>
      </c>
      <c r="I5" s="58" t="s">
        <v>3314</v>
      </c>
    </row>
    <row r="6" spans="2:9" x14ac:dyDescent="0.5">
      <c r="F6" t="s">
        <v>3475</v>
      </c>
      <c r="G6" s="56" t="s">
        <v>3328</v>
      </c>
      <c r="H6" s="56" t="s">
        <v>3328</v>
      </c>
      <c r="I6" s="58" t="s">
        <v>3314</v>
      </c>
    </row>
    <row r="7" spans="2:9" x14ac:dyDescent="0.5">
      <c r="F7" t="s">
        <v>3476</v>
      </c>
      <c r="G7" s="56" t="s">
        <v>3328</v>
      </c>
      <c r="H7" s="56" t="s">
        <v>3328</v>
      </c>
      <c r="I7" s="58" t="s">
        <v>3314</v>
      </c>
    </row>
    <row r="8" spans="2:9" x14ac:dyDescent="0.5">
      <c r="F8" t="s">
        <v>3477</v>
      </c>
      <c r="G8" s="56" t="s">
        <v>3328</v>
      </c>
      <c r="H8" s="56" t="s">
        <v>3328</v>
      </c>
      <c r="I8" s="58" t="s">
        <v>3314</v>
      </c>
    </row>
  </sheetData>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EE1B74-ECF0-44FC-9AFB-0CDE3C39B3AF}">
  <sheetPr codeName="Sheet129"/>
  <dimension ref="A1:J20"/>
  <sheetViews>
    <sheetView workbookViewId="0"/>
  </sheetViews>
  <sheetFormatPr defaultRowHeight="21" x14ac:dyDescent="0.5"/>
  <sheetData>
    <row r="1" spans="1:10" x14ac:dyDescent="0.5">
      <c r="A1" s="65"/>
      <c r="B1" s="65"/>
      <c r="C1" s="65"/>
      <c r="D1" s="65"/>
      <c r="E1" s="65"/>
      <c r="F1" s="65"/>
      <c r="G1" s="65"/>
      <c r="H1" s="65"/>
      <c r="I1" s="65"/>
      <c r="J1" s="65"/>
    </row>
    <row r="2" spans="1:10" x14ac:dyDescent="0.5">
      <c r="A2" s="65"/>
      <c r="B2" s="65"/>
      <c r="C2" s="65"/>
      <c r="D2" s="65"/>
      <c r="E2" s="65"/>
      <c r="F2" s="65"/>
      <c r="G2" s="65"/>
      <c r="H2" s="65"/>
      <c r="I2" s="65"/>
      <c r="J2" s="65"/>
    </row>
    <row r="3" spans="1:10" x14ac:dyDescent="0.5">
      <c r="A3" s="65"/>
      <c r="B3" s="65"/>
      <c r="C3" s="65"/>
      <c r="D3" s="65"/>
      <c r="E3" s="65"/>
      <c r="F3" s="65"/>
      <c r="G3" s="65"/>
      <c r="H3" s="65"/>
      <c r="I3" s="65"/>
      <c r="J3" s="65"/>
    </row>
    <row r="4" spans="1:10" x14ac:dyDescent="0.5">
      <c r="A4" s="65"/>
      <c r="B4" s="65"/>
      <c r="C4" s="65"/>
      <c r="D4" s="65"/>
      <c r="E4" s="65"/>
      <c r="F4" s="65"/>
      <c r="G4" s="65"/>
      <c r="H4" s="65"/>
      <c r="I4" s="65"/>
      <c r="J4" s="65"/>
    </row>
    <row r="5" spans="1:10" x14ac:dyDescent="0.5">
      <c r="A5" s="65"/>
      <c r="B5" s="65"/>
      <c r="C5" s="65"/>
      <c r="D5" s="65"/>
      <c r="E5" s="65"/>
      <c r="F5" s="65"/>
      <c r="G5" s="65"/>
      <c r="H5" s="65"/>
      <c r="I5" s="65"/>
      <c r="J5" s="65"/>
    </row>
    <row r="6" spans="1:10" x14ac:dyDescent="0.5">
      <c r="A6" s="65"/>
      <c r="B6" s="65"/>
      <c r="C6" s="65"/>
      <c r="D6" s="65"/>
      <c r="E6" s="65"/>
      <c r="F6" s="65"/>
      <c r="G6" s="65"/>
      <c r="H6" s="65"/>
      <c r="I6" s="65"/>
      <c r="J6" s="65"/>
    </row>
    <row r="7" spans="1:10" x14ac:dyDescent="0.5">
      <c r="A7" s="65"/>
      <c r="B7" s="65"/>
      <c r="C7" s="65"/>
      <c r="D7" s="65"/>
      <c r="E7" s="65"/>
      <c r="F7" s="65"/>
      <c r="G7" s="65"/>
      <c r="H7" s="65"/>
      <c r="I7" s="65"/>
      <c r="J7" s="65"/>
    </row>
    <row r="8" spans="1:10" x14ac:dyDescent="0.5">
      <c r="A8" s="65"/>
      <c r="B8" s="65"/>
      <c r="C8" s="65"/>
      <c r="D8" s="65"/>
      <c r="E8" s="65"/>
      <c r="F8" s="65"/>
      <c r="G8" s="65"/>
      <c r="H8" s="65"/>
      <c r="I8" s="65"/>
      <c r="J8" s="65"/>
    </row>
    <row r="9" spans="1:10" x14ac:dyDescent="0.5">
      <c r="A9" s="65"/>
      <c r="B9" s="65"/>
      <c r="C9" s="65"/>
      <c r="D9" s="65"/>
      <c r="E9" s="65"/>
      <c r="F9" s="65"/>
      <c r="G9" s="65"/>
      <c r="H9" s="65"/>
      <c r="I9" s="65"/>
      <c r="J9" s="65"/>
    </row>
    <row r="10" spans="1:10" x14ac:dyDescent="0.5">
      <c r="A10" s="65"/>
      <c r="B10" s="65"/>
      <c r="C10" s="65"/>
      <c r="D10" s="65"/>
      <c r="E10" s="65"/>
      <c r="F10" s="65"/>
      <c r="G10" s="65"/>
      <c r="H10" s="65"/>
      <c r="I10" s="65"/>
      <c r="J10" s="65"/>
    </row>
    <row r="11" spans="1:10" x14ac:dyDescent="0.5">
      <c r="A11" s="65"/>
      <c r="B11" s="65"/>
      <c r="C11" s="65"/>
      <c r="D11" s="65"/>
      <c r="E11" s="65"/>
      <c r="F11" s="65"/>
      <c r="G11" s="65"/>
      <c r="H11" s="65"/>
      <c r="I11" s="65"/>
      <c r="J11" s="65"/>
    </row>
    <row r="12" spans="1:10" x14ac:dyDescent="0.5">
      <c r="A12" s="65"/>
      <c r="B12" s="65"/>
      <c r="C12" s="65"/>
      <c r="D12" s="65"/>
      <c r="E12" s="65"/>
      <c r="F12" s="65"/>
      <c r="G12" s="65"/>
      <c r="H12" s="65"/>
      <c r="I12" s="65"/>
      <c r="J12" s="65"/>
    </row>
    <row r="13" spans="1:10" x14ac:dyDescent="0.5">
      <c r="A13" s="65"/>
      <c r="B13" s="65"/>
      <c r="C13" s="65"/>
      <c r="D13" s="65"/>
      <c r="E13" s="65"/>
      <c r="F13" s="65"/>
      <c r="G13" s="65"/>
      <c r="H13" s="65"/>
      <c r="I13" s="65"/>
      <c r="J13" s="65"/>
    </row>
    <row r="14" spans="1:10" x14ac:dyDescent="0.5">
      <c r="A14" s="65"/>
      <c r="B14" s="65"/>
      <c r="C14" s="65"/>
      <c r="D14" s="65"/>
      <c r="E14" s="65"/>
      <c r="F14" s="65"/>
      <c r="G14" s="65"/>
      <c r="H14" s="65"/>
      <c r="I14" s="65"/>
      <c r="J14" s="65"/>
    </row>
    <row r="15" spans="1:10" x14ac:dyDescent="0.5">
      <c r="A15" s="65"/>
      <c r="B15" s="65"/>
      <c r="C15" s="65"/>
      <c r="D15" s="65"/>
      <c r="E15" s="65"/>
      <c r="F15" s="65"/>
      <c r="G15" s="65"/>
      <c r="H15" s="65"/>
      <c r="I15" s="65"/>
      <c r="J15" s="65"/>
    </row>
    <row r="16" spans="1:10" x14ac:dyDescent="0.5">
      <c r="A16" s="65"/>
      <c r="B16" s="65"/>
      <c r="C16" s="65"/>
      <c r="D16" s="65"/>
      <c r="E16" s="65"/>
      <c r="F16" s="65"/>
      <c r="G16" s="65"/>
      <c r="H16" s="65"/>
      <c r="I16" s="65"/>
      <c r="J16" s="65"/>
    </row>
    <row r="17" spans="1:10" x14ac:dyDescent="0.5">
      <c r="A17" s="65"/>
      <c r="B17" s="65"/>
      <c r="C17" s="65"/>
      <c r="D17" s="65"/>
      <c r="E17" s="65"/>
      <c r="F17" s="65"/>
      <c r="G17" s="65"/>
      <c r="H17" s="65"/>
      <c r="I17" s="65"/>
      <c r="J17" s="65"/>
    </row>
    <row r="18" spans="1:10" x14ac:dyDescent="0.5">
      <c r="A18" s="65"/>
      <c r="B18" s="65"/>
      <c r="C18" s="65"/>
      <c r="D18" s="65"/>
      <c r="E18" s="65"/>
      <c r="F18" s="65"/>
      <c r="G18" s="65"/>
      <c r="H18" s="65"/>
      <c r="I18" s="65"/>
      <c r="J18" s="65"/>
    </row>
    <row r="19" spans="1:10" x14ac:dyDescent="0.5">
      <c r="A19" s="65"/>
      <c r="B19" s="65"/>
      <c r="C19" s="65"/>
      <c r="D19" s="65"/>
      <c r="E19" s="65"/>
      <c r="F19" s="65"/>
      <c r="G19" s="65"/>
      <c r="H19" s="65"/>
      <c r="I19" s="65"/>
      <c r="J19" s="65"/>
    </row>
    <row r="20" spans="1:10" x14ac:dyDescent="0.5">
      <c r="A20" s="65"/>
      <c r="B20" s="65"/>
      <c r="C20" s="65"/>
      <c r="D20" s="65"/>
      <c r="E20" s="65"/>
      <c r="F20" s="65"/>
      <c r="G20" s="65"/>
      <c r="H20" s="65"/>
      <c r="I20" s="65"/>
      <c r="J20" s="65"/>
    </row>
  </sheetData>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DA6945-BDBC-4FC9-9AD4-30920E206C61}">
  <sheetPr codeName="Sheet109"/>
  <dimension ref="A1:L9"/>
  <sheetViews>
    <sheetView workbookViewId="0">
      <selection activeCell="A7" sqref="A7:C9"/>
    </sheetView>
  </sheetViews>
  <sheetFormatPr defaultRowHeight="21" x14ac:dyDescent="0.5"/>
  <cols>
    <col min="9" max="9" width="15.5625" bestFit="1" customWidth="1"/>
    <col min="10" max="11" width="33.375" style="56" bestFit="1" customWidth="1"/>
    <col min="12" max="12" width="8.8125" bestFit="1" customWidth="1"/>
  </cols>
  <sheetData>
    <row r="1" spans="1:12" x14ac:dyDescent="0.5">
      <c r="A1" t="s">
        <v>3343</v>
      </c>
      <c r="E1" t="s">
        <v>3344</v>
      </c>
      <c r="I1" s="15" t="s">
        <v>3369</v>
      </c>
      <c r="L1" s="15" t="s">
        <v>3451</v>
      </c>
    </row>
    <row r="2" spans="1:12" x14ac:dyDescent="0.5">
      <c r="A2" s="61">
        <v>0</v>
      </c>
      <c r="B2" s="61">
        <v>1</v>
      </c>
      <c r="C2" s="61">
        <v>2</v>
      </c>
      <c r="E2" s="61">
        <v>0</v>
      </c>
      <c r="F2" s="61">
        <v>1</v>
      </c>
      <c r="G2" s="61">
        <v>2</v>
      </c>
      <c r="I2" s="15" t="s">
        <v>8</v>
      </c>
      <c r="J2" s="57" t="s">
        <v>10</v>
      </c>
      <c r="K2" s="57" t="s">
        <v>11</v>
      </c>
      <c r="L2" s="15" t="s">
        <v>3310</v>
      </c>
    </row>
    <row r="3" spans="1:12" x14ac:dyDescent="0.5">
      <c r="A3" s="61">
        <v>1</v>
      </c>
      <c r="B3" s="61">
        <v>2</v>
      </c>
      <c r="C3" s="61">
        <v>3</v>
      </c>
      <c r="E3" s="61">
        <v>1</v>
      </c>
      <c r="F3" s="61">
        <v>1</v>
      </c>
      <c r="G3" s="61">
        <v>2</v>
      </c>
      <c r="I3" t="s">
        <v>3370</v>
      </c>
      <c r="J3" s="56" t="s">
        <v>3371</v>
      </c>
      <c r="K3" s="56" t="s">
        <v>3371</v>
      </c>
      <c r="L3" s="58" t="s">
        <v>3314</v>
      </c>
    </row>
    <row r="4" spans="1:12" x14ac:dyDescent="0.5">
      <c r="A4" s="61">
        <v>2</v>
      </c>
      <c r="B4" s="61">
        <v>3</v>
      </c>
      <c r="C4" s="61">
        <v>4</v>
      </c>
      <c r="E4" s="61">
        <v>2</v>
      </c>
      <c r="F4" s="61">
        <v>2</v>
      </c>
      <c r="G4" s="61">
        <v>2</v>
      </c>
      <c r="I4" t="s">
        <v>3372</v>
      </c>
      <c r="J4" s="56" t="s">
        <v>3373</v>
      </c>
      <c r="K4" s="56" t="s">
        <v>3373</v>
      </c>
      <c r="L4" s="58" t="s">
        <v>3314</v>
      </c>
    </row>
    <row r="5" spans="1:12" x14ac:dyDescent="0.5">
      <c r="I5" t="s">
        <v>3374</v>
      </c>
      <c r="J5" s="56" t="s">
        <v>3375</v>
      </c>
      <c r="K5" s="56" t="s">
        <v>3375</v>
      </c>
      <c r="L5" s="58" t="s">
        <v>3314</v>
      </c>
    </row>
    <row r="6" spans="1:12" x14ac:dyDescent="0.5">
      <c r="A6" t="s">
        <v>3345</v>
      </c>
    </row>
    <row r="7" spans="1:12" x14ac:dyDescent="0.5">
      <c r="A7" s="61">
        <v>0</v>
      </c>
      <c r="B7" s="60"/>
      <c r="C7" s="61">
        <v>6</v>
      </c>
    </row>
    <row r="8" spans="1:12" x14ac:dyDescent="0.5">
      <c r="A8" s="61">
        <v>1</v>
      </c>
      <c r="B8" s="60"/>
      <c r="C8" s="61">
        <v>5</v>
      </c>
    </row>
    <row r="9" spans="1:12" x14ac:dyDescent="0.5">
      <c r="A9" s="61">
        <v>2</v>
      </c>
      <c r="B9" s="61">
        <v>3</v>
      </c>
      <c r="C9" s="61">
        <v>4</v>
      </c>
    </row>
  </sheetData>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D65586-577B-48C2-A55F-B8B083C9559A}">
  <sheetPr codeName="Sheet120"/>
  <dimension ref="C1:J4"/>
  <sheetViews>
    <sheetView workbookViewId="0"/>
  </sheetViews>
  <sheetFormatPr defaultRowHeight="21" x14ac:dyDescent="0.5"/>
  <cols>
    <col min="7" max="7" width="50.125" bestFit="1" customWidth="1"/>
    <col min="8" max="8" width="8.3125" style="56" bestFit="1" customWidth="1"/>
    <col min="9" max="9" width="6.0625" style="56" bestFit="1" customWidth="1"/>
    <col min="10" max="10" width="8.8125" bestFit="1" customWidth="1"/>
  </cols>
  <sheetData>
    <row r="1" spans="3:10" x14ac:dyDescent="0.5">
      <c r="C1" s="56" t="s">
        <v>3354</v>
      </c>
      <c r="E1" t="s">
        <v>3356</v>
      </c>
      <c r="G1" s="15" t="s">
        <v>3437</v>
      </c>
      <c r="J1" s="15" t="s">
        <v>3452</v>
      </c>
    </row>
    <row r="2" spans="3:10" x14ac:dyDescent="0.5">
      <c r="C2" s="56" t="s">
        <v>3355</v>
      </c>
      <c r="G2" s="15" t="s">
        <v>8</v>
      </c>
      <c r="H2" s="57" t="s">
        <v>10</v>
      </c>
      <c r="I2" s="57" t="s">
        <v>11</v>
      </c>
      <c r="J2" s="15" t="s">
        <v>3310</v>
      </c>
    </row>
    <row r="3" spans="3:10" x14ac:dyDescent="0.5">
      <c r="G3" t="s">
        <v>3438</v>
      </c>
      <c r="H3" s="56" t="s">
        <v>161</v>
      </c>
      <c r="I3" s="56" t="s">
        <v>161</v>
      </c>
      <c r="J3" s="58" t="s">
        <v>3314</v>
      </c>
    </row>
    <row r="4" spans="3:10" x14ac:dyDescent="0.5">
      <c r="G4" t="s">
        <v>3439</v>
      </c>
      <c r="H4" s="56" t="s">
        <v>3226</v>
      </c>
      <c r="I4" s="56" t="s">
        <v>3226</v>
      </c>
      <c r="J4" s="58" t="s">
        <v>3314</v>
      </c>
    </row>
  </sheetData>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A2CEA0-3DEC-490B-8157-14664DFC3D0E}">
  <sheetPr codeName="Sheet126"/>
  <dimension ref="C1:F4"/>
  <sheetViews>
    <sheetView workbookViewId="0">
      <selection activeCell="M37" sqref="M37"/>
    </sheetView>
  </sheetViews>
  <sheetFormatPr defaultRowHeight="21" x14ac:dyDescent="0.5"/>
  <cols>
    <col min="3" max="3" width="21.3125" bestFit="1" customWidth="1"/>
    <col min="4" max="5" width="9.375" style="56" bestFit="1" customWidth="1"/>
    <col min="6" max="6" width="8.8125" bestFit="1" customWidth="1"/>
  </cols>
  <sheetData>
    <row r="1" spans="3:6" x14ac:dyDescent="0.5">
      <c r="C1" s="15" t="s">
        <v>3426</v>
      </c>
      <c r="F1" s="15" t="s">
        <v>3452</v>
      </c>
    </row>
    <row r="2" spans="3:6" x14ac:dyDescent="0.5">
      <c r="C2" s="15" t="s">
        <v>8</v>
      </c>
      <c r="D2" s="57" t="s">
        <v>10</v>
      </c>
      <c r="E2" s="57" t="s">
        <v>11</v>
      </c>
      <c r="F2" s="15" t="s">
        <v>3310</v>
      </c>
    </row>
    <row r="3" spans="3:6" x14ac:dyDescent="0.5">
      <c r="C3" t="s">
        <v>3427</v>
      </c>
      <c r="D3" s="56" t="s">
        <v>3428</v>
      </c>
      <c r="E3" s="56" t="s">
        <v>3428</v>
      </c>
      <c r="F3" s="58" t="s">
        <v>3314</v>
      </c>
    </row>
    <row r="4" spans="3:6" x14ac:dyDescent="0.5">
      <c r="C4" t="s">
        <v>3429</v>
      </c>
      <c r="D4" s="56" t="s">
        <v>3318</v>
      </c>
      <c r="E4" s="56" t="s">
        <v>3318</v>
      </c>
      <c r="F4" s="58" t="s">
        <v>3314</v>
      </c>
    </row>
  </sheetData>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8242B-C321-42D3-B380-91A961CBCBE4}">
  <sheetPr codeName="Sheet124"/>
  <dimension ref="C1:F4"/>
  <sheetViews>
    <sheetView workbookViewId="0"/>
  </sheetViews>
  <sheetFormatPr defaultRowHeight="21" x14ac:dyDescent="0.5"/>
  <cols>
    <col min="3" max="3" width="13.75" bestFit="1" customWidth="1"/>
    <col min="4" max="4" width="8.3125" style="56" bestFit="1" customWidth="1"/>
    <col min="5" max="5" width="6.0625" style="56" bestFit="1" customWidth="1"/>
    <col min="6" max="6" width="8.8125" bestFit="1" customWidth="1"/>
  </cols>
  <sheetData>
    <row r="1" spans="3:6" x14ac:dyDescent="0.5">
      <c r="C1" s="15" t="s">
        <v>3376</v>
      </c>
      <c r="F1" s="15" t="s">
        <v>3452</v>
      </c>
    </row>
    <row r="2" spans="3:6" x14ac:dyDescent="0.5">
      <c r="C2" s="15" t="s">
        <v>8</v>
      </c>
      <c r="D2" s="57" t="s">
        <v>10</v>
      </c>
      <c r="E2" s="57" t="s">
        <v>11</v>
      </c>
      <c r="F2" s="15" t="s">
        <v>3310</v>
      </c>
    </row>
    <row r="3" spans="3:6" x14ac:dyDescent="0.5">
      <c r="C3" t="s">
        <v>3377</v>
      </c>
      <c r="D3" s="56" t="s">
        <v>3328</v>
      </c>
      <c r="E3" s="56" t="s">
        <v>3328</v>
      </c>
      <c r="F3" s="58" t="s">
        <v>3314</v>
      </c>
    </row>
    <row r="4" spans="3:6" x14ac:dyDescent="0.5">
      <c r="C4" t="s">
        <v>3378</v>
      </c>
      <c r="D4" s="56" t="s">
        <v>3328</v>
      </c>
      <c r="E4" s="56" t="s">
        <v>3328</v>
      </c>
      <c r="F4" s="58" t="s">
        <v>3314</v>
      </c>
    </row>
  </sheetData>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48265C-F047-4BC9-A569-D82FD50E65C0}">
  <sheetPr codeName="Sheet123"/>
  <dimension ref="C1:F5"/>
  <sheetViews>
    <sheetView workbookViewId="0"/>
  </sheetViews>
  <sheetFormatPr defaultRowHeight="21" x14ac:dyDescent="0.5"/>
  <cols>
    <col min="3" max="3" width="20.6875" bestFit="1" customWidth="1"/>
    <col min="4" max="4" width="8.3125" style="56" bestFit="1" customWidth="1"/>
    <col min="5" max="5" width="6.0625" style="56" bestFit="1" customWidth="1"/>
    <col min="6" max="6" width="8.8125" bestFit="1" customWidth="1"/>
  </cols>
  <sheetData>
    <row r="1" spans="3:6" x14ac:dyDescent="0.5">
      <c r="C1" s="15" t="s">
        <v>3326</v>
      </c>
      <c r="F1" s="15" t="s">
        <v>3451</v>
      </c>
    </row>
    <row r="2" spans="3:6" x14ac:dyDescent="0.5">
      <c r="C2" s="15" t="s">
        <v>8</v>
      </c>
      <c r="D2" s="57" t="s">
        <v>10</v>
      </c>
      <c r="E2" s="57" t="s">
        <v>11</v>
      </c>
      <c r="F2" s="15" t="s">
        <v>3310</v>
      </c>
    </row>
    <row r="3" spans="3:6" x14ac:dyDescent="0.5">
      <c r="C3" t="s">
        <v>3327</v>
      </c>
      <c r="D3" s="56" t="s">
        <v>3328</v>
      </c>
      <c r="E3" s="56" t="s">
        <v>3328</v>
      </c>
      <c r="F3" s="58" t="s">
        <v>3314</v>
      </c>
    </row>
    <row r="4" spans="3:6" x14ac:dyDescent="0.5">
      <c r="C4" t="s">
        <v>3329</v>
      </c>
      <c r="D4" s="56" t="s">
        <v>3328</v>
      </c>
      <c r="E4" s="56" t="s">
        <v>3328</v>
      </c>
      <c r="F4" s="58" t="s">
        <v>3314</v>
      </c>
    </row>
    <row r="5" spans="3:6" x14ac:dyDescent="0.5">
      <c r="C5" t="s">
        <v>3330</v>
      </c>
      <c r="D5" s="56" t="s">
        <v>3328</v>
      </c>
      <c r="E5" s="56" t="s">
        <v>3328</v>
      </c>
      <c r="F5" s="58" t="s">
        <v>3314</v>
      </c>
    </row>
  </sheetData>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A58C5B-DFB3-4FCB-98C5-BAEB8292D375}">
  <sheetPr codeName="Sheet115"/>
  <dimension ref="A1:F8"/>
  <sheetViews>
    <sheetView workbookViewId="0"/>
  </sheetViews>
  <sheetFormatPr defaultRowHeight="21" x14ac:dyDescent="0.5"/>
  <cols>
    <col min="3" max="3" width="31" bestFit="1" customWidth="1"/>
    <col min="4" max="4" width="8.3125" style="56" bestFit="1" customWidth="1"/>
    <col min="5" max="5" width="7.5625" style="56" bestFit="1" customWidth="1"/>
    <col min="6" max="6" width="8.8125" bestFit="1" customWidth="1"/>
  </cols>
  <sheetData>
    <row r="1" spans="1:6" x14ac:dyDescent="0.5">
      <c r="A1" s="59" t="s">
        <v>3063</v>
      </c>
      <c r="C1" s="15" t="s">
        <v>3410</v>
      </c>
      <c r="F1" s="15" t="s">
        <v>3453</v>
      </c>
    </row>
    <row r="2" spans="1:6" x14ac:dyDescent="0.5">
      <c r="C2" s="15" t="s">
        <v>8</v>
      </c>
      <c r="D2" s="57" t="s">
        <v>10</v>
      </c>
      <c r="E2" s="57" t="s">
        <v>11</v>
      </c>
      <c r="F2" s="15" t="s">
        <v>3310</v>
      </c>
    </row>
    <row r="3" spans="1:6" x14ac:dyDescent="0.5">
      <c r="C3" t="s">
        <v>3411</v>
      </c>
      <c r="D3" s="56" t="s">
        <v>3328</v>
      </c>
      <c r="E3" s="56" t="s">
        <v>3328</v>
      </c>
      <c r="F3" s="58" t="s">
        <v>3314</v>
      </c>
    </row>
    <row r="4" spans="1:6" x14ac:dyDescent="0.5">
      <c r="C4" t="s">
        <v>3412</v>
      </c>
      <c r="D4" s="56" t="s">
        <v>3328</v>
      </c>
      <c r="E4" s="56" t="s">
        <v>3328</v>
      </c>
      <c r="F4" s="58" t="s">
        <v>3314</v>
      </c>
    </row>
    <row r="5" spans="1:6" x14ac:dyDescent="0.5">
      <c r="C5" t="s">
        <v>3395</v>
      </c>
      <c r="D5" s="56" t="s">
        <v>3352</v>
      </c>
      <c r="E5" s="56" t="s">
        <v>3352</v>
      </c>
      <c r="F5" s="58" t="s">
        <v>3314</v>
      </c>
    </row>
    <row r="6" spans="1:6" x14ac:dyDescent="0.5">
      <c r="C6" t="s">
        <v>3413</v>
      </c>
      <c r="D6" s="56" t="s">
        <v>2925</v>
      </c>
      <c r="E6" s="56" t="s">
        <v>2925</v>
      </c>
      <c r="F6" s="58" t="s">
        <v>3314</v>
      </c>
    </row>
    <row r="7" spans="1:6" x14ac:dyDescent="0.5">
      <c r="C7" t="s">
        <v>3414</v>
      </c>
      <c r="D7" s="56" t="s">
        <v>3063</v>
      </c>
      <c r="E7" s="56" t="s">
        <v>3063</v>
      </c>
      <c r="F7" s="58" t="s">
        <v>3314</v>
      </c>
    </row>
    <row r="8" spans="1:6" x14ac:dyDescent="0.5">
      <c r="C8" t="s">
        <v>3415</v>
      </c>
      <c r="D8" s="56" t="s">
        <v>3321</v>
      </c>
      <c r="E8" s="56" t="s">
        <v>3321</v>
      </c>
      <c r="F8" s="58" t="s">
        <v>3314</v>
      </c>
    </row>
  </sheetData>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A7106-A5D3-415A-A72D-8A0F222EDF20}">
  <sheetPr codeName="Sheet121"/>
  <dimension ref="A1:G10"/>
  <sheetViews>
    <sheetView workbookViewId="0">
      <selection sqref="A1:B2"/>
    </sheetView>
  </sheetViews>
  <sheetFormatPr defaultRowHeight="21" x14ac:dyDescent="0.5"/>
  <cols>
    <col min="4" max="4" width="36.6875" bestFit="1" customWidth="1"/>
    <col min="5" max="6" width="37.8125" style="56" bestFit="1" customWidth="1"/>
    <col min="7" max="7" width="8.8125" bestFit="1" customWidth="1"/>
  </cols>
  <sheetData>
    <row r="1" spans="1:7" x14ac:dyDescent="0.5">
      <c r="A1" t="s">
        <v>3357</v>
      </c>
      <c r="B1" t="s">
        <v>3358</v>
      </c>
      <c r="D1" s="15" t="s">
        <v>3440</v>
      </c>
      <c r="G1" s="15" t="s">
        <v>3455</v>
      </c>
    </row>
    <row r="2" spans="1:7" x14ac:dyDescent="0.5">
      <c r="A2">
        <v>101</v>
      </c>
      <c r="B2" t="s">
        <v>3359</v>
      </c>
      <c r="D2" s="15" t="s">
        <v>8</v>
      </c>
      <c r="E2" s="57" t="s">
        <v>10</v>
      </c>
      <c r="F2" s="57" t="s">
        <v>11</v>
      </c>
      <c r="G2" s="15" t="s">
        <v>3310</v>
      </c>
    </row>
    <row r="3" spans="1:7" x14ac:dyDescent="0.5">
      <c r="D3" t="s">
        <v>3441</v>
      </c>
      <c r="E3" s="56" t="s">
        <v>3328</v>
      </c>
      <c r="F3" s="56" t="s">
        <v>3328</v>
      </c>
      <c r="G3" s="58" t="s">
        <v>3314</v>
      </c>
    </row>
    <row r="4" spans="1:7" x14ac:dyDescent="0.5">
      <c r="D4" t="s">
        <v>3442</v>
      </c>
      <c r="E4" s="56" t="s">
        <v>3328</v>
      </c>
      <c r="F4" s="56" t="s">
        <v>3328</v>
      </c>
      <c r="G4" s="58" t="s">
        <v>3314</v>
      </c>
    </row>
    <row r="5" spans="1:7" x14ac:dyDescent="0.5">
      <c r="D5" t="s">
        <v>3443</v>
      </c>
      <c r="E5" s="56" t="s">
        <v>3357</v>
      </c>
      <c r="F5" s="56" t="s">
        <v>3357</v>
      </c>
      <c r="G5" s="58" t="s">
        <v>3314</v>
      </c>
    </row>
    <row r="6" spans="1:7" x14ac:dyDescent="0.5">
      <c r="D6" t="s">
        <v>3444</v>
      </c>
      <c r="E6" s="56" t="s">
        <v>3358</v>
      </c>
      <c r="F6" s="56" t="s">
        <v>3358</v>
      </c>
      <c r="G6" s="58" t="s">
        <v>3314</v>
      </c>
    </row>
    <row r="7" spans="1:7" x14ac:dyDescent="0.5">
      <c r="D7" t="s">
        <v>3445</v>
      </c>
      <c r="E7" s="56" t="s">
        <v>3222</v>
      </c>
      <c r="F7" s="56" t="s">
        <v>3222</v>
      </c>
      <c r="G7" s="58" t="s">
        <v>3314</v>
      </c>
    </row>
    <row r="8" spans="1:7" x14ac:dyDescent="0.5">
      <c r="D8" t="s">
        <v>3446</v>
      </c>
      <c r="E8" s="56" t="s">
        <v>3447</v>
      </c>
      <c r="F8" s="56" t="s">
        <v>3447</v>
      </c>
      <c r="G8" s="58" t="s">
        <v>3314</v>
      </c>
    </row>
    <row r="9" spans="1:7" x14ac:dyDescent="0.5">
      <c r="D9" t="s">
        <v>3448</v>
      </c>
      <c r="E9" s="56" t="s">
        <v>3222</v>
      </c>
      <c r="F9" s="56" t="s">
        <v>3222</v>
      </c>
      <c r="G9" s="58" t="s">
        <v>3314</v>
      </c>
    </row>
    <row r="10" spans="1:7" x14ac:dyDescent="0.5">
      <c r="D10" t="s">
        <v>3449</v>
      </c>
      <c r="E10" s="56" t="s">
        <v>3450</v>
      </c>
      <c r="F10" s="56" t="s">
        <v>3450</v>
      </c>
      <c r="G10" s="58" t="s">
        <v>3314</v>
      </c>
    </row>
  </sheetData>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B8559-086C-4B4F-9378-BB38B3AE8583}">
  <sheetPr codeName="Sheet122"/>
  <dimension ref="C1:F5"/>
  <sheetViews>
    <sheetView workbookViewId="0"/>
  </sheetViews>
  <sheetFormatPr defaultRowHeight="21" x14ac:dyDescent="0.5"/>
  <cols>
    <col min="3" max="3" width="14" bestFit="1" customWidth="1"/>
    <col min="4" max="5" width="9.4375" style="56" bestFit="1" customWidth="1"/>
    <col min="6" max="6" width="8.8125" bestFit="1" customWidth="1"/>
  </cols>
  <sheetData>
    <row r="1" spans="3:6" x14ac:dyDescent="0.5">
      <c r="C1" s="15" t="s">
        <v>3311</v>
      </c>
      <c r="F1" s="15" t="s">
        <v>3451</v>
      </c>
    </row>
    <row r="2" spans="3:6" x14ac:dyDescent="0.5">
      <c r="C2" s="15" t="s">
        <v>8</v>
      </c>
      <c r="D2" s="57" t="s">
        <v>10</v>
      </c>
      <c r="E2" s="57" t="s">
        <v>11</v>
      </c>
      <c r="F2" s="15" t="s">
        <v>3310</v>
      </c>
    </row>
    <row r="3" spans="3:6" x14ac:dyDescent="0.5">
      <c r="C3" t="s">
        <v>3312</v>
      </c>
      <c r="D3" s="56" t="s">
        <v>3313</v>
      </c>
      <c r="E3" s="56" t="s">
        <v>3313</v>
      </c>
      <c r="F3" s="58" t="s">
        <v>3314</v>
      </c>
    </row>
    <row r="4" spans="3:6" x14ac:dyDescent="0.5">
      <c r="C4" t="s">
        <v>3315</v>
      </c>
      <c r="D4" s="56" t="s">
        <v>3316</v>
      </c>
      <c r="E4" s="56" t="s">
        <v>3316</v>
      </c>
      <c r="F4" s="58" t="s">
        <v>3314</v>
      </c>
    </row>
    <row r="5" spans="3:6" x14ac:dyDescent="0.5">
      <c r="C5" t="s">
        <v>3317</v>
      </c>
      <c r="D5" s="56" t="s">
        <v>3318</v>
      </c>
      <c r="E5" s="56" t="s">
        <v>3318</v>
      </c>
      <c r="F5" s="58" t="s">
        <v>3314</v>
      </c>
    </row>
  </sheetData>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8D647F-87C9-41AE-95F1-D990E40035C5}">
  <sheetPr codeName="Sheet119"/>
  <dimension ref="B1:G5"/>
  <sheetViews>
    <sheetView workbookViewId="0"/>
  </sheetViews>
  <sheetFormatPr defaultRowHeight="21" x14ac:dyDescent="0.5"/>
  <cols>
    <col min="4" max="4" width="30.875" bestFit="1" customWidth="1"/>
    <col min="5" max="5" width="8.3125" style="56" bestFit="1" customWidth="1"/>
    <col min="6" max="6" width="6.0625" style="56" bestFit="1" customWidth="1"/>
    <col min="7" max="7" width="8.8125" bestFit="1" customWidth="1"/>
  </cols>
  <sheetData>
    <row r="1" spans="2:7" x14ac:dyDescent="0.5">
      <c r="D1" s="15" t="s">
        <v>3435</v>
      </c>
      <c r="G1" s="15" t="s">
        <v>3456</v>
      </c>
    </row>
    <row r="2" spans="2:7" x14ac:dyDescent="0.5">
      <c r="D2" s="15" t="s">
        <v>8</v>
      </c>
      <c r="E2" s="57" t="s">
        <v>10</v>
      </c>
      <c r="F2" s="57" t="s">
        <v>11</v>
      </c>
      <c r="G2" s="15" t="s">
        <v>3310</v>
      </c>
    </row>
    <row r="3" spans="2:7" x14ac:dyDescent="0.5">
      <c r="D3" t="s">
        <v>3436</v>
      </c>
      <c r="E3" s="56" t="s">
        <v>3328</v>
      </c>
      <c r="F3" s="56" t="s">
        <v>3328</v>
      </c>
      <c r="G3" s="58" t="s">
        <v>3314</v>
      </c>
    </row>
    <row r="5" spans="2:7" x14ac:dyDescent="0.5">
      <c r="B5" s="65" t="s">
        <v>2957</v>
      </c>
    </row>
  </sheetData>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9F671-3757-42E1-953C-22BA4D006FE1}">
  <sheetPr codeName="Sheet136"/>
  <dimension ref="A1:S20"/>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2" width="11" customWidth="1"/>
    <col min="13" max="13" width="3" customWidth="1"/>
    <col min="14" max="16" width="11" customWidth="1"/>
    <col min="17" max="17" width="3" customWidth="1"/>
    <col min="18" max="18" width="9" customWidth="1"/>
  </cols>
  <sheetData>
    <row r="1" spans="1:19" ht="252" customHeight="1" x14ac:dyDescent="0.5">
      <c r="A1" s="45" t="s">
        <v>0</v>
      </c>
      <c r="B1" s="83" t="str" cm="1">
        <f t="array" aca="1" ref="B1" ca="1">_xlfn.LET(_xlpm.fn, CELL("filename",$A$1), _xlpm.nm, MID(_xlpm.fn, FIND("]", _xlpm.fn) + 1, 255), _xlfn.XLOOKUP(_xlpm.nm &amp; "(*", Lamb!$A$2:$A$1000, Lamb!$A$2:$A$1000, "", 2))</f>
        <v>xtextsplit(str,[delim],[as_row])</v>
      </c>
      <c r="C1" s="79"/>
      <c r="D1" s="79"/>
      <c r="E1" s="79"/>
      <c r="F1" s="80"/>
      <c r="H1" s="45" t="s">
        <v>2</v>
      </c>
      <c r="I1" s="78" t="str" cm="1">
        <f t="array" aca="1" ref="I1" ca="1">_xlfn.LET(_xlpm.fn, CELL("filename",$A$1), _xlpm.nm, MID(_xlpm.fn, FIND("]", _xlpm.fn) + 1, 255), _xlfn.XLOOKUP(_xlpm.nm &amp; "(*", Lamb!$A$2:$A$1000, Lamb!$D$2:$D$1000, "", 2))</f>
        <v>TEXTSPLIT with trimming, reshaping, and numeric coercion.
Arguments:
  str      - the text to split.
  [delim]  - delimiter; if omitted, the first non-alphanumeric character (including whitespace) is used.
  [as_row] - 1 for a horizontal result; default 0 vertical.
Returns:
  The split pieces, trimmed and converted to numbers where applicable, as a vertical array by default.
Example:
  xtextsplit("a, b, c")  -&gt;  {"a";"b";"c"}</v>
      </c>
      <c r="J1" s="79"/>
      <c r="K1" s="79"/>
      <c r="L1" s="79"/>
      <c r="M1" s="79"/>
      <c r="N1" s="79"/>
      <c r="O1" s="79"/>
      <c r="P1" s="79"/>
      <c r="Q1" s="79"/>
      <c r="R1" s="80"/>
      <c r="S1" s="77" t="str">
        <f>HYPERLINK("#lambda_tests!A1","&lt;- test summary")</f>
        <v>&lt;- test summary</v>
      </c>
    </row>
    <row r="2" spans="1:19" ht="357" customHeight="1" x14ac:dyDescent="0.5">
      <c r="A2" s="45" t="s">
        <v>4</v>
      </c>
      <c r="B2" s="81" t="str" cm="1">
        <f t="array" aca="1" ref="B2" ca="1">_xlfn.LET(_xlpm.fn, CELL("filename",$A$1), _xlpm.nm, MID(_xlpm.fn, FIND("]", _xlpm.fn) + 1, 255), _xlfn.XLOOKUP(_xlpm.nm &amp; "(*", Lamb!$A$2:$A$1000, Lamb!$C$2:$C$1000, "", 2))</f>
        <v>=LAMBDA(str, [delim], [as_row], LET(
   use_delim_arg, NOT(ISOMITTED(delim)),
   inferred_delim, IF(use_delim_arg, "", REGEXEXTRACT(str, "[^A-Za-z0-9]")),
   can_split, IF(use_delim_arg, TRUE, NOT(ISERROR(inferred_delim))),
   eff_delim, IF(use_delim_arg, delim, inferred_delim),
   base_split, IF(
      can_split,
      IFERROR(TOCOL(TRIM(TEXTSPLIT(str, eff_delim))), str),
      str
   ),
   split, base_split,
   one_entry, COUNTA(split) = 1,
   all_numbers, COUNTA(FILTER(split, ISNUMBER(split * 1))) = COUNTA(split),
   as_row_val, IF(ISOMITTED(as_row), 0, as_row),
   core_result, IF(one_entry, str, IF(all_numbers, split * 1, split)),
   IF(AND(as_row_val = 1, NOT(one_entry)), TOROW(core_result), core_result)
))</v>
      </c>
      <c r="C2" s="82"/>
      <c r="D2" s="82"/>
      <c r="E2" s="82"/>
      <c r="F2" s="82"/>
      <c r="G2" s="82"/>
      <c r="H2" s="82"/>
      <c r="I2" s="82"/>
      <c r="J2" s="82"/>
      <c r="K2" s="82"/>
      <c r="L2" s="82"/>
      <c r="M2" s="82"/>
      <c r="N2" s="82"/>
      <c r="O2" s="82"/>
      <c r="P2" s="82"/>
      <c r="Q2" s="82"/>
      <c r="R2" s="82"/>
    </row>
    <row r="4" spans="1:19" x14ac:dyDescent="0.5">
      <c r="A4" s="45" t="inlineStr">
        <is>
          <t xml:space="preserve">xtextjoin(arr, [delim], [str_arr_set]) - TEXTJOIN + split back to array/set; no 252-arg limit; &gt;32k -&gt; array/set (or TOO LONG in string mode); blanks/errors/"" ignored</t>
        </is>
      </c>
      <c r="R4" s="45">
        <f>COUNTIF(R6:R60,"PASS")&amp;" / 8 PASS"</f>
      </c>
    </row>
    <row r="5" spans="1:19" x14ac:dyDescent="0.5">
      <c r="A5" s="45" t="s">
        <v>7</v>
      </c>
      <c r="B5" s="45" t="s">
        <v>8</v>
      </c>
      <c r="D5" s="45" t="s">
        <v>9</v>
      </c>
      <c r="J5" s="48" t="s">
        <v>10</v>
      </c>
      <c r="N5" s="49" t="s">
        <v>11</v>
      </c>
      <c r="R5" s="50" t="s">
        <v>12</v>
      </c>
    </row>
    <row r="6" spans="1:19" x14ac:dyDescent="0.5">
      <c r="A6" s="83">
        <v>1</v>
      </c>
      <c r="B6" s="78" t="inlineStr">
        <is>
          <t xml:space="preserve">string: list + blank + error + single</t>
        </is>
      </c>
      <c r="D6" s="51" t="inlineStr">
        <is>
          <t xml:space="preserve">a;b;c</t>
        </is>
      </c>
      <c r="J6" s="52" t="inlineStr">
        <is>
          <t xml:space="preserve">a;b;c;d</t>
        </is>
      </c>
      <c r="N6" s="53" cm="1">
        <f t="array" ref="N6">xtextjoin(D6:D9)</f>
        <v>0</v>
      </c>
      <c r="R6" s="54">
        <f>IF(N6=J6,"PASS","FAIL")</f>
      </c>
    </row>
    <row r="7" spans="1:19" x14ac:dyDescent="0.5">
      <c r="A7" s="55"/>
      <c r="B7" s="55"/>
      <c r="D7" s="51"/>
      <c r="J7" s="52"/>
      <c r="N7" s="53"/>
    </row>
    <row r="8" spans="1:19" x14ac:dyDescent="0.5">
      <c r="A8" s="55"/>
      <c r="B8" s="55"/>
      <c r="D8" s="51">
        <f>NA()</f>
      </c>
      <c r="J8" s="52"/>
      <c r="N8" s="53"/>
    </row>
    <row r="9">
      <c r="D9" s="51" t="inlineStr">
        <is>
          <t xml:space="preserve">d</t>
        </is>
      </c>
    </row>
    <row r="10" spans="1:19" x14ac:dyDescent="0.5">
      <c r="A10" s="46"/>
      <c r="B10" s="47"/>
      <c r="D10" s="51"/>
      <c r="J10" s="52"/>
      <c r="N10" s="53"/>
      <c r="R10" s="54"/>
    </row>
    <row r="11" spans="1:19" x14ac:dyDescent="0.5">
      <c r="A11" s="83">
        <v>2</v>
      </c>
      <c r="B11" s="78" t="inlineStr">
        <is>
          <t xml:space="preserve">array: split back to vertical array</t>
        </is>
      </c>
      <c r="D11" s="51" t="inlineStr">
        <is>
          <t xml:space="preserve">x;y</t>
        </is>
      </c>
      <c r="J11" s="52" t="inlineStr">
        <is>
          <t xml:space="preserve">x</t>
        </is>
      </c>
      <c r="N11" s="53" cm="1">
        <f t="array" ref="N11:N13">xtextjoin(D11:D13,";",2)</f>
        <v>0</v>
      </c>
      <c r="R11" s="54" cm="1">
        <f t="array" ref="R11">IF(AND(J11:J13=N11:N13),"PASS","FAIL")</f>
        <v>0</v>
      </c>
    </row>
    <row r="12" spans="1:19" x14ac:dyDescent="0.5">
      <c r="A12" s="55"/>
      <c r="B12" s="55"/>
      <c r="D12" s="51" t="inlineStr">
        <is>
          <t xml:space="preserve">z</t>
        </is>
      </c>
      <c r="J12" s="52" t="inlineStr">
        <is>
          <t xml:space="preserve">y</t>
        </is>
      </c>
      <c r="N12" s="53"/>
    </row>
    <row r="13">
      <c r="D13" s="51" t="inlineStr">
        <is>
          <t xml:space="preserve"/>
        </is>
      </c>
      <c r="J13" s="52" t="inlineStr">
        <is>
          <t xml:space="preserve">z</t>
        </is>
      </c>
    </row>
    <row r="14" spans="1:19" x14ac:dyDescent="0.5">
      <c r="A14" s="46"/>
      <c r="B14" s="47"/>
      <c r="D14" s="51"/>
      <c r="F14" s="51"/>
      <c r="J14" s="52"/>
      <c r="N14" s="53"/>
      <c r="R14" s="54"/>
    </row>
    <row r="15" spans="1:19" x14ac:dyDescent="0.5">
      <c r="A15" s="83">
        <v>3</v>
      </c>
      <c r="B15" s="78" t="inlineStr">
        <is>
          <t xml:space="preserve">set: unique + sorted</t>
        </is>
      </c>
      <c r="D15" s="51" t="inlineStr">
        <is>
          <t xml:space="preserve">b;a;c</t>
        </is>
      </c>
      <c r="J15" s="52" t="inlineStr">
        <is>
          <t xml:space="preserve">a</t>
        </is>
      </c>
      <c r="N15" s="53" cm="1">
        <f t="array" ref="N15:N17">xtextjoin(D15:D16,";",3)</f>
        <v>0</v>
      </c>
      <c r="R15" s="54" cm="1">
        <f t="array" ref="R15">IF(AND(J15:J17=N15:N17),"PASS","FAIL")</f>
        <v>0</v>
      </c>
    </row>
    <row r="16" spans="1:19" x14ac:dyDescent="0.5">
      <c r="A16" s="55"/>
      <c r="B16" s="55"/>
      <c r="D16" s="51" t="inlineStr">
        <is>
          <t xml:space="preserve">a;b</t>
        </is>
      </c>
      <c r="J16" s="52" t="inlineStr">
        <is>
          <t xml:space="preserve">b</t>
        </is>
      </c>
      <c r="N16" s="53"/>
    </row>
    <row r="17">
      <c r="J17" s="52" t="inlineStr">
        <is>
          <t xml:space="preserve">c</t>
        </is>
      </c>
    </row>
    <row r="18" spans="1:18" x14ac:dyDescent="0.5">
      <c r="A18" s="46"/>
      <c r="B18" s="47"/>
      <c r="D18" s="51"/>
      <c r="F18" s="51"/>
      <c r="H18" s="51"/>
      <c r="J18" s="52"/>
      <c r="K18" s="52"/>
      <c r="L18" s="52"/>
      <c r="N18" s="53"/>
      <c r="O18" s="53"/>
      <c r="P18" s="53"/>
      <c r="R18" s="54"/>
    </row>
    <row r="19">
      <c r="A19" s="83">
        <v>4</v>
      </c>
      <c r="B19" s="78" t="inlineStr">
        <is>
          <t xml:space="preserve">zeros kept; blanks/errors/"" ignored (no fake 0)</t>
        </is>
      </c>
      <c r="D19" s="51" t="inlineStr">
        <is>
          <t xml:space="preserve">5;0</t>
        </is>
      </c>
      <c r="J19" s="52" t="inlineStr">
        <is>
          <t xml:space="preserve">5</t>
        </is>
      </c>
      <c r="N19" s="53" cm="1">
        <f t="array" ref="N19:N21">xtextjoin(D19:D22,";",2)</f>
        <v>0</v>
      </c>
      <c r="R19" s="54" cm="1">
        <f t="array" ref="R19">IF(AND(J19:J21=N19:N21),"PASS","FAIL")</f>
        <v>0</v>
      </c>
    </row>
    <row r="20" spans="1:18" x14ac:dyDescent="0.5">
      <c r="A20" s="46"/>
      <c r="B20" s="47"/>
      <c r="D20" s="51"/>
      <c r="J20" s="52" t="inlineStr">
        <is>
          <t xml:space="preserve">0</t>
        </is>
      </c>
      <c r="N20" s="53"/>
      <c r="R20" s="54"/>
    </row>
    <row r="21">
      <c r="D21" s="51">
        <v>0</v>
      </c>
      <c r="J21" s="52" t="inlineStr">
        <is>
          <t xml:space="preserve">0</t>
        </is>
      </c>
    </row>
    <row r="22">
      <c r="D22" s="51" t="inlineStr">
        <is>
          <t xml:space="preserve"/>
        </is>
      </c>
    </row>
    <row r="24">
      <c r="A24" s="83">
        <v>5</v>
      </c>
      <c r="B24" s="78" t="inlineStr">
        <is>
          <t xml:space="preserve">custom delim ','; empty token dropped</t>
        </is>
      </c>
      <c r="D24" s="51" t="inlineStr">
        <is>
          <t xml:space="preserve">a,b,,c</t>
        </is>
      </c>
      <c r="F24" s="51" t="inlineStr">
        <is>
          <t xml:space="preserve">,</t>
        </is>
      </c>
      <c r="J24" s="52" t="inlineStr">
        <is>
          <t xml:space="preserve">a,b,c</t>
        </is>
      </c>
      <c r="N24" s="53" cm="1">
        <f t="array" ref="N24">xtextjoin(D24,F24)</f>
        <v>0</v>
      </c>
      <c r="R24" s="54">
        <f>IF(N24=J24,"PASS","FAIL")</f>
      </c>
    </row>
    <row r="26">
      <c r="A26" s="83">
        <v>6</v>
      </c>
      <c r="B26" s="78" t="inlineStr">
        <is>
          <t xml:space="preserve">over 32,767 chars -&gt; TOO LONG (string mode)</t>
        </is>
      </c>
      <c r="D26" s="51">
        <f>REPT("x",20000)</f>
      </c>
      <c r="J26" s="52" t="inlineStr">
        <is>
          <t xml:space="preserve">TOO LONG</t>
        </is>
      </c>
      <c r="N26" s="53" cm="1">
        <f t="array" ref="N26">xtextjoin(D26:D27)</f>
        <v>0</v>
      </c>
      <c r="R26" s="54">
        <f>IF(N26=J26,"PASS","FAIL")</f>
      </c>
    </row>
    <row r="27">
      <c r="D27" s="51">
        <f>REPT("y",20000)</f>
      </c>
    </row>
    <row r="29">
      <c r="A29" s="83">
        <v>7</v>
      </c>
      <c r="B29" s="78" t="inlineStr">
        <is>
          <t xml:space="preserve">all-blank input -&gt; empty string</t>
        </is>
      </c>
      <c r="D29" s="51"/>
      <c r="J29" s="52">
        <f>""</f>
      </c>
      <c r="N29" s="53" cm="1">
        <f t="array" ref="N29">xtextjoin(D29:D30)</f>
        <v>0</v>
      </c>
      <c r="R29" s="54">
        <f>IF(N29=J29,"PASS","FAIL")</f>
      </c>
    </row>
    <row r="30">
      <c r="D30" s="51"/>
    </row>
    <row r="33">
      <c r="A33">
        <v>8</v>
      </c>
      <c r="B33" t="inlineStr">
        <is>
          <t xml:space="preserve">&gt;255-char value survives (IFERROR/IFNA would blank it)</t>
        </is>
      </c>
      <c r="D33" s="51" t="inlineStr">
        <is>
          <t xml:space="preserve">a</t>
        </is>
      </c>
      <c r="E33">
        <f>REPT("z",300)</f>
      </c>
      <c r="J33">
        <f>"a;"&amp;REPT("z",300)</f>
      </c>
      <c r="N33" cm="1">
        <f t="array" ref="N33">xtextjoin(D33:E33)</f>
        <v>0</v>
      </c>
      <c r="R33">
        <f>IF(N33=J33,"PASS","FAIL")</f>
      </c>
    </row>
  </sheetData>
  <mergeCells count="3">
    <mergeCell ref="I1:R1"/>
    <mergeCell ref="B2:R2"/>
    <mergeCell ref="B1:F1"/>
  </mergeCells>
  <pageMargins left="0.75" right="0.75" top="1" bottom="1" header="0.5" footer="0.5"/>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37"/>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first_time(arr) - 1 the first time each value appears (row-major), 0 for a repeat; output matches arr's size and shape</t>
        </is>
      </c>
      <c r="P4" s="45">
        <f>COUNTIF(P6:P40,"PASS")&amp;" / 5 PASS"</f>
      </c>
    </row>
    <row r="5" spans="1:19" x14ac:dyDescent="0.5">
      <c r="A5" s="45" t="s">
        <v>7</v>
      </c>
      <c r="B5" s="45" t="s">
        <v>8</v>
      </c>
      <c r="D5" s="45" t="s">
        <v>9</v>
      </c>
      <c r="H5" s="48" t="s">
        <v>10</v>
      </c>
      <c r="L5" s="49" t="s">
        <v>11</v>
      </c>
      <c r="P5" s="50" t="s">
        <v>12</v>
      </c>
    </row>
    <row r="6" spans="1:19" x14ac:dyDescent="0.5">
      <c r="A6" s="83">
        <v>1</v>
      </c>
      <c r="B6" s="78" t="inlineStr">
        <is>
          <t xml:space="preserve">1D column: repeats become 0</t>
        </is>
      </c>
      <c r="D6" s="51" t="inlineStr">
        <is>
          <t xml:space="preserve">A</t>
        </is>
      </c>
      <c r="H6" s="52">
        <v>1</v>
      </c>
      <c r="L6" s="53" cm="1">
        <f t="array" ref="L6:L10">first_time(D6:D10)</f>
        <v>0</v>
      </c>
      <c r="P6" s="54" cm="1">
        <f t="array" ref="P6">IF(AND(H6:H10=L6:L10),"PASS","FAIL")</f>
        <v>0</v>
      </c>
    </row>
    <row r="7" spans="1:19" x14ac:dyDescent="0.5">
      <c r="A7" s="55"/>
      <c r="B7" s="55"/>
      <c r="D7" s="51" t="inlineStr">
        <is>
          <t xml:space="preserve">B</t>
        </is>
      </c>
      <c r="H7" s="52">
        <v>1</v>
      </c>
      <c r="L7" s="53"/>
    </row>
    <row r="8" spans="1:19" x14ac:dyDescent="0.5">
      <c r="A8" s="55"/>
      <c r="B8" s="55"/>
      <c r="D8" s="51" t="inlineStr">
        <is>
          <t xml:space="preserve">A</t>
        </is>
      </c>
      <c r="H8" s="52">
        <v>0</v>
      </c>
      <c r="L8" s="53"/>
    </row>
    <row r="9">
      <c r="D9" s="51" t="inlineStr">
        <is>
          <t xml:space="preserve">C</t>
        </is>
      </c>
      <c r="H9" s="52">
        <v>1</v>
      </c>
    </row>
    <row r="10" spans="1:19" x14ac:dyDescent="0.5">
      <c r="A10" s="46"/>
      <c r="B10" s="47"/>
      <c r="D10" s="51" t="inlineStr">
        <is>
          <t xml:space="preserve">B</t>
        </is>
      </c>
      <c r="H10" s="52">
        <v>0</v>
      </c>
      <c r="L10" s="53"/>
      <c r="P10" s="54"/>
    </row>
    <row r="11" spans="1:19" x14ac:dyDescent="0.5">
      <c r="A11" s="55"/>
      <c r="B11" s="55"/>
      <c r="H11" s="52"/>
      <c r="L11" s="53"/>
    </row>
    <row r="12" spans="1:19" x14ac:dyDescent="0.5">
      <c r="A12" s="55"/>
      <c r="B12" s="55"/>
      <c r="H12" s="52"/>
      <c r="L12" s="53"/>
    </row>
    <row r="13">
      <c r="A13" s="83">
        <v>2</v>
      </c>
      <c r="B13" s="78" t="inlineStr">
        <is>
          <t xml:space="preserve">2D read row-major</t>
        </is>
      </c>
      <c r="D13" s="51" t="inlineStr">
        <is>
          <t xml:space="preserve">A</t>
        </is>
      </c>
      <c r="E13" s="51" t="inlineStr">
        <is>
          <t xml:space="preserve">B</t>
        </is>
      </c>
      <c r="F13" s="51" t="inlineStr">
        <is>
          <t xml:space="preserve">A</t>
        </is>
      </c>
      <c r="H13" s="52">
        <v>1</v>
      </c>
      <c r="I13" s="52">
        <v>1</v>
      </c>
      <c r="J13" s="52">
        <v>0</v>
      </c>
      <c r="L13" s="53" cm="1">
        <f t="array" ref="L13:N14">first_time(D13:F14)</f>
        <v>0</v>
      </c>
      <c r="P13" s="54" cm="1">
        <f t="array" ref="P13">IF(AND(H13:J14=L13:N14),"PASS","FAIL")</f>
        <v>0</v>
      </c>
    </row>
    <row r="14" spans="1:19" x14ac:dyDescent="0.5">
      <c r="A14" s="46"/>
      <c r="B14" s="47"/>
      <c r="D14" s="51" t="inlineStr">
        <is>
          <t xml:space="preserve">C</t>
        </is>
      </c>
      <c r="E14" s="51" t="inlineStr">
        <is>
          <t xml:space="preserve">A</t>
        </is>
      </c>
      <c r="F14" s="51" t="inlineStr">
        <is>
          <t xml:space="preserve">B</t>
        </is>
      </c>
      <c r="H14" s="52">
        <v>1</v>
      </c>
      <c r="I14" s="52">
        <v>0</v>
      </c>
      <c r="J14" s="52">
        <v>0</v>
      </c>
      <c r="L14" s="53"/>
      <c r="M14" s="53"/>
      <c r="N14" s="53"/>
      <c r="P14" s="54"/>
    </row>
    <row r="17">
      <c r="A17" s="83">
        <v>3</v>
      </c>
      <c r="B17" s="78" t="inlineStr">
        <is>
          <t xml:space="preserve">numbers with repeats</t>
        </is>
      </c>
      <c r="D17" s="51">
        <v>5</v>
      </c>
      <c r="H17" s="52">
        <v>1</v>
      </c>
      <c r="L17" s="53" cm="1">
        <f t="array" ref="L17:L21">first_time(D17:D21)</f>
        <v>0</v>
      </c>
      <c r="P17" s="54" cm="1">
        <f t="array" ref="P17">IF(AND(H17:H21=L17:L21),"PASS","FAIL")</f>
        <v>0</v>
      </c>
    </row>
    <row r="18">
      <c r="D18" s="51">
        <v>5</v>
      </c>
      <c r="H18" s="52">
        <v>0</v>
      </c>
    </row>
    <row r="19">
      <c r="D19" s="51">
        <v>3</v>
      </c>
      <c r="H19" s="52">
        <v>1</v>
      </c>
    </row>
    <row r="20">
      <c r="D20" s="51">
        <v>5</v>
      </c>
      <c r="H20" s="52">
        <v>0</v>
      </c>
    </row>
    <row r="21">
      <c r="D21" s="51">
        <v>3</v>
      </c>
      <c r="H21" s="52">
        <v>0</v>
      </c>
    </row>
    <row r="24">
      <c r="A24" s="83">
        <v>4</v>
      </c>
      <c r="B24" s="78" t="inlineStr">
        <is>
          <t xml:space="preserve">all unique -&gt; all 1</t>
        </is>
      </c>
      <c r="D24" s="51">
        <v>7</v>
      </c>
      <c r="H24" s="52">
        <v>1</v>
      </c>
      <c r="L24" s="53" cm="1">
        <f t="array" ref="L24:L26">first_time(D24:D26)</f>
        <v>0</v>
      </c>
      <c r="P24" s="54" cm="1">
        <f t="array" ref="P24">IF(AND(H24:H26=L24:L26),"PASS","FAIL")</f>
        <v>0</v>
      </c>
    </row>
    <row r="25">
      <c r="D25" s="51">
        <v>8</v>
      </c>
      <c r="H25" s="52">
        <v>1</v>
      </c>
    </row>
    <row r="26">
      <c r="D26" s="51">
        <v>9</v>
      </c>
      <c r="H26" s="52">
        <v>1</v>
      </c>
    </row>
    <row r="29">
      <c r="A29" s="83">
        <v>5</v>
      </c>
      <c r="B29" s="78" t="inlineStr">
        <is>
          <t xml:space="preserve">ROWS() sees full size (regression)</t>
        </is>
      </c>
      <c r="D29" s="51" t="inlineStr">
        <is>
          <t xml:space="preserve">A</t>
        </is>
      </c>
      <c r="H29" s="52">
        <v>3</v>
      </c>
      <c r="L29" s="53" cm="1">
        <f t="array" ref="L29">ROWS(first_time(D29:D31))</f>
        <v>0</v>
      </c>
      <c r="P29" s="54">
        <f>IF(L29=H29,"PASS","FAIL")</f>
      </c>
    </row>
    <row r="30">
      <c r="D30" s="51" t="inlineStr">
        <is>
          <t xml:space="preserve">B</t>
        </is>
      </c>
    </row>
    <row r="31">
      <c r="D31" s="51" t="inlineStr">
        <is>
          <t xml:space="preserve">C</t>
        </is>
      </c>
    </row>
  </sheetData>
  <mergeCells count="3">
    <mergeCell ref="I1:R1"/>
    <mergeCell ref="B2:R2"/>
    <mergeCell ref="B1:F1"/>
  </mergeCells>
  <pageMargins left="0.75" right="0.75" top="1" bottom="1" header="0.5" footer="0.5"/>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38"/>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streak(arr) - running count of consecutive equal values (row-major): 1 when it changes, else previous+1; output matches arr's shape</t>
        </is>
      </c>
      <c r="P4" s="45">
        <f>COUNTIF(P6:P40,"PASS")&amp;" / 5 PASS"</f>
      </c>
    </row>
    <row r="5" spans="1:19" x14ac:dyDescent="0.5">
      <c r="A5" s="45" t="s">
        <v>7</v>
      </c>
      <c r="B5" s="45" t="s">
        <v>8</v>
      </c>
      <c r="D5" s="45" t="s">
        <v>9</v>
      </c>
      <c r="H5" s="48" t="s">
        <v>10</v>
      </c>
      <c r="L5" s="49" t="s">
        <v>11</v>
      </c>
      <c r="P5" s="50" t="s">
        <v>12</v>
      </c>
    </row>
    <row r="6" spans="1:19" x14ac:dyDescent="0.5">
      <c r="A6" s="83">
        <v>1</v>
      </c>
      <c r="B6" s="78" t="inlineStr">
        <is>
          <t xml:space="preserve">A,B,C,C,D,D,D,E -&gt; 1,1,1,2,1,2,3,1</t>
        </is>
      </c>
      <c r="D6" s="51" t="inlineStr">
        <is>
          <t xml:space="preserve">A</t>
        </is>
      </c>
      <c r="H6" s="52">
        <v>1</v>
      </c>
      <c r="L6" s="53" cm="1">
        <f t="array" ref="L6:L13">streak(D6:D13)</f>
        <v>0</v>
      </c>
      <c r="P6" s="54" cm="1">
        <f t="array" ref="P6">IF(AND(H6:H13=L6:L13),"PASS","FAIL")</f>
        <v>0</v>
      </c>
    </row>
    <row r="7" spans="1:19" x14ac:dyDescent="0.5">
      <c r="A7" s="55"/>
      <c r="B7" s="55"/>
      <c r="D7" s="51" t="inlineStr">
        <is>
          <t xml:space="preserve">B</t>
        </is>
      </c>
      <c r="H7" s="52">
        <v>1</v>
      </c>
      <c r="L7" s="53"/>
    </row>
    <row r="8" spans="1:19" x14ac:dyDescent="0.5">
      <c r="A8" s="55"/>
      <c r="B8" s="55"/>
      <c r="D8" s="51" t="inlineStr">
        <is>
          <t xml:space="preserve">C</t>
        </is>
      </c>
      <c r="H8" s="52">
        <v>1</v>
      </c>
      <c r="L8" s="53"/>
    </row>
    <row r="9">
      <c r="D9" s="51" t="inlineStr">
        <is>
          <t xml:space="preserve">C</t>
        </is>
      </c>
      <c r="H9" s="52">
        <v>2</v>
      </c>
    </row>
    <row r="10" spans="1:19" x14ac:dyDescent="0.5">
      <c r="A10" s="46"/>
      <c r="B10" s="47"/>
      <c r="D10" s="51" t="inlineStr">
        <is>
          <t xml:space="preserve">D</t>
        </is>
      </c>
      <c r="H10" s="52">
        <v>1</v>
      </c>
      <c r="L10" s="53"/>
      <c r="P10" s="54"/>
    </row>
    <row r="11" spans="1:19" x14ac:dyDescent="0.5">
      <c r="A11" s="55"/>
      <c r="B11" s="55"/>
      <c r="D11" s="51" t="inlineStr">
        <is>
          <t xml:space="preserve">D</t>
        </is>
      </c>
      <c r="H11" s="52">
        <v>2</v>
      </c>
      <c r="L11" s="53"/>
    </row>
    <row r="12" spans="1:19" x14ac:dyDescent="0.5">
      <c r="A12" s="55"/>
      <c r="B12" s="55"/>
      <c r="D12" s="51" t="inlineStr">
        <is>
          <t xml:space="preserve">D</t>
        </is>
      </c>
      <c r="H12" s="52">
        <v>3</v>
      </c>
      <c r="L12" s="53"/>
    </row>
    <row r="13">
      <c r="D13" s="51" t="inlineStr">
        <is>
          <t xml:space="preserve">E</t>
        </is>
      </c>
      <c r="H13" s="52">
        <v>1</v>
      </c>
    </row>
    <row r="14" spans="1:19" x14ac:dyDescent="0.5">
      <c r="A14" s="46"/>
      <c r="B14" s="47"/>
      <c r="D14" s="51"/>
      <c r="F14" s="51"/>
      <c r="H14" s="52"/>
      <c r="I14" s="52"/>
      <c r="J14" s="52"/>
      <c r="L14" s="53"/>
      <c r="M14" s="53"/>
      <c r="N14" s="53"/>
      <c r="P14" s="54"/>
    </row>
    <row r="16">
      <c r="A16" s="83">
        <v>2</v>
      </c>
      <c r="B16" s="78" t="inlineStr">
        <is>
          <t xml:space="preserve">2D read row-major</t>
        </is>
      </c>
      <c r="D16" s="51" t="inlineStr">
        <is>
          <t xml:space="preserve">A</t>
        </is>
      </c>
      <c r="E16" s="51" t="inlineStr">
        <is>
          <t xml:space="preserve">A</t>
        </is>
      </c>
      <c r="H16" s="52">
        <v>1</v>
      </c>
      <c r="I16" s="52">
        <v>2</v>
      </c>
      <c r="L16" s="53" cm="1">
        <f t="array" ref="L16:M17">streak(D16:E17)</f>
        <v>0</v>
      </c>
      <c r="P16" s="54" cm="1">
        <f t="array" ref="P16">IF(AND(H16:I17=L16:M17),"PASS","FAIL")</f>
        <v>0</v>
      </c>
    </row>
    <row r="17">
      <c r="D17" s="51" t="inlineStr">
        <is>
          <t xml:space="preserve">B</t>
        </is>
      </c>
      <c r="E17" s="51" t="inlineStr">
        <is>
          <t xml:space="preserve">A</t>
        </is>
      </c>
      <c r="H17" s="52">
        <v>1</v>
      </c>
      <c r="I17" s="52">
        <v>1</v>
      </c>
    </row>
    <row r="20">
      <c r="A20" s="83">
        <v>3</v>
      </c>
      <c r="B20" s="78" t="inlineStr">
        <is>
          <t xml:space="preserve">all same -&gt; 1,2,3</t>
        </is>
      </c>
      <c r="D20" s="51" t="inlineStr">
        <is>
          <t xml:space="preserve">A</t>
        </is>
      </c>
      <c r="H20" s="52">
        <v>1</v>
      </c>
      <c r="L20" s="53" cm="1">
        <f t="array" ref="L20:L22">streak(D20:D22)</f>
        <v>0</v>
      </c>
      <c r="P20" s="54" cm="1">
        <f t="array" ref="P20">IF(AND(H20:H22=L20:L22),"PASS","FAIL")</f>
        <v>0</v>
      </c>
    </row>
    <row r="21">
      <c r="D21" s="51" t="inlineStr">
        <is>
          <t xml:space="preserve">A</t>
        </is>
      </c>
      <c r="H21" s="52">
        <v>2</v>
      </c>
    </row>
    <row r="22">
      <c r="D22" s="51" t="inlineStr">
        <is>
          <t xml:space="preserve">A</t>
        </is>
      </c>
      <c r="H22" s="52">
        <v>3</v>
      </c>
    </row>
    <row r="25">
      <c r="A25" s="83">
        <v>4</v>
      </c>
      <c r="B25" s="78" t="inlineStr">
        <is>
          <t xml:space="preserve">all different -&gt; all 1</t>
        </is>
      </c>
      <c r="D25" s="51" t="inlineStr">
        <is>
          <t xml:space="preserve">A</t>
        </is>
      </c>
      <c r="H25" s="52">
        <v>1</v>
      </c>
      <c r="L25" s="53" cm="1">
        <f t="array" ref="L25:L27">streak(D25:D27)</f>
        <v>0</v>
      </c>
      <c r="P25" s="54" cm="1">
        <f t="array" ref="P25">IF(AND(H25:H27=L25:L27),"PASS","FAIL")</f>
        <v>0</v>
      </c>
    </row>
    <row r="26">
      <c r="D26" s="51" t="inlineStr">
        <is>
          <t xml:space="preserve">B</t>
        </is>
      </c>
      <c r="H26" s="52">
        <v>1</v>
      </c>
    </row>
    <row r="27">
      <c r="D27" s="51" t="inlineStr">
        <is>
          <t xml:space="preserve">C</t>
        </is>
      </c>
      <c r="H27" s="52">
        <v>1</v>
      </c>
    </row>
    <row r="30">
      <c r="A30" s="83">
        <v>5</v>
      </c>
      <c r="B30" s="78" t="inlineStr">
        <is>
          <t xml:space="preserve">COLUMNS() sees full size (regression)</t>
        </is>
      </c>
      <c r="D30" s="51" t="inlineStr">
        <is>
          <t xml:space="preserve">A</t>
        </is>
      </c>
      <c r="E30" s="51" t="inlineStr">
        <is>
          <t xml:space="preserve">B</t>
        </is>
      </c>
      <c r="F30" s="51" t="inlineStr">
        <is>
          <t xml:space="preserve">C</t>
        </is>
      </c>
      <c r="H30" s="52">
        <v>3</v>
      </c>
      <c r="L30" s="53" cm="1">
        <f t="array" ref="L30">COLUMNS(streak(D30:F30))</f>
        <v>0</v>
      </c>
      <c r="P30" s="54">
        <f>IF(L30=H30,"PASS","FAIL")</f>
      </c>
    </row>
  </sheetData>
  <mergeCells count="3">
    <mergeCell ref="I1:R1"/>
    <mergeCell ref="B2:R2"/>
    <mergeCell ref="B1:F1"/>
  </mergeCells>
  <pageMargins left="0.75" right="0.75" top="1" bottom="1" header="0.5" footer="0.5"/>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E0DFB-9EBE-410B-8E5E-CC4C2F2AFF0E}">
  <sheetPr codeName="Sheet139"/>
  <dimension ref="A1:Y19"/>
  <sheetViews>
    <sheetView workbookViewId="0"/>
  </sheetViews>
  <sheetFormatPr defaultRowHeight="21" x14ac:dyDescent="0.5"/>
  <cols>
    <col min="1" max="1" width="4" customWidth="1"/>
    <col min="2" max="2" width="26" customWidth="1"/>
    <col min="4" max="5" width="11" customWidth="1"/>
    <col min="6" max="6" width="3" customWidth="1"/>
    <col min="7" max="14" width="11" customWidth="1"/>
    <col min="15" max="15" width="3" customWidth="1"/>
    <col min="16" max="23" width="11" customWidth="1"/>
    <col min="24" max="24" width="3" customWidth="1"/>
    <col min="25" max="25" width="9" customWidth="1"/>
  </cols>
  <sheetData>
    <row r="1" spans="1:25" ht="273" customHeight="1" x14ac:dyDescent="0.5">
      <c r="A1" s="45" t="s">
        <v>0</v>
      </c>
      <c r="B1" s="83" t="str" cm="1">
        <f t="array" aca="1" ref="B1" ca="1">_xlfn.LET(_xlpm.fn, CELL("filename",$A$1), _xlpm.nm, MID(_xlpm.fn, FIND("]", _xlpm.fn) + 1, 255), _xlfn.XLOOKUP(_xlpm.nm &amp; "(*", Lamb!$A$2:$A$1000, Lamb!$A$2:$A$1000, "", 2))</f>
        <v>xbyrow(arr, function)</v>
      </c>
      <c r="C1" s="79"/>
      <c r="D1" s="79"/>
      <c r="E1" s="79"/>
      <c r="F1" s="80"/>
      <c r="H1" s="45" t="s">
        <v>2</v>
      </c>
      <c r="I1" s="78" t="str" cm="1">
        <f t="array" aca="1" ref="I1" ca="1">_xlfn.LET(_xlpm.fn, CELL("filename",$A$1), _xlpm.nm, MID(_xlpm.fn, FIND("]", _xlpm.fn) + 1, 255), _xlfn.XLOOKUP(_xlpm.nm &amp; "(*", Lamb!$A$2:$A$1000, Lamb!$D$2:$D$1000, "", 2))</f>
        <v>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v>
      </c>
      <c r="J1" s="79"/>
      <c r="K1" s="79"/>
      <c r="L1" s="79"/>
      <c r="M1" s="79"/>
      <c r="N1" s="79"/>
      <c r="O1" s="79"/>
      <c r="P1" s="79"/>
      <c r="Q1" s="79"/>
      <c r="R1" s="80"/>
      <c r="S1" s="77" t="str">
        <f>HYPERLINK("#lambda_tests!A1","&lt;- test summary")</f>
        <v>&lt;- test summary</v>
      </c>
    </row>
    <row r="2" spans="1:25" ht="63" customHeight="1" x14ac:dyDescent="0.5">
      <c r="A2" s="45" t="s">
        <v>4</v>
      </c>
      <c r="B2" s="81" t="str" cm="1">
        <f t="array" aca="1" ref="B2" ca="1">_xlfn.LET(_xlpm.fn, CELL("filename",$A$1), _xlpm.nm, MID(_xlpm.fn, FIND("]", _xlpm.fn) + 1, 255), _xlfn.XLOOKUP(_xlpm.nm &amp; "(*", Lamb!$A$2:$A$1000, Lamb!$C$2:$C$1000, "", 2))</f>
        <v>=LAMBDA(arr, function,
  IFNA(z_xbyrow_ix(arr, function, 1, ROWS(arr)), "")
)</v>
      </c>
      <c r="C2" s="82"/>
      <c r="D2" s="82"/>
      <c r="E2" s="82"/>
      <c r="F2" s="82"/>
      <c r="G2" s="82"/>
      <c r="H2" s="82"/>
      <c r="I2" s="82"/>
      <c r="J2" s="82"/>
      <c r="K2" s="82"/>
      <c r="L2" s="82"/>
      <c r="M2" s="82"/>
      <c r="N2" s="82"/>
      <c r="O2" s="82"/>
      <c r="P2" s="82"/>
      <c r="Q2" s="82"/>
      <c r="R2" s="82"/>
    </row>
    <row r="4" spans="1:25" x14ac:dyDescent="0.5">
      <c r="A4" s="45" t="inlineStr">
        <is>
          <t xml:space="preserve">xbycol(arr, function) - BYCOL allowing an array per column (the flip of xbyrow); each column's result is flattened to a column (TOCOL) and stacked side by side (HSTACK)</t>
        </is>
      </c>
      <c r="Y4" s="45">
        <f>COUNTIF(Y6:Y60,"PASS")&amp;" / 5 PASS"</f>
      </c>
    </row>
    <row r="5" spans="1:25" x14ac:dyDescent="0.5">
      <c r="A5" s="45" t="s">
        <v>7</v>
      </c>
      <c r="B5" s="45" t="s">
        <v>8</v>
      </c>
      <c r="D5" s="45" t="s">
        <v>9</v>
      </c>
      <c r="G5" s="48" t="s">
        <v>10</v>
      </c>
      <c r="P5" s="49" t="s">
        <v>11</v>
      </c>
      <c r="Y5" s="50" t="s">
        <v>12</v>
      </c>
    </row>
    <row r="6" spans="1:25" x14ac:dyDescent="0.5">
      <c r="A6" s="83">
        <v>1</v>
      </c>
      <c r="B6" s="78" t="inlineStr">
        <is>
          <t xml:space="preserve">{1,2,3}, LAMBDA x*10 (per column)</t>
        </is>
      </c>
      <c r="D6" s="51">
        <v>1</v>
      </c>
      <c r="E6" s="51">
        <v>2</v>
      </c>
      <c r="F6" s="51">
        <v>3</v>
      </c>
      <c r="G6" s="52">
        <v>10</v>
      </c>
      <c r="H6" s="52">
        <v>20</v>
      </c>
      <c r="I6" s="52">
        <v>30</v>
      </c>
      <c r="P6" s="53" cm="1">
        <f t="array" ref="P6:R6">xbycol(D6:F6,_xlfn.LAMBDA(_xlpm.x,_xlpm.x*10))</f>
        <v>0</v>
      </c>
      <c r="Y6" s="54" cm="1">
        <f t="array" ref="Y6">IF(AND(G6:I6=P6:R6),"PASS","FAIL")</f>
        <v>0</v>
      </c>
    </row>
    <row r="7" spans="1:25" x14ac:dyDescent="0.5">
      <c r="A7" s="55"/>
      <c r="B7" s="55"/>
      <c r="D7" s="51"/>
      <c r="G7" s="52"/>
      <c r="P7" s="53"/>
    </row>
    <row r="8" spans="1:25" x14ac:dyDescent="0.5">
      <c r="A8" s="55"/>
      <c r="B8" s="55"/>
      <c r="D8" s="51"/>
      <c r="G8" s="52"/>
      <c r="P8" s="53"/>
    </row>
    <row r="9">
      <c r="A9" s="83">
        <v>2</v>
      </c>
      <c r="B9" s="78" t="inlineStr">
        <is>
          <t xml:space="preserve">{1,2,3}, SEQUENCE(2,1,x) per column</t>
        </is>
      </c>
      <c r="D9" s="51">
        <v>1</v>
      </c>
      <c r="E9" s="51">
        <v>2</v>
      </c>
      <c r="F9" s="51">
        <v>3</v>
      </c>
      <c r="G9" s="52">
        <v>1</v>
      </c>
      <c r="H9" s="52">
        <v>2</v>
      </c>
      <c r="I9" s="52">
        <v>3</v>
      </c>
      <c r="P9" s="53" cm="1">
        <f t="array" ref="P9:R10">xbycol(D9:F9,_xlfn.LAMBDA(_xlpm.x,_xlfn.SEQUENCE(2,1,_xlpm.x)))</f>
        <v>0</v>
      </c>
      <c r="Y9" s="54" cm="1">
        <f t="array" ref="Y9">IF(AND(G9:I10=P9:R10),"PASS","FAIL")</f>
        <v>0</v>
      </c>
    </row>
    <row r="10" spans="1:25" x14ac:dyDescent="0.5">
      <c r="A10" s="46"/>
      <c r="B10" s="47"/>
      <c r="D10" s="51"/>
      <c r="G10" s="52">
        <v>2</v>
      </c>
      <c r="H10" s="52">
        <v>3</v>
      </c>
      <c r="I10" s="52">
        <v>4</v>
      </c>
      <c r="P10" s="53"/>
      <c r="Q10" s="53"/>
      <c r="Y10" s="54"/>
    </row>
    <row r="11" spans="1:25" x14ac:dyDescent="0.5">
      <c r="A11" s="55"/>
      <c r="B11" s="55"/>
      <c r="D11" s="51"/>
      <c r="G11" s="52"/>
      <c r="H11" s="52"/>
      <c r="P11" s="53"/>
      <c r="Q11" s="53"/>
    </row>
    <row r="12" spans="1:25" x14ac:dyDescent="0.5">
      <c r="A12" s="55"/>
      <c r="B12" s="55"/>
      <c r="D12" s="51"/>
      <c r="G12" s="52"/>
      <c r="H12" s="52"/>
      <c r="P12" s="53"/>
      <c r="Q12" s="53"/>
    </row>
    <row r="13">
      <c r="A13" s="83">
        <v>3</v>
      </c>
      <c r="B13" s="78" t="inlineStr">
        <is>
          <t xml:space="preserve">{4,9,7;1,2,5}, MIN per column</t>
        </is>
      </c>
      <c r="D13" s="51">
        <v>4</v>
      </c>
      <c r="E13" s="51">
        <v>9</v>
      </c>
      <c r="F13" s="51">
        <v>7</v>
      </c>
      <c r="G13" s="52">
        <v>1</v>
      </c>
      <c r="H13" s="52">
        <v>2</v>
      </c>
      <c r="I13" s="52">
        <v>5</v>
      </c>
      <c r="P13" s="53" cm="1">
        <f t="array" ref="P13:R13">xbycol(D13:F14,_xlfn.LAMBDA(_xlpm.col,MIN(_xlpm.col)))</f>
        <v>0</v>
      </c>
      <c r="Y13" s="54" cm="1">
        <f t="array" ref="Y13">IF(AND(G13:I13=P13:R13),"PASS","FAIL")</f>
        <v>0</v>
      </c>
    </row>
    <row r="14" spans="1:25" x14ac:dyDescent="0.5">
      <c r="A14" s="46"/>
      <c r="B14" s="47"/>
      <c r="D14" s="51">
        <v>1</v>
      </c>
      <c r="E14" s="51">
        <v>2</v>
      </c>
      <c r="F14" s="51">
        <v>5</v>
      </c>
      <c r="G14" s="52"/>
      <c r="P14" s="53"/>
      <c r="Y14" s="54"/>
    </row>
    <row r="15" spans="1:25" x14ac:dyDescent="0.5">
      <c r="A15" s="55"/>
      <c r="B15" s="55"/>
      <c r="D15" s="51"/>
      <c r="E15" s="51"/>
      <c r="G15" s="52"/>
      <c r="P15" s="53"/>
    </row>
    <row r="16" spans="1:25" x14ac:dyDescent="0.5">
      <c r="A16" s="55"/>
      <c r="B16" s="55"/>
      <c r="D16" s="51"/>
      <c r="E16" s="51"/>
      <c r="G16" s="52"/>
      <c r="P16" s="53"/>
    </row>
    <row r="17">
      <c r="A17" s="83">
        <v>4</v>
      </c>
      <c r="B17" s="78" t="inlineStr">
        <is>
          <t xml:space="preserve">{10,20;30,40}, VSTACK(col,col*2) per column</t>
        </is>
      </c>
      <c r="D17" s="51">
        <v>10</v>
      </c>
      <c r="E17" s="51">
        <v>20</v>
      </c>
      <c r="G17" s="52">
        <v>10</v>
      </c>
      <c r="H17" s="52">
        <v>20</v>
      </c>
      <c r="P17" s="53" cm="1">
        <f t="array" ref="P17:Q20">xbycol(D17:E18,_xlfn.LAMBDA(_xlpm.col,_xlfn.VSTACK(_xlpm.col,_xlpm.col*2)))</f>
        <v>0</v>
      </c>
      <c r="Y17" s="54" cm="1">
        <f t="array" ref="Y17">IF(AND(G17:H20=P17:Q20),"PASS","FAIL")</f>
        <v>0</v>
      </c>
    </row>
    <row r="18" spans="1:25" x14ac:dyDescent="0.5">
      <c r="A18" s="46"/>
      <c r="B18" s="47"/>
      <c r="D18" s="51">
        <v>30</v>
      </c>
      <c r="E18" s="51">
        <v>40</v>
      </c>
      <c r="G18" s="52">
        <v>30</v>
      </c>
      <c r="H18" s="52">
        <v>40</v>
      </c>
      <c r="I18" s="52"/>
      <c r="J18" s="52"/>
      <c r="K18" s="52"/>
      <c r="L18" s="52"/>
      <c r="M18" s="52"/>
      <c r="N18" s="52"/>
      <c r="P18" s="53"/>
      <c r="Q18" s="53"/>
      <c r="R18" s="53"/>
      <c r="S18" s="53"/>
      <c r="T18" s="53"/>
      <c r="U18" s="53"/>
      <c r="V18" s="53"/>
      <c r="W18" s="53"/>
      <c r="Y18" s="54"/>
    </row>
    <row r="19" spans="1:25" x14ac:dyDescent="0.5">
      <c r="A19" s="55"/>
      <c r="B19" s="55"/>
      <c r="D19" s="51"/>
      <c r="G19" s="52">
        <v>20</v>
      </c>
      <c r="H19" s="52">
        <v>40</v>
      </c>
      <c r="I19" s="52"/>
      <c r="J19" s="52"/>
      <c r="K19" s="52"/>
      <c r="L19" s="52"/>
      <c r="M19" s="52"/>
      <c r="N19" s="52"/>
      <c r="P19" s="53"/>
      <c r="Q19" s="53"/>
      <c r="R19" s="53"/>
      <c r="S19" s="53"/>
      <c r="T19" s="53"/>
      <c r="U19" s="53"/>
      <c r="V19" s="53"/>
      <c r="W19" s="53"/>
    </row>
    <row r="20">
      <c r="G20" s="52">
        <v>60</v>
      </c>
      <c r="H20" s="52">
        <v>80</v>
      </c>
    </row>
    <row r="22">
      <c r="A22">
        <v>5</v>
      </c>
      <c r="B22" t="inlineStr">
        <is>
          <t xml:space="preserve">&gt;255-char value survives (IFERROR/IFNA would blank it)</t>
        </is>
      </c>
      <c r="D22" t="inlineStr">
        <is>
          <t xml:space="preserve">a</t>
        </is>
      </c>
      <c r="E22">
        <f>REPT("z",300)</f>
      </c>
      <c r="G22" s="52" t="inlineStr">
        <is>
          <t xml:space="preserve">a</t>
        </is>
      </c>
      <c r="H22" s="52">
        <f>REPT("z",300)</f>
      </c>
      <c r="P22" cm="1">
        <f t="array" ref="P22:Q22">xbycol(D22:E22,_xlfn.LAMBDA(_xlpm.c,_xlpm.c))</f>
        <v>0</v>
      </c>
      <c r="Y22" cm="1">
        <f t="array" ref="Y22">IF(AND(G22:H22=P22:Q22),"PASS","FAIL")</f>
        <v>0</v>
      </c>
    </row>
  </sheetData>
  <mergeCells count="3">
    <mergeCell ref="I1:R1"/>
    <mergeCell ref="B2:R2"/>
    <mergeCell ref="B1:F1"/>
  </mergeCells>
  <pageMargins left="0.75" right="0.75" top="1" bottom="1" header="0.5" footer="0.5"/>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40"/>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ad_row_n(ad_or_rng) - row number(s) of an address/range; single address -&gt; its row, range -&gt; a vertical array of rows, array -&gt; element-wise (ranges and non-addresses pass through unchanged)</t>
        </is>
      </c>
      <c r="P4" s="45">
        <f>COUNTIF(P6:P40,"PASS")&amp;" / 5 PASS"</f>
      </c>
    </row>
    <row r="5" spans="1:19" x14ac:dyDescent="0.5">
      <c r="A5" s="45" t="s">
        <v>7</v>
      </c>
      <c r="B5" s="45" t="s">
        <v>8</v>
      </c>
      <c r="D5" s="45" t="s">
        <v>9</v>
      </c>
      <c r="H5" s="48" t="s">
        <v>10</v>
      </c>
      <c r="L5" s="49" t="s">
        <v>11</v>
      </c>
      <c r="P5" s="50" t="s">
        <v>12</v>
      </c>
    </row>
    <row r="6" spans="1:19" x14ac:dyDescent="0.5">
      <c r="A6" s="83">
        <v>1</v>
      </c>
      <c r="B6" s="78" t="inlineStr">
        <is>
          <t xml:space="preserve">numeric address 66000045 -&gt; 66</t>
        </is>
      </c>
      <c r="D6" s="51">
        <v>66000045</v>
      </c>
      <c r="H6" s="52">
        <v>66</v>
      </c>
      <c r="L6" s="53" cm="1">
        <f t="array" ref="L6">ad_row_n(D6)</f>
        <v>0</v>
      </c>
      <c r="P6" s="54">
        <f>IF(L6=H6,"PASS","FAIL")</f>
      </c>
    </row>
    <row r="7" spans="1:19" x14ac:dyDescent="0.5">
      <c r="A7" s="55"/>
      <c r="B7" s="55"/>
      <c r="H7" s="52"/>
      <c r="L7" s="53"/>
    </row>
    <row r="8" spans="1:19" x14ac:dyDescent="0.5">
      <c r="A8" s="55"/>
      <c r="B8" s="55"/>
      <c r="H8" s="52"/>
      <c r="L8" s="53"/>
    </row>
    <row r="9">
      <c r="A9" s="83">
        <v>2</v>
      </c>
      <c r="B9" s="78" t="inlineStr">
        <is>
          <t xml:space="preserve">A1 string 'AA99' -&gt; 99</t>
        </is>
      </c>
      <c r="D9" s="51" t="inlineStr">
        <is>
          <t xml:space="preserve">AA99</t>
        </is>
      </c>
      <c r="H9" s="52">
        <v>99</v>
      </c>
      <c r="L9" s="53" cm="1">
        <f t="array" ref="L9">ad_row_n(D9)</f>
        <v>0</v>
      </c>
      <c r="P9" s="54">
        <f>IF(L9=H9,"PASS","FAIL")</f>
      </c>
    </row>
    <row r="10" spans="1:19" x14ac:dyDescent="0.5">
      <c r="A10" s="46"/>
      <c r="B10" s="47"/>
      <c r="D10" s="51"/>
      <c r="H10" s="52"/>
      <c r="L10" s="53"/>
      <c r="P10" s="54"/>
    </row>
    <row r="11" spans="1:19" x14ac:dyDescent="0.5">
      <c r="A11" s="55"/>
      <c r="B11" s="55"/>
      <c r="H11" s="52"/>
      <c r="L11" s="53"/>
    </row>
    <row r="12" spans="1:19" x14ac:dyDescent="0.5">
      <c r="A12" s="83">
        <v>3</v>
      </c>
      <c r="B12" s="78" t="inlineStr">
        <is>
          <t xml:space="preserve">range 'B8:D11' -&gt; vertical rows 8..11</t>
        </is>
      </c>
      <c r="D12" s="51" t="inlineStr">
        <is>
          <t xml:space="preserve">B8:D11</t>
        </is>
      </c>
      <c r="H12" s="52">
        <v>8</v>
      </c>
      <c r="L12" s="53" cm="1">
        <f t="array" ref="L12:L15">ad_row_n(D12)</f>
        <v>0</v>
      </c>
      <c r="P12" s="54" cm="1">
        <f t="array" ref="P12">IF(AND(H12:H15=L12:L15),"PASS","FAIL")</f>
        <v>0</v>
      </c>
    </row>
    <row r="13">
      <c r="H13" s="52">
        <v>9</v>
      </c>
    </row>
    <row r="14" spans="1:19" x14ac:dyDescent="0.5">
      <c r="A14" s="46"/>
      <c r="B14" s="47"/>
      <c r="D14" s="51"/>
      <c r="F14" s="51"/>
      <c r="H14" s="52">
        <v>10</v>
      </c>
      <c r="I14" s="52"/>
      <c r="J14" s="52"/>
      <c r="L14" s="53"/>
      <c r="M14" s="53"/>
      <c r="N14" s="53"/>
      <c r="P14" s="54"/>
    </row>
    <row r="15">
      <c r="H15" s="52">
        <v>11</v>
      </c>
    </row>
    <row r="18">
      <c r="A18" s="83">
        <v>4</v>
      </c>
      <c r="B18" s="78" t="inlineStr">
        <is>
          <t xml:space="preserve">array of addresses; range/text pass through</t>
        </is>
      </c>
      <c r="D18" s="51" t="inlineStr">
        <is>
          <t xml:space="preserve">A5</t>
        </is>
      </c>
      <c r="H18" s="52">
        <v>5</v>
      </c>
      <c r="L18" s="53" cm="1">
        <f t="array" ref="L18:L20">ad_row_n(D18:D20)</f>
        <v>0</v>
      </c>
      <c r="P18" s="54" cm="1">
        <f t="array" ref="P18">IF(AND(H18:H20=L18:L20),"PASS","FAIL")</f>
        <v>0</v>
      </c>
    </row>
    <row r="19">
      <c r="D19" s="51" t="inlineStr">
        <is>
          <t xml:space="preserve">C10</t>
        </is>
      </c>
      <c r="H19" s="52">
        <v>10</v>
      </c>
    </row>
    <row r="20">
      <c r="D20" s="51" t="inlineStr">
        <is>
          <t xml:space="preserve">B8:D9</t>
        </is>
      </c>
      <c r="H20" s="52" t="inlineStr">
        <is>
          <t xml:space="preserve">B8:D9</t>
        </is>
      </c>
    </row>
    <row r="23">
      <c r="A23" s="83">
        <v>5</v>
      </c>
      <c r="B23" s="78" t="inlineStr">
        <is>
          <t xml:space="preserve">non-address 'hello' -&gt; unchanged</t>
        </is>
      </c>
      <c r="D23" s="51" t="inlineStr">
        <is>
          <t xml:space="preserve">hello</t>
        </is>
      </c>
      <c r="H23" s="52" t="inlineStr">
        <is>
          <t xml:space="preserve">hello</t>
        </is>
      </c>
      <c r="L23" s="53" cm="1">
        <f t="array" ref="L23">ad_row_n(D23)</f>
        <v>0</v>
      </c>
      <c r="P23" s="54">
        <f>IF(L23=H23,"PASS","FAIL")</f>
      </c>
    </row>
  </sheetData>
  <mergeCells count="3">
    <mergeCell ref="I1:R1"/>
    <mergeCell ref="B2:R2"/>
    <mergeCell ref="B1:F1"/>
  </mergeCells>
  <pageMargins left="0.75" right="0.75" top="1" bottom="1" header="0.5" footer="0.5"/>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41"/>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ad_col_n(ad_or_rng) - column number(s) of an address/range; single address -&gt; its column, range -&gt; a horizontal array of columns, array -&gt; element-wise (ranges and non-addresses pass through unchanged)</t>
        </is>
      </c>
      <c r="P4" s="45">
        <f>COUNTIF(P6:P40,"PASS")&amp;" / 7 PASS"</f>
      </c>
    </row>
    <row r="5" spans="1:19" x14ac:dyDescent="0.5">
      <c r="A5" s="45" t="s">
        <v>7</v>
      </c>
      <c r="B5" s="45" t="s">
        <v>8</v>
      </c>
      <c r="D5" s="45" t="s">
        <v>9</v>
      </c>
      <c r="H5" s="48" t="s">
        <v>10</v>
      </c>
      <c r="L5" s="49" t="s">
        <v>11</v>
      </c>
      <c r="P5" s="50" t="s">
        <v>12</v>
      </c>
    </row>
    <row r="6" spans="1:19" x14ac:dyDescent="0.5">
      <c r="A6" s="83">
        <v>1</v>
      </c>
      <c r="B6" s="78" t="inlineStr">
        <is>
          <t xml:space="preserve">numeric address 66000045 -&gt; 45</t>
        </is>
      </c>
      <c r="D6" s="51">
        <v>66000045</v>
      </c>
      <c r="H6" s="52">
        <v>45</v>
      </c>
      <c r="L6" s="53" cm="1">
        <f t="array" ref="L6">ad_col_n(D6)</f>
        <v>0</v>
      </c>
      <c r="P6" s="54">
        <f>IF(L6=H6,"PASS","FAIL")</f>
      </c>
    </row>
    <row r="7" spans="1:19" x14ac:dyDescent="0.5">
      <c r="A7" s="55"/>
      <c r="B7" s="55"/>
      <c r="H7" s="52"/>
      <c r="L7" s="53"/>
    </row>
    <row r="8" spans="1:19" x14ac:dyDescent="0.5">
      <c r="A8" s="55"/>
      <c r="B8" s="55"/>
      <c r="H8" s="52"/>
      <c r="L8" s="53"/>
    </row>
    <row r="9">
      <c r="A9" s="83">
        <v>2</v>
      </c>
      <c r="B9" s="78" t="inlineStr">
        <is>
          <t xml:space="preserve">A1 string 'AA99' -&gt; 27</t>
        </is>
      </c>
      <c r="D9" s="51" t="inlineStr">
        <is>
          <t xml:space="preserve">AA99</t>
        </is>
      </c>
      <c r="H9" s="52">
        <v>27</v>
      </c>
      <c r="L9" s="53" cm="1">
        <f t="array" ref="L9">ad_col_n(D9)</f>
        <v>0</v>
      </c>
      <c r="P9" s="54">
        <f>IF(L9=H9,"PASS","FAIL")</f>
      </c>
    </row>
    <row r="10" spans="1:19" x14ac:dyDescent="0.5">
      <c r="A10" s="46"/>
      <c r="B10" s="47"/>
      <c r="D10" s="51"/>
      <c r="H10" s="52"/>
      <c r="L10" s="53"/>
      <c r="P10" s="54"/>
    </row>
    <row r="11" spans="1:19" x14ac:dyDescent="0.5">
      <c r="A11" s="55"/>
      <c r="B11" s="55"/>
      <c r="H11" s="52"/>
      <c r="L11" s="53"/>
    </row>
    <row r="12" spans="1:19" x14ac:dyDescent="0.5">
      <c r="A12" s="83">
        <v>3</v>
      </c>
      <c r="B12" s="78" t="inlineStr">
        <is>
          <t xml:space="preserve">range 'B8:D11' -&gt; horizontal cols 2..4</t>
        </is>
      </c>
      <c r="D12" s="51" t="inlineStr">
        <is>
          <t xml:space="preserve">B8:D11</t>
        </is>
      </c>
      <c r="H12" s="52">
        <v>2</v>
      </c>
      <c r="I12" s="52"/>
      <c r="J12" s="52"/>
      <c r="L12" s="53" cm="1">
        <f t="array" ref="L12:L14">ad_col_n(D12)</f>
        <v>0</v>
      </c>
      <c r="M12"/>
      <c r="N12"/>
      <c r="P12" s="54" cm="1">
        <f t="array" ref="P12">IF(AND(H12:H14=L12:L14),"PASS","FAIL")</f>
        <v>0</v>
      </c>
    </row>
    <row r="13">
      <c r="H13" s="52">
        <v>3</v>
      </c>
    </row>
    <row r="14" spans="1:19" x14ac:dyDescent="0.5">
      <c r="A14" s="46"/>
      <c r="B14" s="47"/>
      <c r="D14" s="51"/>
      <c r="F14" s="51"/>
      <c r="H14" s="52">
        <v>4</v>
      </c>
      <c r="I14" s="52"/>
      <c r="J14" s="52"/>
      <c r="L14" s="53"/>
      <c r="M14" s="53"/>
      <c r="N14" s="53"/>
      <c r="P14" s="54"/>
    </row>
    <row r="15">
      <c r="A15" s="83">
        <v>4</v>
      </c>
      <c r="B15" s="78" t="inlineStr">
        <is>
          <t xml:space="preserve">array of addresses; range/text pass through</t>
        </is>
      </c>
      <c r="D15" s="51" t="inlineStr">
        <is>
          <t xml:space="preserve">A5</t>
        </is>
      </c>
      <c r="H15" s="52">
        <v>1</v>
      </c>
      <c r="L15" s="53" cm="1">
        <f t="array" ref="L15:L17">ad_col_n(D15:D17)</f>
        <v>0</v>
      </c>
      <c r="P15" s="54" cm="1">
        <f t="array" ref="P15">IF(AND(H15:H17=L15:L17),"PASS","FAIL")</f>
        <v>0</v>
      </c>
    </row>
    <row r="16">
      <c r="D16" s="51" t="inlineStr">
        <is>
          <t xml:space="preserve">C10</t>
        </is>
      </c>
      <c r="H16" s="52">
        <v>3</v>
      </c>
    </row>
    <row r="17">
      <c r="D17" s="51" t="inlineStr">
        <is>
          <t xml:space="preserve">B8:D9</t>
        </is>
      </c>
      <c r="H17" s="52" t="inlineStr">
        <is>
          <t xml:space="preserve">B8:D9</t>
        </is>
      </c>
    </row>
    <row r="20">
      <c r="A20" s="83">
        <v>5</v>
      </c>
      <c r="B20" s="78" t="inlineStr">
        <is>
          <t xml:space="preserve">non-address 'hello' -&gt; unchanged</t>
        </is>
      </c>
      <c r="D20" s="51" t="inlineStr">
        <is>
          <t xml:space="preserve">hello</t>
        </is>
      </c>
      <c r="H20" s="52" t="inlineStr">
        <is>
          <t xml:space="preserve">hello</t>
        </is>
      </c>
      <c r="L20" s="53" cm="1">
        <f t="array" ref="L20">ad_col_n(D20)</f>
        <v>0</v>
      </c>
      <c r="P20" s="54">
        <f>IF(L20=H20,"PASS","FAIL")</f>
      </c>
    </row>
    <row r="23">
      <c r="A23" s="83">
        <v>6</v>
      </c>
      <c r="B23" s="78" t="inlineStr">
        <is>
          <t xml:space="preserve">column letter 'BDS' -&gt; 1475</t>
        </is>
      </c>
      <c r="D23" s="51" t="inlineStr">
        <is>
          <t xml:space="preserve">BDS</t>
        </is>
      </c>
      <c r="H23" s="52">
        <v>1475</v>
      </c>
      <c r="L23" s="53" cm="1">
        <f t="array" ref="L23">ad_col_n(D23)</f>
        <v>0</v>
      </c>
      <c r="P23" s="54">
        <f>IF(L23=H23,"PASS","FAIL")</f>
      </c>
    </row>
    <row r="26">
      <c r="A26" s="83">
        <v>7</v>
      </c>
      <c r="B26" s="78" t="inlineStr">
        <is>
          <t xml:space="preserve">array: column letters -&gt; nums, range unchanged</t>
        </is>
      </c>
      <c r="D26" s="51" t="inlineStr">
        <is>
          <t xml:space="preserve">BDS</t>
        </is>
      </c>
      <c r="H26" s="52">
        <v>1475</v>
      </c>
      <c r="L26" s="53" cm="1">
        <f t="array" ref="L26:L28">ad_col_n(D26:D28)</f>
        <v>0</v>
      </c>
      <c r="P26" s="54" cm="1">
        <f t="array" ref="P26">IF(AND(H26:H28=L26:L28),"PASS","FAIL")</f>
        <v>0</v>
      </c>
    </row>
    <row r="27">
      <c r="D27" s="51" t="inlineStr">
        <is>
          <t xml:space="preserve">XFD</t>
        </is>
      </c>
      <c r="H27" s="52">
        <v>16384</v>
      </c>
    </row>
    <row r="28">
      <c r="D28" s="51" t="inlineStr">
        <is>
          <t xml:space="preserve">B8:D9</t>
        </is>
      </c>
      <c r="H28" s="52" t="inlineStr">
        <is>
          <t xml:space="preserve">B8:D9</t>
        </is>
      </c>
    </row>
  </sheetData>
  <mergeCells count="3">
    <mergeCell ref="I1:R1"/>
    <mergeCell ref="B2:R2"/>
    <mergeCell ref="B1:F1"/>
  </mergeCells>
  <pageMargins left="0.75" right="0.75" top="1" bottom="1" header="0.5" footer="0.5"/>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42"/>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ad_col_let(col_n_or_ad) - column number 1..16384 OR an address -&gt; column letters (1475 -&gt; 'BDS', 66000045 -&gt; 'AS', 'AA99' -&gt; 'AA'); anything else unchanged; element-wise over an array</t>
        </is>
      </c>
      <c r="P4" s="45">
        <f>COUNTIF(P6:P40,"PASS")&amp;" / 8 PASS"</f>
      </c>
    </row>
    <row r="5" spans="1:19" x14ac:dyDescent="0.5">
      <c r="A5" s="45" t="s">
        <v>7</v>
      </c>
      <c r="B5" s="45" t="s">
        <v>8</v>
      </c>
      <c r="D5" s="45" t="s">
        <v>9</v>
      </c>
      <c r="H5" s="48" t="s">
        <v>10</v>
      </c>
      <c r="L5" s="49" t="s">
        <v>11</v>
      </c>
      <c r="P5" s="50" t="s">
        <v>12</v>
      </c>
    </row>
    <row r="6" spans="1:19" x14ac:dyDescent="0.5">
      <c r="A6" s="83">
        <v>1</v>
      </c>
      <c r="B6" s="78" t="inlineStr">
        <is>
          <t xml:space="preserve">1475 -&gt; 'BDS'</t>
        </is>
      </c>
      <c r="D6" s="51">
        <v>1475</v>
      </c>
      <c r="H6" s="52" t="inlineStr">
        <is>
          <t xml:space="preserve">BDS</t>
        </is>
      </c>
      <c r="L6" s="53" cm="1">
        <f t="array" ref="L6">ad_col_let(D6)</f>
        <v>0</v>
      </c>
      <c r="P6" s="54">
        <f>IF(L6=H6,"PASS","FAIL")</f>
      </c>
    </row>
    <row r="7" spans="1:19" x14ac:dyDescent="0.5">
      <c r="A7" s="55"/>
      <c r="B7" s="55"/>
      <c r="H7" s="52"/>
      <c r="L7" s="53"/>
    </row>
    <row r="8" spans="1:19" x14ac:dyDescent="0.5">
      <c r="A8" s="55"/>
      <c r="B8" s="55"/>
      <c r="H8" s="52"/>
      <c r="L8" s="53"/>
    </row>
    <row r="9">
      <c r="A9" s="83">
        <v>2</v>
      </c>
      <c r="B9" s="78" t="inlineStr">
        <is>
          <t xml:space="preserve">1 -&gt; 'A'</t>
        </is>
      </c>
      <c r="D9" s="51">
        <v>1</v>
      </c>
      <c r="H9" s="52" t="inlineStr">
        <is>
          <t xml:space="preserve">A</t>
        </is>
      </c>
      <c r="L9" s="53" cm="1">
        <f t="array" ref="L9">ad_col_let(D9)</f>
        <v>0</v>
      </c>
      <c r="P9" s="54">
        <f>IF(L9=H9,"PASS","FAIL")</f>
      </c>
    </row>
    <row r="10" spans="1:19" x14ac:dyDescent="0.5">
      <c r="A10" s="46"/>
      <c r="B10" s="47"/>
      <c r="D10" s="51"/>
      <c r="H10" s="52"/>
      <c r="L10" s="53"/>
      <c r="P10" s="54"/>
    </row>
    <row r="11" spans="1:19" x14ac:dyDescent="0.5">
      <c r="A11" s="55"/>
      <c r="B11" s="55"/>
      <c r="H11" s="52"/>
      <c r="L11" s="53"/>
    </row>
    <row r="12" spans="1:19" x14ac:dyDescent="0.5">
      <c r="A12" s="83">
        <v>3</v>
      </c>
      <c r="B12" s="78" t="inlineStr">
        <is>
          <t xml:space="preserve">16384 -&gt; 'XFD'</t>
        </is>
      </c>
      <c r="D12" s="51">
        <v>16384</v>
      </c>
      <c r="H12" s="52" t="inlineStr">
        <is>
          <t xml:space="preserve">XFD</t>
        </is>
      </c>
      <c r="L12" s="53" cm="1">
        <f t="array" ref="L12">ad_col_let(D12)</f>
        <v>0</v>
      </c>
      <c r="P12" s="54">
        <f>IF(L12=H12,"PASS","FAIL")</f>
      </c>
    </row>
    <row r="14" spans="1:19" x14ac:dyDescent="0.5">
      <c r="A14" s="46"/>
      <c r="B14" s="47"/>
      <c r="D14" s="51"/>
      <c r="F14" s="51"/>
      <c r="H14" s="52"/>
      <c r="I14" s="52"/>
      <c r="J14" s="52"/>
      <c r="L14" s="53"/>
      <c r="M14" s="53"/>
      <c r="N14" s="53"/>
      <c r="P14" s="54"/>
    </row>
    <row r="15">
      <c r="A15" s="83">
        <v>4</v>
      </c>
      <c r="B15" s="78" t="inlineStr">
        <is>
          <t xml:space="preserve">16385 (out of range) -&gt; unchanged</t>
        </is>
      </c>
      <c r="D15" s="51">
        <v>16385</v>
      </c>
      <c r="H15" s="52">
        <v>16385</v>
      </c>
      <c r="L15" s="53" cm="1">
        <f t="array" ref="L15">ad_col_let(D15)</f>
        <v>0</v>
      </c>
      <c r="P15" s="54">
        <f>IF(L15=H15,"PASS","FAIL")</f>
      </c>
    </row>
    <row r="18">
      <c r="A18" s="83">
        <v>5</v>
      </c>
      <c r="B18" s="78" t="inlineStr">
        <is>
          <t xml:space="preserve">array; text &amp; out-of-range pass through</t>
        </is>
      </c>
      <c r="D18" s="51">
        <v>1475</v>
      </c>
      <c r="H18" s="52" t="inlineStr">
        <is>
          <t xml:space="preserve">BDS</t>
        </is>
      </c>
      <c r="L18" s="53" cm="1">
        <f t="array" ref="L18:L21">ad_col_let(D18:D21)</f>
        <v>0</v>
      </c>
      <c r="P18" s="54" cm="1">
        <f t="array" ref="P18">IF(AND(H18:H21=L18:L21),"PASS","FAIL")</f>
        <v>0</v>
      </c>
    </row>
    <row r="19">
      <c r="D19" s="51">
        <v>1</v>
      </c>
      <c r="H19" s="52" t="inlineStr">
        <is>
          <t xml:space="preserve">A</t>
        </is>
      </c>
    </row>
    <row r="20">
      <c r="D20" s="51">
        <v>16385</v>
      </c>
      <c r="H20" s="52">
        <v>16385</v>
      </c>
    </row>
    <row r="21">
      <c r="D21" s="51" t="inlineStr">
        <is>
          <t xml:space="preserve">x</t>
        </is>
      </c>
      <c r="H21" s="52" t="inlineStr">
        <is>
          <t xml:space="preserve">x</t>
        </is>
      </c>
    </row>
    <row r="24">
      <c r="A24" s="83">
        <v>6</v>
      </c>
      <c r="B24" s="78" t="inlineStr">
        <is>
          <t xml:space="preserve">numeric address 66000045 -&gt; 'AS' (col 45)</t>
        </is>
      </c>
      <c r="D24" s="51">
        <v>66000045</v>
      </c>
      <c r="H24" s="52" t="inlineStr">
        <is>
          <t xml:space="preserve">AS</t>
        </is>
      </c>
      <c r="L24" s="53" cm="1">
        <f t="array" ref="L24">ad_col_let(D24)</f>
        <v>0</v>
      </c>
      <c r="P24" s="54">
        <f>IF(L24=H24,"PASS","FAIL")</f>
      </c>
    </row>
    <row r="27">
      <c r="A27" s="83">
        <v>7</v>
      </c>
      <c r="B27" s="78" t="inlineStr">
        <is>
          <t xml:space="preserve">A1 address 'AA99' -&gt; 'AA' (col 27)</t>
        </is>
      </c>
      <c r="D27" s="51" t="inlineStr">
        <is>
          <t xml:space="preserve">AA99</t>
        </is>
      </c>
      <c r="H27" s="52" t="inlineStr">
        <is>
          <t xml:space="preserve">AA</t>
        </is>
      </c>
      <c r="L27" s="53" cm="1">
        <f t="array" ref="L27">ad_col_let(D27)</f>
        <v>0</v>
      </c>
      <c r="P27" s="54">
        <f>IF(L27=H27,"PASS","FAIL")</f>
      </c>
    </row>
    <row r="30">
      <c r="A30" s="83">
        <v>8</v>
      </c>
      <c r="B30" s="78" t="inlineStr">
        <is>
          <t xml:space="preserve">array of addresses; range passes through</t>
        </is>
      </c>
      <c r="D30" s="51">
        <v>66000045</v>
      </c>
      <c r="H30" s="52" t="inlineStr">
        <is>
          <t xml:space="preserve">AS</t>
        </is>
      </c>
      <c r="L30" s="53" cm="1">
        <f t="array" ref="L30:L32">ad_col_let(D30:D32)</f>
        <v>0</v>
      </c>
      <c r="P30" s="54" cm="1">
        <f t="array" ref="P30">IF(AND(H30:H32=L30:L32),"PASS","FAIL")</f>
        <v>0</v>
      </c>
    </row>
    <row r="31">
      <c r="D31" s="51" t="inlineStr">
        <is>
          <t xml:space="preserve">AA99</t>
        </is>
      </c>
      <c r="H31" s="52" t="inlineStr">
        <is>
          <t xml:space="preserve">AA</t>
        </is>
      </c>
    </row>
    <row r="32">
      <c r="D32" s="51" t="inlineStr">
        <is>
          <t xml:space="preserve">B8:D9</t>
        </is>
      </c>
      <c r="H32" s="52" t="inlineStr">
        <is>
          <t xml:space="preserve">B8:D9</t>
        </is>
      </c>
    </row>
  </sheetData>
  <mergeCells count="3">
    <mergeCell ref="I1:R1"/>
    <mergeCell ref="B2:R2"/>
    <mergeCell ref="B1:F1"/>
  </mergeCells>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86</vt:i4>
      </vt:variant>
    </vt:vector>
  </HeadingPairs>
  <TitlesOfParts>
    <vt:vector size="86" baseType="lpstr">
      <vt:lpstr>Prep</vt:lpstr>
      <vt:lpstr>Lamb</vt:lpstr>
      <vt:lpstr>lambda_tests</vt:lpstr>
      <vt:lpstr>vba_tests</vt:lpstr>
      <vt:lpstr>ad_to_cont</vt:lpstr>
      <vt:lpstr>ad_to_rc</vt:lpstr>
      <vt:lpstr>arrow</vt:lpstr>
      <vt:lpstr>arrow_move</vt:lpstr>
      <vt:lpstr>arrow_trip</vt:lpstr>
      <vt:lpstr>biggest</vt:lpstr>
      <vt:lpstr>clamp</vt:lpstr>
      <vt:lpstr>cont_to_ad</vt:lpstr>
      <vt:lpstr>count_substring</vt:lpstr>
      <vt:lpstr>ctotal</vt:lpstr>
      <vt:lpstr>cycles</vt:lpstr>
      <vt:lpstr>die_pips</vt:lpstr>
      <vt:lpstr>dist</vt:lpstr>
      <vt:lpstr>exists</vt:lpstr>
      <vt:lpstr>expand_rng</vt:lpstr>
      <vt:lpstr>freq_table</vt:lpstr>
      <vt:lpstr>ftd_maze_cost</vt:lpstr>
      <vt:lpstr>is_unique</vt:lpstr>
      <vt:lpstr>knight_moves</vt:lpstr>
      <vt:lpstr>label_lookup</vt:lpstr>
      <vt:lpstr>load_array</vt:lpstr>
      <vt:lpstr>make_change</vt:lpstr>
      <vt:lpstr>neighbors_count</vt:lpstr>
      <vt:lpstr>neighbors_list</vt:lpstr>
      <vt:lpstr>num_ad</vt:lpstr>
      <vt:lpstr>offset_letter</vt:lpstr>
      <vt:lpstr>only_letters</vt:lpstr>
      <vt:lpstr>only_numbers</vt:lpstr>
      <vt:lpstr>rc_to_ad</vt:lpstr>
      <vt:lpstr>rev</vt:lpstr>
      <vt:lpstr>rotate_arrow</vt:lpstr>
      <vt:lpstr>route_cost</vt:lpstr>
      <vt:lpstr>save_array</vt:lpstr>
      <vt:lpstr>scan2</vt:lpstr>
      <vt:lpstr>scan3</vt:lpstr>
      <vt:lpstr>selections</vt:lpstr>
      <vt:lpstr>set</vt:lpstr>
      <vt:lpstr>set_d</vt:lpstr>
      <vt:lpstr>set_i</vt:lpstr>
      <vt:lpstr>set_u</vt:lpstr>
      <vt:lpstr>shift_arr</vt:lpstr>
      <vt:lpstr>smallest</vt:lpstr>
      <vt:lpstr>str_ad</vt:lpstr>
      <vt:lpstr>str_rev</vt:lpstr>
      <vt:lpstr>str_to_arr</vt:lpstr>
      <vt:lpstr>textbetween</vt:lpstr>
      <vt:lpstr>transform_array</vt:lpstr>
      <vt:lpstr>update_arr</vt:lpstr>
      <vt:lpstr>xbyrow</vt:lpstr>
      <vt:lpstr>xcountif</vt:lpstr>
      <vt:lpstr>xdec2bin</vt:lpstr>
      <vt:lpstr>xfilter</vt:lpstr>
      <vt:lpstr>xmod</vt:lpstr>
      <vt:lpstr>xn</vt:lpstr>
      <vt:lpstr>xrank</vt:lpstr>
      <vt:lpstr>xsequence</vt:lpstr>
      <vt:lpstr>xtextsplit</vt:lpstr>
      <vt:lpstr>xtocol</vt:lpstr>
      <vt:lpstr>zz_bgc</vt:lpstr>
      <vt:lpstr>zz_ColNumToLetter</vt:lpstr>
      <vt:lpstr>zz_color</vt:lpstr>
      <vt:lpstr>zz_conv</vt:lpstr>
      <vt:lpstr>zz_errcells</vt:lpstr>
      <vt:lpstr>zz_exists</vt:lpstr>
      <vt:lpstr>zz_fillcolor</vt:lpstr>
      <vt:lpstr>zz_flood</vt:lpstr>
      <vt:lpstr>zz_freqcharsrc</vt:lpstr>
      <vt:lpstr>zz_freqsrc</vt:lpstr>
      <vt:lpstr>zz_fx1</vt:lpstr>
      <vt:lpstr>zz_fx2</vt:lpstr>
      <vt:lpstr>zz_is_lambda_test_sheet</vt:lpstr>
      <vt:lpstr>zz_lastused</vt:lpstr>
      <vt:lpstr>zz_lastused_empty</vt:lpstr>
      <vt:lpstr>zz_maze</vt:lpstr>
      <vt:lpstr>zz_retcol</vt:lpstr>
      <vt:lpstr>zz_SanitizeRow</vt:lpstr>
      <vt:lpstr>zz_select_sheets</vt:lpstr>
      <vt:lpstr>zz_sheet_names</vt:lpstr>
      <vt:lpstr>zz_tallsrc</vt:lpstr>
      <vt:lpstr>zz_tmsrc</vt:lpstr>
      <vt:lpstr>zz_UNICODE_SPLIT</vt:lpstr>
      <vt:lpstr>zz_yellow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Eric Ashton</dc:creator>
  <cp:lastModifiedBy>Eric Ashton</cp:lastModifiedBy>
  <dcterms:created xsi:type="dcterms:W3CDTF">2025-07-05T14:40:08Z</dcterms:created>
  <dcterms:modified xsi:type="dcterms:W3CDTF">2026-08-08T18:34:02Z</dcterms:modified>
</cp:coreProperties>
</file>