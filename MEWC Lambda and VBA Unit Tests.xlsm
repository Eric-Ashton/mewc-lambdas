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lookup" sheetId="109" r:id="rId104"/>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move_rng" sheetId="110" r:id="rId105"/>
    <sheet name="neighbors_count" sheetId="21" r:id="rId27"/>
    <sheet name="neighbors_list" sheetId="22" r:id="rId28"/>
    <sheet name="num_ad" sheetId="23" r:id="rId29"/>
    <sheet name="offset_letter" sheetId="24" r:id="rId30"/>
    <sheet name="only_letters" sheetId="25" r:id="rId31"/>
    <sheet name="only_numbers" sheetId="26" r:id="rId32"/>
    <sheet name="prng" sheetId="108" r:id="rId103"/>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ape_tests" sheetId="111" r:id="rId106"/>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<sst xmlns="http://schemas.openxmlformats.org/spreadsheetml/2006/main" count="5826" uniqueCount="3671">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</sst>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 Id="rId103" Type="http://schemas.openxmlformats.org/officeDocument/2006/relationships/worksheet" Target="worksheets/sheet94.xml"/><Relationship Id="rId104" Type="http://schemas.openxmlformats.org/officeDocument/2006/relationships/worksheet" Target="worksheets/sheet95.xml"/><Relationship Id="rId105" Type="http://schemas.openxmlformats.org/officeDocument/2006/relationships/worksheet" Target="worksheets/sheet96.xml"/><Relationship Id="rId106" Type="http://schemas.openxmlformats.org/officeDocument/2006/relationships/worksheet" Target="worksheets/sheet9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An invalid input returns "inv" - a non-address, or a range used as an element inside an array (a range is fine as a scalar input, but a range-within-an-array is not).</t>
        </is>
      </c>
      <c r="C2" s="73" t="inlineStr">
        <is>
          <t xml:space="preserve">'=LAMBDA(ad_or_rng, arr,
  LET(
    s_row, ROW(INDEX(arr, 1, 1)),
    s_col, COLUMN(INDEX(arr, 1, 1)),
    a_rows, ROWS(arr),
    a_cols, COLUMNS(arr),
    cell_at, LAMBDA(one,
      LET(box, IFERROR(z_ad_box(one), 0),
        IF(COUNT(box) &lt;&gt; 4, "inv",
        IF(OR(INDEX(box, 1) &lt;&gt; INDEX(box, 3), INDEX(box, 2) &lt;&gt; INDEX(box, 4)), "inv",
          LET(rel_r, INDEX(box, 1) - s_row + 1, rel_c, INDEX(box, 2) - s_col + 1,
            IF(OR(rel_r &lt; 1, rel_r &gt; a_rows, rel_c &lt; 1, rel_c &gt; a_cols), "oob",
              LET(cval, INDEX(arr, rel_r, rel_c), IF(cval = "", "", cval)))))))),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non-address single value     -&gt; "inv"
  an array of addresses            -&gt; element-wise contents; an out-of-bounds address -&gt; "oob"; an empty in-bounds cell -&gt; ""; anything that is not a single address (a range element, or junk) -&gt; "inv"
Empty cells come back as "" rather than 0 - fake coerced zeros corrupt later aggregates. The three string sentinels are distinct: "" = an in-bounds cell that is blank; "oob" = a valid address/range that landed entirely outside arr; "inv" = the input was not a usable single address (a non-address, or a range used as an array element). A range is a valid scalar input (clipped to its overlap), but a range inside an array is invalid because it would nest an array within the array.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"inv" for a non-address or a range used as an array element; and "" only for an in-bounds empty cell.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inlineStr">
        <is>
          <t xml:space="preserve">Moves a start address (numeric or A1) 'steps' (default 1) in an arrow direction (arrow glyph, its numeric equivalent, or a letter code like "R"/"UL"), bounded by board_rng (default whole sheet). Returns a NUMERIC address. Out of bounds, push_mode: 0 = report "oob;&lt;row&gt;;&lt;col&gt;" with the intended (possibly zero/negative) coordinates (default), 1 = stop at edge, -1 = stay at start.</t>
        </is>
      </c>
      <c r="C5" s="73" t="inlineStr">
        <is>
          <t xml:space="preserve">'=LAMBDA(start_ad, arrow, [steps], [board_rng], [push_mode],
  LET(
    step_n, IF(ISOMITTED(steps), 1, steps),
    mode, IF(ISOMITTED(push_mode), 0,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"oob;" &amp; try_row &amp; ";" &amp; try_col,
        -1, 1000000 * start_row + start_col,
        "oob;" &amp; try_row &amp; ";" &amp; try_col),
      1000000 * try_row + try_col)
  )
)</t>
        </is>
      </c>
      <c r="D5" s="74" t="inlineStr">
        <is>
          <t xml:space="preserve">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0 = report "oob" (default) - returns the string "oob;&lt;row&gt;;&lt;col&gt;"
                      where row/col are the INTENDED coordinates, kept even when
                      zero or negative so you can see where the move pointed.
                  1 = stop at edge - clamp to the nearest in-bounds cell.
                 -1 = stay at start - return the starting address unchanged.
Returns:
  The destination as a numeric address (mode 1 clamps to the edge, mode -1 stays
  put), or the string "oob;&lt;row&gt;;&lt;col&gt;" under the default mode 0. In the oob
  string, row and col are the intended landing coordinates (which may be 0 or
  negative), reported on both axes even if only one is out of bounds.
Example:
  arrow_move("A1", "→", 3)       -&gt; 1000004     (in bounds; str_ad -&gt; "D1")
  arrow_move("B1", "↖", 2)       -&gt; "oob;-1;0"  (row 1-2=-1, col 2-2=0, both off)
  arrow_move("B1", "↖", 2, , 1)  -&gt; 1000001     (stop at edge -&gt; A1)
  arrow_move("B1", "↖", 2, , -1) -&gt; 1000002     (stay at start -&gt; B1)</t>
        </is>
      </c>
    </row>
    <row r="6" spans="1:19" s="75" customFormat="1" ht="19.25" customHeight="1" x14ac:dyDescent="0.5">
      <c r="A6" s="71" t="s">
        <v>2751</v>
      </c>
      <c r="B6" s="72" t="s">
        <v>3619</v>
      </c>
      <c r="C6" s="73" t="inlineStr">
        <is>
          <t xml:space="preserve">'=LAMBDA(rng,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LET(_r, 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IF(ISNA(_r), "", _r))
  )
)</t>
        </is>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inlineStr">
        <is>
          <t xml:space="preserve">'=LAMBDA(array, [min_freq], LET(
   mf, IF(ISOMITTED(min_freq), 1, min_freq),
   vec0, TOCOL(array, 1),
   vec, LET(_v, FILTER(vec0, vec0 &lt;&gt; ""), IF(ISERROR(_v), NA(), _v)),
   u, LET(_u, UNIQUE(vec), IF(ISERROR(_u), NA(), _u)),
   cnt, IFERROR(MAP(u, LAMBDA(x, SUM(--(vec = x)))), NA()),
   tab, LET(_t, FILTER(HSTACK(u, cnt), cnt &gt;= mf), IF(ISERROR(_t), NA(), _t)),
   LET(_s, SORT(tab, {2, 1}, {-1, 1}), IF(ISERROR(_s), NA(), _s))
))</t>
        </is>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inlineStr">
        <is>
          <t xml:space="preserve">'=LAMBDA(arr,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LET(_sel,
       MAP(UNICODE(MID(built_, seq_, 1)) - 20000, LAMBDA(pos_, INDEX(flat_, pos_))),
       IF(ISERROR(_sel), NA(), _sel))
     )
    )
   ),
   pad_, LAMBDA(x_, EXPAND(x_, ROWS(x_), n, "")),
   IF(
    cd_ = 0,
    pad_(one_k_(n)),
    LET(
     max_k_, IF(rep_ = 1, n, MIN(n, m_)),
     seed_, pad_(one_k_(max_k_)),
     IF(
      max_k_ = 1,
      seed_,
      REDUCE(
       seed_,
       SEQUENCE(max_k_ - 1, 1, max_k_ - 1, -1),
       LAMBDA(acc_, k_, VSTACK(acc_, pad_(one_k_(k_))))
      )
     )
    )
   )
  )
 )
)</t>
        </is>
      </c>
      <c r="D37" s="74" t="s">
        <v>2828</v>
      </c>
    </row>
    <row r="38" spans="1:4" s="75" customFormat="1" ht="19.25" customHeight="1" x14ac:dyDescent="0.5">
      <c r="A38" s="71" t="s">
        <v>2829</v>
      </c>
      <c r="B38" s="72" t="s">
        <v>2830</v>
      </c>
      <c r="C38" s="73" t="inlineStr">
        <is>
          <t xml:space="preserve">'=LAMBDA(data_rng, [as_row],
   LET(_r,
      LET(
         _flat, TOCOL(data_rng, 3),
         _clean, FILTER(_flat, _flat &lt;&gt; ""),
         _res, SORT(UNIQUE(_clean)),
         IF(IF(ISOMITTED(as_row), 0, as_row), TOROW(_res), _res)
      ),
      IF(ISERROR(_r), "", _r)
   )
)</t>
        </is>
      </c>
      <c r="D38" s="74" t="s">
        <v>2832</v>
      </c>
    </row>
    <row r="39" spans="1:4" s="75" customFormat="1" ht="19.25" customHeight="1" x14ac:dyDescent="0.5">
      <c r="A39" s="71" t="s">
        <v>2833</v>
      </c>
      <c r="B39" s="72" t="s">
        <v>2834</v>
      </c>
      <c r="C39" s="73" t="inlineStr">
        <is>
          <t xml:space="preserve">'=LAMBDA(val_a, val_b, [as_row],
   LET(_r,
      LET(
         list_a, set(val_a),
         list_b, set(val_b),
         res, FILTER(list_a, ISNA(XMATCH(list_a, list_b))),
         IF(IF(ISOMITTED(as_row), 0, as_row), TOROW(res), res)
      ),
      IF(ISERROR(_r), "", _r)
   )
)</t>
        </is>
      </c>
      <c r="D39" s="74" t="s">
        <v>2836</v>
      </c>
    </row>
    <row r="40" spans="1:4" s="75" customFormat="1" ht="19.25" customHeight="1" x14ac:dyDescent="0.5">
      <c r="A40" s="71" t="s">
        <v>2837</v>
      </c>
      <c r="B40" s="72" t="s">
        <v>2838</v>
      </c>
      <c r="C40" s="73" t="inlineStr">
        <is>
          <t xml:space="preserve">'=LAMBDA(val_a, val_b, [as_row],
   LET(_r,
      LET(
         list_a, set(val_a),
         list_b, set(val_b),
         res, FILTER(list_a, ISNUMBER(XMATCH(list_a, list_b))),
         IF(IF(ISOMITTED(as_row), 0, as_row), TOROW(res), res)
      ),
      IF(ISERROR(_r), "", _r)
   )
)</t>
        </is>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inlineStr">
        <is>
          <t xml:space="preserve">'=LAMBDA(arr,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IF(ISNA(result), "", result)
))</t>
        </is>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inlineStr">
        <is>
          <t xml:space="preserve">'=LAMBDA(arr, function,
  LET(_r, z_xbyrow_ix(arr, function, 1, ROWS(arr)), IF(ISNA(_r), "", _r))
)</t>
        </is>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inlineStr">
        <is>
          <t xml:space="preserve">'=LAMBDA(arr, f_1, [f_2], [f_3], [f_4], [f_5], LET(
   nr, ROWS(arr),
   nc, COLUMNS(arr),
   filt2, IF(ISOMITTED(f_2), 1, f_2),
   filt3, IF(ISOMITTED(f_3), 1, f_3),
   filt4, IF(ISOMITTED(f_4), 1, f_4),
   filt5, IF(ISOMITTED(f_5), 1, f_5),
   as_row_mask, LAMBDA(g, IF(AND(ROWS(g) = nr, COLUMNS(g) =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LET(_r, FILTER(FILTER(arr, row_mask), col_mask), IF(ISERROR(_r), "", _r))
))</t>
        </is>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IF(ISERROR(one_row &amp; ""), "", one_row &amp;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LET(_r, z_xbycol_ix(arr, function, 1, COLUMNS(arr)), IF(ISNA(_r), "", _r))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HYPERLINK("#'exlookup'!A1","exlookup")</f>
      </c>
      <c r="B22" s="48">
        <f>COUNTIF(exlookup!$A:$BZ,"PASS")</f>
      </c>
      <c r="C22" s="50">
        <f>COUNTIF(exlookup!$A:$BZ,"FAIL")</f>
      </c>
      <c r="D22" s="45">
        <f>B22+C22</f>
      </c>
      <c r="E22" s="45">
        <f>IF(C22&gt;0,"FAIL ("&amp;C22&amp;")",IF(D22=0,"-","all pass"))</f>
      </c>
    </row>
    <row r="23" spans="1:5" x14ac:dyDescent="0.5">
      <c r="A23" s="77">
        <f>HYPERLINK("#'expand_rng'!A1","expand_rng")</f>
      </c>
      <c r="B23" s="48">
        <f>COUNTIF(expand_rng!$A:$BZ,"PASS")</f>
      </c>
      <c r="C23" s="50">
        <f>COUNTIF(expand_rng!$A:$BZ,"FAIL")</f>
      </c>
      <c r="D23" s="45">
        <f>B23+C23</f>
      </c>
      <c r="E23" s="45">
        <f>IF(C23&gt;0,"FAIL ("&amp;C23&amp;")",IF(D23=0,"-","all pass"))</f>
      </c>
    </row>
    <row r="24" spans="1:5" x14ac:dyDescent="0.5">
      <c r="A24" s="77">
        <f>HYPERLINK("#'first_time'!A1","first_time")</f>
      </c>
      <c r="B24" s="48">
        <f>COUNTIF(first_time!$A:$BZ,"PASS")</f>
      </c>
      <c r="C24" s="50">
        <f>COUNTIF(first_time!$A:$BZ,"FAIL")</f>
      </c>
      <c r="D24" s="45">
        <f>B24+C24</f>
      </c>
      <c r="E24" s="45">
        <f>IF(C24&gt;0,"FAIL ("&amp;C24&amp;")",IF(D24=0,"-","all pass"))</f>
      </c>
    </row>
    <row r="25" spans="1:5" x14ac:dyDescent="0.5">
      <c r="A25" s="77">
        <f>HYPERLINK("#'freq_table'!A1","freq_table")</f>
      </c>
      <c r="B25" s="48">
        <f>COUNTIF(freq_table!$A:$BZ,"PASS")</f>
      </c>
      <c r="C25" s="50">
        <f>COUNTIF(freq_table!$A:$BZ,"FAIL")</f>
      </c>
      <c r="D25" s="45">
        <f>B25+C25</f>
      </c>
      <c r="E25" s="45">
        <f>IF(C25&gt;0,"FAIL ("&amp;C25&amp;")",IF(D25=0,"-","all pass"))</f>
      </c>
    </row>
    <row r="26" spans="1:5" x14ac:dyDescent="0.5">
      <c r="A26" s="77">
        <f>HYPERLINK("#'ftd_maze_cost'!A1","ftd_maze_cost")</f>
      </c>
      <c r="B26" s="48">
        <f>COUNTIF(ftd_maze_cost!$A:$BZ,"PASS")</f>
      </c>
      <c r="C26" s="50">
        <f>COUNTIF(ftd_maze_cost!$A:$BZ,"FAIL")</f>
      </c>
      <c r="D26" s="45">
        <f>B26+C26</f>
      </c>
      <c r="E26" s="45">
        <f>IF(C26&gt;0,"FAIL ("&amp;C26&amp;")",IF(D26=0,"-","all pass"))</f>
      </c>
    </row>
    <row r="27" spans="1:5" x14ac:dyDescent="0.5">
      <c r="A27" s="77">
        <f>HYPERLINK("#'is_unique'!A1","is_unique")</f>
      </c>
      <c r="B27" s="48">
        <f>COUNTIF(is_unique!$A:$BZ,"PASS")</f>
      </c>
      <c r="C27" s="50">
        <f>COUNTIF(is_unique!$A:$BZ,"FAIL")</f>
      </c>
      <c r="D27" s="45">
        <f>B27+C27</f>
      </c>
      <c r="E27" s="45">
        <f>IF(C27&gt;0,"FAIL ("&amp;C27&amp;")",IF(D27=0,"-","all pass"))</f>
      </c>
    </row>
    <row r="28" spans="1:5" x14ac:dyDescent="0.5">
      <c r="A28" s="77">
        <f>HYPERLINK("#'knight_moves'!A1","knight_moves")</f>
      </c>
      <c r="B28" s="48">
        <f>COUNTIF(knight_moves!$A:$BZ,"PASS")</f>
      </c>
      <c r="C28" s="50">
        <f>COUNTIF(knight_moves!$A:$BZ,"FAIL")</f>
      </c>
      <c r="D28" s="45">
        <f>B28+C28</f>
      </c>
      <c r="E28" s="45">
        <f>IF(C28&gt;0,"FAIL ("&amp;C28&amp;")",IF(D28=0,"-","all pass"))</f>
      </c>
    </row>
    <row r="29" spans="1:5" x14ac:dyDescent="0.5">
      <c r="A29" s="77">
        <f>HYPERLINK("#'label_lookup'!A1","label_lookup")</f>
      </c>
      <c r="B29" s="48">
        <f>COUNTIF(label_lookup!$A:$BZ,"PASS")</f>
      </c>
      <c r="C29" s="50">
        <f>COUNTIF(label_lookup!$A:$BZ,"FAIL")</f>
      </c>
      <c r="D29" s="45">
        <f>B29+C29</f>
      </c>
      <c r="E29" s="45">
        <f>IF(C29&gt;0,"FAIL ("&amp;C29&amp;")",IF(D29=0,"-","all pass"))</f>
      </c>
    </row>
    <row r="30" spans="1:5" x14ac:dyDescent="0.5">
      <c r="A30" s="77">
        <f>HYPERLINK("#'load_array'!A1","load_array")</f>
      </c>
      <c r="B30" s="48">
        <f>COUNTIF(load_array!$A:$BZ,"PASS")</f>
      </c>
      <c r="C30" s="50">
        <f>COUNTIF(load_array!$A:$BZ,"FAIL")</f>
      </c>
      <c r="D30" s="45">
        <f>B30+C30</f>
      </c>
      <c r="E30" s="45">
        <f>IF(C30&gt;0,"FAIL ("&amp;C30&amp;")",IF(D30=0,"-","all pass"))</f>
      </c>
    </row>
    <row r="31" spans="1:5" x14ac:dyDescent="0.5">
      <c r="A31" s="77">
        <f>HYPERLINK("#'make_change'!A1","make_change")</f>
      </c>
      <c r="B31" s="48">
        <f>COUNTIF(make_change!$A:$BZ,"PASS")</f>
      </c>
      <c r="C31" s="50">
        <f>COUNTIF(make_change!$A:$BZ,"FAIL")</f>
      </c>
      <c r="D31" s="45">
        <f>B31+C31</f>
      </c>
      <c r="E31" s="45">
        <f>IF(C31&gt;0,"FAIL ("&amp;C31&amp;")",IF(D31=0,"-","all pass"))</f>
      </c>
    </row>
    <row r="32" spans="1:5" x14ac:dyDescent="0.5">
      <c r="A32" s="77">
        <f>HYPERLINK("#'move_rng'!A1","move_rng")</f>
      </c>
      <c r="B32" s="48">
        <f>COUNTIF(move_rng!$A:$BZ,"PASS")</f>
      </c>
      <c r="C32" s="50">
        <f>COUNTIF(move_rng!$A:$BZ,"FAIL")</f>
      </c>
      <c r="D32" s="45">
        <f>B32+C32</f>
      </c>
      <c r="E32" s="45">
        <f>IF(C32&gt;0,"FAIL ("&amp;C32&amp;")",IF(D32=0,"-","all pass"))</f>
      </c>
    </row>
    <row r="33" spans="1:5" x14ac:dyDescent="0.5">
      <c r="A33" s="77">
        <f>HYPERLINK("#'neighbors_count'!A1","neighbors_count")</f>
      </c>
      <c r="B33" s="48">
        <f>COUNTIF(neighbors_count!$A:$BZ,"PASS")</f>
      </c>
      <c r="C33" s="50">
        <f>COUNTIF(neighbors_count!$A:$BZ,"FAIL")</f>
      </c>
      <c r="D33" s="45">
        <f>B33+C33</f>
      </c>
      <c r="E33" s="45">
        <f>IF(C33&gt;0,"FAIL ("&amp;C33&amp;")",IF(D33=0,"-","all pass"))</f>
      </c>
    </row>
    <row r="34" spans="1:5" x14ac:dyDescent="0.5">
      <c r="A34" s="77">
        <f>HYPERLINK("#'neighbors_list'!A1","neighbors_list")</f>
      </c>
      <c r="B34" s="48">
        <f>COUNTIF(neighbors_list!$A:$BZ,"PASS")</f>
      </c>
      <c r="C34" s="50">
        <f>COUNTIF(neighbors_list!$A:$BZ,"FAIL")</f>
      </c>
      <c r="D34" s="45">
        <f>B34+C34</f>
      </c>
      <c r="E34" s="45">
        <f>IF(C34&gt;0,"FAIL ("&amp;C34&amp;")",IF(D34=0,"-","all pass"))</f>
      </c>
    </row>
    <row r="35" spans="1:5" x14ac:dyDescent="0.5">
      <c r="A35" s="77">
        <f>HYPERLINK("#'num_ad'!A1","num_ad")</f>
      </c>
      <c r="B35" s="48">
        <f>COUNTIF(num_ad!$A:$BZ,"PASS")</f>
      </c>
      <c r="C35" s="50">
        <f>COUNTIF(num_ad!$A:$BZ,"FAIL")</f>
      </c>
      <c r="D35" s="45">
        <f>B35+C35</f>
      </c>
      <c r="E35" s="45">
        <f>IF(C35&gt;0,"FAIL ("&amp;C35&amp;")",IF(D35=0,"-","all pass"))</f>
      </c>
    </row>
    <row r="36" spans="1:5" x14ac:dyDescent="0.5">
      <c r="A36" s="77">
        <f>HYPERLINK("#'offset_letter'!A1","offset_letter")</f>
      </c>
      <c r="B36" s="48">
        <f>COUNTIF(offset_letter!$A:$BZ,"PASS")</f>
      </c>
      <c r="C36" s="50">
        <f>COUNTIF(offset_letter!$A:$BZ,"FAIL")</f>
      </c>
      <c r="D36" s="45">
        <f>B36+C36</f>
      </c>
      <c r="E36" s="45">
        <f>IF(C36&gt;0,"FAIL ("&amp;C36&amp;")",IF(D36=0,"-","all pass"))</f>
      </c>
    </row>
    <row r="37" spans="1:5" x14ac:dyDescent="0.5">
      <c r="A37" s="77">
        <f>HYPERLINK("#'only_letters'!A1","only_letters")</f>
      </c>
      <c r="B37" s="48">
        <f>COUNTIF(only_letters!$A:$BZ,"PASS")</f>
      </c>
      <c r="C37" s="50">
        <f>COUNTIF(only_letters!$A:$BZ,"FAIL")</f>
      </c>
      <c r="D37" s="45">
        <f>B37+C37</f>
      </c>
      <c r="E37" s="45">
        <f>IF(C37&gt;0,"FAIL ("&amp;C37&amp;")",IF(D37=0,"-","all pass"))</f>
      </c>
    </row>
    <row r="38" spans="1:5" x14ac:dyDescent="0.5">
      <c r="A38" s="77">
        <f>HYPERLINK("#'only_numbers'!A1","only_numbers")</f>
      </c>
      <c r="B38" s="48">
        <f>COUNTIF(only_numbers!$A:$BZ,"PASS")</f>
      </c>
      <c r="C38" s="50">
        <f>COUNTIF(only_numbers!$A:$BZ,"FAIL")</f>
      </c>
      <c r="D38" s="45">
        <f>B38+C38</f>
      </c>
      <c r="E38" s="45">
        <f>IF(C38&gt;0,"FAIL ("&amp;C38&amp;")",IF(D38=0,"-","all pass"))</f>
      </c>
    </row>
    <row r="39" spans="1:5" x14ac:dyDescent="0.5">
      <c r="A39" s="77">
        <f>HYPERLINK("#'prng'!A1","prng")</f>
      </c>
      <c r="B39" s="48">
        <f>COUNTIF(prng!$A:$BZ,"PASS")</f>
      </c>
      <c r="C39" s="50">
        <f>COUNTIF(prng!$A:$BZ,"FAIL")</f>
      </c>
      <c r="D39" s="45">
        <f>B39+C39</f>
      </c>
      <c r="E39" s="45">
        <f>IF(C39&gt;0,"FAIL ("&amp;C39&amp;")",IF(D39=0,"-","all pass"))</f>
      </c>
    </row>
    <row r="40" spans="1:5" x14ac:dyDescent="0.5">
      <c r="A40" s="77">
        <f>HYPERLINK("#'rc_to_ad'!A1","rc_to_ad")</f>
      </c>
      <c r="B40" s="48">
        <f>COUNTIF(rc_to_ad!$A:$BZ,"PASS")</f>
      </c>
      <c r="C40" s="50">
        <f>COUNTIF(rc_to_ad!$A:$BZ,"FAIL")</f>
      </c>
      <c r="D40" s="45">
        <f>B40+C40</f>
      </c>
      <c r="E40" s="45">
        <f>IF(C40&gt;0,"FAIL ("&amp;C40&amp;")",IF(D40=0,"-","all pass"))</f>
      </c>
    </row>
    <row r="41" spans="1:5" x14ac:dyDescent="0.5">
      <c r="A41" s="77">
        <f>HYPERLINK("#'rev'!A1","rev")</f>
      </c>
      <c r="B41" s="48">
        <f>COUNTIF(rev!$A:$BZ,"PASS")</f>
      </c>
      <c r="C41" s="50">
        <f>COUNTIF(rev!$A:$BZ,"FAIL")</f>
      </c>
      <c r="D41" s="45">
        <f>B41+C41</f>
      </c>
      <c r="E41" s="45">
        <f>IF(C41&gt;0,"FAIL ("&amp;C41&amp;")",IF(D41=0,"-","all pass"))</f>
      </c>
    </row>
    <row r="42" spans="1:5" x14ac:dyDescent="0.5">
      <c r="A42" s="77">
        <f>HYPERLINK("#'rotate_arrow'!A1","rotate_arrow")</f>
      </c>
      <c r="B42" s="48">
        <f>COUNTIF(rotate_arrow!$A:$BZ,"PASS")</f>
      </c>
      <c r="C42" s="50">
        <f>COUNTIF(rotate_arrow!$A:$BZ,"FAIL")</f>
      </c>
      <c r="D42" s="45">
        <f>B42+C42</f>
      </c>
      <c r="E42" s="45">
        <f>IF(C42&gt;0,"FAIL ("&amp;C42&amp;")",IF(D42=0,"-","all pass"))</f>
      </c>
    </row>
    <row r="43" spans="1:5" x14ac:dyDescent="0.5">
      <c r="A43" s="77">
        <f>HYPERLINK("#'route_cost'!A1","route_cost")</f>
      </c>
      <c r="B43" s="48">
        <f>COUNTIF(route_cost!$A:$BZ,"PASS")</f>
      </c>
      <c r="C43" s="50">
        <f>COUNTIF(route_cost!$A:$BZ,"FAIL")</f>
      </c>
      <c r="D43" s="45">
        <f>B43+C43</f>
      </c>
      <c r="E43" s="45">
        <f>IF(C43&gt;0,"FAIL ("&amp;C43&amp;")",IF(D43=0,"-","all pass"))</f>
      </c>
    </row>
    <row r="44" spans="1:5" x14ac:dyDescent="0.5">
      <c r="A44" s="77">
        <f>HYPERLINK("#'save_array'!A1","save_array")</f>
      </c>
      <c r="B44" s="48">
        <f>COUNTIF(save_array!$A:$BZ,"PASS")</f>
      </c>
      <c r="C44" s="50">
        <f>COUNTIF(save_array!$A:$BZ,"FAIL")</f>
      </c>
      <c r="D44" s="45">
        <f>B44+C44</f>
      </c>
      <c r="E44" s="45">
        <f>IF(C44&gt;0,"FAIL ("&amp;C44&amp;")",IF(D44=0,"-","all pass"))</f>
      </c>
    </row>
    <row r="45" spans="1:5" x14ac:dyDescent="0.5">
      <c r="A45" s="77">
        <f>HYPERLINK("#'scan2'!A1","scan2")</f>
      </c>
      <c r="B45" s="48">
        <f>COUNTIF(scan2!$A:$BZ,"PASS")</f>
      </c>
      <c r="C45" s="50">
        <f>COUNTIF(scan2!$A:$BZ,"FAIL")</f>
      </c>
      <c r="D45" s="45">
        <f>B45+C45</f>
      </c>
      <c r="E45" s="45">
        <f>IF(C45&gt;0,"FAIL ("&amp;C45&amp;")",IF(D45=0,"-","all pass"))</f>
      </c>
    </row>
    <row r="46" spans="1:5" x14ac:dyDescent="0.5">
      <c r="A46" s="77">
        <f>HYPERLINK("#'scan3'!A1","scan3")</f>
      </c>
      <c r="B46" s="48">
        <f>COUNTIF(scan3!$A:$BZ,"PASS")</f>
      </c>
      <c r="C46" s="50">
        <f>COUNTIF(scan3!$A:$BZ,"FAIL")</f>
      </c>
      <c r="D46" s="45">
        <f>B46+C46</f>
      </c>
      <c r="E46" s="45">
        <f>IF(C46&gt;0,"FAIL ("&amp;C46&amp;")",IF(D46=0,"-","all pass"))</f>
      </c>
    </row>
    <row r="47" spans="1:5" x14ac:dyDescent="0.5">
      <c r="A47" s="77">
        <f>HYPERLINK("#'selections'!A1","selections")</f>
      </c>
      <c r="B47" s="48">
        <f>COUNTIF(selections!$A:$BZ,"PASS")</f>
      </c>
      <c r="C47" s="50">
        <f>COUNTIF(selections!$A:$BZ,"FAIL")</f>
      </c>
      <c r="D47" s="45">
        <f>B47+C47</f>
      </c>
      <c r="E47" s="45">
        <f>IF(C47&gt;0,"FAIL ("&amp;C47&amp;")",IF(D47=0,"-","all pass"))</f>
      </c>
    </row>
    <row r="48" spans="1:5" x14ac:dyDescent="0.5">
      <c r="A48" s="77">
        <f>HYPERLINK("#'set'!A1","set")</f>
      </c>
      <c r="B48" s="48">
        <f>COUNTIF(set!$A:$BZ,"PASS")</f>
      </c>
      <c r="C48" s="50">
        <f>COUNTIF(set!$A:$BZ,"FAIL")</f>
      </c>
      <c r="D48" s="45">
        <f>B48+C48</f>
      </c>
      <c r="E48" s="45">
        <f>IF(C48&gt;0,"FAIL ("&amp;C48&amp;")",IF(D48=0,"-","all pass"))</f>
      </c>
    </row>
    <row r="49" spans="1:5" x14ac:dyDescent="0.5">
      <c r="A49" s="77">
        <f>HYPERLINK("#'set_d'!A1","set_d")</f>
      </c>
      <c r="B49" s="48">
        <f>COUNTIF(set_d!$A:$BZ,"PASS")</f>
      </c>
      <c r="C49" s="50">
        <f>COUNTIF(set_d!$A:$BZ,"FAIL")</f>
      </c>
      <c r="D49" s="45">
        <f>B49+C49</f>
      </c>
      <c r="E49" s="45">
        <f>IF(C49&gt;0,"FAIL ("&amp;C49&amp;")",IF(D49=0,"-","all pass"))</f>
      </c>
    </row>
    <row r="50" spans="1:5" x14ac:dyDescent="0.5">
      <c r="A50" s="77">
        <f>HYPERLINK("#'set_i'!A1","set_i")</f>
      </c>
      <c r="B50" s="48">
        <f>COUNTIF(set_i!$A:$BZ,"PASS")</f>
      </c>
      <c r="C50" s="50">
        <f>COUNTIF(set_i!$A:$BZ,"FAIL")</f>
      </c>
      <c r="D50" s="45">
        <f>B50+C50</f>
      </c>
      <c r="E50" s="45">
        <f>IF(C50&gt;0,"FAIL ("&amp;C50&amp;")",IF(D50=0,"-","all pass"))</f>
      </c>
    </row>
    <row r="51" spans="1:5" x14ac:dyDescent="0.5">
      <c r="A51" s="77">
        <f>HYPERLINK("#'set_u'!A1","set_u")</f>
      </c>
      <c r="B51" s="48">
        <f>COUNTIF(set_u!$A:$BZ,"PASS")</f>
      </c>
      <c r="C51" s="50">
        <f>COUNTIF(set_u!$A:$BZ,"FAIL")</f>
      </c>
      <c r="D51" s="45">
        <f>B51+C51</f>
      </c>
      <c r="E51" s="45">
        <f>IF(C51&gt;0,"FAIL ("&amp;C51&amp;")",IF(D51=0,"-","all pass"))</f>
      </c>
    </row>
    <row r="52" spans="1:5" x14ac:dyDescent="0.5">
      <c r="A52" s="77">
        <f>HYPERLINK("#'shape_tests'!A1","shape_tests")</f>
      </c>
      <c r="B52" s="48">
        <f>COUNTIF(shape_tests!$A:$BZ,"PASS")</f>
      </c>
      <c r="C52" s="50">
        <f>COUNTIF(shape_tests!$A:$BZ,"FAIL")</f>
      </c>
      <c r="D52" s="45">
        <f>B52+C52</f>
      </c>
      <c r="E52" s="45">
        <f>IF(C52&gt;0,"FAIL ("&amp;C52&amp;")",IF(D52=0,"-","all pass"))</f>
      </c>
    </row>
    <row r="53" spans="1:5" x14ac:dyDescent="0.5">
      <c r="A53" s="77">
        <f>HYPERLINK("#'shift_arr'!A1","shift_arr")</f>
      </c>
      <c r="B53" s="48">
        <f>COUNTIF(shift_arr!$A:$BZ,"PASS")</f>
      </c>
      <c r="C53" s="50">
        <f>COUNTIF(shift_arr!$A:$BZ,"FAIL")</f>
      </c>
      <c r="D53" s="45">
        <f>B53+C53</f>
      </c>
      <c r="E53" s="45">
        <f>IF(C53&gt;0,"FAIL ("&amp;C53&amp;")",IF(D53=0,"-","all pass"))</f>
      </c>
    </row>
    <row r="54" spans="1:5" x14ac:dyDescent="0.5">
      <c r="A54" s="77">
        <f>HYPERLINK("#'smallest'!A1","smallest")</f>
      </c>
      <c r="B54" s="48">
        <f>COUNTIF(smallest!$A:$BZ,"PASS")</f>
      </c>
      <c r="C54" s="50">
        <f>COUNTIF(smallest!$A:$BZ,"FAIL")</f>
      </c>
      <c r="D54" s="45">
        <f>B54+C54</f>
      </c>
      <c r="E54" s="45">
        <f>IF(C54&gt;0,"FAIL ("&amp;C54&amp;")",IF(D54=0,"-","all pass"))</f>
      </c>
    </row>
    <row r="55" spans="1:5" x14ac:dyDescent="0.5">
      <c r="A55" s="77">
        <f>HYPERLINK("#'str_ad'!A1","str_ad")</f>
      </c>
      <c r="B55" s="48">
        <f>COUNTIF(str_ad!$A:$BZ,"PASS")</f>
      </c>
      <c r="C55" s="50">
        <f>COUNTIF(str_ad!$A:$BZ,"FAIL")</f>
      </c>
      <c r="D55" s="45">
        <f>B55+C55</f>
      </c>
      <c r="E55" s="45">
        <f>IF(C55&gt;0,"FAIL ("&amp;C55&amp;")",IF(D55=0,"-","all pass"))</f>
      </c>
    </row>
    <row r="56" spans="1:5" x14ac:dyDescent="0.5">
      <c r="A56" s="77">
        <f>HYPERLINK("#'str_rev'!A1","str_rev")</f>
      </c>
      <c r="B56" s="48">
        <f>COUNTIF(str_rev!$A:$BZ,"PASS")</f>
      </c>
      <c r="C56" s="50">
        <f>COUNTIF(str_rev!$A:$BZ,"FAIL")</f>
      </c>
      <c r="D56" s="45">
        <f>B56+C56</f>
      </c>
      <c r="E56" s="45">
        <f>IF(C56&gt;0,"FAIL ("&amp;C56&amp;")",IF(D56=0,"-","all pass"))</f>
      </c>
    </row>
    <row r="57" spans="1:5" x14ac:dyDescent="0.5">
      <c r="A57" s="77">
        <f>HYPERLINK("#'str_to_arr'!A1","str_to_arr")</f>
      </c>
      <c r="B57" s="48">
        <f>COUNTIF(str_to_arr!$A:$BZ,"PASS")</f>
      </c>
      <c r="C57" s="50">
        <f>COUNTIF(str_to_arr!$A:$BZ,"FAIL")</f>
      </c>
      <c r="D57" s="45">
        <f>B57+C57</f>
      </c>
      <c r="E57" s="45">
        <f>IF(C57&gt;0,"FAIL ("&amp;C57&amp;")",IF(D57=0,"-","all pass"))</f>
      </c>
    </row>
    <row r="58" spans="1:5" x14ac:dyDescent="0.5">
      <c r="A58" s="77">
        <f>HYPERLINK("#'streak'!A1","streak")</f>
      </c>
      <c r="B58" s="48">
        <f>COUNTIF(streak!$A:$BZ,"PASS")</f>
      </c>
      <c r="C58" s="50">
        <f>COUNTIF(streak!$A:$BZ,"FAIL")</f>
      </c>
      <c r="D58" s="45">
        <f>B58+C58</f>
      </c>
      <c r="E58" s="45">
        <f>IF(C58&gt;0,"FAIL ("&amp;C58&amp;")",IF(D58=0,"-","all pass"))</f>
      </c>
    </row>
    <row r="59" spans="1:5" x14ac:dyDescent="0.5">
      <c r="A59" s="77">
        <f>HYPERLINK("#'textbetween'!A1","textbetween")</f>
      </c>
      <c r="B59" s="48">
        <f>COUNTIF(textbetween!$A:$BZ,"PASS")</f>
      </c>
      <c r="C59" s="50">
        <f>COUNTIF(textbetween!$A:$BZ,"FAIL")</f>
      </c>
      <c r="D59" s="45">
        <f>B59+C59</f>
      </c>
      <c r="E59" s="45">
        <f>IF(C59&gt;0,"FAIL ("&amp;C59&amp;")",IF(D59=0,"-","all pass"))</f>
      </c>
    </row>
    <row r="60" spans="1:5" x14ac:dyDescent="0.5">
      <c r="A60" s="77">
        <f>HYPERLINK("#'transform_array'!A1","transform_array")</f>
      </c>
      <c r="B60" s="48">
        <f>COUNTIF(transform_array!$A:$BZ,"PASS")</f>
      </c>
      <c r="C60" s="50">
        <f>COUNTIF(transform_array!$A:$BZ,"FAIL")</f>
      </c>
      <c r="D60" s="45">
        <f>B60+C60</f>
      </c>
      <c r="E60" s="45">
        <f>IF(C60&gt;0,"FAIL ("&amp;C60&amp;")",IF(D60=0,"-","all pass"))</f>
      </c>
    </row>
    <row r="61" spans="1:5" x14ac:dyDescent="0.5">
      <c r="A61" s="77">
        <f>HYPERLINK("#'update_arr'!A1","update_arr")</f>
      </c>
      <c r="B61" s="48">
        <f>COUNTIF(update_arr!$A:$BZ,"PASS")</f>
      </c>
      <c r="C61" s="50">
        <f>COUNTIF(update_arr!$A:$BZ,"FAIL")</f>
      </c>
      <c r="D61" s="45">
        <f>B61+C61</f>
      </c>
      <c r="E61" s="45">
        <f>IF(C61&gt;0,"FAIL ("&amp;C61&amp;")",IF(D61=0,"-","all pass"))</f>
      </c>
    </row>
    <row r="62" spans="1:5" x14ac:dyDescent="0.5">
      <c r="A62" s="77">
        <f>HYPERLINK("#'xbycol'!A1","xbycol")</f>
      </c>
      <c r="B62" s="48">
        <f>COUNTIF(xbycol!$A:$BZ,"PASS")</f>
      </c>
      <c r="C62" s="50">
        <f>COUNTIF(xbycol!$A:$BZ,"FAIL")</f>
      </c>
      <c r="D62" s="45">
        <f>B62+C62</f>
      </c>
      <c r="E62" s="45">
        <f>IF(C62&gt;0,"FAIL ("&amp;C62&amp;")",IF(D62=0,"-","all pass"))</f>
      </c>
    </row>
    <row r="63" spans="1:5" x14ac:dyDescent="0.5">
      <c r="A63" s="77">
        <f>HYPERLINK("#'xbyrow'!A1","xbyrow")</f>
      </c>
      <c r="B63" s="48">
        <f>COUNTIF(xbyrow!$A:$BZ,"PASS")</f>
      </c>
      <c r="C63" s="50">
        <f>COUNTIF(xbyrow!$A:$BZ,"FAIL")</f>
      </c>
      <c r="D63" s="45">
        <f>B63+C63</f>
      </c>
      <c r="E63" s="45">
        <f>IF(C63&gt;0,"FAIL ("&amp;C63&amp;")",IF(D63=0,"-","all pass"))</f>
      </c>
    </row>
    <row r="64" spans="1:5" x14ac:dyDescent="0.5">
      <c r="A64" s="77">
        <f>HYPERLINK("#'xcountif'!A1","xcountif")</f>
      </c>
      <c r="B64" s="48">
        <f>COUNTIF(xcountif!$A:$BZ,"PASS")</f>
      </c>
      <c r="C64" s="50">
        <f>COUNTIF(xcountif!$A:$BZ,"FAIL")</f>
      </c>
      <c r="D64" s="45">
        <f>B64+C64</f>
      </c>
      <c r="E64" s="45">
        <f>IF(C64&gt;0,"FAIL ("&amp;C64&amp;")",IF(D64=0,"-","all pass"))</f>
      </c>
    </row>
    <row r="65" spans="2:5" x14ac:dyDescent="0.5">
      <c r="A65" s="77">
        <f>HYPERLINK("#'xdec2bin'!A1","xdec2bin")</f>
      </c>
      <c r="B65" s="48">
        <f>COUNTIF(xdec2bin!$A:$BZ,"PASS")</f>
      </c>
      <c r="C65" s="50">
        <f>COUNTIF(xdec2bin!$A:$BZ,"FAIL")</f>
      </c>
      <c r="D65" s="45">
        <f>B65+C65</f>
      </c>
      <c r="E65" s="45">
        <f>IF(C65&gt;0,"FAIL ("&amp;C65&amp;")",IF(D65=0,"-","all pass"))</f>
      </c>
    </row>
    <row r="66" spans="2:5" x14ac:dyDescent="0.5">
      <c r="A66" s="77">
        <f>HYPERLINK("#'xfilter'!A1","xfilter")</f>
      </c>
      <c r="B66" s="48">
        <f>COUNTIF(xfilter!$A:$BZ,"PASS")</f>
      </c>
      <c r="C66" s="50">
        <f>COUNTIF(xfilter!$A:$BZ,"FAIL")</f>
      </c>
      <c r="D66" s="45">
        <f>B66+C66</f>
      </c>
      <c r="E66" s="45">
        <f>IF(C66&gt;0,"FAIL ("&amp;C66&amp;")",IF(D66=0,"-","all pass"))</f>
      </c>
    </row>
    <row r="67">
      <c r="A67" s="77">
        <f>HYPERLINK("#'xmod'!A1","xmod")</f>
      </c>
      <c r="B67" s="48">
        <f>COUNTIF(xmod!$A:$BZ,"PASS")</f>
      </c>
      <c r="C67" s="50">
        <f>COUNTIF(xmod!$A:$BZ,"FAIL")</f>
      </c>
      <c r="D67" s="45">
        <f>B67+C67</f>
      </c>
      <c r="E67" s="45">
        <f>IF(C67&gt;0,"FAIL ("&amp;C67&amp;")",IF(D67=0,"-","all pass"))</f>
      </c>
    </row>
    <row r="68">
      <c r="A68" s="77">
        <f>HYPERLINK("#'xn'!A1","xn")</f>
      </c>
      <c r="B68" s="48">
        <f>COUNTIF(xn!$A:$BZ,"PASS")</f>
      </c>
      <c r="C68" s="50">
        <f>COUNTIF(xn!$A:$BZ,"FAIL")</f>
      </c>
      <c r="D68" s="45">
        <f>B68+C68</f>
      </c>
      <c r="E68" s="45">
        <f>IF(C68&gt;0,"FAIL ("&amp;C68&amp;")",IF(D68=0,"-","all pass"))</f>
      </c>
    </row>
    <row r="69">
      <c r="A69" s="77">
        <f>HYPERLINK("#'xrank'!A1","xrank")</f>
      </c>
      <c r="B69" s="48">
        <f>COUNTIF(xrank!$A:$BZ,"PASS")</f>
      </c>
      <c r="C69" s="50">
        <f>COUNTIF(xrank!$A:$BZ,"FAIL")</f>
      </c>
      <c r="D69" s="45">
        <f>B69+C69</f>
      </c>
      <c r="E69" s="45">
        <f>IF(C69&gt;0,"FAIL ("&amp;C69&amp;")",IF(D69=0,"-","all pass"))</f>
      </c>
    </row>
    <row r="70">
      <c r="A70" s="77">
        <f>HYPERLINK("#'xsequence'!A1","xsequence")</f>
      </c>
      <c r="B70" s="48">
        <f>COUNTIF(xsequence!$A:$BZ,"PASS")</f>
      </c>
      <c r="C70" s="50">
        <f>COUNTIF(xsequence!$A:$BZ,"FAIL")</f>
      </c>
      <c r="D70" s="45">
        <f>B70+C70</f>
      </c>
      <c r="E70" s="45">
        <f>IF(C70&gt;0,"FAIL ("&amp;C70&amp;")",IF(D70=0,"-","all pass"))</f>
      </c>
    </row>
    <row r="71">
      <c r="A71" s="77">
        <f>HYPERLINK("#'xtextjoin'!A1","xtextjoin")</f>
      </c>
      <c r="B71" s="48">
        <f>COUNTIF(xtextjoin!$A:$BZ,"PASS")</f>
      </c>
      <c r="C71" s="50">
        <f>COUNTIF(xtextjoin!$A:$BZ,"FAIL")</f>
      </c>
      <c r="D71" s="45">
        <f>B71+C71</f>
      </c>
      <c r="E71" s="45">
        <f>IF(C71&gt;0,"FAIL ("&amp;C71&amp;")",IF(D71=0,"-","all pass"))</f>
      </c>
    </row>
    <row r="72">
      <c r="A72" s="77">
        <f>HYPERLINK("#'xtocol'!A1","xtocol")</f>
      </c>
      <c r="B72" s="48">
        <f>COUNTIF(xtocol!$A:$BZ,"PASS")</f>
      </c>
      <c r="C72" s="50">
        <f>COUNTIF(xtocol!$A:$BZ,"FAIL")</f>
      </c>
      <c r="D72" s="45">
        <f>B72+C72</f>
      </c>
      <c r="E72" s="45">
        <f>IF(C72&gt;0,"FAIL ("&amp;C72&amp;")",IF(D72=0,"-","all pass"))</f>
      </c>
    </row>
    <row r="73">
      <c r="A73" s="101" t="inlineStr">
        <is>
          <t xml:space="preserve">TOTAL</t>
        </is>
      </c>
      <c r="B73" s="48">
        <f>SUM(B5:B72)</f>
      </c>
      <c r="C73" s="50">
        <f>SUM(C5:C72)</f>
      </c>
      <c r="D73" s="45">
        <f>SUM(D5:D72)</f>
      </c>
      <c r="E73" s="45">
        <f>IF(C73&gt;0,C73&amp;" FAILING","ALL PASS")</f>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In-bounds empty cell -&gt; ""; a valid address/range fully outside arr -&gt; "oob"; a non-address, or a range used as an array element -&gt; "inv". Fixture: D7:F9 holds 10..90.</t>
        </is>
      </c>
      <c r="S4" s="45">
        <f>COUNTIF(S11:S60,"PASS")&amp;" / 14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K14" t="inlineStr">
        <is>
          <t xml:space="preserve">D7</t>
        </is>
      </c>
      <c r="M14" s="52"/>
      <c r="N14" s="52"/>
      <c r="P14" s="53"/>
      <c r="Q14" s="53"/>
      <c r="S14" s="54"/>
    </row>
    <row r="15" spans="1:19" x14ac:dyDescent="0.5">
      <c r="B15" s="47" t="s">
        <v>3492</v>
      </c>
      <c r="E15" s="51"/>
      <c r="K15" t="inlineStr">
        <is>
          <t xml:space="preserve">D7:E8</t>
        </is>
      </c>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K17">
        <f>REPT("z",300)</f>
      </c>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c r="B35" s="47" t="inlineStr">
        <is>
          <t xml:space="preserve">non-address "hello" -&gt; "inv"</t>
        </is>
      </c>
      <c r="M35" s="52" t="inlineStr">
        <is>
          <t xml:space="preserve">inv</t>
        </is>
      </c>
      <c r="P35" s="53" cm="1">
        <f t="array" ref="P35">ad_to_cont("hello",D7:F9)</f>
        <v>0</v>
      </c>
      <c r="S35" s="54">
        <f>IF(P35=M35,"PASS","FAIL")</f>
      </c>
    </row>
    <row r="37">
      <c r="B37" t="inlineStr">
        <is>
          <t xml:space="preserve">array w/ range elt {D7;D7:E8} -&gt; {10;"inv"}</t>
        </is>
      </c>
      <c r="M37" s="52">
        <v>10</v>
      </c>
      <c r="P37" s="53" cm="1">
        <f t="array" ref="P37:P38">ad_to_cont(K14:K15,D7:F9)</f>
        <v>0</v>
      </c>
      <c r="S37" s="54" cm="1">
        <f t="array" ref="S37">IF(AND(M37:M38=P37:P38),"PASS","FAIL")</f>
        <v>0</v>
      </c>
    </row>
    <row r="38" spans="2:19" x14ac:dyDescent="0.5">
      <c r="B38" s="47"/>
      <c r="M38" s="52" t="inlineStr">
        <is>
          <t xml:space="preserve">inv</t>
        </is>
      </c>
      <c r="N38" s="52"/>
      <c r="Q38" s="53"/>
    </row>
    <row r="39" spans="2:19" x14ac:dyDescent="0.5">
      <c r="B39" s="47" t="inlineStr">
        <is>
          <t xml:space="preserve">&gt;255-char value survives (IFERROR would blank it)</t>
        </is>
      </c>
      <c r="M39" s="52">
        <f>REPT("z",300)</f>
      </c>
      <c r="N39" s="52"/>
      <c r="P39" cm="1">
        <f t="array" ref="P39">ad_to_cont("K17",K17)</f>
        <v>0</v>
      </c>
      <c r="Q39" s="53"/>
      <c r="S39" cm="1">
        <f t="array" ref="S39">IF(AND(M39=P39),"PASS","FAIL")</f>
        <v>0</v>
      </c>
    </row>
    <row r="40" spans="2:19" x14ac:dyDescent="0.5">
      <c r="B40" s="47"/>
      <c r="M40" s="52"/>
      <c r="N40" s="52"/>
      <c r="Q40" s="53"/>
    </row>
    <row r="41" spans="2:19" x14ac:dyDescent="0.5">
      <c r="B41" s="47" t="inlineStr">
        <is>
          <t xml:space="preserve">TOCOL(str_ad("F9")) - a 1x1 array address - reads F9 like "F9" does (was Z-column mis-read)</t>
        </is>
      </c>
      <c r="M41" s="52">
        <v>90</v>
      </c>
      <c r="N41" s="52"/>
      <c r="P41" cm="1">
        <f t="array" ref="P41">ad_to_cont(_xlfn.TOCOL(str_ad("F9")),D7:F9)</f>
        <v>0</v>
      </c>
      <c r="Q41" s="53"/>
      <c r="S41">
        <f>IF(P41=M41,"PASS","FAIL")</f>
      </c>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inlineStr">
        <is>
          <t xml:space="preserve">arrow_move(start_ad,arrow,[steps],[board_rng],[push_mode]) - returns NUMERIC address. push_mode: 0 report "oob;&lt;row&gt;;&lt;col&gt;" with intended coords (default), 1 stop-at-edge, -1 stay-at-start</t>
        </is>
      </c>
      <c r="P4" s="45">
        <f>COUNTIF(P6:P60,"PASS")&amp;" / 18 PASS"</f>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J10">
        <v>1</v>
      </c>
      <c r="L10" s="52">
        <v>1000001</v>
      </c>
      <c r="N10" s="53" cm="1">
        <f t="array" ref="N10">arrow_move(D10,F10,H10,,J10)</f>
        <v>0</v>
      </c>
      <c r="P10" s="54" t="str">
        <f>IF(N10=L10,"PASS","FAIL")</f>
        <v>PASS</v>
      </c>
    </row>
    <row r="12" spans="1:19" x14ac:dyDescent="0.5">
      <c r="A12" s="46">
        <v>4</v>
      </c>
      <c r="B12" s="47" t="inlineStr">
        <is>
          <t xml:space="preserve">A3 up 5, push=0 -&gt; oob;-2;1</t>
        </is>
      </c>
      <c r="D12" s="51" t="s">
        <v>2928</v>
      </c>
      <c r="F12" s="51" t="s">
        <v>160</v>
      </c>
      <c r="H12" s="51">
        <v>5</v>
      </c>
      <c r="J12" s="51">
        <v>0</v>
      </c>
      <c r="L12" s="52" t="inlineStr">
        <is>
          <t xml:space="preserve">oob;-2;1</t>
        </is>
      </c>
      <c r="N12" s="53" cm="1">
        <f t="array" ref="N12">arrow_move(D12,F12,H12,,J12)</f>
        <v>3000001</v>
      </c>
      <c r="P12" s="54" t="str">
        <f>IF(N12=L12,"PASS","FAIL")</f>
        <v>PASS</v>
      </c>
    </row>
    <row r="14" spans="1:19" x14ac:dyDescent="0.5">
      <c r="A14" s="46">
        <v>5</v>
      </c>
      <c r="B14" s="47" t="inlineStr">
        <is>
          <t xml:space="preserve">A3 up 5, push=-1 stay@start</t>
        </is>
      </c>
      <c r="D14" s="51" t="s">
        <v>2928</v>
      </c>
      <c r="F14" s="51" t="s">
        <v>160</v>
      </c>
      <c r="H14" s="51">
        <v>5</v>
      </c>
      <c r="J14" s="51">
        <v>-1</v>
      </c>
      <c r="L14" s="52">
        <v>3000001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row r="22">
      <c r="A22">
        <v>9</v>
      </c>
      <c r="B22" s="47" t="inlineStr">
        <is>
          <t xml:space="preserve">B1 UL 2 (default -&gt; oob)</t>
        </is>
      </c>
      <c r="D22" s="51" t="inlineStr">
        <is>
          <t xml:space="preserve">B1</t>
        </is>
      </c>
      <c r="F22" s="51" t="inlineStr">
        <is>
          <t xml:space="preserve">UL</t>
        </is>
      </c>
      <c r="H22" s="51">
        <v>2</v>
      </c>
      <c r="L22" s="52" t="inlineStr">
        <is>
          <t xml:space="preserve">oob;-1;0</t>
        </is>
      </c>
      <c r="N22" s="53" cm="1">
        <f t="array" ref="N22">arrow_move(D22,F22,H22)</f>
        <v>0</v>
      </c>
      <c r="P22" s="54">
        <f>IF(N22=L22,"PASS","FAIL")</f>
      </c>
    </row>
    <row r="24">
      <c r="A24">
        <v>10</v>
      </c>
      <c r="B24" s="47" t="inlineStr">
        <is>
          <t xml:space="preserve">B2 up 5 in A1:D4 board (default oob)</t>
        </is>
      </c>
      <c r="D24" s="51" t="inlineStr">
        <is>
          <t xml:space="preserve">B2</t>
        </is>
      </c>
      <c r="F24" s="51" t="inlineStr">
        <is>
          <t xml:space="preserve">U</t>
        </is>
      </c>
      <c r="H24" s="51">
        <v>5</v>
      </c>
      <c r="L24" s="52" t="inlineStr">
        <is>
          <t xml:space="preserve">oob;-3;2</t>
        </is>
      </c>
      <c r="N24" s="53" cm="1">
        <f t="array" ref="N24">arrow_move(D24,F24,H24,A1:D4)</f>
        <v>0</v>
      </c>
      <c r="P24" s="54">
        <f>IF(N24=L24,"PASS","FAIL")</f>
      </c>
    </row>
    <row r="26">
      <c r="A26">
        <v>11</v>
      </c>
      <c r="B26" s="47" t="inlineStr">
        <is>
          <t xml:space="preserve">B2 up 5, board "A1:D4" as text in a cell (default oob)</t>
        </is>
      </c>
      <c r="D26" s="51" t="inlineStr">
        <is>
          <t xml:space="preserve">B2</t>
        </is>
      </c>
      <c r="F26" s="51" t="inlineStr">
        <is>
          <t xml:space="preserve">U</t>
        </is>
      </c>
      <c r="H26" s="51">
        <v>5</v>
      </c>
      <c r="J26" t="inlineStr">
        <is>
          <t xml:space="preserve">A1:D4</t>
        </is>
      </c>
      <c r="L26" s="52" t="inlineStr">
        <is>
          <t xml:space="preserve">oob;-3;2</t>
        </is>
      </c>
      <c r="N26" s="53" cm="1">
        <f t="array" ref="N26">arrow_move(D26,F26,H26,J26)</f>
        <v>0</v>
      </c>
      <c r="P26" s="54">
        <f>IF(N26=L26,"PASS","FAIL")</f>
      </c>
    </row>
    <row r="28">
      <c r="A28">
        <v>12</v>
      </c>
      <c r="B28" s="47" t="inlineStr">
        <is>
          <t xml:space="preserve">B2 right 5, literal "A1:D4", push 1 -&gt; D2</t>
        </is>
      </c>
      <c r="D28" s="51" t="inlineStr">
        <is>
          <t xml:space="preserve">B2</t>
        </is>
      </c>
      <c r="F28" s="51" t="inlineStr">
        <is>
          <t xml:space="preserve">R</t>
        </is>
      </c>
      <c r="H28" s="51">
        <v>5</v>
      </c>
      <c r="J28">
        <v>1</v>
      </c>
      <c r="L28" s="52">
        <v>2000004</v>
      </c>
      <c r="N28" s="53" cm="1">
        <f t="array" ref="N28">arrow_move(D28,F28,H28,"A1:D4",J28)</f>
        <v>0</v>
      </c>
      <c r="P28" s="54">
        <f>IF(N28=L28,"PASS","FAIL")</f>
      </c>
    </row>
    <row r="30">
      <c r="A30">
        <v>13</v>
      </c>
      <c r="B30" s="47" t="inlineStr">
        <is>
          <t xml:space="preserve">board "$D$4:$A$1" in a cell (reversed, $), push 1</t>
        </is>
      </c>
      <c r="D30" s="51" t="inlineStr">
        <is>
          <t xml:space="preserve">B2</t>
        </is>
      </c>
      <c r="F30" s="51" t="inlineStr">
        <is>
          <t xml:space="preserve">R</t>
        </is>
      </c>
      <c r="H30" s="51">
        <v>5</v>
      </c>
      <c r="J30" t="inlineStr">
        <is>
          <t xml:space="preserve">$D$4:$A$1</t>
        </is>
      </c>
      <c r="L30" s="52">
        <v>2000004</v>
      </c>
      <c r="N30" s="53" cm="1">
        <f t="array" ref="N30">arrow_move(D30,F30,H30,J30,1)</f>
        <v>0</v>
      </c>
      <c r="P30" s="54">
        <f>IF(N30=L30,"PASS","FAIL")</f>
      </c>
    </row>
    <row r="32">
      <c r="A32">
        <v>14</v>
      </c>
      <c r="B32" s="47" t="inlineStr">
        <is>
          <t xml:space="preserve">numeric range string "1000001:4000004", push 1</t>
        </is>
      </c>
      <c r="D32" s="51" t="inlineStr">
        <is>
          <t xml:space="preserve">B2</t>
        </is>
      </c>
      <c r="F32" s="51" t="inlineStr">
        <is>
          <t xml:space="preserve">R</t>
        </is>
      </c>
      <c r="H32" s="51">
        <v>5</v>
      </c>
      <c r="J32" t="inlineStr">
        <is>
          <t xml:space="preserve">1000001:4000004</t>
        </is>
      </c>
      <c r="L32" s="52">
        <v>2000004</v>
      </c>
      <c r="N32" s="53" cm="1">
        <f t="array" ref="N32">arrow_move(D32,F32,H32,J32,1)</f>
        <v>0</v>
      </c>
      <c r="P32" s="54">
        <f>IF(N32=L32,"PASS","FAIL")</f>
      </c>
    </row>
    <row r="34">
      <c r="A34">
        <v>15</v>
      </c>
      <c r="B34" s="47" t="inlineStr">
        <is>
          <t xml:space="preserve">range vs its string give the same result</t>
        </is>
      </c>
      <c r="D34" s="51" t="inlineStr">
        <is>
          <t xml:space="preserve">B2</t>
        </is>
      </c>
      <c r="F34" s="51" t="inlineStr">
        <is>
          <t xml:space="preserve">R</t>
        </is>
      </c>
      <c r="H34" s="51">
        <v>5</v>
      </c>
      <c r="L34" s="52" t="b">
        <v>1</v>
      </c>
      <c r="N34" s="53" cm="1">
        <f t="array" ref="N34">arrow_move(D34,F34,H34,$A$1:$D$4,1)=arrow_move(D34,F34,H34,"A1:D4",1)</f>
        <v>0</v>
      </c>
      <c r="P34" s="54">
        <f>IF(N34=L34,"PASS","FAIL")</f>
      </c>
    </row>
    <row r="36">
      <c r="A36">
        <v>16</v>
      </c>
      <c r="B36" s="47" t="inlineStr">
        <is>
          <t xml:space="preserve">literal text that is not a range ("hi") -&gt; #VALUE!</t>
        </is>
      </c>
      <c r="D36" s="51" t="inlineStr">
        <is>
          <t xml:space="preserve">B2</t>
        </is>
      </c>
      <c r="F36" s="51" t="inlineStr">
        <is>
          <t xml:space="preserve">R</t>
        </is>
      </c>
      <c r="H36" s="51">
        <v>5</v>
      </c>
      <c r="J36" t="inlineStr">
        <is>
          <t xml:space="preserve">"hi" (literal)</t>
        </is>
      </c>
      <c r="L36" s="52" t="inlineStr">
        <is>
          <t xml:space="preserve">#VALUE!</t>
        </is>
      </c>
      <c r="N36" s="53" cm="1">
        <f t="array" ref="N36">arrow_move(D36,F36,H36,"hi")</f>
        <v>0</v>
      </c>
      <c r="P36" s="54">
        <f>IF(ERROR.TYPE(N36)=3,"PASS","FAIL")</f>
      </c>
    </row>
    <row r="38">
      <c r="A38">
        <v>17</v>
      </c>
      <c r="B38" s="47" t="inlineStr">
        <is>
          <t xml:space="preserve">1-cell REFERENCE holding non-address text = that cell is the board (S1 right 1, push 1 stays)</t>
        </is>
      </c>
      <c r="D38" s="51" t="inlineStr">
        <is>
          <t xml:space="preserve">S1</t>
        </is>
      </c>
      <c r="F38" s="51" t="inlineStr">
        <is>
          <t xml:space="preserve">R</t>
        </is>
      </c>
      <c r="H38" s="51">
        <v>1</v>
      </c>
      <c r="L38" s="52">
        <v>1000019</v>
      </c>
      <c r="N38" s="53" cm="1">
        <f t="array" ref="N38">arrow_move(D38,F38,H38,$S$1,1)</f>
        <v>0</v>
      </c>
      <c r="P38" s="54">
        <f>IF(N38=L38,"PASS","FAIL")</f>
      </c>
    </row>
    <row r="40">
      <c r="A40">
        <v>18</v>
      </c>
      <c r="B40" s="47" t="inlineStr">
        <is>
          <t xml:space="preserve">TOCOL(steps) 1x1 array -&gt; same as 3</t>
        </is>
      </c>
      <c r="D40" s="51" t="inlineStr">
        <is>
          <t xml:space="preserve">A1</t>
        </is>
      </c>
      <c r="F40" s="51" t="inlineStr">
        <is>
          <t xml:space="preserve">→</t>
        </is>
      </c>
      <c r="H40" s="51">
        <v>3</v>
      </c>
      <c r="L40" s="52">
        <v>1000004</v>
      </c>
      <c r="N40" s="53" cm="1">
        <f t="array" ref="N40">arrow_move(D40,F40,_xlfn.TOCOL(H40))</f>
        <v>0</v>
      </c>
      <c r="P40" s="54">
        <f>IF(N40=L40,"PASS","FAIL")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f>COUNTIF(P9:P60,"PASS")&amp;" / 8 PASS"</f>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row r="41">
      <c r="D41" t="inlineStr">
        <is>
          <t xml:space="preserve">a</t>
        </is>
      </c>
      <c r="E41">
        <f>REPT("z",300)</f>
      </c>
    </row>
    <row r="44">
      <c r="B44" t="inlineStr">
        <is>
          <t xml:space="preserve">&gt;255-char value survives (IFERROR/IFNA would blank it)</t>
        </is>
      </c>
      <c r="J44">
        <v>41000004</v>
      </c>
      <c r="K44" t="inlineStr">
        <is>
          <t xml:space="preserve">a</t>
        </is>
      </c>
      <c r="M44" cm="1">
        <f t="array" ref="M44:N45">arrow_trip(D41:E41,"D41","R")</f>
        <v>0</v>
      </c>
      <c r="P44" cm="1">
        <f t="array" ref="P44">IF(AND(J44:K45=M44:N45),"PASS","FAIL")</f>
        <v>0</v>
      </c>
    </row>
    <row r="45">
      <c r="J45">
        <v>41000005</v>
      </c>
      <c r="K45">
        <f>REPT("z",300)</f>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f>COUNTIF(N6:N25,"PASS")&amp;" / 3 PASS"</f>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row r="20">
      <c r="A20">
        <v>3</v>
      </c>
      <c r="B20" s="55" t="inlineStr">
        <is>
          <t xml:space="preserve">TOCOL(outer_n) 1x1 array -&gt; all 4 rows (was 1)</t>
        </is>
      </c>
      <c r="D20">
        <v>2</v>
      </c>
      <c r="F20">
        <v>2</v>
      </c>
      <c r="H20" s="52">
        <v>1</v>
      </c>
      <c r="I20" s="52">
        <v>1</v>
      </c>
      <c r="K20" s="53" cm="1">
        <f t="array" ref="K20:L23">cycles(_xlfn.TOCOL(D20),F20)</f>
        <v>0</v>
      </c>
      <c r="N20" cm="1">
        <f t="array" ref="N20">IF(AND(H20:I23=K20:L23),"PASS","FAIL")</f>
        <v>0</v>
      </c>
    </row>
    <row r="21">
      <c r="H21">
        <v>1</v>
      </c>
      <c r="I21" s="52">
        <v>2</v>
      </c>
    </row>
    <row r="22">
      <c r="H22">
        <v>2</v>
      </c>
      <c r="I22" s="52">
        <v>1</v>
      </c>
    </row>
    <row r="23">
      <c r="H23">
        <v>2</v>
      </c>
      <c r="I23" s="52">
        <v>2</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f>COUNTIF(J6:J20,"PASS")&amp;" / 6 PASS"</f>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row r="18">
      <c r="A18">
        <v>6</v>
      </c>
      <c r="B18" s="47" t="inlineStr">
        <is>
          <t xml:space="preserve">TOCOL(x) 1x1 array input -&gt; both dice (was first only)</t>
        </is>
      </c>
      <c r="D18" s="51" t="inlineStr">
        <is>
          <t xml:space="preserve">⚄⚅</t>
        </is>
      </c>
      <c r="F18" s="52">
        <v>5</v>
      </c>
      <c r="H18" s="53" cm="1">
        <f t="array" ref="H18:H19">die_pips(_xlfn.TOCOL(D18))</f>
        <v>0</v>
      </c>
      <c r="J18" s="54" cm="1">
        <f t="array" ref="J18">IF(AND(F18:F19=H18:H19),"PASS","FAIL")</f>
        <v>0</v>
      </c>
    </row>
    <row r="19">
      <c r="F19">
        <v>6</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inlineStr">
        <is>
          <t xml:space="preserve">expand_rng(ad_or_rng,[r_down],[c_right],[r_up],[c_left]) - grow (positive) or shrink (negative) an address/range; range string in the input's format, a single address when 1x1. Clamps at row 1 / col 1. Array input, non-integer, or 0 rows/cols -&gt; #VALUE!.</t>
        </is>
      </c>
      <c r="J4">
        <f>COUNTIF(J6:J40,"PASS")&amp;" / 15 PASS"</f>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inlineStr">
        <is>
          <t xml:space="preserve">single numeric, no grow -&gt; 3000004 (1x1 -&gt; single address, numeric form)</t>
        </is>
      </c>
      <c r="D14" s="51" t="s">
        <v>3520</v>
      </c>
      <c r="F14" s="52">
        <v>3000004</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inlineStr">
        <is>
          <t xml:space="preserve">shrink "B3" down 1 -&gt; 0 rows -&gt; #VALUE!</t>
        </is>
      </c>
      <c r="D18" s="51" t="inlineStr">
        <is>
          <t xml:space="preserve">shrink "B3" down 1</t>
        </is>
      </c>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A20">
        <v>8</v>
      </c>
      <c r="B20" s="47" t="inlineStr">
        <is>
          <t xml:space="preserve">shrink "B2:D6" bottom 2 -&gt; "B2:D4"</t>
        </is>
      </c>
      <c r="D20" s="51" t="inlineStr">
        <is>
          <t xml:space="preserve">shrink "B2:D6" -2 down</t>
        </is>
      </c>
      <c r="F20" s="51" t="inlineStr">
        <is>
          <t xml:space="preserve">B2:D4</t>
        </is>
      </c>
      <c r="H20" s="52" cm="1">
        <f t="array" ref="H20">expand_rng("B2:D6",-2)</f>
        <v>0</v>
      </c>
      <c r="I20" s="52"/>
      <c r="J20" s="52">
        <f>IF(H20=F20,"PASS","FAIL")</f>
      </c>
      <c r="L20" s="53"/>
      <c r="M20" s="53"/>
      <c r="N20" s="53"/>
      <c r="P20" s="54"/>
    </row>
    <row r="21" spans="1:16" x14ac:dyDescent="0.5">
      <c r="B21" s="47"/>
      <c r="D21" s="51"/>
      <c r="F21" s="51"/>
      <c r="H21" s="52"/>
      <c r="I21" s="52"/>
      <c r="J21" s="52"/>
      <c r="L21" s="53"/>
      <c r="M21" s="53"/>
      <c r="N21" s="53"/>
      <c r="P21" s="54"/>
    </row>
    <row r="22" spans="1:16" x14ac:dyDescent="0.5">
      <c r="A22">
        <v>9</v>
      </c>
      <c r="B22" s="47" t="inlineStr">
        <is>
          <t xml:space="preserve">shrink "B2:D6" top 1 + right 1 -&gt; "B3:C6"</t>
        </is>
      </c>
      <c r="D22" s="51" t="inlineStr">
        <is>
          <t xml:space="preserve">shrink 0,-1,-1,0</t>
        </is>
      </c>
      <c r="F22" s="51" t="inlineStr">
        <is>
          <t xml:space="preserve">B3:C6</t>
        </is>
      </c>
      <c r="H22" s="52" cm="1">
        <f t="array" ref="H22">expand_rng("B2:D6",0,-1,-1,0)</f>
        <v>0</v>
      </c>
      <c r="I22" s="52"/>
      <c r="J22" s="52">
        <f>IF(H22=F22,"PASS","FAIL")</f>
      </c>
      <c r="L22" s="53"/>
      <c r="M22" s="53"/>
      <c r="N22" s="53"/>
      <c r="P22" s="54"/>
    </row>
    <row r="23" spans="1:16" x14ac:dyDescent="0.5">
      <c r="B23" s="47"/>
      <c r="D23" s="51"/>
      <c r="F23" s="51"/>
      <c r="H23" s="52"/>
      <c r="I23" s="52"/>
      <c r="J23" s="52"/>
      <c r="L23" s="53"/>
      <c r="M23" s="53"/>
      <c r="N23" s="53"/>
      <c r="P23" s="54"/>
    </row>
    <row r="24" spans="1:16" x14ac:dyDescent="0.5">
      <c r="A24">
        <v>10</v>
      </c>
      <c r="B24" s="47" t="inlineStr">
        <is>
          <t xml:space="preserve">shrink "B2:B3" bottom 1 -&gt; single address "B2" (no colon)</t>
        </is>
      </c>
      <c r="D24" s="51" t="inlineStr">
        <is>
          <t xml:space="preserve">shrink "B2:B3" -1 down</t>
        </is>
      </c>
      <c r="F24" s="51" t="inlineStr">
        <is>
          <t xml:space="preserve">B2</t>
        </is>
      </c>
      <c r="H24" s="52" cm="1">
        <f t="array" ref="H24">expand_rng("B2:B3",-1)</f>
        <v>0</v>
      </c>
      <c r="I24" s="52"/>
      <c r="J24" s="52">
        <f>IF(H24=F24,"PASS","FAIL")</f>
      </c>
      <c r="L24" s="53"/>
      <c r="M24" s="53"/>
      <c r="N24" s="53"/>
      <c r="P24" s="54"/>
    </row>
    <row r="25" spans="1:16" x14ac:dyDescent="0.5">
      <c r="B25" s="47"/>
      <c r="D25" s="51"/>
      <c r="F25" s="51"/>
      <c r="H25" s="52"/>
      <c r="I25" s="52"/>
      <c r="J25" s="52"/>
      <c r="L25" s="53"/>
      <c r="M25" s="53"/>
      <c r="N25" s="53"/>
      <c r="P25" s="54"/>
    </row>
    <row r="26" spans="1:16" x14ac:dyDescent="0.5">
      <c r="A26">
        <v>11</v>
      </c>
      <c r="B26" s="47" t="inlineStr">
        <is>
          <t xml:space="preserve">numeric "3000004:4000004" shrink bottom 1 -&gt; 3000004 (number)</t>
        </is>
      </c>
      <c r="D26" s="51" t="inlineStr">
        <is>
          <t xml:space="preserve">numeric shrink -1 down</t>
        </is>
      </c>
      <c r="F26" s="51">
        <v>3000004</v>
      </c>
      <c r="H26" s="52" cm="1">
        <f t="array" ref="H26">expand_rng("3000004:4000004",-1)</f>
        <v>0</v>
      </c>
      <c r="I26" s="52"/>
      <c r="J26" s="52">
        <f>IF(H26=F26,"PASS","FAIL")</f>
      </c>
      <c r="L26" s="53"/>
      <c r="M26" s="53"/>
      <c r="N26" s="53"/>
      <c r="P26" s="54"/>
    </row>
    <row r="27" spans="1:16" x14ac:dyDescent="0.5">
      <c r="B27" s="47"/>
      <c r="D27" s="51"/>
      <c r="F27" s="51"/>
      <c r="H27" s="52"/>
      <c r="I27" s="52"/>
      <c r="J27" s="52"/>
      <c r="L27" s="53"/>
      <c r="M27" s="53"/>
      <c r="N27" s="53"/>
      <c r="P27" s="54"/>
    </row>
    <row r="28" spans="1:16" x14ac:dyDescent="0.5">
      <c r="A28">
        <v>12</v>
      </c>
      <c r="B28" s="47" t="inlineStr">
        <is>
          <t xml:space="preserve">shrink "B2:D6" bottom 5 -&gt; 0 rows -&gt; #VALUE!</t>
        </is>
      </c>
      <c r="D28" s="51" t="inlineStr">
        <is>
          <t xml:space="preserve">shrink -5 down</t>
        </is>
      </c>
      <c r="F28" s="51">
        <v>3</v>
      </c>
      <c r="H28" s="52" cm="1">
        <f t="array" ref="H28">ERROR.TYPE(expand_rng("B2:D6",-5))</f>
        <v>0</v>
      </c>
      <c r="I28" s="52"/>
      <c r="J28" s="52">
        <f>IF(H28=F28,"PASS","FAIL")</f>
      </c>
      <c r="L28" s="53"/>
      <c r="M28" s="53"/>
      <c r="N28" s="53"/>
      <c r="P28" s="54"/>
    </row>
    <row r="29" spans="1:16" x14ac:dyDescent="0.5">
      <c r="B29" s="47"/>
      <c r="D29" s="51"/>
      <c r="F29" s="51"/>
      <c r="H29" s="52"/>
      <c r="I29" s="52"/>
      <c r="J29" s="52"/>
      <c r="L29" s="53"/>
      <c r="M29" s="53"/>
      <c r="N29" s="53"/>
      <c r="P29" s="54"/>
    </row>
    <row r="30" spans="1:16" x14ac:dyDescent="0.5">
      <c r="A30">
        <v>13</v>
      </c>
      <c r="B30" s="47" t="inlineStr">
        <is>
          <t xml:space="preserve">shrink "B2:D6" left 3 -&gt; 0 cols -&gt; #VALUE!</t>
        </is>
      </c>
      <c r="D30" s="51" t="inlineStr">
        <is>
          <t xml:space="preserve">shrink 0,0,0,-3</t>
        </is>
      </c>
      <c r="F30" s="51">
        <v>3</v>
      </c>
      <c r="H30" s="52" cm="1">
        <f t="array" ref="H30">ERROR.TYPE(expand_rng("B2:D6",0,0,0,-3))</f>
        <v>0</v>
      </c>
      <c r="I30" s="52"/>
      <c r="J30" s="52">
        <f>IF(H30=F30,"PASS","FAIL")</f>
      </c>
      <c r="L30" s="53"/>
      <c r="M30" s="53"/>
      <c r="N30" s="53"/>
      <c r="P30" s="54"/>
    </row>
    <row r="32">
      <c r="A32">
        <v>14</v>
      </c>
      <c r="B32" s="47" t="inlineStr">
        <is>
          <t xml:space="preserve">mixed grow/shrink "B2:D6" 1,-1,-1,1 -&gt; "A3:C7"</t>
        </is>
      </c>
      <c r="D32" s="51" t="inlineStr">
        <is>
          <t xml:space="preserve">mixed 1,-1,-1,1</t>
        </is>
      </c>
      <c r="F32" s="51" t="inlineStr">
        <is>
          <t xml:space="preserve">A3:C7</t>
        </is>
      </c>
      <c r="H32" s="52" cm="1">
        <f t="array" ref="H32">expand_rng("B2:D6",1,-1,-1,1)</f>
        <v>0</v>
      </c>
      <c r="J32" s="52">
        <f>IF(H32=F32,"PASS","FAIL")</f>
      </c>
    </row>
    <row r="34">
      <c r="A34">
        <v>15</v>
      </c>
      <c r="B34" s="47" t="inlineStr">
        <is>
          <t xml:space="preserve">non-integer arg 0.5 -&gt; #VALUE!</t>
        </is>
      </c>
      <c r="D34" s="51" t="inlineStr">
        <is>
          <t xml:space="preserve">grow "B3" 0.5</t>
        </is>
      </c>
      <c r="F34" s="51">
        <v>3</v>
      </c>
      <c r="H34" s="52" cm="1">
        <f t="array" ref="H34">ERROR.TYPE(expand_rng("B3",0.5))</f>
        <v>0</v>
      </c>
      <c r="J34" s="52">
        <f>IF(H34=F34,"PASS","FAIL")</f>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f>COUNTIF(N6:N60,"PASS")&amp;" / 6 PASS"</f>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row r="33">
      <c r="A33">
        <v>6</v>
      </c>
      <c r="B33" s="55" t="inlineStr">
        <is>
          <t xml:space="preserve">&gt;255-char value survives (IFERROR/IFNA would blank it)</t>
        </is>
      </c>
      <c r="D33" s="51">
        <f>REPT("z",300)</f>
      </c>
      <c r="H33">
        <f>REPT("z",300)</f>
      </c>
      <c r="I33">
        <v>2</v>
      </c>
      <c r="K33" cm="1">
        <f t="array" ref="K33:L34">freq_table(D33:D35)</f>
        <v>0</v>
      </c>
      <c r="N33" cm="1">
        <f t="array" ref="N33">IF(AND(H33:I34=K33:L34),"PASS","FAIL")</f>
        <v>0</v>
      </c>
    </row>
    <row r="34">
      <c r="D34">
        <f>REPT("z",300)</f>
      </c>
      <c r="H34" t="inlineStr">
        <is>
          <t xml:space="preserve">b</t>
        </is>
      </c>
      <c r="I34">
        <v>1</v>
      </c>
    </row>
    <row r="35">
      <c r="D35" t="inlineStr">
        <is>
          <t xml:space="preserve">b</t>
        </is>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f>COUNTIF(L6:L80,"PASS")&amp;" / 14 PASS"</f>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row r="43">
      <c r="A43">
        <v>6</v>
      </c>
      <c r="B43" s="55" t="inlineStr">
        <is>
          <t xml:space="preserve">boundary as a RANGE reference $A$1:$B$2 (centre A1, size 1)</t>
        </is>
      </c>
      <c r="D43" t="inlineStr">
        <is>
          <t xml:space="preserve">A1</t>
        </is>
      </c>
      <c r="F43" t="inlineStr">
        <is>
          <t xml:space="preserve">(range)</t>
        </is>
      </c>
      <c r="H43" s="52" t="inlineStr">
        <is>
          <t xml:space="preserve">B1</t>
        </is>
      </c>
      <c r="J43" s="53" cm="1">
        <f t="array" ref="J43:J45">neighbors_list(D43,1,$A$1:$B$2)</f>
        <v>0</v>
      </c>
      <c r="L43" cm="1">
        <f t="array" ref="L43">IF(AND(H43:H45=J43:J45),"PASS","FAIL")</f>
        <v>0</v>
      </c>
    </row>
    <row r="44">
      <c r="H44" t="inlineStr">
        <is>
          <t xml:space="preserve">A2</t>
        </is>
      </c>
    </row>
    <row r="45">
      <c r="H45" t="inlineStr">
        <is>
          <t xml:space="preserve">B2</t>
        </is>
      </c>
    </row>
    <row r="47">
      <c r="A47">
        <v>7</v>
      </c>
      <c r="B47" t="inlineStr">
        <is>
          <t xml:space="preserve">same boundary as a literal STRING "A1:B2"</t>
        </is>
      </c>
      <c r="D47" t="inlineStr">
        <is>
          <t xml:space="preserve">A1</t>
        </is>
      </c>
      <c r="F47" t="inlineStr">
        <is>
          <t xml:space="preserve">"A1:B2" (literal)</t>
        </is>
      </c>
      <c r="H47" t="inlineStr">
        <is>
          <t xml:space="preserve">B1</t>
        </is>
      </c>
      <c r="J47" cm="1">
        <f t="array" ref="J47:J49">neighbors_list(D47,1,"A1:B2")</f>
        <v>0</v>
      </c>
      <c r="L47" cm="1">
        <f t="array" ref="L47">IF(AND(H47:H49=J47:J49),"PASS","FAIL")</f>
        <v>0</v>
      </c>
    </row>
    <row r="48">
      <c r="H48" t="inlineStr">
        <is>
          <t xml:space="preserve">A2</t>
        </is>
      </c>
    </row>
    <row r="49">
      <c r="H49" t="inlineStr">
        <is>
          <t xml:space="preserve">B2</t>
        </is>
      </c>
    </row>
    <row r="51">
      <c r="A51">
        <v>8</v>
      </c>
      <c r="B51" t="inlineStr">
        <is>
          <t xml:space="preserve">range string in a CELL, with $ and reversed</t>
        </is>
      </c>
      <c r="D51" t="inlineStr">
        <is>
          <t xml:space="preserve">A1</t>
        </is>
      </c>
      <c r="F51" t="inlineStr">
        <is>
          <t xml:space="preserve">$B$2:$A$1</t>
        </is>
      </c>
      <c r="H51" t="inlineStr">
        <is>
          <t xml:space="preserve">B1</t>
        </is>
      </c>
      <c r="J51" cm="1">
        <f t="array" ref="J51:J53">neighbors_list(D51,1,F51)</f>
        <v>0</v>
      </c>
      <c r="L51" cm="1">
        <f t="array" ref="L51">IF(AND(H51:H53=J51:J53),"PASS","FAIL")</f>
        <v>0</v>
      </c>
    </row>
    <row r="52">
      <c r="H52" t="inlineStr">
        <is>
          <t xml:space="preserve">A2</t>
        </is>
      </c>
    </row>
    <row r="53">
      <c r="H53" t="inlineStr">
        <is>
          <t xml:space="preserve">B2</t>
        </is>
      </c>
    </row>
    <row r="55">
      <c r="A55">
        <v>9</v>
      </c>
      <c r="B55" t="inlineStr">
        <is>
          <t xml:space="preserve">numeric range string in a cell</t>
        </is>
      </c>
      <c r="D55" t="inlineStr">
        <is>
          <t xml:space="preserve">A1</t>
        </is>
      </c>
      <c r="F55" t="inlineStr">
        <is>
          <t xml:space="preserve">1000001:2000002</t>
        </is>
      </c>
      <c r="H55" t="inlineStr">
        <is>
          <t xml:space="preserve">B1</t>
        </is>
      </c>
      <c r="J55" cm="1">
        <f t="array" ref="J55:J57">neighbors_list(D55,1,F55)</f>
        <v>0</v>
      </c>
      <c r="L55" cm="1">
        <f t="array" ref="L55">IF(AND(H55:H57=J55:J57),"PASS","FAIL")</f>
        <v>0</v>
      </c>
    </row>
    <row r="56">
      <c r="H56" t="inlineStr">
        <is>
          <t xml:space="preserve">A2</t>
        </is>
      </c>
    </row>
    <row r="57">
      <c r="H57" t="inlineStr">
        <is>
          <t xml:space="preserve">B2</t>
        </is>
      </c>
    </row>
    <row r="59">
      <c r="A59">
        <v>10</v>
      </c>
      <c r="B59" t="inlineStr">
        <is>
          <t xml:space="preserve">range vs its string give identical lists (B2 in A1:C3)</t>
        </is>
      </c>
      <c r="D59" t="inlineStr">
        <is>
          <t xml:space="preserve">B2</t>
        </is>
      </c>
      <c r="F59" t="inlineStr">
        <is>
          <t xml:space="preserve">A1:C3</t>
        </is>
      </c>
      <c r="H59" t="b">
        <v>1</v>
      </c>
      <c r="J59" cm="1">
        <f t="array" ref="J59">AND(neighbors_list(D59,1,$A$1:$C$3)=neighbors_list(D59,1,F59))</f>
        <v>0</v>
      </c>
      <c r="L59">
        <f>IF(J59=H59,"PASS","FAIL")</f>
      </c>
    </row>
    <row r="61">
      <c r="A61">
        <v>11</v>
      </c>
      <c r="B61" t="inlineStr">
        <is>
          <t xml:space="preserve">literal text that is not a range ("hi") -&gt; #N/A</t>
        </is>
      </c>
      <c r="D61" t="inlineStr">
        <is>
          <t xml:space="preserve">A1</t>
        </is>
      </c>
      <c r="F61" t="inlineStr">
        <is>
          <t xml:space="preserve">"hi" (literal)</t>
        </is>
      </c>
      <c r="H61" t="inlineStr">
        <is>
          <t xml:space="preserve">#N/A</t>
        </is>
      </c>
      <c r="J61" cm="1">
        <f t="array" ref="J61">neighbors_list(D61,1,"hi")</f>
        <v>0</v>
      </c>
      <c r="L61">
        <f>IF(ISNA(J61),"PASS","FAIL")</f>
      </c>
    </row>
    <row r="63">
      <c r="A63">
        <v>12</v>
      </c>
      <c r="B63" t="inlineStr">
        <is>
          <t xml:space="preserve">1-cell REFERENCE holding non-address text = that cell is the boundary (centre R1, boundary $S$1)</t>
        </is>
      </c>
      <c r="D63" t="inlineStr">
        <is>
          <t xml:space="preserve">R1</t>
        </is>
      </c>
      <c r="F63" t="inlineStr">
        <is>
          <t xml:space="preserve">(range $S$1)</t>
        </is>
      </c>
      <c r="H63" t="inlineStr">
        <is>
          <t xml:space="preserve">S1</t>
        </is>
      </c>
      <c r="J63" cm="1">
        <f t="array" ref="J63">neighbors_list(D63,1,$S$1)</f>
        <v>0</v>
      </c>
      <c r="L63">
        <f>IF(J63=H63,"PASS","FAIL")</f>
      </c>
    </row>
    <row r="65">
      <c r="A65">
        <v>13</v>
      </c>
      <c r="B65" t="inlineStr">
        <is>
          <t xml:space="preserve">boundary that excludes every neighbour (A1 in D4:E5) -&gt; #N/A (was #CALC!)</t>
        </is>
      </c>
      <c r="D65" t="inlineStr">
        <is>
          <t xml:space="preserve">A1</t>
        </is>
      </c>
      <c r="F65" t="inlineStr">
        <is>
          <t xml:space="preserve">D4:E5</t>
        </is>
      </c>
      <c r="H65" t="inlineStr">
        <is>
          <t xml:space="preserve">#N/A</t>
        </is>
      </c>
      <c r="J65" cm="1">
        <f t="array" ref="J65">neighbors_list(D65,1,F65)</f>
        <v>0</v>
      </c>
      <c r="L65">
        <f>IF(ISNA(J65),"PASS","FAIL")</f>
      </c>
    </row>
    <row r="67">
      <c r="A67">
        <v>14</v>
      </c>
      <c r="B67" t="inlineStr">
        <is>
          <t xml:space="preserve">TOCOL(size) 1x1 array -&gt; full 8-cell neighbourhood</t>
        </is>
      </c>
      <c r="D67" t="inlineStr">
        <is>
          <t xml:space="preserve">B2</t>
        </is>
      </c>
      <c r="F67">
        <v>1</v>
      </c>
      <c r="H67" t="inlineStr">
        <is>
          <t xml:space="preserve">A1</t>
        </is>
      </c>
      <c r="J67" cm="1">
        <f t="array" ref="J67:J74">neighbors_list(D67,_xlfn.TOCOL(F67))</f>
        <v>0</v>
      </c>
      <c r="L67" cm="1">
        <f t="array" ref="L67">IF(AND(H67:H74=J67:J74),"PASS","FAIL")</f>
        <v>0</v>
      </c>
    </row>
    <row r="68">
      <c r="H68" t="inlineStr">
        <is>
          <t xml:space="preserve">B1</t>
        </is>
      </c>
    </row>
    <row r="69">
      <c r="H69" t="inlineStr">
        <is>
          <t xml:space="preserve">C1</t>
        </is>
      </c>
    </row>
    <row r="70">
      <c r="H70" t="inlineStr">
        <is>
          <t xml:space="preserve">A2</t>
        </is>
      </c>
    </row>
    <row r="71">
      <c r="H71" t="inlineStr">
        <is>
          <t xml:space="preserve">C2</t>
        </is>
      </c>
    </row>
    <row r="72">
      <c r="H72" t="inlineStr">
        <is>
          <t xml:space="preserve">A3</t>
        </is>
      </c>
    </row>
    <row r="73">
      <c r="H73" t="inlineStr">
        <is>
          <t xml:space="preserve">B3</t>
        </is>
      </c>
    </row>
    <row r="74">
      <c r="H74" t="inlineStr">
        <is>
          <t xml:space="preserve">C3</t>
        </is>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f>COUNTIF(J6:J60,"PASS")&amp;" / 11 PASS"</f>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row r="28">
      <c r="A28">
        <v>11</v>
      </c>
      <c r="B28" t="inlineStr">
        <is>
          <t xml:space="preserve">TOCOL("AM17") (1x1 array) -&gt; 17000039 (was 17000026: column Z)</t>
        </is>
      </c>
      <c r="D28" s="51" t="inlineStr">
        <is>
          <t xml:space="preserve">AM17</t>
        </is>
      </c>
      <c r="F28" s="52">
        <v>17000039</v>
      </c>
      <c r="H28" cm="1">
        <f t="array" ref="H28">num_ad(_xlfn.TOCOL(D28))</f>
        <v>0</v>
      </c>
      <c r="J28">
        <f>IF(H28=F28,"PASS","FAIL")</f>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f>COUNTIF(J6:J20,"PASS")&amp;" / 6 PASS"</f>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row r="17">
      <c r="A17">
        <v>6</v>
      </c>
      <c r="B17" s="55" t="inlineStr">
        <is>
          <t xml:space="preserve">TOCOL(x) 1x1 array input -&gt; all letters (was first only)</t>
        </is>
      </c>
      <c r="D17" s="51" t="inlineStr">
        <is>
          <t xml:space="preserve">a1b2c</t>
        </is>
      </c>
      <c r="F17" s="52" t="inlineStr">
        <is>
          <t xml:space="preserve">abc</t>
        </is>
      </c>
      <c r="H17" s="53" cm="1">
        <f t="array" ref="H17">only_letters(_xlfn.TOCOL(D17))</f>
        <v>0</v>
      </c>
      <c r="J17">
        <f>IF(H17=F17,"PASS","FAIL")</f>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f>COUNTIF(J6:J25,"PASS")&amp;" / 6 PASS"</f>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row r="19">
      <c r="A19">
        <v>6</v>
      </c>
      <c r="B19" s="55" t="inlineStr">
        <is>
          <t xml:space="preserve">TOCOL(x) 1x1 array input -&gt; both numbers (was first only)</t>
        </is>
      </c>
      <c r="D19" t="inlineStr">
        <is>
          <t xml:space="preserve">a12b3</t>
        </is>
      </c>
      <c r="F19" s="52">
        <v>12</v>
      </c>
      <c r="H19" s="53" cm="1">
        <f t="array" ref="H19:H20">_xlfn.TOCOL(only_numbers(_xlfn.TOCOL(D19)))</f>
        <v>0</v>
      </c>
      <c r="J19" cm="1">
        <f t="array" ref="J19">IF(AND(F19:F20=H19:H20),"PASS","FAIL")</f>
        <v>0</v>
      </c>
    </row>
    <row r="20">
      <c r="F20">
        <v>3</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f>COUNTIF(R6:R60,"PASS")&amp;" / 6 PASS"</f>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row r="33">
      <c r="A33">
        <v>6</v>
      </c>
      <c r="B33" t="inlineStr">
        <is>
          <t xml:space="preserve">&gt;255-char value survives (IFERROR/IFNA would blank it)</t>
        </is>
      </c>
      <c r="D33" s="51">
        <f>REPT("z",300)</f>
      </c>
      <c r="L33">
        <f>REPT("z",300)</f>
      </c>
      <c r="O33" cm="1">
        <f t="array" ref="O33">selections(D33,1)</f>
        <v>0</v>
      </c>
      <c r="R33" cm="1">
        <f t="array" ref="R33">IF(AND(L33=O33),"PASS","FAIL")</f>
        <v>0</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f>COUNTIF(P6:P60,"PASS")&amp;" / 5 PASS"</f>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row r="25">
      <c r="A25">
        <v>5</v>
      </c>
      <c r="B25" s="55" t="inlineStr">
        <is>
          <t xml:space="preserve">&gt;255-char value survives (IFERROR/IFNA would blank it)</t>
        </is>
      </c>
      <c r="D25" s="51" t="inlineStr">
        <is>
          <t xml:space="preserve">a</t>
        </is>
      </c>
      <c r="H25" t="inlineStr">
        <is>
          <t xml:space="preserve">a</t>
        </is>
      </c>
      <c r="L25" cm="1">
        <f t="array" ref="L25:L26">set(D25:D26)</f>
        <v>0</v>
      </c>
      <c r="P25" cm="1">
        <f t="array" ref="P25">IF(AND(H25:H26=L25:L26),"PASS","FAIL")</f>
        <v>0</v>
      </c>
    </row>
    <row r="26">
      <c r="D26">
        <f>REPT("z",300)</f>
      </c>
      <c r="H26">
        <f>REPT("z",300)</f>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f>COUNTIF(L6:L60,"PASS")&amp;" / 3 PASS"</f>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row r="15">
      <c r="A15">
        <v>3</v>
      </c>
      <c r="B15" s="55" t="inlineStr">
        <is>
          <t xml:space="preserve">&gt;255-char value survives (IFERROR/IFNA would blank it)</t>
        </is>
      </c>
      <c r="D15" s="51">
        <f>REPT("z",300)</f>
      </c>
      <c r="F15" t="inlineStr">
        <is>
          <t xml:space="preserve">b</t>
        </is>
      </c>
      <c r="H15">
        <f>REPT("z",300)</f>
      </c>
      <c r="J15" cm="1">
        <f t="array" ref="J15">set_d(D15:D16,F15)</f>
        <v>0</v>
      </c>
      <c r="L15" cm="1">
        <f t="array" ref="L15">IF(AND(H15=J15),"PASS","FAIL")</f>
        <v>0</v>
      </c>
    </row>
    <row r="16">
      <c r="D16" t="inlineStr">
        <is>
          <t xml:space="preserve">b</t>
        </is>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f>COUNTIF(L6:L60,"PASS")&amp;" / 4 PASS"</f>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row r="17">
      <c r="A17">
        <v>4</v>
      </c>
      <c r="B17" s="55" t="inlineStr">
        <is>
          <t xml:space="preserve">&gt;255-char value survives (IFERROR/IFNA would blank it)</t>
        </is>
      </c>
      <c r="D17" s="51">
        <f>REPT("z",300)</f>
      </c>
      <c r="F17" s="51">
        <f>REPT("z",300)</f>
      </c>
      <c r="H17">
        <f>REPT("z",300)</f>
      </c>
      <c r="J17" cm="1">
        <f t="array" ref="J17">set_i(D17:D18,F17)</f>
        <v>0</v>
      </c>
      <c r="L17" cm="1">
        <f t="array" ref="L17">IF(AND(H17=J17),"PASS","FAIL")</f>
        <v>0</v>
      </c>
    </row>
    <row r="18">
      <c r="D18" t="inlineStr">
        <is>
          <t xml:space="preserve">b</t>
        </is>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f>COUNTIF(R6:R60,"PASS")&amp;" / 8 PASS"</f>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row r="32">
      <c r="A32">
        <v>8</v>
      </c>
      <c r="B32" t="inlineStr">
        <is>
          <t xml:space="preserve">&gt;255-char value survives (IFERROR/IFNA would blank it)</t>
        </is>
      </c>
      <c r="D32" s="51" t="inlineStr">
        <is>
          <t xml:space="preserve">a</t>
        </is>
      </c>
      <c r="F32" t="inlineStr">
        <is>
          <t xml:space="preserve">D</t>
        </is>
      </c>
      <c r="L32" s="52">
        <f>REPT("z",300)</f>
      </c>
      <c r="O32" cm="1">
        <f t="array" ref="O32:O33">shift_arr(D32:D33,F32)</f>
        <v>0</v>
      </c>
      <c r="R32" cm="1">
        <f t="array" ref="R32">IF(AND(L32:L33=O32:O33),"PASS","FAIL")</f>
        <v>0</v>
      </c>
    </row>
    <row r="33">
      <c r="D33">
        <f>REPT("z",300)</f>
      </c>
      <c r="L33" s="52" t="inlineStr">
        <is>
          <t xml:space="preserve">a</t>
        </is>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f>COUNTIF(J6:J20,"PASS")&amp;" / 5 PASS"</f>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row r="15">
      <c r="A15">
        <v>5</v>
      </c>
      <c r="B15" s="55" t="inlineStr">
        <is>
          <t xml:space="preserve">TOCOL(x) 1x1 array input -&gt; full reversal (was last char only)</t>
        </is>
      </c>
      <c r="D15" s="51" t="inlineStr">
        <is>
          <t xml:space="preserve">hello</t>
        </is>
      </c>
      <c r="F15" s="52" t="inlineStr">
        <is>
          <t xml:space="preserve">olleh</t>
        </is>
      </c>
      <c r="H15" s="53" cm="1">
        <f t="array" ref="H15">str_rev(_xlfn.TOCOL(D15))</f>
        <v>0</v>
      </c>
      <c r="J15">
        <f>IF(H15=F15,"PASS","FAIL")</f>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f>COUNTIF(P6:P20,"PASS")&amp;" / 4 PASS"</f>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row r="16">
      <c r="A16">
        <v>4</v>
      </c>
      <c r="B16" s="47" t="inlineStr">
        <is>
          <t xml:space="preserve">TOCOL(x) 1x1 array input -&gt; every character (was first only)</t>
        </is>
      </c>
      <c r="D16" s="51" t="inlineStr">
        <is>
          <t xml:space="preserve">abc</t>
        </is>
      </c>
      <c r="H16" s="52" t="inlineStr">
        <is>
          <t xml:space="preserve">a</t>
        </is>
      </c>
      <c r="L16" s="53" cm="1">
        <f t="array" ref="L16:L18">str_to_arr(_xlfn.TOCOL(D16))</f>
        <v>0</v>
      </c>
      <c r="P16" s="54" cm="1">
        <f t="array" ref="P16">IF(AND(H16:H18=L16:L18),"PASS","FAIL")</f>
        <v>0</v>
      </c>
    </row>
    <row r="17">
      <c r="H17" t="inlineStr">
        <is>
          <t xml:space="preserve">b</t>
        </is>
      </c>
    </row>
    <row r="18">
      <c r="H18" t="inlineStr">
        <is>
          <t xml:space="preserve">c</t>
        </is>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f>COUNTIF(Y6:Y60,"PASS")&amp;" / 5 PASS"</f>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row r="22">
      <c r="A22">
        <v>5</v>
      </c>
      <c r="B22" s="55" t="inlineStr">
        <is>
          <t xml:space="preserve">&gt;255-char value survives (IFERROR/IFNA would blank it)</t>
        </is>
      </c>
      <c r="D22" s="51" t="inlineStr">
        <is>
          <t xml:space="preserve">a</t>
        </is>
      </c>
      <c r="G22" s="52" t="inlineStr">
        <is>
          <t xml:space="preserve">a</t>
        </is>
      </c>
      <c r="P22" s="53" cm="1">
        <f t="array" ref="P22:P23">xbyrow(D22:D23,_xlfn.LAMBDA(_xlpm.x,_xlpm.x))</f>
        <v>0</v>
      </c>
      <c r="Y22" cm="1">
        <f t="array" ref="Y22">IF(AND(G22:G23=P22:P23),"PASS","FAIL")</f>
        <v>0</v>
      </c>
    </row>
    <row r="23">
      <c r="D23">
        <f>REPT("z",300)</f>
      </c>
      <c r="G23" s="52">
        <f>REPT("z",300)</f>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f>COUNTIF(V6:V60,"PASS")&amp;" / 9 PASS"</f>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row r="36">
      <c r="A36">
        <v>7</v>
      </c>
      <c r="B36" s="55" t="inlineStr">
        <is>
          <t xml:space="preserve">&gt;255-char value survives (IFERROR/IFNA would blank it)</t>
        </is>
      </c>
      <c r="D36" s="51" t="inlineStr">
        <is>
          <t xml:space="preserve">a</t>
        </is>
      </c>
      <c r="H36" s="51">
        <v>0</v>
      </c>
      <c r="N36">
        <f>REPT("z",300)</f>
      </c>
      <c r="R36" cm="1">
        <f t="array" ref="R36">xfilter(D36:D37,H36:H37)</f>
        <v>0</v>
      </c>
      <c r="V36" cm="1">
        <f t="array" ref="V36">IF(AND(N36=R36),"PASS","FAIL")</f>
        <v>0</v>
      </c>
    </row>
    <row r="37">
      <c r="D37">
        <f>REPT("z",300)</f>
      </c>
      <c r="H37" s="51">
        <v>1</v>
      </c>
    </row>
    <row r="41">
      <c r="A41">
        <v>8</v>
      </c>
      <c r="B41" t="inlineStr">
        <is>
          <t xml:space="preserve">1-row array: 1x1 FALSE mask drops it (was returned unfiltered)</t>
        </is>
      </c>
      <c r="D41">
        <v>5</v>
      </c>
      <c r="H41" s="51">
        <v>0</v>
      </c>
      <c r="R41" cm="1">
        <f t="array" ref="R41">xfilter(D41,H41)</f>
        <v>0</v>
      </c>
      <c r="V41">
        <f>IF(R41="","PASS","FAIL")</f>
      </c>
    </row>
    <row r="43">
      <c r="A43">
        <v>9</v>
      </c>
      <c r="B43" t="inlineStr">
        <is>
          <t xml:space="preserve">1-row array: 1x1 TRUE mask keeps it</t>
        </is>
      </c>
      <c r="D43">
        <v>5</v>
      </c>
      <c r="H43" s="51">
        <v>1</v>
      </c>
      <c r="N43">
        <v>5</v>
      </c>
      <c r="R43" cm="1">
        <f t="array" ref="R43">xfilter(D43,H43)</f>
        <v>0</v>
      </c>
      <c r="V43">
        <f>IF(R43=N43,"PASS","FAIL")</f>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f>COUNTIF(R6:R50,"PASS")&amp;" / 8 PASS"</f>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row r="40">
      <c r="A40">
        <v>8</v>
      </c>
      <c r="B40" s="47" t="inlineStr">
        <is>
          <t xml:space="preserve">TOCOL(start) 1x1 array -&gt; full 1..3 (was 1 only)</t>
        </is>
      </c>
      <c r="D40" s="51">
        <v>1</v>
      </c>
      <c r="F40" s="51">
        <v>3</v>
      </c>
      <c r="N40" s="52">
        <v>1</v>
      </c>
      <c r="P40" s="53" cm="1">
        <f t="array" ref="P40:P42">xsequence(_xlfn.TOCOL(D40),F40)</f>
        <v>0</v>
      </c>
      <c r="R40" s="54" cm="1">
        <f t="array" ref="R40">IF(AND(N40:N42=P40:P42),"PASS","FAIL")</f>
        <v>0</v>
      </c>
    </row>
    <row r="41">
      <c r="N41">
        <v>2</v>
      </c>
    </row>
    <row r="42">
      <c r="N42">
        <v>3</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COUNTIF(R6:R60,"PASS")&amp;" / 8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row r="33">
      <c r="A33">
        <v>8</v>
      </c>
      <c r="B33" t="inlineStr">
        <is>
          <t xml:space="preserve">&gt;255-char value survives (IFERROR/IFNA would blank it)</t>
        </is>
      </c>
      <c r="D33" s="51" t="inlineStr">
        <is>
          <t xml:space="preserve">a</t>
        </is>
      </c>
      <c r="E33">
        <f>REPT("z",300)</f>
      </c>
      <c r="J33">
        <f>"a;"&amp;REPT("z",300)</f>
      </c>
      <c r="N33" cm="1">
        <f t="array" ref="N33">xtextjoin(D33:E33)</f>
        <v>0</v>
      </c>
      <c r="R33">
        <f>IF(N33=J33,"PASS","FAIL")</f>
      </c>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COUNTIF(Y6:Y60,"PASS")&amp;" / 5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row r="22">
      <c r="A22">
        <v>5</v>
      </c>
      <c r="B22" t="inlineStr">
        <is>
          <t xml:space="preserve">&gt;255-char value survives (IFERROR/IFNA would blank it)</t>
        </is>
      </c>
      <c r="D22" t="inlineStr">
        <is>
          <t xml:space="preserve">a</t>
        </is>
      </c>
      <c r="E22">
        <f>REPT("z",300)</f>
      </c>
      <c r="G22" s="52" t="inlineStr">
        <is>
          <t xml:space="preserve">a</t>
        </is>
      </c>
      <c r="H22" s="52">
        <f>REPT("z",300)</f>
      </c>
      <c r="P22" cm="1">
        <f t="array" ref="P22:Q22">xbycol(D22:E22,_xlfn.LAMBDA(_xlpm.c,_xlpm.c))</f>
        <v>0</v>
      </c>
      <c r="Y22" cm="1">
        <f t="array" ref="Y22">IF(AND(G22:H22=P22:Q22),"PASS","FAIL")</f>
        <v>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43"/>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inlineStr">
        <is>
          <t xml:space="preserve">prng(seed, [lo], [hi], [n]) - deterministic, non-volatile pseudorandom integers lo..hi (vectorised splitmix/lowbias32 hash)</t>
        </is>
      </c>
      <c r="R4" s="45">
        <f>COUNTIF(R6:R60,"PASS")&amp;" / 13 PASS"</f>
      </c>
    </row>
    <row r="5" spans="1:19" x14ac:dyDescent="0.5">
      <c r="A5" s="45" t="inlineStr">
        <is>
          <t xml:space="preserve">#</t>
        </is>
      </c>
      <c r="B5" s="45" t="inlineStr">
        <is>
          <t xml:space="preserve">Case</t>
        </is>
      </c>
      <c r="D5" s="45" t="inlineStr">
        <is>
          <t xml:space="preserve">Inputs (seed, lo, hi, n)</t>
        </is>
      </c>
      <c r="N5" s="48" t="inlineStr">
        <is>
          <t xml:space="preserve">Expected</t>
        </is>
      </c>
      <c r="P5" s="49" t="inlineStr">
        <is>
          <t xml:space="preserve">Actual</t>
        </is>
      </c>
      <c r="R5" s="50" t="inlineStr">
        <is>
          <t xml:space="preserve">Match</t>
        </is>
      </c>
    </row>
    <row r="6" spans="1:19" x14ac:dyDescent="0.5">
      <c r="A6" s="46">
        <v>1</v>
      </c>
      <c r="B6" s="47" t="inlineStr">
        <is>
          <t xml:space="preserve">seed 7: ten dice (bit-exact reference values)</t>
        </is>
      </c>
      <c r="D6" s="51">
        <v>7</v>
      </c>
      <c r="F6" s="51">
        <v>1</v>
      </c>
      <c r="H6">
        <v>6</v>
      </c>
      <c r="J6">
        <v>10</v>
      </c>
      <c r="N6" s="52">
        <v>2</v>
      </c>
      <c r="P6" s="53" cm="1">
        <f t="array" ref="P6:P15">prng(D6,F6,H6,J6)</f>
        <v>0</v>
      </c>
      <c r="R6" s="54" cm="1">
        <f t="array" ref="R6">IF(AND(N6:N15=P6:P15),"PASS","FAIL")</f>
        <v>0</v>
      </c>
    </row>
    <row r="7" spans="1:19" x14ac:dyDescent="0.5">
      <c r="A7" s="55"/>
      <c r="B7" s="55"/>
      <c r="N7" s="52">
        <v>2</v>
      </c>
      <c r="P7" s="53"/>
    </row>
    <row r="8" spans="1:19" x14ac:dyDescent="0.5">
      <c r="A8" s="55"/>
      <c r="B8" s="55"/>
      <c r="N8" s="52">
        <v>5</v>
      </c>
      <c r="P8" s="53"/>
    </row>
    <row r="9" spans="1:19" x14ac:dyDescent="0.5">
      <c r="A9" s="55"/>
      <c r="B9" s="55"/>
      <c r="N9" s="52">
        <v>4</v>
      </c>
      <c r="P9" s="53"/>
    </row>
    <row r="10" spans="1:19" x14ac:dyDescent="0.5">
      <c r="A10" s="55"/>
      <c r="B10" s="55"/>
      <c r="N10" s="52">
        <v>1</v>
      </c>
      <c r="P10" s="53"/>
    </row>
    <row r="11">
      <c r="N11">
        <v>3</v>
      </c>
    </row>
    <row r="12" spans="1:19" x14ac:dyDescent="0.5">
      <c r="A12" s="46"/>
      <c r="B12" s="47"/>
      <c r="D12" s="51"/>
      <c r="F12" s="51"/>
      <c r="H12" s="51"/>
      <c r="N12" s="52">
        <v>2</v>
      </c>
      <c r="P12" s="53"/>
      <c r="R12" s="54"/>
    </row>
    <row r="13" spans="1:19" x14ac:dyDescent="0.5">
      <c r="A13" s="55"/>
      <c r="B13" s="55"/>
      <c r="N13" s="52">
        <v>1</v>
      </c>
      <c r="P13" s="53"/>
    </row>
    <row r="14" spans="1:19" x14ac:dyDescent="0.5">
      <c r="A14" s="55"/>
      <c r="B14" s="55"/>
      <c r="N14" s="52">
        <v>2</v>
      </c>
      <c r="P14" s="53"/>
    </row>
    <row r="15">
      <c r="N15">
        <v>1</v>
      </c>
    </row>
    <row r="16" spans="1:19" x14ac:dyDescent="0.5">
      <c r="A16" s="46"/>
      <c r="B16" s="47"/>
      <c r="D16" s="51"/>
      <c r="F16" s="51"/>
      <c r="H16" s="51"/>
      <c r="J16" s="51"/>
      <c r="N16" s="52"/>
      <c r="P16" s="53"/>
      <c r="R16" s="54"/>
    </row>
    <row r="17" spans="1:18" x14ac:dyDescent="0.5">
      <c r="A17" s="55">
        <v>2</v>
      </c>
      <c r="B17" s="55" t="inlineStr">
        <is>
          <t xml:space="preserve">defaults: prng(seed) -&gt; one value in 0..100</t>
        </is>
      </c>
      <c r="D17" s="51">
        <v>7</v>
      </c>
      <c r="N17" s="52">
        <v>75</v>
      </c>
      <c r="P17" s="53" cm="1">
        <f t="array" ref="P17">prng(D17)</f>
        <v>0</v>
      </c>
      <c r="R17" s="54">
        <f>IF(P17=N17,"PASS","FAIL")</f>
      </c>
    </row>
    <row r="18" spans="1:18" x14ac:dyDescent="0.5">
      <c r="A18" s="55"/>
      <c r="B18" s="55"/>
      <c r="N18" s="52"/>
      <c r="P18" s="53"/>
    </row>
    <row r="19" spans="1:18" x14ac:dyDescent="0.5">
      <c r="A19" s="55">
        <v>3</v>
      </c>
      <c r="B19" s="55" t="inlineStr">
        <is>
          <t xml:space="preserve">negative seed</t>
        </is>
      </c>
      <c r="D19">
        <v>-3</v>
      </c>
      <c r="F19">
        <v>0</v>
      </c>
      <c r="H19">
        <v>100</v>
      </c>
      <c r="J19">
        <v>5</v>
      </c>
      <c r="N19" s="52">
        <v>73</v>
      </c>
      <c r="P19" s="53" cm="1">
        <f t="array" ref="P19:P23">prng(D19,F19,H19,J19)</f>
        <v>0</v>
      </c>
      <c r="R19" cm="1">
        <f t="array" ref="R19">IF(AND(N19:N23=P19:P23),"PASS","FAIL")</f>
        <v>0</v>
      </c>
    </row>
    <row r="20" spans="1:18" x14ac:dyDescent="0.5">
      <c r="A20" s="55"/>
      <c r="B20" s="55"/>
      <c r="N20" s="52">
        <v>61</v>
      </c>
      <c r="P20" s="53"/>
    </row>
    <row r="21" spans="1:18" x14ac:dyDescent="0.5">
      <c r="A21" s="55"/>
      <c r="B21" s="55"/>
      <c r="N21" s="52">
        <v>65</v>
      </c>
      <c r="P21" s="53"/>
    </row>
    <row r="22">
      <c r="N22">
        <v>91</v>
      </c>
    </row>
    <row r="23" spans="1:18" x14ac:dyDescent="0.5">
      <c r="A23" s="46"/>
      <c r="B23" s="47"/>
      <c r="D23" s="51"/>
      <c r="F23" s="51"/>
      <c r="H23" s="51"/>
      <c r="J23" s="51"/>
      <c r="L23" s="51"/>
      <c r="N23" s="52">
        <v>63</v>
      </c>
      <c r="P23" s="53"/>
      <c r="R23" s="54"/>
    </row>
    <row r="24" spans="1:18" x14ac:dyDescent="0.5">
      <c r="A24" s="55"/>
      <c r="B24" s="55"/>
      <c r="N24" s="52"/>
      <c r="P24" s="53"/>
    </row>
    <row r="25" spans="1:18" x14ac:dyDescent="0.5">
      <c r="A25" s="55">
        <v>4</v>
      </c>
      <c r="B25" s="55" t="inlineStr">
        <is>
          <t xml:space="preserve">lo &gt; hi are swapped; 11-digit seed</t>
        </is>
      </c>
      <c r="D25">
        <v>12345678901</v>
      </c>
      <c r="F25">
        <v>10</v>
      </c>
      <c r="H25">
        <v>1</v>
      </c>
      <c r="J25">
        <v>4</v>
      </c>
      <c r="N25" s="52">
        <v>4</v>
      </c>
      <c r="P25" s="53" cm="1">
        <f t="array" ref="P25:P28">prng(D25,F25,H25,J25)</f>
        <v>0</v>
      </c>
      <c r="R25" cm="1">
        <f t="array" ref="R25">IF(AND(N25:N28=P25:P28),"PASS","FAIL")</f>
        <v>0</v>
      </c>
    </row>
    <row r="26" spans="1:18" x14ac:dyDescent="0.5">
      <c r="A26" s="55"/>
      <c r="B26" s="55"/>
      <c r="N26" s="52">
        <v>3</v>
      </c>
      <c r="P26" s="53"/>
    </row>
    <row r="27" spans="1:18" x14ac:dyDescent="0.5">
      <c r="A27" s="55"/>
      <c r="B27" s="55"/>
      <c r="N27" s="52">
        <v>6</v>
      </c>
      <c r="P27" s="53"/>
    </row>
    <row r="28" spans="1:18" x14ac:dyDescent="0.5">
      <c r="A28" s="55"/>
      <c r="B28" s="55"/>
      <c r="N28" s="52">
        <v>4</v>
      </c>
      <c r="P28" s="53"/>
    </row>
    <row r="30" spans="1:18" x14ac:dyDescent="0.5">
      <c r="A30" s="46">
        <v>5</v>
      </c>
      <c r="B30" s="47" t="inlineStr">
        <is>
          <t xml:space="preserve">non-integer arguments are truncated (INT)</t>
        </is>
      </c>
      <c r="D30" s="51">
        <v>7.9</v>
      </c>
      <c r="F30" s="51">
        <v>1.2</v>
      </c>
      <c r="H30">
        <v>6.7</v>
      </c>
      <c r="J30">
        <v>2.5</v>
      </c>
      <c r="N30" s="52">
        <v>2</v>
      </c>
      <c r="P30" s="53" cm="1">
        <f t="array" ref="P30:P31">prng(D30,F30,H30,J30)</f>
        <v>0</v>
      </c>
      <c r="R30" s="54" cm="1">
        <f t="array" ref="R30">IF(AND(N30:N31=P30:P31),"PASS","FAIL")</f>
        <v>0</v>
      </c>
    </row>
    <row r="31" spans="1:18" x14ac:dyDescent="0.5">
      <c r="A31" s="55"/>
      <c r="B31" s="55"/>
      <c r="N31" s="52">
        <v>2</v>
      </c>
      <c r="P31" s="53"/>
    </row>
    <row r="32" spans="1:18" x14ac:dyDescent="0.5">
      <c r="A32" s="55"/>
      <c r="B32" s="55"/>
      <c r="N32" s="52"/>
      <c r="P32" s="53"/>
    </row>
    <row r="33" spans="1:18" x14ac:dyDescent="0.5">
      <c r="A33" s="55">
        <v>6</v>
      </c>
      <c r="B33" s="55" t="inlineStr">
        <is>
          <t xml:space="preserve">n rows x 1 col; every value an integer within lo..hi</t>
        </is>
      </c>
      <c r="D33">
        <v>3</v>
      </c>
      <c r="F33">
        <v>10</v>
      </c>
      <c r="H33">
        <v>20</v>
      </c>
      <c r="J33">
        <v>1000</v>
      </c>
      <c r="N33" s="52" t="b">
        <v>1</v>
      </c>
      <c r="P33" s="53" cm="1">
        <f t="array" ref="P33">AND(ROWS(prng(D33,F33,H33,J33))=J33,COLUMNS(prng(D33,F33,H33,J33))=1,MIN(prng(D33,F33,H33,J33))=F33,MAX(prng(D33,F33,H33,J33))=H33,SUM(--(INT(prng(D33,F33,H33,J33))&lt;&gt;prng(D33,F33,H33,J33)))=0)</f>
        <v>0</v>
      </c>
      <c r="R33">
        <f>IF(P33=N33,"PASS","FAIL")</f>
      </c>
    </row>
    <row r="34" spans="1:18" x14ac:dyDescent="0.5">
      <c r="A34" s="55"/>
      <c r="B34" s="55"/>
      <c r="N34" s="52"/>
      <c r="P34" s="53"/>
    </row>
    <row r="35">
      <c r="A35">
        <v>7</v>
      </c>
      <c r="B35" s="55" t="inlineStr">
        <is>
          <t xml:space="preserve">uniform: 60,000 dice, count per face (~10,000 each; exact = regression anchor)</t>
        </is>
      </c>
      <c r="D35">
        <v>42</v>
      </c>
      <c r="F35">
        <v>1</v>
      </c>
      <c r="H35">
        <v>6</v>
      </c>
      <c r="J35">
        <v>60000</v>
      </c>
      <c r="L35">
        <v>1</v>
      </c>
      <c r="N35" s="52">
        <v>10118</v>
      </c>
      <c r="P35" s="53" cm="1">
        <f t="array" ref="P35">SUM(--(prng($D$35,$F$35,$H$35,$J$35)=L35))</f>
        <v>0</v>
      </c>
      <c r="R35" cm="1">
        <f t="array" ref="R35">IF(AND(N35:N40=P35:P40),"PASS","FAIL")</f>
        <v>0</v>
      </c>
    </row>
    <row r="36" spans="1:18" x14ac:dyDescent="0.5">
      <c r="A36" s="46"/>
      <c r="B36" s="47"/>
      <c r="D36" s="51"/>
      <c r="F36" s="51"/>
      <c r="L36">
        <v>2</v>
      </c>
      <c r="N36" s="52">
        <v>10120</v>
      </c>
      <c r="P36" s="53" cm="1">
        <f t="array" ref="P36">SUM(--(prng($D$35,$F$35,$H$35,$J$35)=L36))</f>
        <v>0</v>
      </c>
      <c r="R36" s="54"/>
    </row>
    <row r="37">
      <c r="L37">
        <v>3</v>
      </c>
      <c r="N37" s="52">
        <v>9854</v>
      </c>
      <c r="P37" s="53" cm="1">
        <f t="array" ref="P37">SUM(--(prng($D$35,$F$35,$H$35,$J$35)=L37))</f>
        <v>0</v>
      </c>
    </row>
    <row r="38" spans="1:18" x14ac:dyDescent="0.5">
      <c r="A38" s="46"/>
      <c r="B38" s="47"/>
      <c r="D38" s="51"/>
      <c r="F38" s="51"/>
      <c r="L38">
        <v>4</v>
      </c>
      <c r="N38" s="52">
        <v>9994</v>
      </c>
      <c r="P38" s="53" cm="1">
        <f t="array" ref="P38">SUM(--(prng($D$35,$F$35,$H$35,$J$35)=L38))</f>
        <v>0</v>
      </c>
      <c r="R38" s="54"/>
    </row>
    <row r="39">
      <c r="L39">
        <v>5</v>
      </c>
      <c r="N39" s="52">
        <v>10010</v>
      </c>
      <c r="P39" s="53" cm="1">
        <f t="array" ref="P39">SUM(--(prng($D$35,$F$35,$H$35,$J$35)=L39))</f>
        <v>0</v>
      </c>
    </row>
    <row r="40">
      <c r="L40">
        <v>6</v>
      </c>
      <c r="N40" s="52">
        <v>9904</v>
      </c>
      <c r="P40" s="53" cm="1">
        <f t="array" ref="P40">SUM(--(prng($D$35,$F$35,$H$35,$J$35)=L40))</f>
        <v>0</v>
      </c>
    </row>
    <row r="42">
      <c r="A42">
        <v>8</v>
      </c>
      <c r="B42" t="inlineStr">
        <is>
          <t xml:space="preserve">mean of 100,000 dice rounds to 3.5</t>
        </is>
      </c>
      <c r="D42">
        <v>1</v>
      </c>
      <c r="F42">
        <v>1</v>
      </c>
      <c r="H42">
        <v>6</v>
      </c>
      <c r="J42">
        <v>100000</v>
      </c>
      <c r="N42" s="52">
        <v>3.5</v>
      </c>
      <c r="P42" s="53" cm="1">
        <f t="array" ref="P42">ROUND(AVERAGE(prng(D42,F42,H42,J42)),1)</f>
        <v>0</v>
      </c>
      <c r="R42">
        <f>IF(P42=N42,"PASS","FAIL")</f>
      </c>
    </row>
    <row r="44">
      <c r="A44">
        <v>9</v>
      </c>
      <c r="B44" t="inlineStr">
        <is>
          <t xml:space="preserve">seeds 1 vs 2: 100 draws in 1..100 agree in ~1 position (unrelated lists)</t>
        </is>
      </c>
      <c r="D44">
        <v>1</v>
      </c>
      <c r="F44">
        <v>1</v>
      </c>
      <c r="H44">
        <v>100</v>
      </c>
      <c r="J44">
        <v>100</v>
      </c>
      <c r="N44" s="52">
        <v>1</v>
      </c>
      <c r="P44" s="53" cm="1">
        <f t="array" ref="P44">SUM(--(prng(D44,F44,H44,J44)=prng(D44+1,F44,H44,J44)))</f>
        <v>0</v>
      </c>
      <c r="R44">
        <f>IF(P44=N44,"PASS","FAIL")</f>
      </c>
    </row>
    <row r="46">
      <c r="A46">
        <v>10</v>
      </c>
      <c r="B46" t="inlineStr">
        <is>
          <t xml:space="preserve">n=1 result is a true scalar (SEQUENCE sees 3, not 1x1)</t>
        </is>
      </c>
      <c r="D46">
        <v>7</v>
      </c>
      <c r="F46">
        <v>3</v>
      </c>
      <c r="H46">
        <v>3</v>
      </c>
      <c r="N46" s="52">
        <v>3</v>
      </c>
      <c r="P46" s="53" cm="1">
        <f t="array" ref="P46">ROWS(_xlfn.SEQUENCE(prng(D46,F46,H46)))</f>
        <v>0</v>
      </c>
      <c r="R46">
        <f>IF(P46=N46,"PASS","FAIL")</f>
      </c>
    </row>
    <row r="48">
      <c r="A48">
        <v>11</v>
      </c>
      <c r="B48" t="inlineStr">
        <is>
          <t xml:space="preserve">n = 0 -&gt; #CALC!</t>
        </is>
      </c>
      <c r="D48">
        <v>1</v>
      </c>
      <c r="F48">
        <v>1</v>
      </c>
      <c r="H48">
        <v>6</v>
      </c>
      <c r="J48">
        <v>0</v>
      </c>
      <c r="N48" s="52" t="inlineStr">
        <is>
          <t xml:space="preserve">#CALC!</t>
        </is>
      </c>
      <c r="P48" s="53" cm="1">
        <f t="array" ref="P48">prng(D48,F48,H48,J48)</f>
        <v>0</v>
      </c>
      <c r="R48">
        <f>IF(ERROR.TYPE(P48)=14,"PASS","FAIL")</f>
      </c>
    </row>
    <row r="50">
      <c r="A50">
        <v>12</v>
      </c>
      <c r="B50" t="inlineStr">
        <is>
          <t xml:space="preserve">same arguments twice -&gt; identical list (deterministic, non-volatile)</t>
        </is>
      </c>
      <c r="D50">
        <v>5</v>
      </c>
      <c r="F50">
        <v>1</v>
      </c>
      <c r="H50">
        <v>100</v>
      </c>
      <c r="J50">
        <v>50</v>
      </c>
      <c r="N50" s="52" t="b">
        <v>1</v>
      </c>
      <c r="P50" s="53" cm="1">
        <f t="array" ref="P50">AND(prng(D50,F50,H50,J50)=prng(D50,F50,H50,J50))</f>
        <v>0</v>
      </c>
      <c r="R50">
        <f>IF(P50=N50,"PASS","FAIL")</f>
      </c>
    </row>
    <row r="52">
      <c r="A52">
        <v>13</v>
      </c>
      <c r="B52" t="inlineStr">
        <is>
          <t xml:space="preserve">TOCOL(n) 1x1 array -&gt; all 3 draws (was 1)</t>
        </is>
      </c>
      <c r="D52">
        <v>7</v>
      </c>
      <c r="F52">
        <v>1</v>
      </c>
      <c r="H52">
        <v>6</v>
      </c>
      <c r="J52">
        <v>3</v>
      </c>
      <c r="N52" s="52">
        <v>2</v>
      </c>
      <c r="P52" s="53" cm="1">
        <f t="array" ref="P52:P54">prng(D52,F52,H52,_xlfn.TOCOL(J52))</f>
        <v>0</v>
      </c>
      <c r="R52" cm="1">
        <f t="array" ref="R52">IF(AND(N52:N54=P52:P54),"PASS","FAIL")</f>
        <v>0</v>
      </c>
    </row>
    <row r="53">
      <c r="N53">
        <v>2</v>
      </c>
    </row>
    <row r="54">
      <c r="N54">
        <v>5</v>
      </c>
    </row>
  </sheetData>
  <mergeCells count="3">
    <mergeCell ref="I1:R1"/>
    <mergeCell ref="B2:R2"/>
    <mergeCell ref="B1:F1"/>
  </mergeCells>
  <pageMargins left="0.75" right="0.75" top="1" bottom="1" header="0.5" footer="0.5"/>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144"/>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inlineStr">
        <is>
          <t xml:space="preserve">exlookup(lookup_value, lookup_array, return_array, [if_not_found], [match_mode], [search_mode]) - case-sensitive XLOOKUP (EXACT). match_mode 2 = case-sensitive wildcard; -1/1 = exact case hit first, else XLOOKUP's next smaller/larger</t>
        </is>
      </c>
      <c r="N4" s="45">
        <f>COUNTIF(N6:N60,"PASS")&amp;" / 14 PASS"</f>
      </c>
    </row>
    <row r="5" spans="1:19" x14ac:dyDescent="0.5">
      <c r="A5" s="45" t="inlineStr">
        <is>
          <t xml:space="preserve">#</t>
        </is>
      </c>
      <c r="B5" s="45" t="inlineStr">
        <is>
          <t xml:space="preserve">Case</t>
        </is>
      </c>
      <c r="D5" s="45" t="inlineStr">
        <is>
          <t xml:space="preserve">Inputs</t>
        </is>
      </c>
      <c r="J5" s="48" t="inlineStr">
        <is>
          <t xml:space="preserve">Expected</t>
        </is>
      </c>
      <c r="L5" s="49" t="inlineStr">
        <is>
          <t xml:space="preserve">Actual</t>
        </is>
      </c>
      <c r="N5" s="50" t="inlineStr">
        <is>
          <t xml:space="preserve">Match</t>
        </is>
      </c>
    </row>
    <row r="6" spans="1:19" x14ac:dyDescent="0.5">
      <c r="A6" s="46">
        <v>1</v>
      </c>
      <c r="B6" s="47" t="inlineStr">
        <is>
          <t xml:space="preserve">case-sensitive hit: "b" in {A;B;b;C} -&gt; 3 (XLOOKUP would give 2)</t>
        </is>
      </c>
      <c r="D6" s="51" t="inlineStr">
        <is>
          <t xml:space="preserve">"b" / {A;B;b;C} / {1;2;3;4}</t>
        </is>
      </c>
      <c r="F6" s="51"/>
      <c r="J6" s="52">
        <v>3</v>
      </c>
      <c r="L6" s="53" cm="1">
        <f t="array" ref="L6">exlookup("b",{"A";"B";"b";"C"},{1;2;3;4})</f>
        <v>0</v>
      </c>
      <c r="N6" s="54">
        <f>IF(L6=J6,"PASS","FAIL")</f>
      </c>
    </row>
    <row r="8" spans="1:19" x14ac:dyDescent="0.5">
      <c r="A8" s="46">
        <v>2</v>
      </c>
      <c r="B8" s="47" t="inlineStr">
        <is>
          <t xml:space="preserve">no case-exact match -&gt; #N/A</t>
        </is>
      </c>
      <c r="D8" s="51" t="inlineStr">
        <is>
          <t xml:space="preserve">"c" / {A;B;C}</t>
        </is>
      </c>
      <c r="F8" s="51"/>
      <c r="J8" s="52">
        <v>7</v>
      </c>
      <c r="L8" s="53" cm="1">
        <f t="array" ref="L8">ERROR.TYPE(exlookup("c",{"A";"B";"C"},{1;2;3}))</f>
        <v>0</v>
      </c>
      <c r="N8" s="54">
        <f>IF(L8=J8,"PASS","FAIL")</f>
      </c>
    </row>
    <row r="10" spans="1:19" x14ac:dyDescent="0.5">
      <c r="A10" s="46">
        <v>3</v>
      </c>
      <c r="B10" s="47" t="inlineStr">
        <is>
          <t xml:space="preserve">if_not_found returned</t>
        </is>
      </c>
      <c r="D10" s="51" t="inlineStr">
        <is>
          <t xml:space="preserve">"c" / {A;B;C} / "none"</t>
        </is>
      </c>
      <c r="F10" s="51"/>
      <c r="H10" s="51"/>
      <c r="J10" s="52" t="inlineStr">
        <is>
          <t xml:space="preserve">none</t>
        </is>
      </c>
      <c r="L10" s="53" cm="1">
        <f t="array" ref="L10">exlookup("c",{"A";"B";"C"},{1;2;3},"none")</f>
        <v>0</v>
      </c>
      <c r="N10" s="54">
        <f>IF(L10=J10,"PASS","FAIL")</f>
      </c>
    </row>
    <row r="12" spans="1:19" x14ac:dyDescent="0.5">
      <c r="A12" s="46">
        <v>4</v>
      </c>
      <c r="B12" s="47" t="inlineStr">
        <is>
          <t xml:space="preserve">search_mode -1 (last to first)</t>
        </is>
      </c>
      <c r="D12" s="51" t="inlineStr">
        <is>
          <t xml:space="preserve">"b" / {b;B;b} / -1</t>
        </is>
      </c>
      <c r="F12" s="51"/>
      <c r="J12" s="52">
        <v>3</v>
      </c>
      <c r="L12" s="53" cm="1">
        <f t="array" ref="L12">exlookup("b",{"b";"B";"b"},{1;2;3},,,-1)</f>
        <v>0</v>
      </c>
      <c r="N12" s="54">
        <f>IF(L12=J12,"PASS","FAIL")</f>
      </c>
    </row>
    <row r="14" spans="1:19" x14ac:dyDescent="0.5">
      <c r="A14" s="46">
        <v>5</v>
      </c>
      <c r="B14" s="47" t="inlineStr">
        <is>
          <t xml:space="preserve">horizontal vectors</t>
        </is>
      </c>
      <c r="D14" s="51" t="inlineStr">
        <is>
          <t xml:space="preserve">"b" / {A,b,B}</t>
        </is>
      </c>
      <c r="F14" s="51"/>
      <c r="J14" s="52">
        <v>2</v>
      </c>
      <c r="L14" s="53" cm="1">
        <f t="array" ref="L14">exlookup("b",{"A","b","B"},{1,2,3})</f>
        <v>0</v>
      </c>
      <c r="N14" s="54">
        <f>IF(L14=J14,"PASS","FAIL")</f>
      </c>
    </row>
    <row r="15" spans="1:19" x14ac:dyDescent="0.5">
      <c r="A15" s="55"/>
      <c r="B15" s="55"/>
      <c r="F15" s="51"/>
      <c r="J15" s="52"/>
      <c r="L15" s="53"/>
    </row>
    <row r="16">
      <c r="A16">
        <v>6</v>
      </c>
      <c r="B16" s="55" t="inlineStr">
        <is>
          <t xml:space="preserve">multi-column return spills</t>
        </is>
      </c>
      <c r="D16" t="inlineStr">
        <is>
          <t xml:space="preserve">"b" / {A;b} / {1,10;2,20}</t>
        </is>
      </c>
      <c r="J16" s="52">
        <v>2</v>
      </c>
      <c r="K16">
        <v>20</v>
      </c>
      <c r="L16" s="53" cm="1">
        <f t="array" ref="L16:M16">exlookup("b",{"A";"b"},{1,10;2,20})</f>
        <v>0</v>
      </c>
      <c r="N16" cm="1">
        <f t="array" ref="N16">IF(AND(J16:K16=L16:M16),"PASS","FAIL")</f>
        <v>0</v>
      </c>
    </row>
    <row r="17" spans="1:14" x14ac:dyDescent="0.5">
      <c r="A17" s="46"/>
      <c r="B17" s="47"/>
      <c r="D17" s="51"/>
      <c r="F17" s="51"/>
      <c r="J17" s="52"/>
      <c r="L17" s="53"/>
      <c r="N17" s="54"/>
    </row>
    <row r="18" spans="1:14" x14ac:dyDescent="0.5">
      <c r="A18" s="55">
        <v>7</v>
      </c>
      <c r="B18" s="55" t="inlineStr">
        <is>
          <t xml:space="preserve">array of lookup values (element-wise)</t>
        </is>
      </c>
      <c r="D18" s="51" t="inlineStr">
        <is>
          <t xml:space="preserve">{b;A} / {A;b} / {1;2}</t>
        </is>
      </c>
      <c r="J18" s="52">
        <v>2</v>
      </c>
      <c r="L18" s="53" cm="1">
        <f t="array" ref="L18:L19">exlookup({"b";"A"},{"A";"b"},{1;2})</f>
        <v>0</v>
      </c>
      <c r="N18" s="54" cm="1">
        <f t="array" ref="N18">IF(AND(J18:J19=L18:L19),"PASS","FAIL")</f>
        <v>0</v>
      </c>
    </row>
    <row r="19">
      <c r="J19">
        <v>1</v>
      </c>
    </row>
    <row r="21">
      <c r="A21">
        <v>8</v>
      </c>
      <c r="B21" t="inlineStr">
        <is>
          <t xml:space="preserve">numbers behave as in XLOOKUP</t>
        </is>
      </c>
      <c r="D21" t="inlineStr">
        <is>
          <t xml:space="preserve">2 / {1;2;3} / {x;y;z}</t>
        </is>
      </c>
      <c r="J21" t="inlineStr">
        <is>
          <t xml:space="preserve">y</t>
        </is>
      </c>
      <c r="L21" cm="1">
        <f t="array" ref="L21">exlookup(2,{1;2;3},{"x";"y";"z"})</f>
        <v>0</v>
      </c>
      <c r="N21">
        <f>IF(L21=J21,"PASS","FAIL")</f>
      </c>
    </row>
    <row r="23">
      <c r="A23">
        <v>9</v>
      </c>
      <c r="B23" t="inlineStr">
        <is>
          <t xml:space="preserve">wildcard mode 2 is case-sensitive: "b*t" -&gt; bat not Bat</t>
        </is>
      </c>
      <c r="D23" t="inlineStr">
        <is>
          <t xml:space="preserve">"b*t" / {Bat;bat;cat} / mode 2</t>
        </is>
      </c>
      <c r="J23">
        <v>2</v>
      </c>
      <c r="L23" cm="1">
        <f t="array" ref="L23">exlookup("b*t",{"Bat";"bat";"cat"},{1;2;3},,2)</f>
        <v>0</v>
      </c>
      <c r="N23">
        <f>IF(L23=J23,"PASS","FAIL")</f>
      </c>
    </row>
    <row r="25">
      <c r="A25">
        <v>10</v>
      </c>
      <c r="B25" t="inlineStr">
        <is>
          <t xml:space="preserve">wildcard: "a.c" is literal (regex dot escaped) -&gt; no match</t>
        </is>
      </c>
      <c r="D25" t="inlineStr">
        <is>
          <t xml:space="preserve">"a.c" / {abc;xyz} / "none" / mode 2</t>
        </is>
      </c>
      <c r="J25" t="inlineStr">
        <is>
          <t xml:space="preserve">none</t>
        </is>
      </c>
      <c r="L25" cm="1">
        <f t="array" ref="L25">exlookup("a.c",{"abc";"xyz"},{1;2},"none",2)</f>
        <v>0</v>
      </c>
      <c r="N25">
        <f>IF(L25=J25,"PASS","FAIL")</f>
      </c>
    </row>
    <row r="27">
      <c r="A27">
        <v>11</v>
      </c>
      <c r="B27" t="inlineStr">
        <is>
          <t xml:space="preserve">mode -1: next smaller when no exact</t>
        </is>
      </c>
      <c r="D27" t="inlineStr">
        <is>
          <t xml:space="preserve">2.5 / {1;2;3} / mode -1</t>
        </is>
      </c>
      <c r="J27" t="inlineStr">
        <is>
          <t xml:space="preserve">b</t>
        </is>
      </c>
      <c r="L27" cm="1">
        <f t="array" ref="L27">exlookup(2.5,{1;2;3},{"a";"b";"c"},,-1)</f>
        <v>0</v>
      </c>
      <c r="N27">
        <f>IF(L27=J27,"PASS","FAIL")</f>
      </c>
    </row>
    <row r="29">
      <c r="A29">
        <v>12</v>
      </c>
      <c r="B29" t="inlineStr">
        <is>
          <t xml:space="preserve">mode 1: next larger when no exact</t>
        </is>
      </c>
      <c r="D29" t="inlineStr">
        <is>
          <t xml:space="preserve">2.5 / {1;2;3} / mode 1</t>
        </is>
      </c>
      <c r="J29" t="inlineStr">
        <is>
          <t xml:space="preserve">c</t>
        </is>
      </c>
      <c r="L29" cm="1">
        <f t="array" ref="L29">exlookup(2.5,{1;2;3},{"a";"b";"c"},,1)</f>
        <v>0</v>
      </c>
      <c r="N29">
        <f>IF(L29=J29,"PASS","FAIL")</f>
      </c>
    </row>
    <row r="31">
      <c r="A31">
        <v>13</v>
      </c>
      <c r="B31" t="inlineStr">
        <is>
          <t xml:space="preserve">mode -1 still prefers the exact case-sensitive text hit</t>
        </is>
      </c>
      <c r="D31" t="inlineStr">
        <is>
          <t xml:space="preserve">"b" / {B;b} / mode -1</t>
        </is>
      </c>
      <c r="J31">
        <v>2</v>
      </c>
      <c r="L31" cm="1">
        <f t="array" ref="L31">exlookup("b",{"B";"b"},{1;2},,-1)</f>
        <v>0</v>
      </c>
      <c r="N31">
        <f>IF(L31=J31,"PASS","FAIL")</f>
      </c>
    </row>
    <row r="33">
      <c r="A33">
        <v>14</v>
      </c>
      <c r="B33" t="inlineStr">
        <is>
          <t xml:space="preserve">tilde-escaped "~*x" matches the literal "*x"</t>
        </is>
      </c>
      <c r="D33" t="inlineStr">
        <is>
          <t xml:space="preserve">"~*x" / {ax;*x} / mode 2</t>
        </is>
      </c>
      <c r="J33">
        <v>2</v>
      </c>
      <c r="L33" cm="1">
        <f t="array" ref="L33">exlookup("~*x",{"ax";"*x"},{1;2},,2)</f>
        <v>0</v>
      </c>
      <c r="N33">
        <f>IF(L33=J33,"PASS","FAIL")</f>
      </c>
    </row>
  </sheetData>
  <mergeCells count="3">
    <mergeCell ref="I1:R1"/>
    <mergeCell ref="B2:R2"/>
    <mergeCell ref="B1:F1"/>
  </mergeCells>
  <pageMargins left="0.75" right="0.75" top="1" bottom="1" header="0.5" footer="0.5"/>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145"/>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inlineStr">
        <is>
          <t xml:space="preserve">move_rng(ad_or_rng, arrow, [distance]) - slide an address/range in an arrow direction; text in -&gt; moved range as text (same format), real range in -&gt; destination CONTENTS; clipped to the sheet, nothing left -&gt; "oob"</t>
        </is>
      </c>
      <c r="J4">
        <f>COUNTIF(J6:J60,"PASS")&amp;" / 15 PASS"</f>
      </c>
      <c r="P4" s="45"/>
    </row>
    <row r="5" spans="1:19" x14ac:dyDescent="0.5">
      <c r="A5" s="45" t="inlineStr">
        <is>
          <t xml:space="preserve">#</t>
        </is>
      </c>
      <c r="B5" s="45" t="inlineStr">
        <is>
          <t xml:space="preserve">Case</t>
        </is>
      </c>
      <c r="D5" s="45" t="inlineStr">
        <is>
          <t xml:space="preserve">Inputs</t>
        </is>
      </c>
      <c r="F5" t="inlineStr">
        <is>
          <t xml:space="preserve">Expected</t>
        </is>
      </c>
      <c r="H5" s="48" t="inlineStr">
        <is>
          <t xml:space="preserve">Actual</t>
        </is>
      </c>
      <c r="J5" t="inlineStr">
        <is>
          <t xml:space="preserve">Match</t>
        </is>
      </c>
      <c r="L5" s="49"/>
      <c r="P5" s="50"/>
    </row>
    <row r="6" spans="1:19" x14ac:dyDescent="0.5">
      <c r="A6" s="46">
        <v>1</v>
      </c>
      <c r="B6" s="47" t="inlineStr">
        <is>
          <t xml:space="preserve">"B2:C10" up-left 1 -&gt; "A1:B9"</t>
        </is>
      </c>
      <c r="D6" s="51" t="inlineStr">
        <is>
          <t xml:space="preserve">"B2:C10" ↖</t>
        </is>
      </c>
      <c r="F6" s="52" t="inlineStr">
        <is>
          <t xml:space="preserve">A1:B9</t>
        </is>
      </c>
      <c r="H6" s="53" cm="1">
        <f t="array" ref="H6">move_rng("B2:C10","↖")</f>
        <v>0</v>
      </c>
      <c r="I6" s="52"/>
      <c r="J6" s="54">
        <f>IF(H6=F6,"PASS","FAIL")</f>
      </c>
      <c r="L6" s="53"/>
      <c r="M6" s="53"/>
      <c r="P6" s="54"/>
    </row>
    <row r="7" spans="1:19" x14ac:dyDescent="0.5">
      <c r="A7" s="55"/>
      <c r="B7" s="47"/>
      <c r="D7" s="51"/>
      <c r="F7" s="52"/>
      <c r="H7" s="53"/>
      <c r="I7" s="52"/>
      <c r="J7" s="54"/>
      <c r="L7" s="53"/>
      <c r="M7" s="53"/>
      <c r="P7" s="54"/>
    </row>
    <row r="8" spans="1:19" x14ac:dyDescent="0.5">
      <c r="A8">
        <v>2</v>
      </c>
      <c r="B8" s="47" t="inlineStr">
        <is>
          <t xml:space="preserve">"B2:C10" up-left 2 -&gt; "A1:A8" (row 0 / col 0 fall off)</t>
        </is>
      </c>
      <c r="D8" s="51" t="inlineStr">
        <is>
          <t xml:space="preserve">"B2:C10" ↖ 2</t>
        </is>
      </c>
      <c r="F8" s="52" t="inlineStr">
        <is>
          <t xml:space="preserve">A1:A8</t>
        </is>
      </c>
      <c r="H8" s="53" cm="1">
        <f t="array" ref="H8">move_rng("B2:C10","↖",2)</f>
        <v>0</v>
      </c>
      <c r="I8" s="52"/>
      <c r="J8" s="54">
        <f>IF(H8=F8,"PASS","FAIL")</f>
      </c>
      <c r="L8" s="53"/>
      <c r="M8" s="53"/>
      <c r="P8" s="54"/>
    </row>
    <row r="9" spans="1:19" x14ac:dyDescent="0.5">
      <c r="A9" s="46"/>
      <c r="B9" s="47"/>
      <c r="D9" s="51"/>
      <c r="F9" s="52"/>
      <c r="H9" s="53"/>
      <c r="I9" s="52"/>
      <c r="J9" s="54"/>
      <c r="L9" s="53"/>
      <c r="M9" s="53"/>
      <c r="P9" s="54"/>
    </row>
    <row r="10" spans="1:19" x14ac:dyDescent="0.5">
      <c r="A10" s="55">
        <v>3</v>
      </c>
      <c r="B10" s="47" t="inlineStr">
        <is>
          <t xml:space="preserve">"B2" right 3 -&gt; "E2" (single address, no colon)</t>
        </is>
      </c>
      <c r="D10" s="51" t="inlineStr">
        <is>
          <t xml:space="preserve">"B2" → 3</t>
        </is>
      </c>
      <c r="F10" s="52" t="inlineStr">
        <is>
          <t xml:space="preserve">E2</t>
        </is>
      </c>
      <c r="H10" s="53" cm="1">
        <f t="array" ref="H10">move_rng("B2","→",3)</f>
        <v>0</v>
      </c>
      <c r="I10" s="52"/>
      <c r="J10" s="54">
        <f>IF(H10=F10,"PASS","FAIL")</f>
      </c>
      <c r="L10" s="53"/>
      <c r="M10" s="53"/>
      <c r="P10" s="54"/>
    </row>
    <row r="11" spans="1:19" x14ac:dyDescent="0.5">
      <c r="B11" s="47"/>
      <c r="D11" s="51"/>
      <c r="F11" s="52"/>
      <c r="H11" s="53"/>
      <c r="I11" s="52"/>
      <c r="J11" s="54"/>
      <c r="L11" s="53"/>
      <c r="M11" s="53"/>
      <c r="P11" s="54"/>
    </row>
    <row r="12" spans="1:19" ht="32" x14ac:dyDescent="0.5">
      <c r="A12" s="46">
        <v>4</v>
      </c>
      <c r="B12" s="47" t="inlineStr">
        <is>
          <t xml:space="preserve">"A1:B2" left 1 -&gt; partial overlap "A1:A2"</t>
        </is>
      </c>
      <c r="D12" s="51" t="inlineStr">
        <is>
          <t xml:space="preserve">"A1:B2" ←</t>
        </is>
      </c>
      <c r="F12" s="52" t="inlineStr">
        <is>
          <t xml:space="preserve">A1:A2</t>
        </is>
      </c>
      <c r="H12" s="53" cm="1">
        <f t="array" ref="H12">move_rng("A1:B2","←")</f>
        <v>0</v>
      </c>
      <c r="I12" s="52"/>
      <c r="J12" s="54">
        <f>IF(H12=F12,"PASS","FAIL")</f>
      </c>
      <c r="L12" s="53"/>
      <c r="M12" s="53"/>
      <c r="P12" s="54"/>
    </row>
    <row r="13" spans="1:19" x14ac:dyDescent="0.5">
      <c r="A13" s="55"/>
      <c r="B13" s="47"/>
      <c r="D13" s="51"/>
      <c r="F13" s="52"/>
      <c r="H13" s="53"/>
      <c r="I13" s="52"/>
      <c r="J13" s="54"/>
      <c r="L13" s="53"/>
      <c r="M13" s="53"/>
      <c r="P13" s="54"/>
    </row>
    <row r="14" spans="1:19" ht="32" x14ac:dyDescent="0.5">
      <c r="A14" s="55">
        <v>5</v>
      </c>
      <c r="B14" s="47" t="inlineStr">
        <is>
          <t xml:space="preserve">"A1" up 1 -&gt; entirely off the sheet -&gt; "oob"</t>
        </is>
      </c>
      <c r="D14" s="51" t="inlineStr">
        <is>
          <t xml:space="preserve">"A1" ↑</t>
        </is>
      </c>
      <c r="F14" s="52" t="inlineStr">
        <is>
          <t xml:space="preserve">oob</t>
        </is>
      </c>
      <c r="H14" s="53" cm="1">
        <f t="array" ref="H14">move_rng("A1","↑")</f>
        <v>0</v>
      </c>
      <c r="I14" s="52"/>
      <c r="J14" s="54">
        <f>IF(H14=F14,"PASS","FAIL")</f>
      </c>
      <c r="L14" s="53"/>
      <c r="M14" s="53"/>
      <c r="P14" s="54"/>
    </row>
    <row r="15" spans="1:19" x14ac:dyDescent="0.5">
      <c r="B15" s="47"/>
      <c r="D15" s="51"/>
      <c r="F15" s="52"/>
      <c r="H15" s="53"/>
      <c r="I15" s="52"/>
      <c r="J15" s="54"/>
      <c r="L15" s="53"/>
      <c r="M15" s="53"/>
      <c r="P15" s="54"/>
    </row>
    <row r="16" spans="1:19" x14ac:dyDescent="0.5">
      <c r="A16" s="46">
        <v>6</v>
      </c>
      <c r="B16" s="47" t="inlineStr">
        <is>
          <t xml:space="preserve">clipped at the bottom of the sheet</t>
        </is>
      </c>
      <c r="D16" s="51" t="inlineStr">
        <is>
          <t xml:space="preserve">"B2:C10" ↓ 1048570</t>
        </is>
      </c>
      <c r="F16" s="52" t="inlineStr">
        <is>
          <t xml:space="preserve">B1048572:C1048576</t>
        </is>
      </c>
      <c r="H16" s="53" cm="1">
        <f t="array" ref="H16">move_rng("B2:C10","↓",1048570)</f>
        <v>0</v>
      </c>
      <c r="I16" s="52"/>
      <c r="J16" s="54">
        <f>IF(H16=F16,"PASS","FAIL")</f>
      </c>
      <c r="L16" s="53"/>
      <c r="M16" s="53"/>
      <c r="N16" s="53"/>
      <c r="P16" s="54"/>
    </row>
    <row r="17" spans="1:16" x14ac:dyDescent="0.5">
      <c r="B17" s="47"/>
      <c r="D17" s="51"/>
      <c r="F17" s="52"/>
      <c r="H17" s="53"/>
      <c r="I17" s="52"/>
      <c r="J17" s="54"/>
      <c r="L17" s="53"/>
      <c r="M17" s="53"/>
      <c r="N17" s="53"/>
      <c r="P17" s="54"/>
    </row>
    <row r="18" spans="1:16" x14ac:dyDescent="0.5">
      <c r="A18" s="46">
        <v>7</v>
      </c>
      <c r="B18" s="47" t="inlineStr">
        <is>
          <t xml:space="preserve">numeric range stays numeric</t>
        </is>
      </c>
      <c r="D18" s="51" t="inlineStr">
        <is>
          <t xml:space="preserve">"2000002:10000003" ↖</t>
        </is>
      </c>
      <c r="F18" s="52" t="inlineStr">
        <is>
          <t xml:space="preserve">1000001:9000002</t>
        </is>
      </c>
      <c r="H18" s="53" cm="1">
        <f t="array" ref="H18">move_rng("2000002:10000003","↖")</f>
        <v>0</v>
      </c>
      <c r="I18" s="52"/>
      <c r="J18" s="54">
        <f>IF(H18=F18,"PASS","FAIL")</f>
      </c>
      <c r="L18" s="53"/>
      <c r="M18" s="53"/>
      <c r="N18" s="53"/>
      <c r="P18" s="54"/>
    </row>
    <row r="19" spans="1:16" x14ac:dyDescent="0.5">
      <c r="B19" s="47"/>
      <c r="D19" s="51"/>
      <c r="F19" s="51"/>
      <c r="H19" s="52"/>
      <c r="I19" s="52"/>
      <c r="J19" s="52"/>
      <c r="L19" s="53"/>
      <c r="M19" s="53"/>
      <c r="N19" s="53"/>
      <c r="P19" s="54"/>
    </row>
    <row r="20" spans="1:16" x14ac:dyDescent="0.5">
      <c r="A20">
        <v>8</v>
      </c>
      <c r="B20" s="47" t="inlineStr">
        <is>
          <t xml:space="preserve">numeric single address -&gt; number</t>
        </is>
      </c>
      <c r="D20" s="51" t="inlineStr">
        <is>
          <t xml:space="preserve">2000002 ↘</t>
        </is>
      </c>
      <c r="F20" s="51">
        <v>3000003</v>
      </c>
      <c r="H20" s="52" cm="1">
        <f t="array" ref="H20">move_rng(2000002,"↘")</f>
        <v>0</v>
      </c>
      <c r="I20" s="52"/>
      <c r="J20" s="52">
        <f>IF(H20=F20,"PASS","FAIL")</f>
      </c>
      <c r="L20" s="53"/>
      <c r="M20" s="53"/>
      <c r="N20" s="53"/>
      <c r="P20" s="54"/>
    </row>
    <row r="21" spans="1:16" x14ac:dyDescent="0.5">
      <c r="B21" s="47"/>
      <c r="D21" s="51"/>
      <c r="F21" s="51"/>
      <c r="H21" s="52"/>
      <c r="I21" s="52"/>
      <c r="J21" s="52"/>
      <c r="L21" s="53"/>
      <c r="M21" s="53"/>
      <c r="N21" s="53"/>
      <c r="P21" s="54"/>
    </row>
    <row r="22" spans="1:16" x14ac:dyDescent="0.5">
      <c r="A22">
        <v>9</v>
      </c>
      <c r="B22" s="47" t="inlineStr">
        <is>
          <t xml:space="preserve">letter code UL, distance 2</t>
        </is>
      </c>
      <c r="D22" s="51" t="inlineStr">
        <is>
          <t xml:space="preserve">"D4" UL 2</t>
        </is>
      </c>
      <c r="F22" s="51" t="inlineStr">
        <is>
          <t xml:space="preserve">B2</t>
        </is>
      </c>
      <c r="H22" s="52" cm="1">
        <f t="array" ref="H22">move_rng("D4","UL",2)</f>
        <v>0</v>
      </c>
      <c r="I22" s="52"/>
      <c r="J22" s="52">
        <f>IF(H22=F22,"PASS","FAIL")</f>
      </c>
      <c r="L22" s="53"/>
      <c r="M22" s="53"/>
      <c r="N22" s="53"/>
      <c r="P22" s="54"/>
    </row>
    <row r="23" spans="1:16" x14ac:dyDescent="0.5">
      <c r="B23" s="47"/>
      <c r="D23" s="51"/>
      <c r="F23" s="51"/>
      <c r="H23" s="52"/>
      <c r="I23" s="52"/>
      <c r="J23" s="52"/>
      <c r="L23" s="53"/>
      <c r="M23" s="53"/>
      <c r="N23" s="53"/>
      <c r="P23" s="54"/>
    </row>
    <row r="24" spans="1:16" x14ac:dyDescent="0.5">
      <c r="A24">
        <v>10</v>
      </c>
      <c r="B24" s="47" t="inlineStr">
        <is>
          <t xml:space="preserve">negative distance moves the opposite way</t>
        </is>
      </c>
      <c r="D24" s="51" t="inlineStr">
        <is>
          <t xml:space="preserve">"B2" → -1</t>
        </is>
      </c>
      <c r="F24" s="51" t="inlineStr">
        <is>
          <t xml:space="preserve">A2</t>
        </is>
      </c>
      <c r="H24" s="52" cm="1">
        <f t="array" ref="H24">move_rng("B2","→",-1)</f>
        <v>0</v>
      </c>
      <c r="I24" s="52"/>
      <c r="J24" s="52">
        <f>IF(H24=F24,"PASS","FAIL")</f>
      </c>
      <c r="L24" s="53"/>
      <c r="M24" s="53"/>
      <c r="N24" s="53"/>
      <c r="P24" s="54"/>
    </row>
    <row r="25" spans="1:16" x14ac:dyDescent="0.5">
      <c r="B25" s="47"/>
      <c r="D25" s="51"/>
      <c r="F25" s="51"/>
      <c r="H25" s="52"/>
      <c r="I25" s="52"/>
      <c r="J25" s="52"/>
      <c r="L25" s="53"/>
      <c r="M25" s="53"/>
      <c r="N25" s="53"/>
      <c r="P25" s="54"/>
    </row>
    <row r="26" spans="1:16" x14ac:dyDescent="0.5">
      <c r="A26">
        <v>11</v>
      </c>
      <c r="B26" s="47" t="inlineStr">
        <is>
          <t xml:space="preserve">range text held in a cell (D26)</t>
        </is>
      </c>
      <c r="D26" s="51" t="inlineStr">
        <is>
          <t xml:space="preserve">B2:C10</t>
        </is>
      </c>
      <c r="F26" s="51" t="inlineStr">
        <is>
          <t xml:space="preserve">A1:B9</t>
        </is>
      </c>
      <c r="H26" s="52" cm="1">
        <f t="array" ref="H26">move_rng(D26,"↖")</f>
        <v>0</v>
      </c>
      <c r="I26" s="52"/>
      <c r="J26" s="52">
        <f>IF(H26=F26,"PASS","FAIL")</f>
      </c>
      <c r="L26" s="53"/>
      <c r="M26" s="53"/>
      <c r="N26" s="53"/>
      <c r="P26" s="54"/>
    </row>
    <row r="27" spans="1:16" x14ac:dyDescent="0.5">
      <c r="B27" s="47"/>
      <c r="D27" s="51"/>
      <c r="F27" s="51"/>
      <c r="H27" s="52"/>
      <c r="I27" s="52"/>
      <c r="J27" s="52"/>
      <c r="L27" s="53"/>
      <c r="M27" s="53"/>
      <c r="N27" s="53"/>
      <c r="P27" s="54"/>
    </row>
    <row r="28" spans="1:16" x14ac:dyDescent="0.5">
      <c r="A28">
        <v>12</v>
      </c>
      <c r="B28" s="47" t="inlineStr">
        <is>
          <t xml:space="preserve">unrecognised arrow -&gt; #VALUE!</t>
        </is>
      </c>
      <c r="D28" s="51" t="inlineStr">
        <is>
          <t xml:space="preserve">"B2" "x"</t>
        </is>
      </c>
      <c r="F28" s="51">
        <v>3</v>
      </c>
      <c r="H28" s="52" cm="1">
        <f t="array" ref="H28">ERROR.TYPE(move_rng("B2","x"))</f>
        <v>0</v>
      </c>
      <c r="I28" s="52"/>
      <c r="J28" s="52">
        <f>IF(H28=F28,"PASS","FAIL")</f>
      </c>
      <c r="L28" s="53"/>
      <c r="M28" s="53"/>
      <c r="N28" s="53"/>
      <c r="P28" s="54"/>
    </row>
    <row r="29" spans="1:16" x14ac:dyDescent="0.5">
      <c r="B29" s="47"/>
      <c r="D29" s="51"/>
      <c r="F29" s="51"/>
      <c r="H29" s="52"/>
      <c r="I29" s="52"/>
      <c r="J29" s="52"/>
      <c r="L29" s="53"/>
      <c r="M29" s="53"/>
      <c r="N29" s="53"/>
      <c r="P29" s="54"/>
    </row>
    <row r="30" spans="1:16" x14ac:dyDescent="0.5">
      <c r="A30">
        <v>13</v>
      </c>
      <c r="B30" s="47" t="inlineStr">
        <is>
          <t xml:space="preserve">non-integer distance -&gt; #VALUE!</t>
        </is>
      </c>
      <c r="D30" s="51" t="inlineStr">
        <is>
          <t xml:space="preserve">"B2" → 1.5</t>
        </is>
      </c>
      <c r="F30" s="51">
        <v>3</v>
      </c>
      <c r="H30" s="52" cm="1">
        <f t="array" ref="H30">ERROR.TYPE(move_rng("B2","→",1.5))</f>
        <v>0</v>
      </c>
      <c r="I30" s="52"/>
      <c r="J30" s="52">
        <f>IF(H30=F30,"PASS","FAIL")</f>
      </c>
      <c r="L30" s="53"/>
      <c r="M30" s="53"/>
      <c r="N30" s="53"/>
      <c r="P30" s="54"/>
    </row>
    <row r="32">
      <c r="A32">
        <v>14</v>
      </c>
      <c r="B32" s="47" t="inlineStr">
        <is>
          <t xml:space="preserve">real range Q33:R34 up-left 1 -&gt; the CONTENTS of P32:Q33 (data block in P32:Q33)</t>
        </is>
      </c>
      <c r="D32" s="51" t="inlineStr">
        <is>
          <t xml:space="preserve">Q33:R34 ↖ (reference)</t>
        </is>
      </c>
      <c r="F32" s="51">
        <v>1</v>
      </c>
      <c r="G32">
        <v>2</v>
      </c>
      <c r="H32" s="52" cm="1">
        <f t="array" ref="H32:I33">move_rng(Q33:R34,"↖")</f>
        <v>0</v>
      </c>
      <c r="J32" s="52" cm="1">
        <f t="array" ref="J32">IF(AND(F32:G33=H32:I33),"PASS","FAIL")</f>
        <v>0</v>
      </c>
      <c r="P32" s="54">
        <v>1</v>
      </c>
      <c r="Q32">
        <v>2</v>
      </c>
    </row>
    <row r="33">
      <c r="F33" s="51">
        <v>3</v>
      </c>
      <c r="G33">
        <v>4</v>
      </c>
      <c r="P33">
        <v>3</v>
      </c>
      <c r="Q33">
        <v>4</v>
      </c>
    </row>
    <row r="34">
      <c r="A34"/>
      <c r="B34" s="47"/>
      <c r="D34" s="51"/>
      <c r="F34" s="51"/>
      <c r="H34" s="52"/>
      <c r="J34" s="52"/>
    </row>
    <row r="35">
      <c r="A35">
        <v>15</v>
      </c>
      <c r="B35" s="47" t="inlineStr">
        <is>
          <t xml:space="preserve">real one-cell range A1 up 1 -&gt; "oob"</t>
        </is>
      </c>
      <c r="D35" s="51" t="inlineStr">
        <is>
          <t xml:space="preserve">A1 ↑ (reference)</t>
        </is>
      </c>
      <c r="F35" s="51" t="inlineStr">
        <is>
          <t xml:space="preserve">oob</t>
        </is>
      </c>
      <c r="H35" s="52" cm="1">
        <f t="array" ref="H35">move_rng(A1,"↑")</f>
        <v>0</v>
      </c>
      <c r="J35" s="52">
        <f>IF(H35=F35,"PASS","FAIL")</f>
      </c>
    </row>
  </sheetData>
  <mergeCells count="3">
    <mergeCell ref="I1:R1"/>
    <mergeCell ref="B2:R2"/>
    <mergeCell ref="B1:F1"/>
  </mergeCells>
  <pageMargins left="0.75" right="0.75" top="1" bottom="1" header="0.5" footer="0.5"/>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146"/>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inlineStr">
        <is>
          <t xml:space="preserve">1x1-array shape tests  (generated - do not edit by hand)</t>
        </is>
      </c>
      <c r="C1" s="79"/>
      <c r="D1" s="79"/>
      <c r="E1" s="79"/>
      <c r="F1" s="80"/>
      <c r="H1" s="45" t="s">
        <v>2</v>
      </c>
      <c r="I1" s="78" t="inlineStr">
        <is>
          <t xml:space="preserve">Each row re-runs one existing test case with every single-value argument wrapped in TOCOL() - a 1x1 array - and PASSes when the result matches the plain call in shape and value. Guards the z_scalar / CONCAT unboxing in the library.</t>
        </is>
      </c>
      <c r="J1" s="79"/>
      <c r="K1" s="79"/>
      <c r="L1" s="79"/>
      <c r="M1" s="79"/>
      <c r="N1" s="79"/>
      <c r="O1" s="79"/>
      <c r="P1" s="79"/>
      <c r="Q1" s="79"/>
      <c r="R1" s="80"/>
      <c r="S1" s="77" t="str">
        <f>HYPERLINK("#lambda_tests!A1","&lt;- test summary")</f>
        <v>&lt;- test summary</v>
      </c>
    </row>
    <row r="2" spans="1:19" ht="409" customHeight="1" x14ac:dyDescent="0.5">
      <c r="A2" s="45" t="s">
        <v>4</v>
      </c>
      <c r="B2" s="81" t="inlineStr">
        <is>
          <t xml:space="preserve">py tools/build_shape_tests.py  &lt;src.xlsm&gt; &lt;out.xlsm&gt;   re-generates this sheet from the other test sheets</t>
        </is>
      </c>
      <c r="C2" s="82"/>
      <c r="D2" s="82"/>
      <c r="E2" s="82"/>
      <c r="F2" s="82"/>
      <c r="G2" s="82"/>
      <c r="H2" s="82"/>
      <c r="I2" s="82"/>
      <c r="J2" s="82"/>
      <c r="K2" s="82"/>
      <c r="L2" s="82"/>
      <c r="M2" s="82"/>
      <c r="N2" s="82"/>
      <c r="O2" s="82"/>
      <c r="P2" s="82"/>
      <c r="Q2" s="82"/>
      <c r="R2" s="82"/>
    </row>
    <row r="4" spans="1:19" x14ac:dyDescent="0.5">
      <c r="A4" s="45" t="inlineStr">
        <is>
          <t xml:space="preserve">shape_tests - families: tocol (1x1 array), cellref (literal moved to a cell), textnum (number as text), array (computed array for a range), blank (empty cell for an omitted optional). Each must equal the plain call. Excluded on purpose: position-only range args, data lookup values, exlookup's if_not_found. array=55  blank=177  cellref=109  textnum=193  tocol=340</t>
        </is>
      </c>
      <c r="F4" s="82">
        <f>COUNTIF(F6:F5000,"PASS")&amp;" / 874 PASS"</f>
      </c>
      <c r="N4" s="45"/>
    </row>
    <row r="5" spans="1:19" x14ac:dyDescent="0.5">
      <c r="A5" s="45" t="inlineStr">
        <is>
          <t xml:space="preserve">#</t>
        </is>
      </c>
      <c r="B5" s="45" t="inlineStr">
        <is>
          <t xml:space="preserve">Lambda</t>
        </is>
      </c>
      <c r="C5" t="inlineStr">
        <is>
          <t xml:space="preserve">Source case</t>
        </is>
      </c>
      <c r="D5" s="45" t="inlineStr">
        <is>
          <t xml:space="preserve">Family</t>
        </is>
      </c>
      <c r="E5" t="inlineStr">
        <is>
          <t xml:space="preserve">Variant</t>
        </is>
      </c>
      <c r="F5" s="82" t="inlineStr">
        <is>
          <t xml:space="preserve">Match</t>
        </is>
      </c>
      <c r="H5" t="inlineStr">
        <is>
          <t xml:space="preserve">helper values (cellref)</t>
        </is>
      </c>
      <c r="J5" s="48"/>
      <c r="L5" s="49"/>
      <c r="N5" s="50"/>
    </row>
    <row r="6" spans="1:19" x14ac:dyDescent="0.5">
      <c r="A6" s="46">
        <v>1</v>
      </c>
      <c r="B6" s="47" t="inlineStr">
        <is>
          <t xml:space="preserve">ad_col_let</t>
        </is>
      </c>
      <c r="C6" t="inlineStr">
        <is>
          <t xml:space="preserve">ad_col_let!L6</t>
        </is>
      </c>
      <c r="D6" s="51" t="inlineStr">
        <is>
          <t xml:space="preserve">tocol</t>
        </is>
      </c>
      <c r="E6" t="inlineStr">
        <is>
          <t xml:space="preserve">ad_col_let(TOCOL(D6))</t>
        </is>
      </c>
      <c r="F6" s="51" cm="1">
        <f t="array" ref="F6">_xlfn.LET(_xlpm.a,ad_col_let('ad_col_let'!D6),_xlpm.b,ad_col_let(_xlfn.TOCOL('ad_col_let'!D6)),_xlpm.sa,IFERROR(ROWS(_xlpm.a)&amp;"x"&amp;COLUMNS(_xlpm.a),"err"),_xlpm.sb,IFERROR(ROWS(_xlpm.b)&amp;"x"&amp;COLUMNS(_xlpm.b),"err"),IF(_xlpm.sa&lt;&gt;_xlpm.sb,"FAIL",IF(_xlpm.sa="err",IF(ERROR.TYPE(_xlpm.a)=ERROR.TYPE(_xlpm.b),"PASS","FAIL"),IF(AND(IFERROR(_xlpm.a=_xlpm.b,IFERROR(ERROR.TYPE(_xlpm.a)=ERROR.TYPE(_xlpm.b),FALSE))),"PASS","FAIL"))))</f>
        <v>0</v>
      </c>
      <c r="J6" s="52"/>
      <c r="L6" s="53"/>
      <c r="N6" s="54"/>
    </row>
    <row r="7">
      <c r="A7">
        <v>2</v>
      </c>
      <c r="B7" s="47" t="inlineStr">
        <is>
          <t xml:space="preserve">ad_col_let</t>
        </is>
      </c>
      <c r="C7" t="inlineStr">
        <is>
          <t xml:space="preserve">ad_col_let!L6</t>
        </is>
      </c>
      <c r="D7" s="51" t="inlineStr">
        <is>
          <t xml:space="preserve">textnum</t>
        </is>
      </c>
      <c r="E7" t="inlineStr">
        <is>
          <t xml:space="preserve">ad_col_let((D6&amp;""))</t>
        </is>
      </c>
      <c r="F7" s="51" cm="1">
        <f t="array" ref="F7">_xlfn.LET(_xlpm.a,ad_col_let('ad_col_let'!D6),_xlpm.b,ad_col_let(('ad_col_let'!D6&amp;"")),_xlpm.sa,IFERROR(ROWS(_xlpm.a)&amp;"x"&amp;COLUMNS(_xlpm.a),"err"),_xlpm.sb,IFERROR(ROWS(_xlpm.b)&amp;"x"&amp;COLUMNS(_xlpm.b),"err"),IF(_xlpm.sa&lt;&gt;_xlpm.sb,"FAIL",IF(_xlpm.sa="err",IF(ERROR.TYPE(_xlpm.a)=ERROR.TYPE(_xlpm.b),"PASS","FAIL"),IF(AND(IFERROR(_xlpm.a=_xlpm.b,IFERROR(ERROR.TYPE(_xlpm.a)=ERROR.TYPE(_xlpm.b),FALSE))),"PASS","FAIL"))))</f>
        <v>0</v>
      </c>
    </row>
    <row r="8" spans="1:19" x14ac:dyDescent="0.5">
      <c r="A8" s="46">
        <v>3</v>
      </c>
      <c r="B8" s="47" t="inlineStr">
        <is>
          <t xml:space="preserve">ad_col_let</t>
        </is>
      </c>
      <c r="C8" t="inlineStr">
        <is>
          <t xml:space="preserve">ad_col_let!L9</t>
        </is>
      </c>
      <c r="D8" s="51" t="inlineStr">
        <is>
          <t xml:space="preserve">tocol</t>
        </is>
      </c>
      <c r="E8" t="inlineStr">
        <is>
          <t xml:space="preserve">ad_col_let(TOCOL(D9))</t>
        </is>
      </c>
      <c r="F8" s="51" cm="1">
        <f t="array" ref="F8">_xlfn.LET(_xlpm.a,ad_col_let('ad_col_let'!D9),_xlpm.b,ad_col_let(_xlfn.TOCOL('ad_col_let'!D9)),_xlpm.sa,IFERROR(ROWS(_xlpm.a)&amp;"x"&amp;COLUMNS(_xlpm.a),"err"),_xlpm.sb,IFERROR(ROWS(_xlpm.b)&amp;"x"&amp;COLUMNS(_xlpm.b),"err"),IF(_xlpm.sa&lt;&gt;_xlpm.sb,"FAIL",IF(_xlpm.sa="err",IF(ERROR.TYPE(_xlpm.a)=ERROR.TYPE(_xlpm.b),"PASS","FAIL"),IF(AND(IFERROR(_xlpm.a=_xlpm.b,IFERROR(ERROR.TYPE(_xlpm.a)=ERROR.TYPE(_xlpm.b),FALSE))),"PASS","FAIL"))))</f>
        <v>0</v>
      </c>
      <c r="J8" s="52"/>
      <c r="L8" s="53"/>
      <c r="N8" s="54"/>
    </row>
    <row r="9">
      <c r="A9">
        <v>4</v>
      </c>
      <c r="B9" s="47" t="inlineStr">
        <is>
          <t xml:space="preserve">ad_col_let</t>
        </is>
      </c>
      <c r="C9" t="inlineStr">
        <is>
          <t xml:space="preserve">ad_col_let!L9</t>
        </is>
      </c>
      <c r="D9" s="51" t="inlineStr">
        <is>
          <t xml:space="preserve">textnum</t>
        </is>
      </c>
      <c r="E9" t="inlineStr">
        <is>
          <t xml:space="preserve">ad_col_let((D9&amp;""))</t>
        </is>
      </c>
      <c r="F9" s="51" cm="1">
        <f t="array" ref="F9">_xlfn.LET(_xlpm.a,ad_col_let('ad_col_let'!D9),_xlpm.b,ad_col_let(('ad_col_let'!D9&amp;"")),_xlpm.sa,IFERROR(ROWS(_xlpm.a)&amp;"x"&amp;COLUMNS(_xlpm.a),"err"),_xlpm.sb,IFERROR(ROWS(_xlpm.b)&amp;"x"&amp;COLUMNS(_xlpm.b),"err"),IF(_xlpm.sa&lt;&gt;_xlpm.sb,"FAIL",IF(_xlpm.sa="err",IF(ERROR.TYPE(_xlpm.a)=ERROR.TYPE(_xlpm.b),"PASS","FAIL"),IF(AND(IFERROR(_xlpm.a=_xlpm.b,IFERROR(ERROR.TYPE(_xlpm.a)=ERROR.TYPE(_xlpm.b),FALSE))),"PASS","FAIL"))))</f>
        <v>0</v>
      </c>
    </row>
    <row r="10" spans="1:19" x14ac:dyDescent="0.5">
      <c r="A10" s="46">
        <v>5</v>
      </c>
      <c r="B10" s="47" t="inlineStr">
        <is>
          <t xml:space="preserve">ad_col_let</t>
        </is>
      </c>
      <c r="C10" t="inlineStr">
        <is>
          <t xml:space="preserve">ad_col_let!L12</t>
        </is>
      </c>
      <c r="D10" s="51" t="inlineStr">
        <is>
          <t xml:space="preserve">tocol</t>
        </is>
      </c>
      <c r="E10" t="inlineStr">
        <is>
          <t xml:space="preserve">ad_col_let(TOCOL(D12))</t>
        </is>
      </c>
      <c r="F10" s="51" cm="1">
        <f t="array" ref="F10">_xlfn.LET(_xlpm.a,ad_col_let('ad_col_let'!D12),_xlpm.b,ad_col_let(_xlfn.TOCOL('ad_col_let'!D12)),_xlpm.sa,IFERROR(ROWS(_xlpm.a)&amp;"x"&amp;COLUMNS(_xlpm.a),"err"),_xlpm.sb,IFERROR(ROWS(_xlpm.b)&amp;"x"&amp;COLUMNS(_xlpm.b),"err"),IF(_xlpm.sa&lt;&gt;_xlpm.sb,"FAIL",IF(_xlpm.sa="err",IF(ERROR.TYPE(_xlpm.a)=ERROR.TYPE(_xlpm.b),"PASS","FAIL"),IF(AND(IFERROR(_xlpm.a=_xlpm.b,IFERROR(ERROR.TYPE(_xlpm.a)=ERROR.TYPE(_xlpm.b),FALSE))),"PASS","FAIL"))))</f>
        <v>0</v>
      </c>
      <c r="H10" s="51"/>
      <c r="J10" s="52"/>
      <c r="L10" s="53"/>
      <c r="N10" s="54"/>
    </row>
    <row r="11">
      <c r="A11">
        <v>6</v>
      </c>
      <c r="B11" s="47" t="inlineStr">
        <is>
          <t xml:space="preserve">ad_col_let</t>
        </is>
      </c>
      <c r="C11" t="inlineStr">
        <is>
          <t xml:space="preserve">ad_col_let!L12</t>
        </is>
      </c>
      <c r="D11" s="51" t="inlineStr">
        <is>
          <t xml:space="preserve">textnum</t>
        </is>
      </c>
      <c r="E11" t="inlineStr">
        <is>
          <t xml:space="preserve">ad_col_let((D12&amp;""))</t>
        </is>
      </c>
      <c r="F11" s="51" cm="1">
        <f t="array" ref="F11">_xlfn.LET(_xlpm.a,ad_col_let('ad_col_let'!D12),_xlpm.b,ad_col_let(('ad_col_let'!D12&amp;"")),_xlpm.sa,IFERROR(ROWS(_xlpm.a)&amp;"x"&amp;COLUMNS(_xlpm.a),"err"),_xlpm.sb,IFERROR(ROWS(_xlpm.b)&amp;"x"&amp;COLUMNS(_xlpm.b),"err"),IF(_xlpm.sa&lt;&gt;_xlpm.sb,"FAIL",IF(_xlpm.sa="err",IF(ERROR.TYPE(_xlpm.a)=ERROR.TYPE(_xlpm.b),"PASS","FAIL"),IF(AND(IFERROR(_xlpm.a=_xlpm.b,IFERROR(ERROR.TYPE(_xlpm.a)=ERROR.TYPE(_xlpm.b),FALSE))),"PASS","FAIL"))))</f>
        <v>0</v>
      </c>
    </row>
    <row r="12" spans="1:19" x14ac:dyDescent="0.5">
      <c r="A12" s="46">
        <v>7</v>
      </c>
      <c r="B12" s="47" t="inlineStr">
        <is>
          <t xml:space="preserve">ad_col_let</t>
        </is>
      </c>
      <c r="C12" t="inlineStr">
        <is>
          <t xml:space="preserve">ad_col_let!L15</t>
        </is>
      </c>
      <c r="D12" s="51" t="inlineStr">
        <is>
          <t xml:space="preserve">tocol</t>
        </is>
      </c>
      <c r="E12" t="inlineStr">
        <is>
          <t xml:space="preserve">ad_col_let(TOCOL(D15))</t>
        </is>
      </c>
      <c r="F12" s="51" cm="1">
        <f t="array" ref="F12">_xlfn.LET(_xlpm.a,ad_col_let('ad_col_let'!D15),_xlpm.b,ad_col_let(_xlfn.TOCOL('ad_col_let'!D15)),_xlpm.sa,IFERROR(ROWS(_xlpm.a)&amp;"x"&amp;COLUMNS(_xlpm.a),"err"),_xlpm.sb,IFERROR(ROWS(_xlpm.b)&amp;"x"&amp;COLUMNS(_xlpm.b),"err"),IF(_xlpm.sa&lt;&gt;_xlpm.sb,"FAIL",IF(_xlpm.sa="err",IF(ERROR.TYPE(_xlpm.a)=ERROR.TYPE(_xlpm.b),"PASS","FAIL"),IF(AND(IFERROR(_xlpm.a=_xlpm.b,IFERROR(ERROR.TYPE(_xlpm.a)=ERROR.TYPE(_xlpm.b),FALSE))),"PASS","FAIL"))))</f>
        <v>0</v>
      </c>
      <c r="J12" s="52"/>
      <c r="L12" s="53"/>
      <c r="N12" s="54"/>
    </row>
    <row r="13">
      <c r="A13">
        <v>8</v>
      </c>
      <c r="B13" s="47" t="inlineStr">
        <is>
          <t xml:space="preserve">ad_col_let</t>
        </is>
      </c>
      <c r="C13" t="inlineStr">
        <is>
          <t xml:space="preserve">ad_col_let!L15</t>
        </is>
      </c>
      <c r="D13" s="51" t="inlineStr">
        <is>
          <t xml:space="preserve">textnum</t>
        </is>
      </c>
      <c r="E13" t="inlineStr">
        <is>
          <t xml:space="preserve">ad_col_let((D15&amp;""))</t>
        </is>
      </c>
      <c r="F13" s="51" cm="1">
        <f t="array" ref="F13">_xlfn.LET(_xlpm.a,ad_col_let('ad_col_let'!D15),_xlpm.b,ad_col_let(('ad_col_let'!D15&amp;"")),_xlpm.sa,IFERROR(ROWS(_xlpm.a)&amp;"x"&amp;COLUMNS(_xlpm.a),"err"),_xlpm.sb,IFERROR(ROWS(_xlpm.b)&amp;"x"&amp;COLUMNS(_xlpm.b),"err"),IF(_xlpm.sa&lt;&gt;_xlpm.sb,"FAIL",IF(_xlpm.sa="err",IF(ERROR.TYPE(_xlpm.a)=ERROR.TYPE(_xlpm.b),"PASS","FAIL"),IF(AND(IFERROR(_xlpm.a=_xlpm.b,IFERROR(ERROR.TYPE(_xlpm.a)=ERROR.TYPE(_xlpm.b),FALSE))),"PASS","FAIL"))))</f>
        <v>0</v>
      </c>
    </row>
    <row r="14" spans="1:19" x14ac:dyDescent="0.5">
      <c r="A14" s="46">
        <v>9</v>
      </c>
      <c r="B14" s="47" t="inlineStr">
        <is>
          <t xml:space="preserve">ad_col_let</t>
        </is>
      </c>
      <c r="C14" t="inlineStr">
        <is>
          <t xml:space="preserve">ad_col_let!L18</t>
        </is>
      </c>
      <c r="D14" s="51" t="inlineStr">
        <is>
          <t xml:space="preserve">array</t>
        </is>
      </c>
      <c r="E14" t="inlineStr">
        <is>
          <t xml:space="preserve">ad_col_let(CHOOSEROWS(D18:D21,SEQUENCE(ROWS(D18:D21))))</t>
        </is>
      </c>
      <c r="F14" s="51" cm="1">
        <f t="array" ref="F14">_xlfn.LET(_xlpm.a,ad_col_let('ad_col_let'!D18:D21),_xlpm.b,ad_col_let(_xlfn.CHOOSEROWS('ad_col_let'!D18:D21,_xlfn.SEQUENCE(ROWS('ad_col_let'!D18:D21)))),_xlpm.sa,IFERROR(ROWS(_xlpm.a)&amp;"x"&amp;COLUMNS(_xlpm.a),"err"),_xlpm.sb,IFERROR(ROWS(_xlpm.b)&amp;"x"&amp;COLUMNS(_xlpm.b),"err"),IF(_xlpm.sa&lt;&gt;_xlpm.sb,"FAIL",IF(_xlpm.sa="err",IF(ERROR.TYPE(_xlpm.a)=ERROR.TYPE(_xlpm.b),"PASS","FAIL"),IF(AND(IFERROR(_xlpm.a=_xlpm.b,IFERROR(ERROR.TYPE(_xlpm.a)=ERROR.TYPE(_xlpm.b),FALSE))),"PASS","FAIL"))))</f>
        <v>0</v>
      </c>
      <c r="J14" s="52"/>
      <c r="L14" s="53"/>
      <c r="N14" s="54"/>
    </row>
    <row r="15" spans="1:19" x14ac:dyDescent="0.5">
      <c r="A15" s="55">
        <v>10</v>
      </c>
      <c r="B15" s="55" t="inlineStr">
        <is>
          <t xml:space="preserve">ad_col_let</t>
        </is>
      </c>
      <c r="C15" t="inlineStr">
        <is>
          <t xml:space="preserve">ad_col_let!L24</t>
        </is>
      </c>
      <c r="D15" s="51" t="inlineStr">
        <is>
          <t xml:space="preserve">tocol</t>
        </is>
      </c>
      <c r="E15" t="inlineStr">
        <is>
          <t xml:space="preserve">ad_col_let(TOCOL(D24))</t>
        </is>
      </c>
      <c r="F15" s="51" cm="1">
        <f t="array" ref="F15">_xlfn.LET(_xlpm.a,ad_col_let('ad_col_let'!D24),_xlpm.b,ad_col_let(_xlfn.TOCOL('ad_col_let'!D24)),_xlpm.sa,IFERROR(ROWS(_xlpm.a)&amp;"x"&amp;COLUMNS(_xlpm.a),"err"),_xlpm.sb,IFERROR(ROWS(_xlpm.b)&amp;"x"&amp;COLUMNS(_xlpm.b),"err"),IF(_xlpm.sa&lt;&gt;_xlpm.sb,"FAIL",IF(_xlpm.sa="err",IF(ERROR.TYPE(_xlpm.a)=ERROR.TYPE(_xlpm.b),"PASS","FAIL"),IF(AND(IFERROR(_xlpm.a=_xlpm.b,IFERROR(ERROR.TYPE(_xlpm.a)=ERROR.TYPE(_xlpm.b),FALSE))),"PASS","FAIL"))))</f>
        <v>0</v>
      </c>
      <c r="J15" s="52"/>
      <c r="L15" s="53"/>
    </row>
    <row r="16">
      <c r="A16">
        <v>11</v>
      </c>
      <c r="B16" s="55" t="inlineStr">
        <is>
          <t xml:space="preserve">ad_col_let</t>
        </is>
      </c>
      <c r="C16" t="inlineStr">
        <is>
          <t xml:space="preserve">ad_col_let!L24</t>
        </is>
      </c>
      <c r="D16" s="51" t="inlineStr">
        <is>
          <t xml:space="preserve">textnum</t>
        </is>
      </c>
      <c r="E16" t="inlineStr">
        <is>
          <t xml:space="preserve">ad_col_let((D24&amp;""))</t>
        </is>
      </c>
      <c r="F16" s="51" cm="1">
        <f t="array" ref="F16">_xlfn.LET(_xlpm.a,ad_col_let('ad_col_let'!D24),_xlpm.b,ad_col_let(('ad_col_let'!D24&amp;"")),_xlpm.sa,IFERROR(ROWS(_xlpm.a)&amp;"x"&amp;COLUMNS(_xlpm.a),"err"),_xlpm.sb,IFERROR(ROWS(_xlpm.b)&amp;"x"&amp;COLUMNS(_xlpm.b),"err"),IF(_xlpm.sa&lt;&gt;_xlpm.sb,"FAIL",IF(_xlpm.sa="err",IF(ERROR.TYPE(_xlpm.a)=ERROR.TYPE(_xlpm.b),"PASS","FAIL"),IF(AND(IFERROR(_xlpm.a=_xlpm.b,IFERROR(ERROR.TYPE(_xlpm.a)=ERROR.TYPE(_xlpm.b),FALSE))),"PASS","FAIL"))))</f>
        <v>0</v>
      </c>
    </row>
    <row r="17" spans="1:14" x14ac:dyDescent="0.5">
      <c r="A17" s="46">
        <v>12</v>
      </c>
      <c r="B17" s="47" t="inlineStr">
        <is>
          <t xml:space="preserve">ad_col_let</t>
        </is>
      </c>
      <c r="C17" t="inlineStr">
        <is>
          <t xml:space="preserve">ad_col_let!L27</t>
        </is>
      </c>
      <c r="D17" s="51" t="inlineStr">
        <is>
          <t xml:space="preserve">tocol</t>
        </is>
      </c>
      <c r="E17" t="inlineStr">
        <is>
          <t xml:space="preserve">ad_col_let(TOCOL(D27))</t>
        </is>
      </c>
      <c r="F17" s="51" cm="1">
        <f t="array" ref="F17">_xlfn.LET(_xlpm.a,ad_col_let('ad_col_let'!D27),_xlpm.b,ad_col_let(_xlfn.TOCOL('ad_col_let'!D27)),_xlpm.sa,IFERROR(ROWS(_xlpm.a)&amp;"x"&amp;COLUMNS(_xlpm.a),"err"),_xlpm.sb,IFERROR(ROWS(_xlpm.b)&amp;"x"&amp;COLUMNS(_xlpm.b),"err"),IF(_xlpm.sa&lt;&gt;_xlpm.sb,"FAIL",IF(_xlpm.sa="err",IF(ERROR.TYPE(_xlpm.a)=ERROR.TYPE(_xlpm.b),"PASS","FAIL"),IF(AND(IFERROR(_xlpm.a=_xlpm.b,IFERROR(ERROR.TYPE(_xlpm.a)=ERROR.TYPE(_xlpm.b),FALSE))),"PASS","FAIL"))))</f>
        <v>0</v>
      </c>
      <c r="J17" s="52"/>
      <c r="L17" s="53"/>
      <c r="N17" s="54"/>
    </row>
    <row r="18" spans="1:14" x14ac:dyDescent="0.5">
      <c r="A18" s="55">
        <v>13</v>
      </c>
      <c r="B18" s="55" t="inlineStr">
        <is>
          <t xml:space="preserve">ad_col_let</t>
        </is>
      </c>
      <c r="C18" t="inlineStr">
        <is>
          <t xml:space="preserve">ad_col_let!L30</t>
        </is>
      </c>
      <c r="D18" s="51" t="inlineStr">
        <is>
          <t xml:space="preserve">array</t>
        </is>
      </c>
      <c r="E18" t="inlineStr">
        <is>
          <t xml:space="preserve">ad_col_let(CHOOSEROWS(D30:D32,SEQUENCE(ROWS(D30:D32))))</t>
        </is>
      </c>
      <c r="F18" s="51" cm="1">
        <f t="array" ref="F18">_xlfn.LET(_xlpm.a,ad_col_let('ad_col_let'!D30:D32),_xlpm.b,ad_col_let(_xlfn.CHOOSEROWS('ad_col_let'!D30:D32,_xlfn.SEQUENCE(ROWS('ad_col_let'!D30:D32)))),_xlpm.sa,IFERROR(ROWS(_xlpm.a)&amp;"x"&amp;COLUMNS(_xlpm.a),"err"),_xlpm.sb,IFERROR(ROWS(_xlpm.b)&amp;"x"&amp;COLUMNS(_xlpm.b),"err"),IF(_xlpm.sa&lt;&gt;_xlpm.sb,"FAIL",IF(_xlpm.sa="err",IF(ERROR.TYPE(_xlpm.a)=ERROR.TYPE(_xlpm.b),"PASS","FAIL"),IF(AND(IFERROR(_xlpm.a=_xlpm.b,IFERROR(ERROR.TYPE(_xlpm.a)=ERROR.TYPE(_xlpm.b),FALSE))),"PASS","FAIL"))))</f>
        <v>0</v>
      </c>
      <c r="J18" s="52"/>
      <c r="L18" s="53"/>
    </row>
    <row r="19">
      <c r="A19">
        <v>14</v>
      </c>
      <c r="B19" s="55" t="inlineStr">
        <is>
          <t xml:space="preserve">ad_col_n</t>
        </is>
      </c>
      <c r="C19" t="inlineStr">
        <is>
          <t xml:space="preserve">ad_col_n!L6</t>
        </is>
      </c>
      <c r="D19" s="51" t="inlineStr">
        <is>
          <t xml:space="preserve">tocol</t>
        </is>
      </c>
      <c r="E19" t="inlineStr">
        <is>
          <t xml:space="preserve">ad_col_n(TOCOL(D6))</t>
        </is>
      </c>
      <c r="F19" s="51" cm="1">
        <f t="array" ref="F19">_xlfn.LET(_xlpm.a,ad_col_n('ad_col_n'!D6),_xlpm.b,ad_col_n(_xlfn.TOCOL('ad_col_n'!D6)),_xlpm.sa,IFERROR(ROWS(_xlpm.a)&amp;"x"&amp;COLUMNS(_xlpm.a),"err"),_xlpm.sb,IFERROR(ROWS(_xlpm.b)&amp;"x"&amp;COLUMNS(_xlpm.b),"err"),IF(_xlpm.sa&lt;&gt;_xlpm.sb,"FAIL",IF(_xlpm.sa="err",IF(ERROR.TYPE(_xlpm.a)=ERROR.TYPE(_xlpm.b),"PASS","FAIL"),IF(AND(IFERROR(_xlpm.a=_xlpm.b,IFERROR(ERROR.TYPE(_xlpm.a)=ERROR.TYPE(_xlpm.b),FALSE))),"PASS","FAIL"))))</f>
        <v>0</v>
      </c>
    </row>
    <row r="20">
      <c r="A20">
        <v>15</v>
      </c>
      <c r="B20" s="55" t="inlineStr">
        <is>
          <t xml:space="preserve">ad_col_n</t>
        </is>
      </c>
      <c r="C20" t="inlineStr">
        <is>
          <t xml:space="preserve">ad_col_n!L6</t>
        </is>
      </c>
      <c r="D20" s="51" t="inlineStr">
        <is>
          <t xml:space="preserve">textnum</t>
        </is>
      </c>
      <c r="E20" t="inlineStr">
        <is>
          <t xml:space="preserve">ad_col_n((D6&amp;""))</t>
        </is>
      </c>
      <c r="F20" s="51" cm="1">
        <f t="array" ref="F20">_xlfn.LET(_xlpm.a,ad_col_n('ad_col_n'!D6),_xlpm.b,ad_col_n(('ad_col_n'!D6&amp;"")),_xlpm.sa,IFERROR(ROWS(_xlpm.a)&amp;"x"&amp;COLUMNS(_xlpm.a),"err"),_xlpm.sb,IFERROR(ROWS(_xlpm.b)&amp;"x"&amp;COLUMNS(_xlpm.b),"err"),IF(_xlpm.sa&lt;&gt;_xlpm.sb,"FAIL",IF(_xlpm.sa="err",IF(ERROR.TYPE(_xlpm.a)=ERROR.TYPE(_xlpm.b),"PASS","FAIL"),IF(AND(IFERROR(_xlpm.a=_xlpm.b,IFERROR(ERROR.TYPE(_xlpm.a)=ERROR.TYPE(_xlpm.b),FALSE))),"PASS","FAIL"))))</f>
        <v>0</v>
      </c>
    </row>
    <row r="21">
      <c r="A21">
        <v>16</v>
      </c>
      <c r="B21" s="55" t="inlineStr">
        <is>
          <t xml:space="preserve">ad_col_n</t>
        </is>
      </c>
      <c r="C21" t="inlineStr">
        <is>
          <t xml:space="preserve">ad_col_n!L9</t>
        </is>
      </c>
      <c r="D21" s="51" t="inlineStr">
        <is>
          <t xml:space="preserve">tocol</t>
        </is>
      </c>
      <c r="E21" t="inlineStr">
        <is>
          <t xml:space="preserve">ad_col_n(TOCOL(D9))</t>
        </is>
      </c>
      <c r="F21" s="51" cm="1">
        <f t="array" ref="F21">_xlfn.LET(_xlpm.a,ad_col_n('ad_col_n'!D9),_xlpm.b,ad_col_n(_xlfn.TOCOL('ad_col_n'!D9)),_xlpm.sa,IFERROR(ROWS(_xlpm.a)&amp;"x"&amp;COLUMNS(_xlpm.a),"err"),_xlpm.sb,IFERROR(ROWS(_xlpm.b)&amp;"x"&amp;COLUMNS(_xlpm.b),"err"),IF(_xlpm.sa&lt;&gt;_xlpm.sb,"FAIL",IF(_xlpm.sa="err",IF(ERROR.TYPE(_xlpm.a)=ERROR.TYPE(_xlpm.b),"PASS","FAIL"),IF(AND(IFERROR(_xlpm.a=_xlpm.b,IFERROR(ERROR.TYPE(_xlpm.a)=ERROR.TYPE(_xlpm.b),FALSE))),"PASS","FAIL"))))</f>
        <v>0</v>
      </c>
    </row>
    <row r="22">
      <c r="A22">
        <v>17</v>
      </c>
      <c r="B22" s="55" t="inlineStr">
        <is>
          <t xml:space="preserve">ad_col_n</t>
        </is>
      </c>
      <c r="C22" t="inlineStr">
        <is>
          <t xml:space="preserve">ad_col_n!I12</t>
        </is>
      </c>
      <c r="D22" s="51" t="inlineStr">
        <is>
          <t xml:space="preserve">tocol</t>
        </is>
      </c>
      <c r="E22" t="inlineStr">
        <is>
          <t xml:space="preserve">ad_col_n(TOCOL(D12))</t>
        </is>
      </c>
      <c r="F22" s="51" cm="1">
        <f t="array" ref="F22">_xlfn.LET(_xlpm.a,ad_col_n('ad_col_n'!D12),_xlpm.b,ad_col_n(_xlfn.TOCOL('ad_col_n'!D12)),_xlpm.sa,IFERROR(ROWS(_xlpm.a)&amp;"x"&amp;COLUMNS(_xlpm.a),"err"),_xlpm.sb,IFERROR(ROWS(_xlpm.b)&amp;"x"&amp;COLUMNS(_xlpm.b),"err"),IF(_xlpm.sa&lt;&gt;_xlpm.sb,"FAIL",IF(_xlpm.sa="err",IF(ERROR.TYPE(_xlpm.a)=ERROR.TYPE(_xlpm.b),"PASS","FAIL"),IF(AND(IFERROR(_xlpm.a=_xlpm.b,IFERROR(ERROR.TYPE(_xlpm.a)=ERROR.TYPE(_xlpm.b),FALSE))),"PASS","FAIL"))))</f>
        <v>0</v>
      </c>
    </row>
    <row r="23">
      <c r="A23">
        <v>18</v>
      </c>
      <c r="B23" s="55" t="inlineStr">
        <is>
          <t xml:space="preserve">ad_col_n</t>
        </is>
      </c>
      <c r="C23" t="inlineStr">
        <is>
          <t xml:space="preserve">ad_col_n!L15</t>
        </is>
      </c>
      <c r="D23" s="51" t="inlineStr">
        <is>
          <t xml:space="preserve">array</t>
        </is>
      </c>
      <c r="E23" t="inlineStr">
        <is>
          <t xml:space="preserve">ad_col_n(CHOOSEROWS(D15:D17,SEQUENCE(ROWS(D15:D17))))</t>
        </is>
      </c>
      <c r="F23" s="51" cm="1">
        <f t="array" ref="F23">_xlfn.LET(_xlpm.a,ad_col_n('ad_col_n'!D15:D17),_xlpm.b,ad_col_n(_xlfn.CHOOSEROWS('ad_col_n'!D15:D17,_xlfn.SEQUENCE(ROWS('ad_col_n'!D15:D17)))),_xlpm.sa,IFERROR(ROWS(_xlpm.a)&amp;"x"&amp;COLUMNS(_xlpm.a),"err"),_xlpm.sb,IFERROR(ROWS(_xlpm.b)&amp;"x"&amp;COLUMNS(_xlpm.b),"err"),IF(_xlpm.sa&lt;&gt;_xlpm.sb,"FAIL",IF(_xlpm.sa="err",IF(ERROR.TYPE(_xlpm.a)=ERROR.TYPE(_xlpm.b),"PASS","FAIL"),IF(AND(IFERROR(_xlpm.a=_xlpm.b,IFERROR(ERROR.TYPE(_xlpm.a)=ERROR.TYPE(_xlpm.b),FALSE))),"PASS","FAIL"))))</f>
        <v>0</v>
      </c>
    </row>
    <row r="24">
      <c r="A24">
        <v>19</v>
      </c>
      <c r="B24" s="55" t="inlineStr">
        <is>
          <t xml:space="preserve">ad_col_n</t>
        </is>
      </c>
      <c r="C24" t="inlineStr">
        <is>
          <t xml:space="preserve">ad_col_n!L20</t>
        </is>
      </c>
      <c r="D24" s="51" t="inlineStr">
        <is>
          <t xml:space="preserve">tocol</t>
        </is>
      </c>
      <c r="E24" t="inlineStr">
        <is>
          <t xml:space="preserve">ad_col_n(TOCOL(D20))</t>
        </is>
      </c>
      <c r="F24" s="51" cm="1">
        <f t="array" ref="F24">_xlfn.LET(_xlpm.a,ad_col_n('ad_col_n'!D20),_xlpm.b,ad_col_n(_xlfn.TOCOL('ad_col_n'!D20)),_xlpm.sa,IFERROR(ROWS(_xlpm.a)&amp;"x"&amp;COLUMNS(_xlpm.a),"err"),_xlpm.sb,IFERROR(ROWS(_xlpm.b)&amp;"x"&amp;COLUMNS(_xlpm.b),"err"),IF(_xlpm.sa&lt;&gt;_xlpm.sb,"FAIL",IF(_xlpm.sa="err",IF(ERROR.TYPE(_xlpm.a)=ERROR.TYPE(_xlpm.b),"PASS","FAIL"),IF(AND(IFERROR(_xlpm.a=_xlpm.b,IFERROR(ERROR.TYPE(_xlpm.a)=ERROR.TYPE(_xlpm.b),FALSE))),"PASS","FAIL"))))</f>
        <v>0</v>
      </c>
    </row>
    <row r="25">
      <c r="A25">
        <v>20</v>
      </c>
      <c r="B25" s="55" t="inlineStr">
        <is>
          <t xml:space="preserve">ad_col_n</t>
        </is>
      </c>
      <c r="C25" t="inlineStr">
        <is>
          <t xml:space="preserve">ad_col_n!L23</t>
        </is>
      </c>
      <c r="D25" s="51" t="inlineStr">
        <is>
          <t xml:space="preserve">tocol</t>
        </is>
      </c>
      <c r="E25" t="inlineStr">
        <is>
          <t xml:space="preserve">ad_col_n(TOCOL(D23))</t>
        </is>
      </c>
      <c r="F25" s="51" cm="1">
        <f t="array" ref="F25">_xlfn.LET(_xlpm.a,ad_col_n('ad_col_n'!D23),_xlpm.b,ad_col_n(_xlfn.TOCOL('ad_col_n'!D23)),_xlpm.sa,IFERROR(ROWS(_xlpm.a)&amp;"x"&amp;COLUMNS(_xlpm.a),"err"),_xlpm.sb,IFERROR(ROWS(_xlpm.b)&amp;"x"&amp;COLUMNS(_xlpm.b),"err"),IF(_xlpm.sa&lt;&gt;_xlpm.sb,"FAIL",IF(_xlpm.sa="err",IF(ERROR.TYPE(_xlpm.a)=ERROR.TYPE(_xlpm.b),"PASS","FAIL"),IF(AND(IFERROR(_xlpm.a=_xlpm.b,IFERROR(ERROR.TYPE(_xlpm.a)=ERROR.TYPE(_xlpm.b),FALSE))),"PASS","FAIL"))))</f>
        <v>0</v>
      </c>
    </row>
    <row r="26">
      <c r="A26">
        <v>21</v>
      </c>
      <c r="B26" s="55" t="inlineStr">
        <is>
          <t xml:space="preserve">ad_col_n</t>
        </is>
      </c>
      <c r="C26" t="inlineStr">
        <is>
          <t xml:space="preserve">ad_col_n!L26</t>
        </is>
      </c>
      <c r="D26" s="51" t="inlineStr">
        <is>
          <t xml:space="preserve">array</t>
        </is>
      </c>
      <c r="E26" t="inlineStr">
        <is>
          <t xml:space="preserve">ad_col_n(CHOOSEROWS(D26:D28,SEQUENCE(ROWS(D26:D28))))</t>
        </is>
      </c>
      <c r="F26" s="51" cm="1">
        <f t="array" ref="F26">_xlfn.LET(_xlpm.a,ad_col_n('ad_col_n'!D26:D28),_xlpm.b,ad_col_n(_xlfn.CHOOSEROWS('ad_col_n'!D26:D28,_xlfn.SEQUENCE(ROWS('ad_col_n'!D26:D28)))),_xlpm.sa,IFERROR(ROWS(_xlpm.a)&amp;"x"&amp;COLUMNS(_xlpm.a),"err"),_xlpm.sb,IFERROR(ROWS(_xlpm.b)&amp;"x"&amp;COLUMNS(_xlpm.b),"err"),IF(_xlpm.sa&lt;&gt;_xlpm.sb,"FAIL",IF(_xlpm.sa="err",IF(ERROR.TYPE(_xlpm.a)=ERROR.TYPE(_xlpm.b),"PASS","FAIL"),IF(AND(IFERROR(_xlpm.a=_xlpm.b,IFERROR(ERROR.TYPE(_xlpm.a)=ERROR.TYPE(_xlpm.b),FALSE))),"PASS","FAIL"))))</f>
        <v>0</v>
      </c>
    </row>
    <row r="27">
      <c r="A27">
        <v>22</v>
      </c>
      <c r="B27" s="55" t="inlineStr">
        <is>
          <t xml:space="preserve">ad_row_n</t>
        </is>
      </c>
      <c r="C27" t="inlineStr">
        <is>
          <t xml:space="preserve">ad_row_n!L6</t>
        </is>
      </c>
      <c r="D27" s="51" t="inlineStr">
        <is>
          <t xml:space="preserve">tocol</t>
        </is>
      </c>
      <c r="E27" t="inlineStr">
        <is>
          <t xml:space="preserve">ad_row_n(TOCOL(D6))</t>
        </is>
      </c>
      <c r="F27" s="51" cm="1">
        <f t="array" ref="F27">_xlfn.LET(_xlpm.a,ad_row_n('ad_row_n'!D6),_xlpm.b,ad_row_n(_xlfn.TOCOL('ad_row_n'!D6)),_xlpm.sa,IFERROR(ROWS(_xlpm.a)&amp;"x"&amp;COLUMNS(_xlpm.a),"err"),_xlpm.sb,IFERROR(ROWS(_xlpm.b)&amp;"x"&amp;COLUMNS(_xlpm.b),"err"),IF(_xlpm.sa&lt;&gt;_xlpm.sb,"FAIL",IF(_xlpm.sa="err",IF(ERROR.TYPE(_xlpm.a)=ERROR.TYPE(_xlpm.b),"PASS","FAIL"),IF(AND(IFERROR(_xlpm.a=_xlpm.b,IFERROR(ERROR.TYPE(_xlpm.a)=ERROR.TYPE(_xlpm.b),FALSE))),"PASS","FAIL"))))</f>
        <v>0</v>
      </c>
    </row>
    <row r="28">
      <c r="A28">
        <v>23</v>
      </c>
      <c r="B28" s="55" t="inlineStr">
        <is>
          <t xml:space="preserve">ad_row_n</t>
        </is>
      </c>
      <c r="C28" t="inlineStr">
        <is>
          <t xml:space="preserve">ad_row_n!L6</t>
        </is>
      </c>
      <c r="D28" s="51" t="inlineStr">
        <is>
          <t xml:space="preserve">textnum</t>
        </is>
      </c>
      <c r="E28" t="inlineStr">
        <is>
          <t xml:space="preserve">ad_row_n((D6&amp;""))</t>
        </is>
      </c>
      <c r="F28" s="51" cm="1">
        <f t="array" ref="F28">_xlfn.LET(_xlpm.a,ad_row_n('ad_row_n'!D6),_xlpm.b,ad_row_n(('ad_row_n'!D6&amp;"")),_xlpm.sa,IFERROR(ROWS(_xlpm.a)&amp;"x"&amp;COLUMNS(_xlpm.a),"err"),_xlpm.sb,IFERROR(ROWS(_xlpm.b)&amp;"x"&amp;COLUMNS(_xlpm.b),"err"),IF(_xlpm.sa&lt;&gt;_xlpm.sb,"FAIL",IF(_xlpm.sa="err",IF(ERROR.TYPE(_xlpm.a)=ERROR.TYPE(_xlpm.b),"PASS","FAIL"),IF(AND(IFERROR(_xlpm.a=_xlpm.b,IFERROR(ERROR.TYPE(_xlpm.a)=ERROR.TYPE(_xlpm.b),FALSE))),"PASS","FAIL"))))</f>
        <v>0</v>
      </c>
    </row>
    <row r="29">
      <c r="A29">
        <v>24</v>
      </c>
      <c r="B29" s="55" t="inlineStr">
        <is>
          <t xml:space="preserve">ad_row_n</t>
        </is>
      </c>
      <c r="C29" t="inlineStr">
        <is>
          <t xml:space="preserve">ad_row_n!L9</t>
        </is>
      </c>
      <c r="D29" s="51" t="inlineStr">
        <is>
          <t xml:space="preserve">tocol</t>
        </is>
      </c>
      <c r="E29" t="inlineStr">
        <is>
          <t xml:space="preserve">ad_row_n(TOCOL(D9))</t>
        </is>
      </c>
      <c r="F29" s="51" cm="1">
        <f t="array" ref="F29">_xlfn.LET(_xlpm.a,ad_row_n('ad_row_n'!D9),_xlpm.b,ad_row_n(_xlfn.TOCOL('ad_row_n'!D9)),_xlpm.sa,IFERROR(ROWS(_xlpm.a)&amp;"x"&amp;COLUMNS(_xlpm.a),"err"),_xlpm.sb,IFERROR(ROWS(_xlpm.b)&amp;"x"&amp;COLUMNS(_xlpm.b),"err"),IF(_xlpm.sa&lt;&gt;_xlpm.sb,"FAIL",IF(_xlpm.sa="err",IF(ERROR.TYPE(_xlpm.a)=ERROR.TYPE(_xlpm.b),"PASS","FAIL"),IF(AND(IFERROR(_xlpm.a=_xlpm.b,IFERROR(ERROR.TYPE(_xlpm.a)=ERROR.TYPE(_xlpm.b),FALSE))),"PASS","FAIL"))))</f>
        <v>0</v>
      </c>
    </row>
    <row r="30">
      <c r="A30">
        <v>25</v>
      </c>
      <c r="B30" s="55" t="inlineStr">
        <is>
          <t xml:space="preserve">ad_row_n</t>
        </is>
      </c>
      <c r="C30" t="inlineStr">
        <is>
          <t xml:space="preserve">ad_row_n!L12</t>
        </is>
      </c>
      <c r="D30" s="51" t="inlineStr">
        <is>
          <t xml:space="preserve">tocol</t>
        </is>
      </c>
      <c r="E30" t="inlineStr">
        <is>
          <t xml:space="preserve">ad_row_n(TOCOL(D12))</t>
        </is>
      </c>
      <c r="F30" s="51" cm="1">
        <f t="array" ref="F30">_xlfn.LET(_xlpm.a,ad_row_n('ad_row_n'!D12),_xlpm.b,ad_row_n(_xlfn.TOCOL('ad_row_n'!D12)),_xlpm.sa,IFERROR(ROWS(_xlpm.a)&amp;"x"&amp;COLUMNS(_xlpm.a),"err"),_xlpm.sb,IFERROR(ROWS(_xlpm.b)&amp;"x"&amp;COLUMNS(_xlpm.b),"err"),IF(_xlpm.sa&lt;&gt;_xlpm.sb,"FAIL",IF(_xlpm.sa="err",IF(ERROR.TYPE(_xlpm.a)=ERROR.TYPE(_xlpm.b),"PASS","FAIL"),IF(AND(IFERROR(_xlpm.a=_xlpm.b,IFERROR(ERROR.TYPE(_xlpm.a)=ERROR.TYPE(_xlpm.b),FALSE))),"PASS","FAIL"))))</f>
        <v>0</v>
      </c>
    </row>
    <row r="31">
      <c r="A31">
        <v>26</v>
      </c>
      <c r="B31" s="55" t="inlineStr">
        <is>
          <t xml:space="preserve">ad_row_n</t>
        </is>
      </c>
      <c r="C31" t="inlineStr">
        <is>
          <t xml:space="preserve">ad_row_n!L18</t>
        </is>
      </c>
      <c r="D31" s="51" t="inlineStr">
        <is>
          <t xml:space="preserve">array</t>
        </is>
      </c>
      <c r="E31" t="inlineStr">
        <is>
          <t xml:space="preserve">ad_row_n(CHOOSEROWS(D18:D20,SEQUENCE(ROWS(D18:D20))))</t>
        </is>
      </c>
      <c r="F31" s="51" cm="1">
        <f t="array" ref="F31">_xlfn.LET(_xlpm.a,ad_row_n('ad_row_n'!D18:D20),_xlpm.b,ad_row_n(_xlfn.CHOOSEROWS('ad_row_n'!D18:D20,_xlfn.SEQUENCE(ROWS('ad_row_n'!D18:D20)))),_xlpm.sa,IFERROR(ROWS(_xlpm.a)&amp;"x"&amp;COLUMNS(_xlpm.a),"err"),_xlpm.sb,IFERROR(ROWS(_xlpm.b)&amp;"x"&amp;COLUMNS(_xlpm.b),"err"),IF(_xlpm.sa&lt;&gt;_xlpm.sb,"FAIL",IF(_xlpm.sa="err",IF(ERROR.TYPE(_xlpm.a)=ERROR.TYPE(_xlpm.b),"PASS","FAIL"),IF(AND(IFERROR(_xlpm.a=_xlpm.b,IFERROR(ERROR.TYPE(_xlpm.a)=ERROR.TYPE(_xlpm.b),FALSE))),"PASS","FAIL"))))</f>
        <v>0</v>
      </c>
    </row>
    <row r="32">
      <c r="A32">
        <v>27</v>
      </c>
      <c r="B32" s="55" t="inlineStr">
        <is>
          <t xml:space="preserve">ad_row_n</t>
        </is>
      </c>
      <c r="C32" t="inlineStr">
        <is>
          <t xml:space="preserve">ad_row_n!L23</t>
        </is>
      </c>
      <c r="D32" s="51" t="inlineStr">
        <is>
          <t xml:space="preserve">tocol</t>
        </is>
      </c>
      <c r="E32" t="inlineStr">
        <is>
          <t xml:space="preserve">ad_row_n(TOCOL(D23))</t>
        </is>
      </c>
      <c r="F32" s="51" cm="1">
        <f t="array" ref="F32">_xlfn.LET(_xlpm.a,ad_row_n('ad_row_n'!D23),_xlpm.b,ad_row_n(_xlfn.TOCOL('ad_row_n'!D23)),_xlpm.sa,IFERROR(ROWS(_xlpm.a)&amp;"x"&amp;COLUMNS(_xlpm.a),"err"),_xlpm.sb,IFERROR(ROWS(_xlpm.b)&amp;"x"&amp;COLUMNS(_xlpm.b),"err"),IF(_xlpm.sa&lt;&gt;_xlpm.sb,"FAIL",IF(_xlpm.sa="err",IF(ERROR.TYPE(_xlpm.a)=ERROR.TYPE(_xlpm.b),"PASS","FAIL"),IF(AND(IFERROR(_xlpm.a=_xlpm.b,IFERROR(ERROR.TYPE(_xlpm.a)=ERROR.TYPE(_xlpm.b),FALSE))),"PASS","FAIL"))))</f>
        <v>0</v>
      </c>
    </row>
    <row r="33">
      <c r="A33">
        <v>28</v>
      </c>
      <c r="B33" s="55" t="inlineStr">
        <is>
          <t xml:space="preserve">ad_to_cont</t>
        </is>
      </c>
      <c r="C33" t="inlineStr">
        <is>
          <t xml:space="preserve">ad_to_cont!N11</t>
        </is>
      </c>
      <c r="D33" s="51" t="inlineStr">
        <is>
          <t xml:space="preserve">tocol</t>
        </is>
      </c>
      <c r="E33" t="inlineStr">
        <is>
          <t xml:space="preserve">ad_to_cont(TOCOL("E8"),D7:F9)</t>
        </is>
      </c>
      <c r="F33" s="51" cm="1">
        <f t="array" ref="F33">_xlfn.LET(_xlpm.a,ad_to_cont("E8",'ad_to_cont'!D7:F9),_xlpm.b,ad_to_cont(_xlfn.TOCOL("E8"),'ad_to_cont'!D7:F9),_xlpm.sa,IFERROR(ROWS(_xlpm.a)&amp;"x"&amp;COLUMNS(_xlpm.a),"err"),_xlpm.sb,IFERROR(ROWS(_xlpm.b)&amp;"x"&amp;COLUMNS(_xlpm.b),"err"),IF(_xlpm.sa&lt;&gt;_xlpm.sb,"FAIL",IF(_xlpm.sa="err",IF(ERROR.TYPE(_xlpm.a)=ERROR.TYPE(_xlpm.b),"PASS","FAIL"),IF(AND(IFERROR(_xlpm.a=_xlpm.b,IFERROR(ERROR.TYPE(_xlpm.a)=ERROR.TYPE(_xlpm.b),FALSE))),"PASS","FAIL"))))</f>
        <v>0</v>
      </c>
    </row>
    <row r="34">
      <c r="A34">
        <v>29</v>
      </c>
      <c r="B34" s="55" t="inlineStr">
        <is>
          <t xml:space="preserve">ad_to_cont</t>
        </is>
      </c>
      <c r="C34" t="inlineStr">
        <is>
          <t xml:space="preserve">ad_to_cont!N11</t>
        </is>
      </c>
      <c r="D34" s="51" t="inlineStr">
        <is>
          <t xml:space="preserve">cellref</t>
        </is>
      </c>
      <c r="E34" t="inlineStr">
        <is>
          <t xml:space="preserve">ad_to_cont(shape_tests!$H$34,D7:F9)</t>
        </is>
      </c>
      <c r="F34" s="51" cm="1">
        <f t="array" ref="F34">_xlfn.LET(_xlpm.a,ad_to_cont("E8",'ad_to_cont'!D7:F9),_xlpm.b,ad_to_cont(shape_tests!$H$34,'ad_to_cont'!D7:F9),_xlpm.sa,IFERROR(ROWS(_xlpm.a)&amp;"x"&amp;COLUMNS(_xlpm.a),"err"),_xlpm.sb,IFERROR(ROWS(_xlpm.b)&amp;"x"&amp;COLUMNS(_xlpm.b),"err"),IF(_xlpm.sa&lt;&gt;_xlpm.sb,"FAIL",IF(_xlpm.sa="err",IF(ERROR.TYPE(_xlpm.a)=ERROR.TYPE(_xlpm.b),"PASS","FAIL"),IF(AND(IFERROR(_xlpm.a=_xlpm.b,IFERROR(ERROR.TYPE(_xlpm.a)=ERROR.TYPE(_xlpm.b),FALSE))),"PASS","FAIL"))))</f>
        <v>0</v>
      </c>
      <c r="H34" t="inlineStr">
        <is>
          <t xml:space="preserve">E8</t>
        </is>
      </c>
    </row>
    <row r="35">
      <c r="A35">
        <v>30</v>
      </c>
      <c r="B35" s="55" t="inlineStr">
        <is>
          <t xml:space="preserve">ad_to_cont</t>
        </is>
      </c>
      <c r="C35" t="inlineStr">
        <is>
          <t xml:space="preserve">ad_to_cont!N13</t>
        </is>
      </c>
      <c r="D35" s="51" t="inlineStr">
        <is>
          <t xml:space="preserve">tocol</t>
        </is>
      </c>
      <c r="E35" t="inlineStr">
        <is>
          <t xml:space="preserve">ad_to_cont(TOCOL(8000005),D7:F9)</t>
        </is>
      </c>
      <c r="F35" s="51" cm="1">
        <f t="array" ref="F35">_xlfn.LET(_xlpm.a,ad_to_cont(8000005,'ad_to_cont'!D7:F9),_xlpm.b,ad_to_cont(_xlfn.TOCOL(8000005),'ad_to_cont'!D7:F9),_xlpm.sa,IFERROR(ROWS(_xlpm.a)&amp;"x"&amp;COLUMNS(_xlpm.a),"err"),_xlpm.sb,IFERROR(ROWS(_xlpm.b)&amp;"x"&amp;COLUMNS(_xlpm.b),"err"),IF(_xlpm.sa&lt;&gt;_xlpm.sb,"FAIL",IF(_xlpm.sa="err",IF(ERROR.TYPE(_xlpm.a)=ERROR.TYPE(_xlpm.b),"PASS","FAIL"),IF(AND(IFERROR(_xlpm.a=_xlpm.b,IFERROR(ERROR.TYPE(_xlpm.a)=ERROR.TYPE(_xlpm.b),FALSE))),"PASS","FAIL"))))</f>
        <v>0</v>
      </c>
    </row>
    <row r="36">
      <c r="A36">
        <v>31</v>
      </c>
      <c r="B36" s="55" t="inlineStr">
        <is>
          <t xml:space="preserve">ad_to_cont</t>
        </is>
      </c>
      <c r="C36" t="inlineStr">
        <is>
          <t xml:space="preserve">ad_to_cont!N13</t>
        </is>
      </c>
      <c r="D36" s="51" t="inlineStr">
        <is>
          <t xml:space="preserve">cellref</t>
        </is>
      </c>
      <c r="E36" t="inlineStr">
        <is>
          <t xml:space="preserve">ad_to_cont(shape_tests!$H$36,D7:F9)</t>
        </is>
      </c>
      <c r="F36" s="51" cm="1">
        <f t="array" ref="F36">_xlfn.LET(_xlpm.a,ad_to_cont(8000005,'ad_to_cont'!D7:F9),_xlpm.b,ad_to_cont(shape_tests!$H$36,'ad_to_cont'!D7:F9),_xlpm.sa,IFERROR(ROWS(_xlpm.a)&amp;"x"&amp;COLUMNS(_xlpm.a),"err"),_xlpm.sb,IFERROR(ROWS(_xlpm.b)&amp;"x"&amp;COLUMNS(_xlpm.b),"err"),IF(_xlpm.sa&lt;&gt;_xlpm.sb,"FAIL",IF(_xlpm.sa="err",IF(ERROR.TYPE(_xlpm.a)=ERROR.TYPE(_xlpm.b),"PASS","FAIL"),IF(AND(IFERROR(_xlpm.a=_xlpm.b,IFERROR(ERROR.TYPE(_xlpm.a)=ERROR.TYPE(_xlpm.b),FALSE))),"PASS","FAIL"))))</f>
        <v>0</v>
      </c>
      <c r="H36">
        <v>8000005.0</v>
      </c>
    </row>
    <row r="37">
      <c r="A37">
        <v>32</v>
      </c>
      <c r="B37" s="55" t="inlineStr">
        <is>
          <t xml:space="preserve">ad_to_cont</t>
        </is>
      </c>
      <c r="C37" t="inlineStr">
        <is>
          <t xml:space="preserve">ad_to_cont!N13</t>
        </is>
      </c>
      <c r="D37" s="51" t="inlineStr">
        <is>
          <t xml:space="preserve">textnum</t>
        </is>
      </c>
      <c r="E37" t="inlineStr">
        <is>
          <t xml:space="preserve">ad_to_cont("8000005",D7:F9)</t>
        </is>
      </c>
      <c r="F37" s="51" cm="1">
        <f t="array" ref="F37">_xlfn.LET(_xlpm.a,ad_to_cont(8000005,'ad_to_cont'!D7:F9),_xlpm.b,ad_to_cont("8000005",'ad_to_cont'!D7:F9),_xlpm.sa,IFERROR(ROWS(_xlpm.a)&amp;"x"&amp;COLUMNS(_xlpm.a),"err"),_xlpm.sb,IFERROR(ROWS(_xlpm.b)&amp;"x"&amp;COLUMNS(_xlpm.b),"err"),IF(_xlpm.sa&lt;&gt;_xlpm.sb,"FAIL",IF(_xlpm.sa="err",IF(ERROR.TYPE(_xlpm.a)=ERROR.TYPE(_xlpm.b),"PASS","FAIL"),IF(AND(IFERROR(_xlpm.a=_xlpm.b,IFERROR(ERROR.TYPE(_xlpm.a)=ERROR.TYPE(_xlpm.b),FALSE))),"PASS","FAIL"))))</f>
        <v>0</v>
      </c>
    </row>
    <row r="38">
      <c r="A38">
        <v>33</v>
      </c>
      <c r="B38" s="55" t="inlineStr">
        <is>
          <t xml:space="preserve">ad_to_cont</t>
        </is>
      </c>
      <c r="C38" t="inlineStr">
        <is>
          <t xml:space="preserve">ad_to_cont!P15</t>
        </is>
      </c>
      <c r="D38" s="51" t="inlineStr">
        <is>
          <t xml:space="preserve">tocol</t>
        </is>
      </c>
      <c r="E38" t="inlineStr">
        <is>
          <t xml:space="preserve">ad_to_cont(TOCOL("D7:E8"),D7:F9)</t>
        </is>
      </c>
      <c r="F38" s="51" cm="1">
        <f t="array" ref="F38">_xlfn.LET(_xlpm.a,ad_to_cont("D7:E8",'ad_to_cont'!D7:F9),_xlpm.b,ad_to_cont(_xlfn.TOCOL("D7:E8"),'ad_to_cont'!D7:F9),_xlpm.sa,IFERROR(ROWS(_xlpm.a)&amp;"x"&amp;COLUMNS(_xlpm.a),"err"),_xlpm.sb,IFERROR(ROWS(_xlpm.b)&amp;"x"&amp;COLUMNS(_xlpm.b),"err"),IF(_xlpm.sa&lt;&gt;_xlpm.sb,"FAIL",IF(_xlpm.sa="err",IF(ERROR.TYPE(_xlpm.a)=ERROR.TYPE(_xlpm.b),"PASS","FAIL"),IF(AND(IFERROR(_xlpm.a=_xlpm.b,IFERROR(ERROR.TYPE(_xlpm.a)=ERROR.TYPE(_xlpm.b),FALSE))),"PASS","FAIL"))))</f>
        <v>0</v>
      </c>
    </row>
    <row r="39">
      <c r="A39">
        <v>34</v>
      </c>
      <c r="B39" s="55" t="inlineStr">
        <is>
          <t xml:space="preserve">ad_to_cont</t>
        </is>
      </c>
      <c r="C39" t="inlineStr">
        <is>
          <t xml:space="preserve">ad_to_cont!P15</t>
        </is>
      </c>
      <c r="D39" s="51" t="inlineStr">
        <is>
          <t xml:space="preserve">cellref</t>
        </is>
      </c>
      <c r="E39" t="inlineStr">
        <is>
          <t xml:space="preserve">ad_to_cont(shape_tests!$H$39,D7:F9)</t>
        </is>
      </c>
      <c r="F39" s="51" cm="1">
        <f t="array" ref="F39">_xlfn.LET(_xlpm.a,ad_to_cont("D7:E8",'ad_to_cont'!D7:F9),_xlpm.b,ad_to_cont(shape_tests!$H$39,'ad_to_cont'!D7:F9),_xlpm.sa,IFERROR(ROWS(_xlpm.a)&amp;"x"&amp;COLUMNS(_xlpm.a),"err"),_xlpm.sb,IFERROR(ROWS(_xlpm.b)&amp;"x"&amp;COLUMNS(_xlpm.b),"err"),IF(_xlpm.sa&lt;&gt;_xlpm.sb,"FAIL",IF(_xlpm.sa="err",IF(ERROR.TYPE(_xlpm.a)=ERROR.TYPE(_xlpm.b),"PASS","FAIL"),IF(AND(IFERROR(_xlpm.a=_xlpm.b,IFERROR(ERROR.TYPE(_xlpm.a)=ERROR.TYPE(_xlpm.b),FALSE))),"PASS","FAIL"))))</f>
        <v>0</v>
      </c>
      <c r="H39" t="inlineStr">
        <is>
          <t xml:space="preserve">D7:E8</t>
        </is>
      </c>
    </row>
    <row r="40">
      <c r="A40">
        <v>35</v>
      </c>
      <c r="B40" s="55" t="inlineStr">
        <is>
          <t xml:space="preserve">ad_to_cont</t>
        </is>
      </c>
      <c r="C40" t="inlineStr">
        <is>
          <t xml:space="preserve">ad_to_cont!P18</t>
        </is>
      </c>
      <c r="D40" s="51" t="inlineStr">
        <is>
          <t xml:space="preserve">tocol</t>
        </is>
      </c>
      <c r="E40" t="inlineStr">
        <is>
          <t xml:space="preserve">ad_to_cont(TOCOL("7000004:8000005"),D7:F9)</t>
        </is>
      </c>
      <c r="F40" s="51" cm="1">
        <f t="array" ref="F40">_xlfn.LET(_xlpm.a,ad_to_cont("7000004:8000005",'ad_to_cont'!D7:F9),_xlpm.b,ad_to_cont(_xlfn.TOCOL("7000004:8000005"),'ad_to_cont'!D7:F9),_xlpm.sa,IFERROR(ROWS(_xlpm.a)&amp;"x"&amp;COLUMNS(_xlpm.a),"err"),_xlpm.sb,IFERROR(ROWS(_xlpm.b)&amp;"x"&amp;COLUMNS(_xlpm.b),"err"),IF(_xlpm.sa&lt;&gt;_xlpm.sb,"FAIL",IF(_xlpm.sa="err",IF(ERROR.TYPE(_xlpm.a)=ERROR.TYPE(_xlpm.b),"PASS","FAIL"),IF(AND(IFERROR(_xlpm.a=_xlpm.b,IFERROR(ERROR.TYPE(_xlpm.a)=ERROR.TYPE(_xlpm.b),FALSE))),"PASS","FAIL"))))</f>
        <v>0</v>
      </c>
    </row>
    <row r="41">
      <c r="A41">
        <v>36</v>
      </c>
      <c r="B41" s="55" t="inlineStr">
        <is>
          <t xml:space="preserve">ad_to_cont</t>
        </is>
      </c>
      <c r="C41" t="inlineStr">
        <is>
          <t xml:space="preserve">ad_to_cont!P18</t>
        </is>
      </c>
      <c r="D41" s="51" t="inlineStr">
        <is>
          <t xml:space="preserve">cellref</t>
        </is>
      </c>
      <c r="E41" t="inlineStr">
        <is>
          <t xml:space="preserve">ad_to_cont(shape_tests!$H$41,D7:F9)</t>
        </is>
      </c>
      <c r="F41" s="51" cm="1">
        <f t="array" ref="F41">_xlfn.LET(_xlpm.a,ad_to_cont("7000004:8000005",'ad_to_cont'!D7:F9),_xlpm.b,ad_to_cont(shape_tests!$H$41,'ad_to_cont'!D7:F9),_xlpm.sa,IFERROR(ROWS(_xlpm.a)&amp;"x"&amp;COLUMNS(_xlpm.a),"err"),_xlpm.sb,IFERROR(ROWS(_xlpm.b)&amp;"x"&amp;COLUMNS(_xlpm.b),"err"),IF(_xlpm.sa&lt;&gt;_xlpm.sb,"FAIL",IF(_xlpm.sa="err",IF(ERROR.TYPE(_xlpm.a)=ERROR.TYPE(_xlpm.b),"PASS","FAIL"),IF(AND(IFERROR(_xlpm.a=_xlpm.b,IFERROR(ERROR.TYPE(_xlpm.a)=ERROR.TYPE(_xlpm.b),FALSE))),"PASS","FAIL"))))</f>
        <v>0</v>
      </c>
      <c r="H41" t="inlineStr">
        <is>
          <t xml:space="preserve">7000004:8000005</t>
        </is>
      </c>
    </row>
    <row r="42">
      <c r="A42">
        <v>37</v>
      </c>
      <c r="B42" s="55" t="inlineStr">
        <is>
          <t xml:space="preserve">ad_to_cont</t>
        </is>
      </c>
      <c r="C42" t="inlineStr">
        <is>
          <t xml:space="preserve">ad_to_cont!N21</t>
        </is>
      </c>
      <c r="D42" s="51" t="inlineStr">
        <is>
          <t xml:space="preserve">array</t>
        </is>
      </c>
      <c r="E42" t="inlineStr">
        <is>
          <t xml:space="preserve">ad_to_cont(CHOOSEROWS(K7:K8,SEQUENCE(ROWS(K7:K8))),D7:F9)</t>
        </is>
      </c>
      <c r="F42" s="51" cm="1">
        <f t="array" ref="F42">_xlfn.LET(_xlpm.a,ad_to_cont('ad_to_cont'!K7:K8,'ad_to_cont'!D7:F9),_xlpm.b,ad_to_cont(_xlfn.CHOOSEROWS('ad_to_cont'!K7:K8,_xlfn.SEQUENCE(ROWS('ad_to_cont'!K7:K8))),'ad_to_cont'!D7:F9),_xlpm.sa,IFERROR(ROWS(_xlpm.a)&amp;"x"&amp;COLUMNS(_xlpm.a),"err"),_xlpm.sb,IFERROR(ROWS(_xlpm.b)&amp;"x"&amp;COLUMNS(_xlpm.b),"err"),IF(_xlpm.sa&lt;&gt;_xlpm.sb,"FAIL",IF(_xlpm.sa="err",IF(ERROR.TYPE(_xlpm.a)=ERROR.TYPE(_xlpm.b),"PASS","FAIL"),IF(AND(IFERROR(_xlpm.a=_xlpm.b,IFERROR(ERROR.TYPE(_xlpm.a)=ERROR.TYPE(_xlpm.b),FALSE))),"PASS","FAIL"))))</f>
        <v>0</v>
      </c>
    </row>
    <row r="43">
      <c r="A43">
        <v>38</v>
      </c>
      <c r="B43" s="55" t="inlineStr">
        <is>
          <t xml:space="preserve">ad_to_cont</t>
        </is>
      </c>
      <c r="C43" t="inlineStr">
        <is>
          <t xml:space="preserve">ad_to_cont!N24</t>
        </is>
      </c>
      <c r="D43" s="51" t="inlineStr">
        <is>
          <t xml:space="preserve">tocol</t>
        </is>
      </c>
      <c r="E43" t="inlineStr">
        <is>
          <t xml:space="preserve">ad_to_cont(TOCOL("Z99"),D7:F9)</t>
        </is>
      </c>
      <c r="F43" s="51" cm="1">
        <f t="array" ref="F43">_xlfn.LET(_xlpm.a,ad_to_cont("Z99",'ad_to_cont'!D7:F9),_xlpm.b,ad_to_cont(_xlfn.TOCOL("Z99"),'ad_to_cont'!D7:F9),_xlpm.sa,IFERROR(ROWS(_xlpm.a)&amp;"x"&amp;COLUMNS(_xlpm.a),"err"),_xlpm.sb,IFERROR(ROWS(_xlpm.b)&amp;"x"&amp;COLUMNS(_xlpm.b),"err"),IF(_xlpm.sa&lt;&gt;_xlpm.sb,"FAIL",IF(_xlpm.sa="err",IF(ERROR.TYPE(_xlpm.a)=ERROR.TYPE(_xlpm.b),"PASS","FAIL"),IF(AND(IFERROR(_xlpm.a=_xlpm.b,IFERROR(ERROR.TYPE(_xlpm.a)=ERROR.TYPE(_xlpm.b),FALSE))),"PASS","FAIL"))))</f>
        <v>0</v>
      </c>
    </row>
    <row r="44">
      <c r="A44">
        <v>39</v>
      </c>
      <c r="B44" s="55" t="inlineStr">
        <is>
          <t xml:space="preserve">ad_to_cont</t>
        </is>
      </c>
      <c r="C44" t="inlineStr">
        <is>
          <t xml:space="preserve">ad_to_cont!N24</t>
        </is>
      </c>
      <c r="D44" s="51" t="inlineStr">
        <is>
          <t xml:space="preserve">cellref</t>
        </is>
      </c>
      <c r="E44" t="inlineStr">
        <is>
          <t xml:space="preserve">ad_to_cont(shape_tests!$H$44,D7:F9)</t>
        </is>
      </c>
      <c r="F44" s="51" cm="1">
        <f t="array" ref="F44">_xlfn.LET(_xlpm.a,ad_to_cont("Z99",'ad_to_cont'!D7:F9),_xlpm.b,ad_to_cont(shape_tests!$H$44,'ad_to_cont'!D7:F9),_xlpm.sa,IFERROR(ROWS(_xlpm.a)&amp;"x"&amp;COLUMNS(_xlpm.a),"err"),_xlpm.sb,IFERROR(ROWS(_xlpm.b)&amp;"x"&amp;COLUMNS(_xlpm.b),"err"),IF(_xlpm.sa&lt;&gt;_xlpm.sb,"FAIL",IF(_xlpm.sa="err",IF(ERROR.TYPE(_xlpm.a)=ERROR.TYPE(_xlpm.b),"PASS","FAIL"),IF(AND(IFERROR(_xlpm.a=_xlpm.b,IFERROR(ERROR.TYPE(_xlpm.a)=ERROR.TYPE(_xlpm.b),FALSE))),"PASS","FAIL"))))</f>
        <v>0</v>
      </c>
      <c r="H44" t="inlineStr">
        <is>
          <t xml:space="preserve">Z99</t>
        </is>
      </c>
    </row>
    <row r="45">
      <c r="A45">
        <v>40</v>
      </c>
      <c r="B45" s="55" t="inlineStr">
        <is>
          <t xml:space="preserve">ad_to_cont</t>
        </is>
      </c>
      <c r="C45" t="inlineStr">
        <is>
          <t xml:space="preserve">ad_to_cont!E26</t>
        </is>
      </c>
      <c r="D45" s="51" t="inlineStr">
        <is>
          <t xml:space="preserve">tocol</t>
        </is>
      </c>
      <c r="E45" t="inlineStr">
        <is>
          <t xml:space="preserve">ad_to_cont(TOCOL("H7"),H7:H8)</t>
        </is>
      </c>
      <c r="F45" s="51" cm="1">
        <f t="array" ref="F45">_xlfn.LET(_xlpm.a,ad_to_cont("H7",'ad_to_cont'!H7:H8),_xlpm.b,ad_to_cont(_xlfn.TOCOL("H7"),'ad_to_cont'!H7:H8),_xlpm.sa,IFERROR(ROWS(_xlpm.a)&amp;"x"&amp;COLUMNS(_xlpm.a),"err"),_xlpm.sb,IFERROR(ROWS(_xlpm.b)&amp;"x"&amp;COLUMNS(_xlpm.b),"err"),IF(_xlpm.sa&lt;&gt;_xlpm.sb,"FAIL",IF(_xlpm.sa="err",IF(ERROR.TYPE(_xlpm.a)=ERROR.TYPE(_xlpm.b),"PASS","FAIL"),IF(AND(IFERROR(_xlpm.a=_xlpm.b,IFERROR(ERROR.TYPE(_xlpm.a)=ERROR.TYPE(_xlpm.b),FALSE))),"PASS","FAIL"))))</f>
        <v>0</v>
      </c>
    </row>
    <row r="46">
      <c r="A46">
        <v>41</v>
      </c>
      <c r="B46" s="55" t="inlineStr">
        <is>
          <t xml:space="preserve">ad_to_cont</t>
        </is>
      </c>
      <c r="C46" t="inlineStr">
        <is>
          <t xml:space="preserve">ad_to_cont!E26</t>
        </is>
      </c>
      <c r="D46" s="51" t="inlineStr">
        <is>
          <t xml:space="preserve">cellref</t>
        </is>
      </c>
      <c r="E46" t="inlineStr">
        <is>
          <t xml:space="preserve">ad_to_cont(shape_tests!$H$46,H7:H8)</t>
        </is>
      </c>
      <c r="F46" s="51" cm="1">
        <f t="array" ref="F46">_xlfn.LET(_xlpm.a,ad_to_cont("H7",'ad_to_cont'!H7:H8),_xlpm.b,ad_to_cont(shape_tests!$H$46,'ad_to_cont'!H7:H8),_xlpm.sa,IFERROR(ROWS(_xlpm.a)&amp;"x"&amp;COLUMNS(_xlpm.a),"err"),_xlpm.sb,IFERROR(ROWS(_xlpm.b)&amp;"x"&amp;COLUMNS(_xlpm.b),"err"),IF(_xlpm.sa&lt;&gt;_xlpm.sb,"FAIL",IF(_xlpm.sa="err",IF(ERROR.TYPE(_xlpm.a)=ERROR.TYPE(_xlpm.b),"PASS","FAIL"),IF(AND(IFERROR(_xlpm.a=_xlpm.b,IFERROR(ERROR.TYPE(_xlpm.a)=ERROR.TYPE(_xlpm.b),FALSE))),"PASS","FAIL"))))</f>
        <v>0</v>
      </c>
      <c r="H46" t="inlineStr">
        <is>
          <t xml:space="preserve">H7</t>
        </is>
      </c>
    </row>
    <row r="47">
      <c r="A47">
        <v>42</v>
      </c>
      <c r="B47" s="55" t="inlineStr">
        <is>
          <t xml:space="preserve">ad_to_cont</t>
        </is>
      </c>
      <c r="C47" t="inlineStr">
        <is>
          <t xml:space="preserve">ad_to_cont!N28</t>
        </is>
      </c>
      <c r="D47" s="51" t="inlineStr">
        <is>
          <t xml:space="preserve">tocol</t>
        </is>
      </c>
      <c r="E47" t="inlineStr">
        <is>
          <t xml:space="preserve">ad_to_cont(TOCOL("I7"),I7)</t>
        </is>
      </c>
      <c r="F47" s="51" cm="1">
        <f t="array" ref="F47">_xlfn.LET(_xlpm.a,ad_to_cont("I7",'ad_to_cont'!I7),_xlpm.b,ad_to_cont(_xlfn.TOCOL("I7"),'ad_to_cont'!I7),_xlpm.sa,IFERROR(ROWS(_xlpm.a)&amp;"x"&amp;COLUMNS(_xlpm.a),"err"),_xlpm.sb,IFERROR(ROWS(_xlpm.b)&amp;"x"&amp;COLUMNS(_xlpm.b),"err"),IF(_xlpm.sa&lt;&gt;_xlpm.sb,"FAIL",IF(_xlpm.sa="err",IF(ERROR.TYPE(_xlpm.a)=ERROR.TYPE(_xlpm.b),"PASS","FAIL"),IF(AND(IFERROR(_xlpm.a=_xlpm.b,IFERROR(ERROR.TYPE(_xlpm.a)=ERROR.TYPE(_xlpm.b),FALSE))),"PASS","FAIL"))))</f>
        <v>0</v>
      </c>
    </row>
    <row r="48">
      <c r="A48">
        <v>43</v>
      </c>
      <c r="B48" s="55" t="inlineStr">
        <is>
          <t xml:space="preserve">ad_to_cont</t>
        </is>
      </c>
      <c r="C48" t="inlineStr">
        <is>
          <t xml:space="preserve">ad_to_cont!N28</t>
        </is>
      </c>
      <c r="D48" s="51" t="inlineStr">
        <is>
          <t xml:space="preserve">cellref</t>
        </is>
      </c>
      <c r="E48" t="inlineStr">
        <is>
          <t xml:space="preserve">ad_to_cont(shape_tests!$H$48,I7)</t>
        </is>
      </c>
      <c r="F48" s="51" cm="1">
        <f t="array" ref="F48">_xlfn.LET(_xlpm.a,ad_to_cont("I7",'ad_to_cont'!I7),_xlpm.b,ad_to_cont(shape_tests!$H$48,'ad_to_cont'!I7),_xlpm.sa,IFERROR(ROWS(_xlpm.a)&amp;"x"&amp;COLUMNS(_xlpm.a),"err"),_xlpm.sb,IFERROR(ROWS(_xlpm.b)&amp;"x"&amp;COLUMNS(_xlpm.b),"err"),IF(_xlpm.sa&lt;&gt;_xlpm.sb,"FAIL",IF(_xlpm.sa="err",IF(ERROR.TYPE(_xlpm.a)=ERROR.TYPE(_xlpm.b),"PASS","FAIL"),IF(AND(IFERROR(_xlpm.a=_xlpm.b,IFERROR(ERROR.TYPE(_xlpm.a)=ERROR.TYPE(_xlpm.b),FALSE))),"PASS","FAIL"))))</f>
        <v>0</v>
      </c>
      <c r="H48" t="inlineStr">
        <is>
          <t xml:space="preserve">I7</t>
        </is>
      </c>
    </row>
    <row r="49">
      <c r="A49">
        <v>44</v>
      </c>
      <c r="B49" s="55" t="inlineStr">
        <is>
          <t xml:space="preserve">ad_to_cont</t>
        </is>
      </c>
      <c r="C49" t="inlineStr">
        <is>
          <t xml:space="preserve">ad_to_cont!N31</t>
        </is>
      </c>
      <c r="D49" s="51" t="inlineStr">
        <is>
          <t xml:space="preserve">tocol</t>
        </is>
      </c>
      <c r="E49" t="inlineStr">
        <is>
          <t xml:space="preserve">ad_to_cont(TOCOL("A1:B2"),D7:F9)</t>
        </is>
      </c>
      <c r="F49" s="51" cm="1">
        <f t="array" ref="F49">_xlfn.LET(_xlpm.a,ad_to_cont("A1:B2",'ad_to_cont'!D7:F9),_xlpm.b,ad_to_cont(_xlfn.TOCOL("A1:B2"),'ad_to_cont'!D7:F9),_xlpm.sa,IFERROR(ROWS(_xlpm.a)&amp;"x"&amp;COLUMNS(_xlpm.a),"err"),_xlpm.sb,IFERROR(ROWS(_xlpm.b)&amp;"x"&amp;COLUMNS(_xlpm.b),"err"),IF(_xlpm.sa&lt;&gt;_xlpm.sb,"FAIL",IF(_xlpm.sa="err",IF(ERROR.TYPE(_xlpm.a)=ERROR.TYPE(_xlpm.b),"PASS","FAIL"),IF(AND(IFERROR(_xlpm.a=_xlpm.b,IFERROR(ERROR.TYPE(_xlpm.a)=ERROR.TYPE(_xlpm.b),FALSE))),"PASS","FAIL"))))</f>
        <v>0</v>
      </c>
    </row>
    <row r="50">
      <c r="A50">
        <v>45</v>
      </c>
      <c r="B50" s="55" t="inlineStr">
        <is>
          <t xml:space="preserve">ad_to_cont</t>
        </is>
      </c>
      <c r="C50" t="inlineStr">
        <is>
          <t xml:space="preserve">ad_to_cont!N31</t>
        </is>
      </c>
      <c r="D50" s="51" t="inlineStr">
        <is>
          <t xml:space="preserve">cellref</t>
        </is>
      </c>
      <c r="E50" t="inlineStr">
        <is>
          <t xml:space="preserve">ad_to_cont(shape_tests!$H$50,D7:F9)</t>
        </is>
      </c>
      <c r="F50" s="51" cm="1">
        <f t="array" ref="F50">_xlfn.LET(_xlpm.a,ad_to_cont("A1:B2",'ad_to_cont'!D7:F9),_xlpm.b,ad_to_cont(shape_tests!$H$50,'ad_to_cont'!D7:F9),_xlpm.sa,IFERROR(ROWS(_xlpm.a)&amp;"x"&amp;COLUMNS(_xlpm.a),"err"),_xlpm.sb,IFERROR(ROWS(_xlpm.b)&amp;"x"&amp;COLUMNS(_xlpm.b),"err"),IF(_xlpm.sa&lt;&gt;_xlpm.sb,"FAIL",IF(_xlpm.sa="err",IF(ERROR.TYPE(_xlpm.a)=ERROR.TYPE(_xlpm.b),"PASS","FAIL"),IF(AND(IFERROR(_xlpm.a=_xlpm.b,IFERROR(ERROR.TYPE(_xlpm.a)=ERROR.TYPE(_xlpm.b),FALSE))),"PASS","FAIL"))))</f>
        <v>0</v>
      </c>
      <c r="H50" t="inlineStr">
        <is>
          <t xml:space="preserve">A1:B2</t>
        </is>
      </c>
    </row>
    <row r="51">
      <c r="A51">
        <v>46</v>
      </c>
      <c r="B51" s="55" t="inlineStr">
        <is>
          <t xml:space="preserve">ad_to_cont</t>
        </is>
      </c>
      <c r="C51" t="inlineStr">
        <is>
          <t xml:space="preserve">ad_to_cont!P35</t>
        </is>
      </c>
      <c r="D51" s="51" t="inlineStr">
        <is>
          <t xml:space="preserve">tocol</t>
        </is>
      </c>
      <c r="E51" t="inlineStr">
        <is>
          <t xml:space="preserve">ad_to_cont(TOCOL("hello"),D7:F9)</t>
        </is>
      </c>
      <c r="F51" s="51" cm="1">
        <f t="array" ref="F51">_xlfn.LET(_xlpm.a,ad_to_cont("hello",'ad_to_cont'!D7:F9),_xlpm.b,ad_to_cont(_xlfn.TOCOL("hello"),'ad_to_cont'!D7:F9),_xlpm.sa,IFERROR(ROWS(_xlpm.a)&amp;"x"&amp;COLUMNS(_xlpm.a),"err"),_xlpm.sb,IFERROR(ROWS(_xlpm.b)&amp;"x"&amp;COLUMNS(_xlpm.b),"err"),IF(_xlpm.sa&lt;&gt;_xlpm.sb,"FAIL",IF(_xlpm.sa="err",IF(ERROR.TYPE(_xlpm.a)=ERROR.TYPE(_xlpm.b),"PASS","FAIL"),IF(AND(IFERROR(_xlpm.a=_xlpm.b,IFERROR(ERROR.TYPE(_xlpm.a)=ERROR.TYPE(_xlpm.b),FALSE))),"PASS","FAIL"))))</f>
        <v>0</v>
      </c>
    </row>
    <row r="52">
      <c r="A52">
        <v>47</v>
      </c>
      <c r="B52" s="55" t="inlineStr">
        <is>
          <t xml:space="preserve">ad_to_cont</t>
        </is>
      </c>
      <c r="C52" t="inlineStr">
        <is>
          <t xml:space="preserve">ad_to_cont!P35</t>
        </is>
      </c>
      <c r="D52" s="51" t="inlineStr">
        <is>
          <t xml:space="preserve">cellref</t>
        </is>
      </c>
      <c r="E52" t="inlineStr">
        <is>
          <t xml:space="preserve">ad_to_cont(shape_tests!$H$52,D7:F9)</t>
        </is>
      </c>
      <c r="F52" s="51" cm="1">
        <f t="array" ref="F52">_xlfn.LET(_xlpm.a,ad_to_cont("hello",'ad_to_cont'!D7:F9),_xlpm.b,ad_to_cont(shape_tests!$H$52,'ad_to_cont'!D7:F9),_xlpm.sa,IFERROR(ROWS(_xlpm.a)&amp;"x"&amp;COLUMNS(_xlpm.a),"err"),_xlpm.sb,IFERROR(ROWS(_xlpm.b)&amp;"x"&amp;COLUMNS(_xlpm.b),"err"),IF(_xlpm.sa&lt;&gt;_xlpm.sb,"FAIL",IF(_xlpm.sa="err",IF(ERROR.TYPE(_xlpm.a)=ERROR.TYPE(_xlpm.b),"PASS","FAIL"),IF(AND(IFERROR(_xlpm.a=_xlpm.b,IFERROR(ERROR.TYPE(_xlpm.a)=ERROR.TYPE(_xlpm.b),FALSE))),"PASS","FAIL"))))</f>
        <v>0</v>
      </c>
      <c r="H52" t="inlineStr">
        <is>
          <t xml:space="preserve">hello</t>
        </is>
      </c>
    </row>
    <row r="53">
      <c r="A53">
        <v>48</v>
      </c>
      <c r="B53" s="55" t="inlineStr">
        <is>
          <t xml:space="preserve">ad_to_cont</t>
        </is>
      </c>
      <c r="C53" t="inlineStr">
        <is>
          <t xml:space="preserve">ad_to_cont!N39</t>
        </is>
      </c>
      <c r="D53" s="51" t="inlineStr">
        <is>
          <t xml:space="preserve">tocol</t>
        </is>
      </c>
      <c r="E53" t="inlineStr">
        <is>
          <t xml:space="preserve">ad_to_cont(TOCOL("K17"),K17)</t>
        </is>
      </c>
      <c r="F53" s="51" cm="1">
        <f t="array" ref="F53">_xlfn.LET(_xlpm.a,ad_to_cont("K17",'ad_to_cont'!K17),_xlpm.b,ad_to_cont(_xlfn.TOCOL("K17"),'ad_to_cont'!K17),_xlpm.sa,IFERROR(ROWS(_xlpm.a)&amp;"x"&amp;COLUMNS(_xlpm.a),"err"),_xlpm.sb,IFERROR(ROWS(_xlpm.b)&amp;"x"&amp;COLUMNS(_xlpm.b),"err"),IF(_xlpm.sa&lt;&gt;_xlpm.sb,"FAIL",IF(_xlpm.sa="err",IF(ERROR.TYPE(_xlpm.a)=ERROR.TYPE(_xlpm.b),"PASS","FAIL"),IF(AND(IFERROR(_xlpm.a=_xlpm.b,IFERROR(ERROR.TYPE(_xlpm.a)=ERROR.TYPE(_xlpm.b),FALSE))),"PASS","FAIL"))))</f>
        <v>0</v>
      </c>
    </row>
    <row r="54">
      <c r="A54">
        <v>49</v>
      </c>
      <c r="B54" s="55" t="inlineStr">
        <is>
          <t xml:space="preserve">ad_to_cont</t>
        </is>
      </c>
      <c r="C54" t="inlineStr">
        <is>
          <t xml:space="preserve">ad_to_cont!N39</t>
        </is>
      </c>
      <c r="D54" s="51" t="inlineStr">
        <is>
          <t xml:space="preserve">cellref</t>
        </is>
      </c>
      <c r="E54" t="inlineStr">
        <is>
          <t xml:space="preserve">ad_to_cont(shape_tests!$H$54,K17)</t>
        </is>
      </c>
      <c r="F54" s="51" cm="1">
        <f t="array" ref="F54">_xlfn.LET(_xlpm.a,ad_to_cont("K17",'ad_to_cont'!K17),_xlpm.b,ad_to_cont(shape_tests!$H$54,'ad_to_cont'!K17),_xlpm.sa,IFERROR(ROWS(_xlpm.a)&amp;"x"&amp;COLUMNS(_xlpm.a),"err"),_xlpm.sb,IFERROR(ROWS(_xlpm.b)&amp;"x"&amp;COLUMNS(_xlpm.b),"err"),IF(_xlpm.sa&lt;&gt;_xlpm.sb,"FAIL",IF(_xlpm.sa="err",IF(ERROR.TYPE(_xlpm.a)=ERROR.TYPE(_xlpm.b),"PASS","FAIL"),IF(AND(IFERROR(_xlpm.a=_xlpm.b,IFERROR(ERROR.TYPE(_xlpm.a)=ERROR.TYPE(_xlpm.b),FALSE))),"PASS","FAIL"))))</f>
        <v>0</v>
      </c>
      <c r="H54" t="inlineStr">
        <is>
          <t xml:space="preserve">K17</t>
        </is>
      </c>
    </row>
    <row r="55">
      <c r="A55">
        <v>50</v>
      </c>
      <c r="B55" s="55" t="inlineStr">
        <is>
          <t xml:space="preserve">ad_to_rc</t>
        </is>
      </c>
      <c r="C55" t="inlineStr">
        <is>
          <t xml:space="preserve">ad_to_rc!G6</t>
        </is>
      </c>
      <c r="D55" s="51" t="inlineStr">
        <is>
          <t xml:space="preserve">tocol</t>
        </is>
      </c>
      <c r="E55" t="inlineStr">
        <is>
          <t xml:space="preserve">ad_to_rc(TOCOL(D6))</t>
        </is>
      </c>
      <c r="F55" s="51" cm="1">
        <f t="array" ref="F55">_xlfn.LET(_xlpm.a,ad_to_rc('ad_to_rc'!D6),_xlpm.b,ad_to_rc(_xlfn.TOCOL('ad_to_rc'!D6)),_xlpm.sa,IFERROR(ROWS(_xlpm.a)&amp;"x"&amp;COLUMNS(_xlpm.a),"err"),_xlpm.sb,IFERROR(ROWS(_xlpm.b)&amp;"x"&amp;COLUMNS(_xlpm.b),"err"),IF(_xlpm.sa&lt;&gt;_xlpm.sb,"FAIL",IF(_xlpm.sa="err",IF(ERROR.TYPE(_xlpm.a)=ERROR.TYPE(_xlpm.b),"PASS","FAIL"),IF(AND(IFERROR(_xlpm.a=_xlpm.b,IFERROR(ERROR.TYPE(_xlpm.a)=ERROR.TYPE(_xlpm.b),FALSE))),"PASS","FAIL"))))</f>
        <v>0</v>
      </c>
    </row>
    <row r="56">
      <c r="A56">
        <v>51</v>
      </c>
      <c r="B56" s="55" t="inlineStr">
        <is>
          <t xml:space="preserve">ad_to_rc</t>
        </is>
      </c>
      <c r="C56" t="inlineStr">
        <is>
          <t xml:space="preserve">ad_to_rc!G6</t>
        </is>
      </c>
      <c r="D56" s="51" t="inlineStr">
        <is>
          <t xml:space="preserve">blank</t>
        </is>
      </c>
      <c r="E56" t="inlineStr">
        <is>
          <t xml:space="preserve">ad_to_rc(D6,shape_tests!$Z$1)</t>
        </is>
      </c>
      <c r="F56" s="51" cm="1">
        <f t="array" ref="F56">_xlfn.LET(_xlpm.a,ad_to_rc('ad_to_rc'!D6),_xlpm.b,ad_to_rc('ad_to_rc'!D6,shape_tests!$Z$1),_xlpm.sa,IFERROR(ROWS(_xlpm.a)&amp;"x"&amp;COLUMNS(_xlpm.a),"err"),_xlpm.sb,IFERROR(ROWS(_xlpm.b)&amp;"x"&amp;COLUMNS(_xlpm.b),"err"),IF(_xlpm.sa&lt;&gt;_xlpm.sb,"FAIL",IF(_xlpm.sa="err",IF(ERROR.TYPE(_xlpm.a)=ERROR.TYPE(_xlpm.b),"PASS","FAIL"),IF(AND(IFERROR(_xlpm.a=_xlpm.b,IFERROR(ERROR.TYPE(_xlpm.a)=ERROR.TYPE(_xlpm.b),FALSE))),"PASS","FAIL"))))</f>
        <v>0</v>
      </c>
    </row>
    <row r="57">
      <c r="A57">
        <v>52</v>
      </c>
      <c r="B57" s="55" t="inlineStr">
        <is>
          <t xml:space="preserve">ad_to_rc</t>
        </is>
      </c>
      <c r="C57" t="inlineStr">
        <is>
          <t xml:space="preserve">ad_to_rc!G8</t>
        </is>
      </c>
      <c r="D57" s="51" t="inlineStr">
        <is>
          <t xml:space="preserve">tocol</t>
        </is>
      </c>
      <c r="E57" t="inlineStr">
        <is>
          <t xml:space="preserve">ad_to_rc(TOCOL(D8))</t>
        </is>
      </c>
      <c r="F57" s="51" cm="1">
        <f t="array" ref="F57">_xlfn.LET(_xlpm.a,ad_to_rc('ad_to_rc'!D8),_xlpm.b,ad_to_rc(_xlfn.TOCOL('ad_to_rc'!D8)),_xlpm.sa,IFERROR(ROWS(_xlpm.a)&amp;"x"&amp;COLUMNS(_xlpm.a),"err"),_xlpm.sb,IFERROR(ROWS(_xlpm.b)&amp;"x"&amp;COLUMNS(_xlpm.b),"err"),IF(_xlpm.sa&lt;&gt;_xlpm.sb,"FAIL",IF(_xlpm.sa="err",IF(ERROR.TYPE(_xlpm.a)=ERROR.TYPE(_xlpm.b),"PASS","FAIL"),IF(AND(IFERROR(_xlpm.a=_xlpm.b,IFERROR(ERROR.TYPE(_xlpm.a)=ERROR.TYPE(_xlpm.b),FALSE))),"PASS","FAIL"))))</f>
        <v>0</v>
      </c>
    </row>
    <row r="58">
      <c r="A58">
        <v>53</v>
      </c>
      <c r="B58" s="55" t="inlineStr">
        <is>
          <t xml:space="preserve">ad_to_rc</t>
        </is>
      </c>
      <c r="C58" t="inlineStr">
        <is>
          <t xml:space="preserve">ad_to_rc!G8</t>
        </is>
      </c>
      <c r="D58" s="51" t="inlineStr">
        <is>
          <t xml:space="preserve">textnum</t>
        </is>
      </c>
      <c r="E58" t="inlineStr">
        <is>
          <t xml:space="preserve">ad_to_rc((D8&amp;""))</t>
        </is>
      </c>
      <c r="F58" s="51" cm="1">
        <f t="array" ref="F58">_xlfn.LET(_xlpm.a,ad_to_rc('ad_to_rc'!D8),_xlpm.b,ad_to_rc(('ad_to_rc'!D8&amp;"")),_xlpm.sa,IFERROR(ROWS(_xlpm.a)&amp;"x"&amp;COLUMNS(_xlpm.a),"err"),_xlpm.sb,IFERROR(ROWS(_xlpm.b)&amp;"x"&amp;COLUMNS(_xlpm.b),"err"),IF(_xlpm.sa&lt;&gt;_xlpm.sb,"FAIL",IF(_xlpm.sa="err",IF(ERROR.TYPE(_xlpm.a)=ERROR.TYPE(_xlpm.b),"PASS","FAIL"),IF(AND(IFERROR(_xlpm.a=_xlpm.b,IFERROR(ERROR.TYPE(_xlpm.a)=ERROR.TYPE(_xlpm.b),FALSE))),"PASS","FAIL"))))</f>
        <v>0</v>
      </c>
    </row>
    <row r="59">
      <c r="A59">
        <v>54</v>
      </c>
      <c r="B59" s="55" t="inlineStr">
        <is>
          <t xml:space="preserve">ad_to_rc</t>
        </is>
      </c>
      <c r="C59" t="inlineStr">
        <is>
          <t xml:space="preserve">ad_to_rc!G8</t>
        </is>
      </c>
      <c r="D59" s="51" t="inlineStr">
        <is>
          <t xml:space="preserve">blank</t>
        </is>
      </c>
      <c r="E59" t="inlineStr">
        <is>
          <t xml:space="preserve">ad_to_rc(D8,shape_tests!$Z$1)</t>
        </is>
      </c>
      <c r="F59" s="51" cm="1">
        <f t="array" ref="F59">_xlfn.LET(_xlpm.a,ad_to_rc('ad_to_rc'!D8),_xlpm.b,ad_to_rc('ad_to_rc'!D8,shape_tests!$Z$1),_xlpm.sa,IFERROR(ROWS(_xlpm.a)&amp;"x"&amp;COLUMNS(_xlpm.a),"err"),_xlpm.sb,IFERROR(ROWS(_xlpm.b)&amp;"x"&amp;COLUMNS(_xlpm.b),"err"),IF(_xlpm.sa&lt;&gt;_xlpm.sb,"FAIL",IF(_xlpm.sa="err",IF(ERROR.TYPE(_xlpm.a)=ERROR.TYPE(_xlpm.b),"PASS","FAIL"),IF(AND(IFERROR(_xlpm.a=_xlpm.b,IFERROR(ERROR.TYPE(_xlpm.a)=ERROR.TYPE(_xlpm.b),FALSE))),"PASS","FAIL"))))</f>
        <v>0</v>
      </c>
    </row>
    <row r="60">
      <c r="A60">
        <v>55</v>
      </c>
      <c r="B60" s="55" t="inlineStr">
        <is>
          <t xml:space="preserve">ad_to_rc</t>
        </is>
      </c>
      <c r="C60" t="inlineStr">
        <is>
          <t xml:space="preserve">ad_to_rc!G10</t>
        </is>
      </c>
      <c r="D60" s="51" t="inlineStr">
        <is>
          <t xml:space="preserve">tocol</t>
        </is>
      </c>
      <c r="E60" t="inlineStr">
        <is>
          <t xml:space="preserve">ad_to_rc(TOCOL(D10))</t>
        </is>
      </c>
      <c r="F60" s="51" cm="1">
        <f t="array" ref="F60">_xlfn.LET(_xlpm.a,ad_to_rc('ad_to_rc'!D10),_xlpm.b,ad_to_rc(_xlfn.TOCOL('ad_to_rc'!D10)),_xlpm.sa,IFERROR(ROWS(_xlpm.a)&amp;"x"&amp;COLUMNS(_xlpm.a),"err"),_xlpm.sb,IFERROR(ROWS(_xlpm.b)&amp;"x"&amp;COLUMNS(_xlpm.b),"err"),IF(_xlpm.sa&lt;&gt;_xlpm.sb,"FAIL",IF(_xlpm.sa="err",IF(ERROR.TYPE(_xlpm.a)=ERROR.TYPE(_xlpm.b),"PASS","FAIL"),IF(AND(IFERROR(_xlpm.a=_xlpm.b,IFERROR(ERROR.TYPE(_xlpm.a)=ERROR.TYPE(_xlpm.b),FALSE))),"PASS","FAIL"))))</f>
        <v>0</v>
      </c>
    </row>
    <row r="61">
      <c r="A61">
        <v>56</v>
      </c>
      <c r="B61" s="55" t="inlineStr">
        <is>
          <t xml:space="preserve">ad_to_rc</t>
        </is>
      </c>
      <c r="C61" t="inlineStr">
        <is>
          <t xml:space="preserve">ad_to_rc!G10</t>
        </is>
      </c>
      <c r="D61" s="51" t="inlineStr">
        <is>
          <t xml:space="preserve">blank</t>
        </is>
      </c>
      <c r="E61" t="inlineStr">
        <is>
          <t xml:space="preserve">ad_to_rc(D10,shape_tests!$Z$1)</t>
        </is>
      </c>
      <c r="F61" s="51" cm="1">
        <f t="array" ref="F61">_xlfn.LET(_xlpm.a,ad_to_rc('ad_to_rc'!D10),_xlpm.b,ad_to_rc('ad_to_rc'!D10,shape_tests!$Z$1),_xlpm.sa,IFERROR(ROWS(_xlpm.a)&amp;"x"&amp;COLUMNS(_xlpm.a),"err"),_xlpm.sb,IFERROR(ROWS(_xlpm.b)&amp;"x"&amp;COLUMNS(_xlpm.b),"err"),IF(_xlpm.sa&lt;&gt;_xlpm.sb,"FAIL",IF(_xlpm.sa="err",IF(ERROR.TYPE(_xlpm.a)=ERROR.TYPE(_xlpm.b),"PASS","FAIL"),IF(AND(IFERROR(_xlpm.a=_xlpm.b,IFERROR(ERROR.TYPE(_xlpm.a)=ERROR.TYPE(_xlpm.b),FALSE))),"PASS","FAIL"))))</f>
        <v>0</v>
      </c>
    </row>
    <row r="62">
      <c r="A62">
        <v>57</v>
      </c>
      <c r="B62" s="55" t="inlineStr">
        <is>
          <t xml:space="preserve">ad_to_rc</t>
        </is>
      </c>
      <c r="C62" t="inlineStr">
        <is>
          <t xml:space="preserve">ad_to_rc!H12</t>
        </is>
      </c>
      <c r="D62" s="51" t="inlineStr">
        <is>
          <t xml:space="preserve">tocol</t>
        </is>
      </c>
      <c r="E62" t="inlineStr">
        <is>
          <t xml:space="preserve">ad_to_rc(TOCOL(D12),TOCOL(E12))</t>
        </is>
      </c>
      <c r="F62" s="51" cm="1">
        <f t="array" ref="F62">_xlfn.LET(_xlpm.a,ad_to_rc('ad_to_rc'!D12,'ad_to_rc'!E12),_xlpm.b,ad_to_rc(_xlfn.TOCOL('ad_to_rc'!D12),_xlfn.TOCOL('ad_to_rc'!E12)),_xlpm.sa,IFERROR(ROWS(_xlpm.a)&amp;"x"&amp;COLUMNS(_xlpm.a),"err"),_xlpm.sb,IFERROR(ROWS(_xlpm.b)&amp;"x"&amp;COLUMNS(_xlpm.b),"err"),IF(_xlpm.sa&lt;&gt;_xlpm.sb,"FAIL",IF(_xlpm.sa="err",IF(ERROR.TYPE(_xlpm.a)=ERROR.TYPE(_xlpm.b),"PASS","FAIL"),IF(AND(IFERROR(_xlpm.a=_xlpm.b,IFERROR(ERROR.TYPE(_xlpm.a)=ERROR.TYPE(_xlpm.b),FALSE))),"PASS","FAIL"))))</f>
        <v>0</v>
      </c>
    </row>
    <row r="63">
      <c r="A63">
        <v>58</v>
      </c>
      <c r="B63" s="55" t="inlineStr">
        <is>
          <t xml:space="preserve">ad_to_rc</t>
        </is>
      </c>
      <c r="C63" t="inlineStr">
        <is>
          <t xml:space="preserve">ad_to_rc!H12</t>
        </is>
      </c>
      <c r="D63" s="51" t="inlineStr">
        <is>
          <t xml:space="preserve">textnum</t>
        </is>
      </c>
      <c r="E63" t="inlineStr">
        <is>
          <t xml:space="preserve">ad_to_rc(D12,(E12&amp;""))</t>
        </is>
      </c>
      <c r="F63" s="51" cm="1">
        <f t="array" ref="F63">_xlfn.LET(_xlpm.a,ad_to_rc('ad_to_rc'!D12,'ad_to_rc'!E12),_xlpm.b,ad_to_rc('ad_to_rc'!D12,('ad_to_rc'!E12&amp;"")),_xlpm.sa,IFERROR(ROWS(_xlpm.a)&amp;"x"&amp;COLUMNS(_xlpm.a),"err"),_xlpm.sb,IFERROR(ROWS(_xlpm.b)&amp;"x"&amp;COLUMNS(_xlpm.b),"err"),IF(_xlpm.sa&lt;&gt;_xlpm.sb,"FAIL",IF(_xlpm.sa="err",IF(ERROR.TYPE(_xlpm.a)=ERROR.TYPE(_xlpm.b),"PASS","FAIL"),IF(AND(IFERROR(_xlpm.a=_xlpm.b,IFERROR(ERROR.TYPE(_xlpm.a)=ERROR.TYPE(_xlpm.b),FALSE))),"PASS","FAIL"))))</f>
        <v>0</v>
      </c>
    </row>
    <row r="64">
      <c r="A64">
        <v>59</v>
      </c>
      <c r="B64" s="55" t="inlineStr">
        <is>
          <t xml:space="preserve">ad_to_rc</t>
        </is>
      </c>
      <c r="C64" t="inlineStr">
        <is>
          <t xml:space="preserve">ad_to_rc!G14</t>
        </is>
      </c>
      <c r="D64" s="51" t="inlineStr">
        <is>
          <t xml:space="preserve">tocol</t>
        </is>
      </c>
      <c r="E64" t="inlineStr">
        <is>
          <t xml:space="preserve">ERROR.TYPE(ad_to_rc(TOCOL(D14)))</t>
        </is>
      </c>
      <c r="F64" s="51" cm="1">
        <f t="array" ref="F64">_xlfn.LET(_xlpm.a,ERROR.TYPE(ad_to_rc('ad_to_rc'!D14)),_xlpm.b,ERROR.TYPE(ad_to_rc(_xlfn.TOCOL('ad_to_rc'!D14))),_xlpm.sa,IFERROR(ROWS(_xlpm.a)&amp;"x"&amp;COLUMNS(_xlpm.a),"err"),_xlpm.sb,IFERROR(ROWS(_xlpm.b)&amp;"x"&amp;COLUMNS(_xlpm.b),"err"),IF(_xlpm.sa&lt;&gt;_xlpm.sb,"FAIL",IF(_xlpm.sa="err",IF(ERROR.TYPE(_xlpm.a)=ERROR.TYPE(_xlpm.b),"PASS","FAIL"),IF(AND(IFERROR(_xlpm.a=_xlpm.b,IFERROR(ERROR.TYPE(_xlpm.a)=ERROR.TYPE(_xlpm.b),FALSE))),"PASS","FAIL"))))</f>
        <v>0</v>
      </c>
    </row>
    <row r="65">
      <c r="A65">
        <v>60</v>
      </c>
      <c r="B65" s="55" t="inlineStr">
        <is>
          <t xml:space="preserve">ad_to_rc</t>
        </is>
      </c>
      <c r="C65" t="inlineStr">
        <is>
          <t xml:space="preserve">ad_to_rc!G14</t>
        </is>
      </c>
      <c r="D65" s="51" t="inlineStr">
        <is>
          <t xml:space="preserve">blank</t>
        </is>
      </c>
      <c r="E65" t="inlineStr">
        <is>
          <t xml:space="preserve">ERROR.TYPE(ad_to_rc(D14,shape_tests!$Z$1))</t>
        </is>
      </c>
      <c r="F65" s="51" cm="1">
        <f t="array" ref="F65">_xlfn.LET(_xlpm.a,ERROR.TYPE(ad_to_rc('ad_to_rc'!D14)),_xlpm.b,ERROR.TYPE(ad_to_rc('ad_to_rc'!D14,shape_tests!$Z$1)),_xlpm.sa,IFERROR(ROWS(_xlpm.a)&amp;"x"&amp;COLUMNS(_xlpm.a),"err"),_xlpm.sb,IFERROR(ROWS(_xlpm.b)&amp;"x"&amp;COLUMNS(_xlpm.b),"err"),IF(_xlpm.sa&lt;&gt;_xlpm.sb,"FAIL",IF(_xlpm.sa="err",IF(ERROR.TYPE(_xlpm.a)=ERROR.TYPE(_xlpm.b),"PASS","FAIL"),IF(AND(IFERROR(_xlpm.a=_xlpm.b,IFERROR(ERROR.TYPE(_xlpm.a)=ERROR.TYPE(_xlpm.b),FALSE))),"PASS","FAIL"))))</f>
        <v>0</v>
      </c>
    </row>
    <row r="66">
      <c r="A66">
        <v>61</v>
      </c>
      <c r="B66" s="55" t="inlineStr">
        <is>
          <t xml:space="preserve">ad_to_rc</t>
        </is>
      </c>
      <c r="C66" t="inlineStr">
        <is>
          <t xml:space="preserve">ad_to_rc!G16</t>
        </is>
      </c>
      <c r="D66" s="51" t="inlineStr">
        <is>
          <t xml:space="preserve">tocol</t>
        </is>
      </c>
      <c r="E66" t="inlineStr">
        <is>
          <t xml:space="preserve">ERROR.TYPE(ad_to_rc(TOCOL(D16)))</t>
        </is>
      </c>
      <c r="F66" s="51" cm="1">
        <f t="array" ref="F66">_xlfn.LET(_xlpm.a,ERROR.TYPE(ad_to_rc('ad_to_rc'!D16)),_xlpm.b,ERROR.TYPE(ad_to_rc(_xlfn.TOCOL('ad_to_rc'!D16))),_xlpm.sa,IFERROR(ROWS(_xlpm.a)&amp;"x"&amp;COLUMNS(_xlpm.a),"err"),_xlpm.sb,IFERROR(ROWS(_xlpm.b)&amp;"x"&amp;COLUMNS(_xlpm.b),"err"),IF(_xlpm.sa&lt;&gt;_xlpm.sb,"FAIL",IF(_xlpm.sa="err",IF(ERROR.TYPE(_xlpm.a)=ERROR.TYPE(_xlpm.b),"PASS","FAIL"),IF(AND(IFERROR(_xlpm.a=_xlpm.b,IFERROR(ERROR.TYPE(_xlpm.a)=ERROR.TYPE(_xlpm.b),FALSE))),"PASS","FAIL"))))</f>
        <v>0</v>
      </c>
    </row>
    <row r="67">
      <c r="A67">
        <v>62</v>
      </c>
      <c r="B67" s="55" t="inlineStr">
        <is>
          <t xml:space="preserve">ad_to_rc</t>
        </is>
      </c>
      <c r="C67" t="inlineStr">
        <is>
          <t xml:space="preserve">ad_to_rc!G16</t>
        </is>
      </c>
      <c r="D67" s="51" t="inlineStr">
        <is>
          <t xml:space="preserve">textnum</t>
        </is>
      </c>
      <c r="E67" t="inlineStr">
        <is>
          <t xml:space="preserve">ERROR.TYPE(ad_to_rc((D16&amp;"")))</t>
        </is>
      </c>
      <c r="F67" s="51" cm="1">
        <f t="array" ref="F67">_xlfn.LET(_xlpm.a,ERROR.TYPE(ad_to_rc('ad_to_rc'!D16)),_xlpm.b,ERROR.TYPE(ad_to_rc(('ad_to_rc'!D16&amp;""))),_xlpm.sa,IFERROR(ROWS(_xlpm.a)&amp;"x"&amp;COLUMNS(_xlpm.a),"err"),_xlpm.sb,IFERROR(ROWS(_xlpm.b)&amp;"x"&amp;COLUMNS(_xlpm.b),"err"),IF(_xlpm.sa&lt;&gt;_xlpm.sb,"FAIL",IF(_xlpm.sa="err",IF(ERROR.TYPE(_xlpm.a)=ERROR.TYPE(_xlpm.b),"PASS","FAIL"),IF(AND(IFERROR(_xlpm.a=_xlpm.b,IFERROR(ERROR.TYPE(_xlpm.a)=ERROR.TYPE(_xlpm.b),FALSE))),"PASS","FAIL"))))</f>
        <v>0</v>
      </c>
    </row>
    <row r="68">
      <c r="A68">
        <v>63</v>
      </c>
      <c r="B68" s="55" t="inlineStr">
        <is>
          <t xml:space="preserve">ad_to_rc</t>
        </is>
      </c>
      <c r="C68" t="inlineStr">
        <is>
          <t xml:space="preserve">ad_to_rc!G16</t>
        </is>
      </c>
      <c r="D68" s="51" t="inlineStr">
        <is>
          <t xml:space="preserve">blank</t>
        </is>
      </c>
      <c r="E68" t="inlineStr">
        <is>
          <t xml:space="preserve">ERROR.TYPE(ad_to_rc(D16,shape_tests!$Z$1))</t>
        </is>
      </c>
      <c r="F68" s="51" cm="1">
        <f t="array" ref="F68">_xlfn.LET(_xlpm.a,ERROR.TYPE(ad_to_rc('ad_to_rc'!D16)),_xlpm.b,ERROR.TYPE(ad_to_rc('ad_to_rc'!D16,shape_tests!$Z$1)),_xlpm.sa,IFERROR(ROWS(_xlpm.a)&amp;"x"&amp;COLUMNS(_xlpm.a),"err"),_xlpm.sb,IFERROR(ROWS(_xlpm.b)&amp;"x"&amp;COLUMNS(_xlpm.b),"err"),IF(_xlpm.sa&lt;&gt;_xlpm.sb,"FAIL",IF(_xlpm.sa="err",IF(ERROR.TYPE(_xlpm.a)=ERROR.TYPE(_xlpm.b),"PASS","FAIL"),IF(AND(IFERROR(_xlpm.a=_xlpm.b,IFERROR(ERROR.TYPE(_xlpm.a)=ERROR.TYPE(_xlpm.b),FALSE))),"PASS","FAIL"))))</f>
        <v>0</v>
      </c>
    </row>
    <row r="69">
      <c r="A69">
        <v>64</v>
      </c>
      <c r="B69" s="55" t="inlineStr">
        <is>
          <t xml:space="preserve">ad_to_rc</t>
        </is>
      </c>
      <c r="C69" t="inlineStr">
        <is>
          <t xml:space="preserve">ad_to_rc!G18</t>
        </is>
      </c>
      <c r="D69" s="51" t="inlineStr">
        <is>
          <t xml:space="preserve">tocol</t>
        </is>
      </c>
      <c r="E69" t="inlineStr">
        <is>
          <t xml:space="preserve">ad_to_rc(TOCOL(D18))</t>
        </is>
      </c>
      <c r="F69" s="51" cm="1">
        <f t="array" ref="F69">_xlfn.LET(_xlpm.a,ad_to_rc('ad_to_rc'!D18),_xlpm.b,ad_to_rc(_xlfn.TOCOL('ad_to_rc'!D18)),_xlpm.sa,IFERROR(ROWS(_xlpm.a)&amp;"x"&amp;COLUMNS(_xlpm.a),"err"),_xlpm.sb,IFERROR(ROWS(_xlpm.b)&amp;"x"&amp;COLUMNS(_xlpm.b),"err"),IF(_xlpm.sa&lt;&gt;_xlpm.sb,"FAIL",IF(_xlpm.sa="err",IF(ERROR.TYPE(_xlpm.a)=ERROR.TYPE(_xlpm.b),"PASS","FAIL"),IF(AND(IFERROR(_xlpm.a=_xlpm.b,IFERROR(ERROR.TYPE(_xlpm.a)=ERROR.TYPE(_xlpm.b),FALSE))),"PASS","FAIL"))))</f>
        <v>0</v>
      </c>
    </row>
    <row r="70">
      <c r="A70">
        <v>65</v>
      </c>
      <c r="B70" s="55" t="inlineStr">
        <is>
          <t xml:space="preserve">ad_to_rc</t>
        </is>
      </c>
      <c r="C70" t="inlineStr">
        <is>
          <t xml:space="preserve">ad_to_rc!G18</t>
        </is>
      </c>
      <c r="D70" s="51" t="inlineStr">
        <is>
          <t xml:space="preserve">blank</t>
        </is>
      </c>
      <c r="E70" t="inlineStr">
        <is>
          <t xml:space="preserve">ad_to_rc(D18,shape_tests!$Z$1)</t>
        </is>
      </c>
      <c r="F70" s="51" cm="1">
        <f t="array" ref="F70">_xlfn.LET(_xlpm.a,ad_to_rc('ad_to_rc'!D18),_xlpm.b,ad_to_rc('ad_to_rc'!D18,shape_tests!$Z$1),_xlpm.sa,IFERROR(ROWS(_xlpm.a)&amp;"x"&amp;COLUMNS(_xlpm.a),"err"),_xlpm.sb,IFERROR(ROWS(_xlpm.b)&amp;"x"&amp;COLUMNS(_xlpm.b),"err"),IF(_xlpm.sa&lt;&gt;_xlpm.sb,"FAIL",IF(_xlpm.sa="err",IF(ERROR.TYPE(_xlpm.a)=ERROR.TYPE(_xlpm.b),"PASS","FAIL"),IF(AND(IFERROR(_xlpm.a=_xlpm.b,IFERROR(ERROR.TYPE(_xlpm.a)=ERROR.TYPE(_xlpm.b),FALSE))),"PASS","FAIL"))))</f>
        <v>0</v>
      </c>
    </row>
    <row r="71">
      <c r="A71">
        <v>66</v>
      </c>
      <c r="B71" s="55" t="inlineStr">
        <is>
          <t xml:space="preserve">arrow</t>
        </is>
      </c>
      <c r="C71" t="inlineStr">
        <is>
          <t xml:space="preserve">arrow!H6</t>
        </is>
      </c>
      <c r="D71" s="51" t="inlineStr">
        <is>
          <t xml:space="preserve">tocol</t>
        </is>
      </c>
      <c r="E71" t="inlineStr">
        <is>
          <t xml:space="preserve">arrow(TOCOL(D6))</t>
        </is>
      </c>
      <c r="F71" s="51" cm="1">
        <f t="array" ref="F71">_xlfn.LET(_xlpm.a,arrow('arrow'!D6),_xlpm.b,arrow(_xlfn.TOCOL('arrow'!D6)),_xlpm.sa,IFERROR(ROWS(_xlpm.a)&amp;"x"&amp;COLUMNS(_xlpm.a),"err"),_xlpm.sb,IFERROR(ROWS(_xlpm.b)&amp;"x"&amp;COLUMNS(_xlpm.b),"err"),IF(_xlpm.sa&lt;&gt;_xlpm.sb,"FAIL",IF(_xlpm.sa="err",IF(ERROR.TYPE(_xlpm.a)=ERROR.TYPE(_xlpm.b),"PASS","FAIL"),IF(AND(IFERROR(_xlpm.a=_xlpm.b,IFERROR(ERROR.TYPE(_xlpm.a)=ERROR.TYPE(_xlpm.b),FALSE))),"PASS","FAIL"))))</f>
        <v>0</v>
      </c>
    </row>
    <row r="72">
      <c r="A72">
        <v>67</v>
      </c>
      <c r="B72" s="55" t="inlineStr">
        <is>
          <t xml:space="preserve">arrow</t>
        </is>
      </c>
      <c r="C72" t="inlineStr">
        <is>
          <t xml:space="preserve">arrow!H8</t>
        </is>
      </c>
      <c r="D72" s="51" t="inlineStr">
        <is>
          <t xml:space="preserve">tocol</t>
        </is>
      </c>
      <c r="E72" t="inlineStr">
        <is>
          <t xml:space="preserve">arrow(TOCOL(D8))</t>
        </is>
      </c>
      <c r="F72" s="51" cm="1">
        <f t="array" ref="F72">_xlfn.LET(_xlpm.a,arrow('arrow'!D8),_xlpm.b,arrow(_xlfn.TOCOL('arrow'!D8)),_xlpm.sa,IFERROR(ROWS(_xlpm.a)&amp;"x"&amp;COLUMNS(_xlpm.a),"err"),_xlpm.sb,IFERROR(ROWS(_xlpm.b)&amp;"x"&amp;COLUMNS(_xlpm.b),"err"),IF(_xlpm.sa&lt;&gt;_xlpm.sb,"FAIL",IF(_xlpm.sa="err",IF(ERROR.TYPE(_xlpm.a)=ERROR.TYPE(_xlpm.b),"PASS","FAIL"),IF(AND(IFERROR(_xlpm.a=_xlpm.b,IFERROR(ERROR.TYPE(_xlpm.a)=ERROR.TYPE(_xlpm.b),FALSE))),"PASS","FAIL"))))</f>
        <v>0</v>
      </c>
    </row>
    <row r="73">
      <c r="A73">
        <v>68</v>
      </c>
      <c r="B73" s="55" t="inlineStr">
        <is>
          <t xml:space="preserve">arrow</t>
        </is>
      </c>
      <c r="C73" t="inlineStr">
        <is>
          <t xml:space="preserve">arrow!H10</t>
        </is>
      </c>
      <c r="D73" s="51" t="inlineStr">
        <is>
          <t xml:space="preserve">tocol</t>
        </is>
      </c>
      <c r="E73" t="inlineStr">
        <is>
          <t xml:space="preserve">arrow(TOCOL(D10))</t>
        </is>
      </c>
      <c r="F73" s="51" cm="1">
        <f t="array" ref="F73">_xlfn.LET(_xlpm.a,arrow('arrow'!D10),_xlpm.b,arrow(_xlfn.TOCOL('arrow'!D10)),_xlpm.sa,IFERROR(ROWS(_xlpm.a)&amp;"x"&amp;COLUMNS(_xlpm.a),"err"),_xlpm.sb,IFERROR(ROWS(_xlpm.b)&amp;"x"&amp;COLUMNS(_xlpm.b),"err"),IF(_xlpm.sa&lt;&gt;_xlpm.sb,"FAIL",IF(_xlpm.sa="err",IF(ERROR.TYPE(_xlpm.a)=ERROR.TYPE(_xlpm.b),"PASS","FAIL"),IF(AND(IFERROR(_xlpm.a=_xlpm.b,IFERROR(ERROR.TYPE(_xlpm.a)=ERROR.TYPE(_xlpm.b),FALSE))),"PASS","FAIL"))))</f>
        <v>0</v>
      </c>
    </row>
    <row r="74">
      <c r="A74">
        <v>69</v>
      </c>
      <c r="B74" s="55" t="inlineStr">
        <is>
          <t xml:space="preserve">arrow</t>
        </is>
      </c>
      <c r="C74" t="inlineStr">
        <is>
          <t xml:space="preserve">arrow!H12</t>
        </is>
      </c>
      <c r="D74" s="51" t="inlineStr">
        <is>
          <t xml:space="preserve">tocol</t>
        </is>
      </c>
      <c r="E74" t="inlineStr">
        <is>
          <t xml:space="preserve">arrow(TOCOL(D12))</t>
        </is>
      </c>
      <c r="F74" s="51" cm="1">
        <f t="array" ref="F74">_xlfn.LET(_xlpm.a,arrow('arrow'!D12),_xlpm.b,arrow(_xlfn.TOCOL('arrow'!D12)),_xlpm.sa,IFERROR(ROWS(_xlpm.a)&amp;"x"&amp;COLUMNS(_xlpm.a),"err"),_xlpm.sb,IFERROR(ROWS(_xlpm.b)&amp;"x"&amp;COLUMNS(_xlpm.b),"err"),IF(_xlpm.sa&lt;&gt;_xlpm.sb,"FAIL",IF(_xlpm.sa="err",IF(ERROR.TYPE(_xlpm.a)=ERROR.TYPE(_xlpm.b),"PASS","FAIL"),IF(AND(IFERROR(_xlpm.a=_xlpm.b,IFERROR(ERROR.TYPE(_xlpm.a)=ERROR.TYPE(_xlpm.b),FALSE))),"PASS","FAIL"))))</f>
        <v>0</v>
      </c>
    </row>
    <row r="75">
      <c r="A75">
        <v>70</v>
      </c>
      <c r="B75" s="55" t="inlineStr">
        <is>
          <t xml:space="preserve">arrow</t>
        </is>
      </c>
      <c r="C75" t="inlineStr">
        <is>
          <t xml:space="preserve">arrow!H14</t>
        </is>
      </c>
      <c r="D75" s="51" t="inlineStr">
        <is>
          <t xml:space="preserve">tocol</t>
        </is>
      </c>
      <c r="E75" t="inlineStr">
        <is>
          <t xml:space="preserve">arrow(TOCOL(D14))</t>
        </is>
      </c>
      <c r="F75" s="51" cm="1">
        <f t="array" ref="F75">_xlfn.LET(_xlpm.a,arrow('arrow'!D14),_xlpm.b,arrow(_xlfn.TOCOL('arrow'!D14)),_xlpm.sa,IFERROR(ROWS(_xlpm.a)&amp;"x"&amp;COLUMNS(_xlpm.a),"err"),_xlpm.sb,IFERROR(ROWS(_xlpm.b)&amp;"x"&amp;COLUMNS(_xlpm.b),"err"),IF(_xlpm.sa&lt;&gt;_xlpm.sb,"FAIL",IF(_xlpm.sa="err",IF(ERROR.TYPE(_xlpm.a)=ERROR.TYPE(_xlpm.b),"PASS","FAIL"),IF(AND(IFERROR(_xlpm.a=_xlpm.b,IFERROR(ERROR.TYPE(_xlpm.a)=ERROR.TYPE(_xlpm.b),FALSE))),"PASS","FAIL"))))</f>
        <v>0</v>
      </c>
    </row>
    <row r="76">
      <c r="A76">
        <v>71</v>
      </c>
      <c r="B76" s="55" t="inlineStr">
        <is>
          <t xml:space="preserve">arrow</t>
        </is>
      </c>
      <c r="C76" t="inlineStr">
        <is>
          <t xml:space="preserve">arrow!H16</t>
        </is>
      </c>
      <c r="D76" s="51" t="inlineStr">
        <is>
          <t xml:space="preserve">tocol</t>
        </is>
      </c>
      <c r="E76" t="inlineStr">
        <is>
          <t xml:space="preserve">arrow(TOCOL(D16))</t>
        </is>
      </c>
      <c r="F76" s="51" cm="1">
        <f t="array" ref="F76">_xlfn.LET(_xlpm.a,arrow('arrow'!D16),_xlpm.b,arrow(_xlfn.TOCOL('arrow'!D16)),_xlpm.sa,IFERROR(ROWS(_xlpm.a)&amp;"x"&amp;COLUMNS(_xlpm.a),"err"),_xlpm.sb,IFERROR(ROWS(_xlpm.b)&amp;"x"&amp;COLUMNS(_xlpm.b),"err"),IF(_xlpm.sa&lt;&gt;_xlpm.sb,"FAIL",IF(_xlpm.sa="err",IF(ERROR.TYPE(_xlpm.a)=ERROR.TYPE(_xlpm.b),"PASS","FAIL"),IF(AND(IFERROR(_xlpm.a=_xlpm.b,IFERROR(ERROR.TYPE(_xlpm.a)=ERROR.TYPE(_xlpm.b),FALSE))),"PASS","FAIL"))))</f>
        <v>0</v>
      </c>
    </row>
    <row r="77">
      <c r="A77">
        <v>72</v>
      </c>
      <c r="B77" s="55" t="inlineStr">
        <is>
          <t xml:space="preserve">arrow</t>
        </is>
      </c>
      <c r="C77" t="inlineStr">
        <is>
          <t xml:space="preserve">arrow!H18</t>
        </is>
      </c>
      <c r="D77" s="51" t="inlineStr">
        <is>
          <t xml:space="preserve">tocol</t>
        </is>
      </c>
      <c r="E77" t="inlineStr">
        <is>
          <t xml:space="preserve">arrow(TOCOL(D18))</t>
        </is>
      </c>
      <c r="F77" s="51" cm="1">
        <f t="array" ref="F77">_xlfn.LET(_xlpm.a,arrow('arrow'!D18),_xlpm.b,arrow(_xlfn.TOCOL('arrow'!D18)),_xlpm.sa,IFERROR(ROWS(_xlpm.a)&amp;"x"&amp;COLUMNS(_xlpm.a),"err"),_xlpm.sb,IFERROR(ROWS(_xlpm.b)&amp;"x"&amp;COLUMNS(_xlpm.b),"err"),IF(_xlpm.sa&lt;&gt;_xlpm.sb,"FAIL",IF(_xlpm.sa="err",IF(ERROR.TYPE(_xlpm.a)=ERROR.TYPE(_xlpm.b),"PASS","FAIL"),IF(AND(IFERROR(_xlpm.a=_xlpm.b,IFERROR(ERROR.TYPE(_xlpm.a)=ERROR.TYPE(_xlpm.b),FALSE))),"PASS","FAIL"))))</f>
        <v>0</v>
      </c>
    </row>
    <row r="78">
      <c r="A78">
        <v>73</v>
      </c>
      <c r="B78" s="55" t="inlineStr">
        <is>
          <t xml:space="preserve">arrow_move</t>
        </is>
      </c>
      <c r="C78" t="inlineStr">
        <is>
          <t xml:space="preserve">arrow_move!N6</t>
        </is>
      </c>
      <c r="D78" s="51" t="inlineStr">
        <is>
          <t xml:space="preserve">tocol</t>
        </is>
      </c>
      <c r="E78" t="inlineStr">
        <is>
          <t xml:space="preserve">arrow_move(TOCOL(D6),TOCOL(F6),TOCOL(H6))</t>
        </is>
      </c>
      <c r="F78" s="51" cm="1">
        <f t="array" ref="F78">_xlfn.LET(_xlpm.a,arrow_move('arrow_move'!D6,'arrow_move'!F6,'arrow_move'!H6),_xlpm.b,arrow_move(_xlfn.TOCOL('arrow_move'!D6),_xlfn.TOCOL('arrow_move'!F6),_xlfn.TOCOL('arrow_move'!H6)),_xlpm.sa,IFERROR(ROWS(_xlpm.a)&amp;"x"&amp;COLUMNS(_xlpm.a),"err"),_xlpm.sb,IFERROR(ROWS(_xlpm.b)&amp;"x"&amp;COLUMNS(_xlpm.b),"err"),IF(_xlpm.sa&lt;&gt;_xlpm.sb,"FAIL",IF(_xlpm.sa="err",IF(ERROR.TYPE(_xlpm.a)=ERROR.TYPE(_xlpm.b),"PASS","FAIL"),IF(AND(IFERROR(_xlpm.a=_xlpm.b,IFERROR(ERROR.TYPE(_xlpm.a)=ERROR.TYPE(_xlpm.b),FALSE))),"PASS","FAIL"))))</f>
        <v>0</v>
      </c>
    </row>
    <row r="79">
      <c r="A79">
        <v>74</v>
      </c>
      <c r="B79" s="55" t="inlineStr">
        <is>
          <t xml:space="preserve">arrow_move</t>
        </is>
      </c>
      <c r="C79" t="inlineStr">
        <is>
          <t xml:space="preserve">arrow_move!N6</t>
        </is>
      </c>
      <c r="D79" s="51" t="inlineStr">
        <is>
          <t xml:space="preserve">textnum</t>
        </is>
      </c>
      <c r="E79" t="inlineStr">
        <is>
          <t xml:space="preserve">arrow_move(D6,F6,(H6&amp;""))</t>
        </is>
      </c>
      <c r="F79" s="51" cm="1">
        <f t="array" ref="F79">_xlfn.LET(_xlpm.a,arrow_move('arrow_move'!D6,'arrow_move'!F6,'arrow_move'!H6),_xlpm.b,arrow_move('arrow_move'!D6,'arrow_move'!F6,('arrow_move'!H6&amp;"")),_xlpm.sa,IFERROR(ROWS(_xlpm.a)&amp;"x"&amp;COLUMNS(_xlpm.a),"err"),_xlpm.sb,IFERROR(ROWS(_xlpm.b)&amp;"x"&amp;COLUMNS(_xlpm.b),"err"),IF(_xlpm.sa&lt;&gt;_xlpm.sb,"FAIL",IF(_xlpm.sa="err",IF(ERROR.TYPE(_xlpm.a)=ERROR.TYPE(_xlpm.b),"PASS","FAIL"),IF(AND(IFERROR(_xlpm.a=_xlpm.b,IFERROR(ERROR.TYPE(_xlpm.a)=ERROR.TYPE(_xlpm.b),FALSE))),"PASS","FAIL"))))</f>
        <v>0</v>
      </c>
    </row>
    <row r="80">
      <c r="A80">
        <v>75</v>
      </c>
      <c r="B80" s="55" t="inlineStr">
        <is>
          <t xml:space="preserve">arrow_move</t>
        </is>
      </c>
      <c r="C80" t="inlineStr">
        <is>
          <t xml:space="preserve">arrow_move!N6</t>
        </is>
      </c>
      <c r="D80" s="51" t="inlineStr">
        <is>
          <t xml:space="preserve">blank</t>
        </is>
      </c>
      <c r="E80" t="inlineStr">
        <is>
          <t xml:space="preserve">arrow_move(D6,F6,H6,shape_tests!$Z$1,shape_tests!$Z$1)</t>
        </is>
      </c>
      <c r="F80" s="51" cm="1">
        <f t="array" ref="F80">_xlfn.LET(_xlpm.a,arrow_move('arrow_move'!D6,'arrow_move'!F6,'arrow_move'!H6),_xlpm.b,arrow_move('arrow_move'!D6,'arrow_move'!F6,'arrow_move'!H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1">
      <c r="A81">
        <v>76</v>
      </c>
      <c r="B81" s="55" t="inlineStr">
        <is>
          <t xml:space="preserve">arrow_move</t>
        </is>
      </c>
      <c r="C81" t="inlineStr">
        <is>
          <t xml:space="preserve">arrow_move!N8</t>
        </is>
      </c>
      <c r="D81" s="51" t="inlineStr">
        <is>
          <t xml:space="preserve">tocol</t>
        </is>
      </c>
      <c r="E81" t="inlineStr">
        <is>
          <t xml:space="preserve">arrow_move(TOCOL(D8),TOCOL(F8),TOCOL(H8))</t>
        </is>
      </c>
      <c r="F81" s="51" cm="1">
        <f t="array" ref="F81">_xlfn.LET(_xlpm.a,arrow_move('arrow_move'!D8,'arrow_move'!F8,'arrow_move'!H8),_xlpm.b,arrow_move(_xlfn.TOCOL('arrow_move'!D8),_xlfn.TOCOL('arrow_move'!F8),_xlfn.TOCOL('arrow_move'!H8)),_xlpm.sa,IFERROR(ROWS(_xlpm.a)&amp;"x"&amp;COLUMNS(_xlpm.a),"err"),_xlpm.sb,IFERROR(ROWS(_xlpm.b)&amp;"x"&amp;COLUMNS(_xlpm.b),"err"),IF(_xlpm.sa&lt;&gt;_xlpm.sb,"FAIL",IF(_xlpm.sa="err",IF(ERROR.TYPE(_xlpm.a)=ERROR.TYPE(_xlpm.b),"PASS","FAIL"),IF(AND(IFERROR(_xlpm.a=_xlpm.b,IFERROR(ERROR.TYPE(_xlpm.a)=ERROR.TYPE(_xlpm.b),FALSE))),"PASS","FAIL"))))</f>
        <v>0</v>
      </c>
    </row>
    <row r="82">
      <c r="A82">
        <v>77</v>
      </c>
      <c r="B82" s="55" t="inlineStr">
        <is>
          <t xml:space="preserve">arrow_move</t>
        </is>
      </c>
      <c r="C82" t="inlineStr">
        <is>
          <t xml:space="preserve">arrow_move!N8</t>
        </is>
      </c>
      <c r="D82" s="51" t="inlineStr">
        <is>
          <t xml:space="preserve">textnum</t>
        </is>
      </c>
      <c r="E82" t="inlineStr">
        <is>
          <t xml:space="preserve">arrow_move(D8,F8,(H8&amp;""))</t>
        </is>
      </c>
      <c r="F82" s="51" cm="1">
        <f t="array" ref="F82">_xlfn.LET(_xlpm.a,arrow_move('arrow_move'!D8,'arrow_move'!F8,'arrow_move'!H8),_xlpm.b,arrow_move('arrow_move'!D8,'arrow_move'!F8,('arrow_move'!H8&amp;"")),_xlpm.sa,IFERROR(ROWS(_xlpm.a)&amp;"x"&amp;COLUMNS(_xlpm.a),"err"),_xlpm.sb,IFERROR(ROWS(_xlpm.b)&amp;"x"&amp;COLUMNS(_xlpm.b),"err"),IF(_xlpm.sa&lt;&gt;_xlpm.sb,"FAIL",IF(_xlpm.sa="err",IF(ERROR.TYPE(_xlpm.a)=ERROR.TYPE(_xlpm.b),"PASS","FAIL"),IF(AND(IFERROR(_xlpm.a=_xlpm.b,IFERROR(ERROR.TYPE(_xlpm.a)=ERROR.TYPE(_xlpm.b),FALSE))),"PASS","FAIL"))))</f>
        <v>0</v>
      </c>
    </row>
    <row r="83">
      <c r="A83">
        <v>78</v>
      </c>
      <c r="B83" s="55" t="inlineStr">
        <is>
          <t xml:space="preserve">arrow_move</t>
        </is>
      </c>
      <c r="C83" t="inlineStr">
        <is>
          <t xml:space="preserve">arrow_move!N8</t>
        </is>
      </c>
      <c r="D83" s="51" t="inlineStr">
        <is>
          <t xml:space="preserve">blank</t>
        </is>
      </c>
      <c r="E83" t="inlineStr">
        <is>
          <t xml:space="preserve">arrow_move(D8,F8,H8,shape_tests!$Z$1,shape_tests!$Z$1)</t>
        </is>
      </c>
      <c r="F83" s="51" cm="1">
        <f t="array" ref="F83">_xlfn.LET(_xlpm.a,arrow_move('arrow_move'!D8,'arrow_move'!F8,'arrow_move'!H8),_xlpm.b,arrow_move('arrow_move'!D8,'arrow_move'!F8,'arrow_move'!H8,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4">
      <c r="A84">
        <v>79</v>
      </c>
      <c r="B84" s="55" t="inlineStr">
        <is>
          <t xml:space="preserve">arrow_move</t>
        </is>
      </c>
      <c r="C84" t="inlineStr">
        <is>
          <t xml:space="preserve">arrow_move!N10</t>
        </is>
      </c>
      <c r="D84" s="51" t="inlineStr">
        <is>
          <t xml:space="preserve">tocol</t>
        </is>
      </c>
      <c r="E84" t="inlineStr">
        <is>
          <t xml:space="preserve">arrow_move(TOCOL(D10),TOCOL(F10),TOCOL(H10),,TOCOL(J10))</t>
        </is>
      </c>
      <c r="F84" s="51" cm="1">
        <f t="array" ref="F84">_xlfn.LET(_xlpm.a,arrow_move('arrow_move'!D10,'arrow_move'!F10,'arrow_move'!H10,,'arrow_move'!J10),_xlpm.b,arrow_move(_xlfn.TOCOL('arrow_move'!D10),_xlfn.TOCOL('arrow_move'!F10),_xlfn.TOCOL('arrow_move'!H10),,_xlfn.TOCOL('arrow_move'!J10)),_xlpm.sa,IFERROR(ROWS(_xlpm.a)&amp;"x"&amp;COLUMNS(_xlpm.a),"err"),_xlpm.sb,IFERROR(ROWS(_xlpm.b)&amp;"x"&amp;COLUMNS(_xlpm.b),"err"),IF(_xlpm.sa&lt;&gt;_xlpm.sb,"FAIL",IF(_xlpm.sa="err",IF(ERROR.TYPE(_xlpm.a)=ERROR.TYPE(_xlpm.b),"PASS","FAIL"),IF(AND(IFERROR(_xlpm.a=_xlpm.b,IFERROR(ERROR.TYPE(_xlpm.a)=ERROR.TYPE(_xlpm.b),FALSE))),"PASS","FAIL"))))</f>
        <v>0</v>
      </c>
    </row>
    <row r="85">
      <c r="A85">
        <v>80</v>
      </c>
      <c r="B85" s="55" t="inlineStr">
        <is>
          <t xml:space="preserve">arrow_move</t>
        </is>
      </c>
      <c r="C85" t="inlineStr">
        <is>
          <t xml:space="preserve">arrow_move!N10</t>
        </is>
      </c>
      <c r="D85" s="51" t="inlineStr">
        <is>
          <t xml:space="preserve">textnum</t>
        </is>
      </c>
      <c r="E85" t="inlineStr">
        <is>
          <t xml:space="preserve">arrow_move(D10,F10,(H10&amp;""),,(J10&amp;""))</t>
        </is>
      </c>
      <c r="F85" s="51" cm="1">
        <f t="array" ref="F85">_xlfn.LET(_xlpm.a,arrow_move('arrow_move'!D10,'arrow_move'!F10,'arrow_move'!H10,,'arrow_move'!J10),_xlpm.b,arrow_move('arrow_move'!D10,'arrow_move'!F10,('arrow_move'!H10&amp;""),,('arrow_move'!J10&amp;"")),_xlpm.sa,IFERROR(ROWS(_xlpm.a)&amp;"x"&amp;COLUMNS(_xlpm.a),"err"),_xlpm.sb,IFERROR(ROWS(_xlpm.b)&amp;"x"&amp;COLUMNS(_xlpm.b),"err"),IF(_xlpm.sa&lt;&gt;_xlpm.sb,"FAIL",IF(_xlpm.sa="err",IF(ERROR.TYPE(_xlpm.a)=ERROR.TYPE(_xlpm.b),"PASS","FAIL"),IF(AND(IFERROR(_xlpm.a=_xlpm.b,IFERROR(ERROR.TYPE(_xlpm.a)=ERROR.TYPE(_xlpm.b),FALSE))),"PASS","FAIL"))))</f>
        <v>0</v>
      </c>
    </row>
    <row r="86">
      <c r="A86">
        <v>81</v>
      </c>
      <c r="B86" s="55" t="inlineStr">
        <is>
          <t xml:space="preserve">arrow_move</t>
        </is>
      </c>
      <c r="C86" t="inlineStr">
        <is>
          <t xml:space="preserve">arrow_move!N10</t>
        </is>
      </c>
      <c r="D86" s="51" t="inlineStr">
        <is>
          <t xml:space="preserve">blank</t>
        </is>
      </c>
      <c r="E86" t="inlineStr">
        <is>
          <t xml:space="preserve">arrow_move(D10,F10,H10,shape_tests!$Z$1,J10)</t>
        </is>
      </c>
      <c r="F86" s="51" cm="1">
        <f t="array" ref="F86">_xlfn.LET(_xlpm.a,arrow_move('arrow_move'!D10,'arrow_move'!F10,'arrow_move'!H10,,'arrow_move'!J10),_xlpm.b,arrow_move('arrow_move'!D10,'arrow_move'!F10,'arrow_move'!H10,shape_tests!$Z$1,'arrow_move'!J10),_xlpm.sa,IFERROR(ROWS(_xlpm.a)&amp;"x"&amp;COLUMNS(_xlpm.a),"err"),_xlpm.sb,IFERROR(ROWS(_xlpm.b)&amp;"x"&amp;COLUMNS(_xlpm.b),"err"),IF(_xlpm.sa&lt;&gt;_xlpm.sb,"FAIL",IF(_xlpm.sa="err",IF(ERROR.TYPE(_xlpm.a)=ERROR.TYPE(_xlpm.b),"PASS","FAIL"),IF(AND(IFERROR(_xlpm.a=_xlpm.b,IFERROR(ERROR.TYPE(_xlpm.a)=ERROR.TYPE(_xlpm.b),FALSE))),"PASS","FAIL"))))</f>
        <v>0</v>
      </c>
    </row>
    <row r="87">
      <c r="A87">
        <v>82</v>
      </c>
      <c r="B87" s="55" t="inlineStr">
        <is>
          <t xml:space="preserve">arrow_move</t>
        </is>
      </c>
      <c r="C87" t="inlineStr">
        <is>
          <t xml:space="preserve">arrow_move!N12</t>
        </is>
      </c>
      <c r="D87" s="51" t="inlineStr">
        <is>
          <t xml:space="preserve">tocol</t>
        </is>
      </c>
      <c r="E87" t="inlineStr">
        <is>
          <t xml:space="preserve">arrow_move(TOCOL(D12),TOCOL(F12),TOCOL(H12),,TOCOL(J12))</t>
        </is>
      </c>
      <c r="F87" s="51" cm="1">
        <f t="array" ref="F87">_xlfn.LET(_xlpm.a,arrow_move('arrow_move'!D12,'arrow_move'!F12,'arrow_move'!H12,,'arrow_move'!J12),_xlpm.b,arrow_move(_xlfn.TOCOL('arrow_move'!D12),_xlfn.TOCOL('arrow_move'!F12),_xlfn.TOCOL('arrow_move'!H12),,_xlfn.TOCOL('arrow_move'!J12)),_xlpm.sa,IFERROR(ROWS(_xlpm.a)&amp;"x"&amp;COLUMNS(_xlpm.a),"err"),_xlpm.sb,IFERROR(ROWS(_xlpm.b)&amp;"x"&amp;COLUMNS(_xlpm.b),"err"),IF(_xlpm.sa&lt;&gt;_xlpm.sb,"FAIL",IF(_xlpm.sa="err",IF(ERROR.TYPE(_xlpm.a)=ERROR.TYPE(_xlpm.b),"PASS","FAIL"),IF(AND(IFERROR(_xlpm.a=_xlpm.b,IFERROR(ERROR.TYPE(_xlpm.a)=ERROR.TYPE(_xlpm.b),FALSE))),"PASS","FAIL"))))</f>
        <v>0</v>
      </c>
    </row>
    <row r="88">
      <c r="A88">
        <v>83</v>
      </c>
      <c r="B88" s="55" t="inlineStr">
        <is>
          <t xml:space="preserve">arrow_move</t>
        </is>
      </c>
      <c r="C88" t="inlineStr">
        <is>
          <t xml:space="preserve">arrow_move!N12</t>
        </is>
      </c>
      <c r="D88" s="51" t="inlineStr">
        <is>
          <t xml:space="preserve">textnum</t>
        </is>
      </c>
      <c r="E88" t="inlineStr">
        <is>
          <t xml:space="preserve">arrow_move(D12,F12,(H12&amp;""),,(J12&amp;""))</t>
        </is>
      </c>
      <c r="F88" s="51" cm="1">
        <f t="array" ref="F88">_xlfn.LET(_xlpm.a,arrow_move('arrow_move'!D12,'arrow_move'!F12,'arrow_move'!H12,,'arrow_move'!J12),_xlpm.b,arrow_move('arrow_move'!D12,'arrow_move'!F12,('arrow_move'!H12&amp;""),,('arrow_move'!J12&amp;"")),_xlpm.sa,IFERROR(ROWS(_xlpm.a)&amp;"x"&amp;COLUMNS(_xlpm.a),"err"),_xlpm.sb,IFERROR(ROWS(_xlpm.b)&amp;"x"&amp;COLUMNS(_xlpm.b),"err"),IF(_xlpm.sa&lt;&gt;_xlpm.sb,"FAIL",IF(_xlpm.sa="err",IF(ERROR.TYPE(_xlpm.a)=ERROR.TYPE(_xlpm.b),"PASS","FAIL"),IF(AND(IFERROR(_xlpm.a=_xlpm.b,IFERROR(ERROR.TYPE(_xlpm.a)=ERROR.TYPE(_xlpm.b),FALSE))),"PASS","FAIL"))))</f>
        <v>0</v>
      </c>
    </row>
    <row r="89">
      <c r="A89">
        <v>84</v>
      </c>
      <c r="B89" s="55" t="inlineStr">
        <is>
          <t xml:space="preserve">arrow_move</t>
        </is>
      </c>
      <c r="C89" t="inlineStr">
        <is>
          <t xml:space="preserve">arrow_move!N12</t>
        </is>
      </c>
      <c r="D89" s="51" t="inlineStr">
        <is>
          <t xml:space="preserve">blank</t>
        </is>
      </c>
      <c r="E89" t="inlineStr">
        <is>
          <t xml:space="preserve">arrow_move(D12,F12,H12,shape_tests!$Z$1,J12)</t>
        </is>
      </c>
      <c r="F89" s="51" cm="1">
        <f t="array" ref="F89">_xlfn.LET(_xlpm.a,arrow_move('arrow_move'!D12,'arrow_move'!F12,'arrow_move'!H12,,'arrow_move'!J12),_xlpm.b,arrow_move('arrow_move'!D12,'arrow_move'!F12,'arrow_move'!H12,shape_tests!$Z$1,'arrow_move'!J12),_xlpm.sa,IFERROR(ROWS(_xlpm.a)&amp;"x"&amp;COLUMNS(_xlpm.a),"err"),_xlpm.sb,IFERROR(ROWS(_xlpm.b)&amp;"x"&amp;COLUMNS(_xlpm.b),"err"),IF(_xlpm.sa&lt;&gt;_xlpm.sb,"FAIL",IF(_xlpm.sa="err",IF(ERROR.TYPE(_xlpm.a)=ERROR.TYPE(_xlpm.b),"PASS","FAIL"),IF(AND(IFERROR(_xlpm.a=_xlpm.b,IFERROR(ERROR.TYPE(_xlpm.a)=ERROR.TYPE(_xlpm.b),FALSE))),"PASS","FAIL"))))</f>
        <v>0</v>
      </c>
    </row>
    <row r="90">
      <c r="A90">
        <v>85</v>
      </c>
      <c r="B90" s="55" t="inlineStr">
        <is>
          <t xml:space="preserve">arrow_move</t>
        </is>
      </c>
      <c r="C90" t="inlineStr">
        <is>
          <t xml:space="preserve">arrow_move!N14</t>
        </is>
      </c>
      <c r="D90" s="51" t="inlineStr">
        <is>
          <t xml:space="preserve">tocol</t>
        </is>
      </c>
      <c r="E90" t="inlineStr">
        <is>
          <t xml:space="preserve">arrow_move(TOCOL(D14),TOCOL(F14),TOCOL(H14),,TOCOL(J14))</t>
        </is>
      </c>
      <c r="F90" s="51" cm="1">
        <f t="array" ref="F90">_xlfn.LET(_xlpm.a,arrow_move('arrow_move'!D14,'arrow_move'!F14,'arrow_move'!H14,,'arrow_move'!J14),_xlpm.b,arrow_move(_xlfn.TOCOL('arrow_move'!D14),_xlfn.TOCOL('arrow_move'!F14),_xlfn.TOCOL('arrow_move'!H14),,_xlfn.TOCOL('arrow_move'!J14)),_xlpm.sa,IFERROR(ROWS(_xlpm.a)&amp;"x"&amp;COLUMNS(_xlpm.a),"err"),_xlpm.sb,IFERROR(ROWS(_xlpm.b)&amp;"x"&amp;COLUMNS(_xlpm.b),"err"),IF(_xlpm.sa&lt;&gt;_xlpm.sb,"FAIL",IF(_xlpm.sa="err",IF(ERROR.TYPE(_xlpm.a)=ERROR.TYPE(_xlpm.b),"PASS","FAIL"),IF(AND(IFERROR(_xlpm.a=_xlpm.b,IFERROR(ERROR.TYPE(_xlpm.a)=ERROR.TYPE(_xlpm.b),FALSE))),"PASS","FAIL"))))</f>
        <v>0</v>
      </c>
    </row>
    <row r="91">
      <c r="A91">
        <v>86</v>
      </c>
      <c r="B91" s="55" t="inlineStr">
        <is>
          <t xml:space="preserve">arrow_move</t>
        </is>
      </c>
      <c r="C91" t="inlineStr">
        <is>
          <t xml:space="preserve">arrow_move!N14</t>
        </is>
      </c>
      <c r="D91" s="51" t="inlineStr">
        <is>
          <t xml:space="preserve">textnum</t>
        </is>
      </c>
      <c r="E91" t="inlineStr">
        <is>
          <t xml:space="preserve">arrow_move(D14,F14,(H14&amp;""),,(J14&amp;""))</t>
        </is>
      </c>
      <c r="F91" s="51" cm="1">
        <f t="array" ref="F91">_xlfn.LET(_xlpm.a,arrow_move('arrow_move'!D14,'arrow_move'!F14,'arrow_move'!H14,,'arrow_move'!J14),_xlpm.b,arrow_move('arrow_move'!D14,'arrow_move'!F14,('arrow_move'!H14&amp;""),,('arrow_move'!J14&amp;"")),_xlpm.sa,IFERROR(ROWS(_xlpm.a)&amp;"x"&amp;COLUMNS(_xlpm.a),"err"),_xlpm.sb,IFERROR(ROWS(_xlpm.b)&amp;"x"&amp;COLUMNS(_xlpm.b),"err"),IF(_xlpm.sa&lt;&gt;_xlpm.sb,"FAIL",IF(_xlpm.sa="err",IF(ERROR.TYPE(_xlpm.a)=ERROR.TYPE(_xlpm.b),"PASS","FAIL"),IF(AND(IFERROR(_xlpm.a=_xlpm.b,IFERROR(ERROR.TYPE(_xlpm.a)=ERROR.TYPE(_xlpm.b),FALSE))),"PASS","FAIL"))))</f>
        <v>0</v>
      </c>
    </row>
    <row r="92">
      <c r="A92">
        <v>87</v>
      </c>
      <c r="B92" s="55" t="inlineStr">
        <is>
          <t xml:space="preserve">arrow_move</t>
        </is>
      </c>
      <c r="C92" t="inlineStr">
        <is>
          <t xml:space="preserve">arrow_move!N14</t>
        </is>
      </c>
      <c r="D92" s="51" t="inlineStr">
        <is>
          <t xml:space="preserve">blank</t>
        </is>
      </c>
      <c r="E92" t="inlineStr">
        <is>
          <t xml:space="preserve">arrow_move(D14,F14,H14,shape_tests!$Z$1,J14)</t>
        </is>
      </c>
      <c r="F92" s="51" cm="1">
        <f t="array" ref="F92">_xlfn.LET(_xlpm.a,arrow_move('arrow_move'!D14,'arrow_move'!F14,'arrow_move'!H14,,'arrow_move'!J14),_xlpm.b,arrow_move('arrow_move'!D14,'arrow_move'!F14,'arrow_move'!H14,shape_tests!$Z$1,'arrow_move'!J14),_xlpm.sa,IFERROR(ROWS(_xlpm.a)&amp;"x"&amp;COLUMNS(_xlpm.a),"err"),_xlpm.sb,IFERROR(ROWS(_xlpm.b)&amp;"x"&amp;COLUMNS(_xlpm.b),"err"),IF(_xlpm.sa&lt;&gt;_xlpm.sb,"FAIL",IF(_xlpm.sa="err",IF(ERROR.TYPE(_xlpm.a)=ERROR.TYPE(_xlpm.b),"PASS","FAIL"),IF(AND(IFERROR(_xlpm.a=_xlpm.b,IFERROR(ERROR.TYPE(_xlpm.a)=ERROR.TYPE(_xlpm.b),FALSE))),"PASS","FAIL"))))</f>
        <v>0</v>
      </c>
    </row>
    <row r="93">
      <c r="A93">
        <v>88</v>
      </c>
      <c r="B93" s="55" t="inlineStr">
        <is>
          <t xml:space="preserve">arrow_move</t>
        </is>
      </c>
      <c r="C93" t="inlineStr">
        <is>
          <t xml:space="preserve">arrow_move!N16</t>
        </is>
      </c>
      <c r="D93" s="51" t="inlineStr">
        <is>
          <t xml:space="preserve">tocol</t>
        </is>
      </c>
      <c r="E93" t="inlineStr">
        <is>
          <t xml:space="preserve">arrow_move(TOCOL(D16),TOCOL(F16),TOCOL(H16))</t>
        </is>
      </c>
      <c r="F93" s="51" cm="1">
        <f t="array" ref="F93">_xlfn.LET(_xlpm.a,arrow_move('arrow_move'!D16,'arrow_move'!F16,'arrow_move'!H16),_xlpm.b,arrow_move(_xlfn.TOCOL('arrow_move'!D16),_xlfn.TOCOL('arrow_move'!F16),_xlfn.TOCOL('arrow_move'!H16)),_xlpm.sa,IFERROR(ROWS(_xlpm.a)&amp;"x"&amp;COLUMNS(_xlpm.a),"err"),_xlpm.sb,IFERROR(ROWS(_xlpm.b)&amp;"x"&amp;COLUMNS(_xlpm.b),"err"),IF(_xlpm.sa&lt;&gt;_xlpm.sb,"FAIL",IF(_xlpm.sa="err",IF(ERROR.TYPE(_xlpm.a)=ERROR.TYPE(_xlpm.b),"PASS","FAIL"),IF(AND(IFERROR(_xlpm.a=_xlpm.b,IFERROR(ERROR.TYPE(_xlpm.a)=ERROR.TYPE(_xlpm.b),FALSE))),"PASS","FAIL"))))</f>
        <v>0</v>
      </c>
    </row>
    <row r="94">
      <c r="A94">
        <v>89</v>
      </c>
      <c r="B94" s="55" t="inlineStr">
        <is>
          <t xml:space="preserve">arrow_move</t>
        </is>
      </c>
      <c r="C94" t="inlineStr">
        <is>
          <t xml:space="preserve">arrow_move!N16</t>
        </is>
      </c>
      <c r="D94" s="51" t="inlineStr">
        <is>
          <t xml:space="preserve">textnum</t>
        </is>
      </c>
      <c r="E94" t="inlineStr">
        <is>
          <t xml:space="preserve">arrow_move(D16,(F16&amp;""),(H16&amp;""))</t>
        </is>
      </c>
      <c r="F94" s="51" cm="1">
        <f t="array" ref="F94">_xlfn.LET(_xlpm.a,arrow_move('arrow_move'!D16,'arrow_move'!F16,'arrow_move'!H16),_xlpm.b,arrow_move('arrow_move'!D16,('arrow_move'!F16&amp;""),('arrow_move'!H16&amp;"")),_xlpm.sa,IFERROR(ROWS(_xlpm.a)&amp;"x"&amp;COLUMNS(_xlpm.a),"err"),_xlpm.sb,IFERROR(ROWS(_xlpm.b)&amp;"x"&amp;COLUMNS(_xlpm.b),"err"),IF(_xlpm.sa&lt;&gt;_xlpm.sb,"FAIL",IF(_xlpm.sa="err",IF(ERROR.TYPE(_xlpm.a)=ERROR.TYPE(_xlpm.b),"PASS","FAIL"),IF(AND(IFERROR(_xlpm.a=_xlpm.b,IFERROR(ERROR.TYPE(_xlpm.a)=ERROR.TYPE(_xlpm.b),FALSE))),"PASS","FAIL"))))</f>
        <v>0</v>
      </c>
    </row>
    <row r="95">
      <c r="A95">
        <v>90</v>
      </c>
      <c r="B95" s="55" t="inlineStr">
        <is>
          <t xml:space="preserve">arrow_move</t>
        </is>
      </c>
      <c r="C95" t="inlineStr">
        <is>
          <t xml:space="preserve">arrow_move!N16</t>
        </is>
      </c>
      <c r="D95" s="51" t="inlineStr">
        <is>
          <t xml:space="preserve">blank</t>
        </is>
      </c>
      <c r="E95" t="inlineStr">
        <is>
          <t xml:space="preserve">arrow_move(D16,F16,H16,shape_tests!$Z$1,shape_tests!$Z$1)</t>
        </is>
      </c>
      <c r="F95" s="51" cm="1">
        <f t="array" ref="F95">_xlfn.LET(_xlpm.a,arrow_move('arrow_move'!D16,'arrow_move'!F16,'arrow_move'!H16),_xlpm.b,arrow_move('arrow_move'!D16,'arrow_move'!F16,'arrow_move'!H16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96">
      <c r="A96">
        <v>91</v>
      </c>
      <c r="B96" s="55" t="inlineStr">
        <is>
          <t xml:space="preserve">arrow_move</t>
        </is>
      </c>
      <c r="C96" t="inlineStr">
        <is>
          <t xml:space="preserve">arrow_move!N18</t>
        </is>
      </c>
      <c r="D96" s="51" t="inlineStr">
        <is>
          <t xml:space="preserve">tocol</t>
        </is>
      </c>
      <c r="E96" t="inlineStr">
        <is>
          <t xml:space="preserve">arrow_move(TOCOL(D18),TOCOL(F18),TOCOL(H18))</t>
        </is>
      </c>
      <c r="F96" s="51" cm="1">
        <f t="array" ref="F96">_xlfn.LET(_xlpm.a,arrow_move('arrow_move'!D18,'arrow_move'!F18,'arrow_move'!H18),_xlpm.b,arrow_move(_xlfn.TOCOL('arrow_move'!D18),_xlfn.TOCOL('arrow_move'!F18),_xlfn.TOCOL('arrow_move'!H18)),_xlpm.sa,IFERROR(ROWS(_xlpm.a)&amp;"x"&amp;COLUMNS(_xlpm.a),"err"),_xlpm.sb,IFERROR(ROWS(_xlpm.b)&amp;"x"&amp;COLUMNS(_xlpm.b),"err"),IF(_xlpm.sa&lt;&gt;_xlpm.sb,"FAIL",IF(_xlpm.sa="err",IF(ERROR.TYPE(_xlpm.a)=ERROR.TYPE(_xlpm.b),"PASS","FAIL"),IF(AND(IFERROR(_xlpm.a=_xlpm.b,IFERROR(ERROR.TYPE(_xlpm.a)=ERROR.TYPE(_xlpm.b),FALSE))),"PASS","FAIL"))))</f>
        <v>0</v>
      </c>
    </row>
    <row r="97">
      <c r="A97">
        <v>92</v>
      </c>
      <c r="B97" s="55" t="inlineStr">
        <is>
          <t xml:space="preserve">arrow_move</t>
        </is>
      </c>
      <c r="C97" t="inlineStr">
        <is>
          <t xml:space="preserve">arrow_move!N18</t>
        </is>
      </c>
      <c r="D97" s="51" t="inlineStr">
        <is>
          <t xml:space="preserve">textnum</t>
        </is>
      </c>
      <c r="E97" t="inlineStr">
        <is>
          <t xml:space="preserve">arrow_move(D18,(F18&amp;""),(H18&amp;""))</t>
        </is>
      </c>
      <c r="F97" s="51" cm="1">
        <f t="array" ref="F97">_xlfn.LET(_xlpm.a,arrow_move('arrow_move'!D18,'arrow_move'!F18,'arrow_move'!H18),_xlpm.b,arrow_move('arrow_move'!D18,('arrow_move'!F18&amp;""),('arrow_move'!H18&amp;"")),_xlpm.sa,IFERROR(ROWS(_xlpm.a)&amp;"x"&amp;COLUMNS(_xlpm.a),"err"),_xlpm.sb,IFERROR(ROWS(_xlpm.b)&amp;"x"&amp;COLUMNS(_xlpm.b),"err"),IF(_xlpm.sa&lt;&gt;_xlpm.sb,"FAIL",IF(_xlpm.sa="err",IF(ERROR.TYPE(_xlpm.a)=ERROR.TYPE(_xlpm.b),"PASS","FAIL"),IF(AND(IFERROR(_xlpm.a=_xlpm.b,IFERROR(ERROR.TYPE(_xlpm.a)=ERROR.TYPE(_xlpm.b),FALSE))),"PASS","FAIL"))))</f>
        <v>0</v>
      </c>
    </row>
    <row r="98">
      <c r="A98">
        <v>93</v>
      </c>
      <c r="B98" s="55" t="inlineStr">
        <is>
          <t xml:space="preserve">arrow_move</t>
        </is>
      </c>
      <c r="C98" t="inlineStr">
        <is>
          <t xml:space="preserve">arrow_move!N18</t>
        </is>
      </c>
      <c r="D98" s="51" t="inlineStr">
        <is>
          <t xml:space="preserve">blank</t>
        </is>
      </c>
      <c r="E98" t="inlineStr">
        <is>
          <t xml:space="preserve">arrow_move(D18,F18,H18,shape_tests!$Z$1,shape_tests!$Z$1)</t>
        </is>
      </c>
      <c r="F98" s="51" cm="1">
        <f t="array" ref="F98">_xlfn.LET(_xlpm.a,arrow_move('arrow_move'!D18,'arrow_move'!F18,'arrow_move'!H18),_xlpm.b,arrow_move('arrow_move'!D18,'arrow_move'!F18,'arrow_move'!H18,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99">
      <c r="A99">
        <v>94</v>
      </c>
      <c r="B99" s="55" t="inlineStr">
        <is>
          <t xml:space="preserve">arrow_move</t>
        </is>
      </c>
      <c r="C99" t="inlineStr">
        <is>
          <t xml:space="preserve">arrow_move!N20</t>
        </is>
      </c>
      <c r="D99" s="51" t="inlineStr">
        <is>
          <t xml:space="preserve">tocol</t>
        </is>
      </c>
      <c r="E99" t="inlineStr">
        <is>
          <t xml:space="preserve">arrow_move(TOCOL(D20),TOCOL(F20),TOCOL(H20))</t>
        </is>
      </c>
      <c r="F99" s="51" cm="1">
        <f t="array" ref="F99">_xlfn.LET(_xlpm.a,arrow_move('arrow_move'!D20,'arrow_move'!F20,'arrow_move'!H20),_xlpm.b,arrow_move(_xlfn.TOCOL('arrow_move'!D20),_xlfn.TOCOL('arrow_move'!F20),_xlfn.TOCOL('arrow_move'!H20)),_xlpm.sa,IFERROR(ROWS(_xlpm.a)&amp;"x"&amp;COLUMNS(_xlpm.a),"err"),_xlpm.sb,IFERROR(ROWS(_xlpm.b)&amp;"x"&amp;COLUMNS(_xlpm.b),"err"),IF(_xlpm.sa&lt;&gt;_xlpm.sb,"FAIL",IF(_xlpm.sa="err",IF(ERROR.TYPE(_xlpm.a)=ERROR.TYPE(_xlpm.b),"PASS","FAIL"),IF(AND(IFERROR(_xlpm.a=_xlpm.b,IFERROR(ERROR.TYPE(_xlpm.a)=ERROR.TYPE(_xlpm.b),FALSE))),"PASS","FAIL"))))</f>
        <v>0</v>
      </c>
    </row>
    <row r="100">
      <c r="A100">
        <v>95</v>
      </c>
      <c r="B100" s="55" t="inlineStr">
        <is>
          <t xml:space="preserve">arrow_move</t>
        </is>
      </c>
      <c r="C100" t="inlineStr">
        <is>
          <t xml:space="preserve">arrow_move!N20</t>
        </is>
      </c>
      <c r="D100" s="51" t="inlineStr">
        <is>
          <t xml:space="preserve">textnum</t>
        </is>
      </c>
      <c r="E100" t="inlineStr">
        <is>
          <t xml:space="preserve">arrow_move(D20,F20,(H20&amp;""))</t>
        </is>
      </c>
      <c r="F100" s="51" cm="1">
        <f t="array" ref="F100">_xlfn.LET(_xlpm.a,arrow_move('arrow_move'!D20,'arrow_move'!F20,'arrow_move'!H20),_xlpm.b,arrow_move('arrow_move'!D20,'arrow_move'!F20,('arrow_move'!H20&amp;"")),_xlpm.sa,IFERROR(ROWS(_xlpm.a)&amp;"x"&amp;COLUMNS(_xlpm.a),"err"),_xlpm.sb,IFERROR(ROWS(_xlpm.b)&amp;"x"&amp;COLUMNS(_xlpm.b),"err"),IF(_xlpm.sa&lt;&gt;_xlpm.sb,"FAIL",IF(_xlpm.sa="err",IF(ERROR.TYPE(_xlpm.a)=ERROR.TYPE(_xlpm.b),"PASS","FAIL"),IF(AND(IFERROR(_xlpm.a=_xlpm.b,IFERROR(ERROR.TYPE(_xlpm.a)=ERROR.TYPE(_xlpm.b),FALSE))),"PASS","FAIL"))))</f>
        <v>0</v>
      </c>
    </row>
    <row r="101">
      <c r="A101">
        <v>96</v>
      </c>
      <c r="B101" s="55" t="inlineStr">
        <is>
          <t xml:space="preserve">arrow_move</t>
        </is>
      </c>
      <c r="C101" t="inlineStr">
        <is>
          <t xml:space="preserve">arrow_move!N20</t>
        </is>
      </c>
      <c r="D101" s="51" t="inlineStr">
        <is>
          <t xml:space="preserve">blank</t>
        </is>
      </c>
      <c r="E101" t="inlineStr">
        <is>
          <t xml:space="preserve">arrow_move(D20,F20,H20,shape_tests!$Z$1,shape_tests!$Z$1)</t>
        </is>
      </c>
      <c r="F101" s="51" cm="1">
        <f t="array" ref="F101">_xlfn.LET(_xlpm.a,arrow_move('arrow_move'!D20,'arrow_move'!F20,'arrow_move'!H20),_xlpm.b,arrow_move('arrow_move'!D20,'arrow_move'!F20,'arrow_move'!H20,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102">
      <c r="A102">
        <v>97</v>
      </c>
      <c r="B102" s="55" t="inlineStr">
        <is>
          <t xml:space="preserve">arrow_move</t>
        </is>
      </c>
      <c r="C102" t="inlineStr">
        <is>
          <t xml:space="preserve">arrow_move!N22</t>
        </is>
      </c>
      <c r="D102" s="51" t="inlineStr">
        <is>
          <t xml:space="preserve">tocol</t>
        </is>
      </c>
      <c r="E102" t="inlineStr">
        <is>
          <t xml:space="preserve">arrow_move(TOCOL(D22),TOCOL(F22),TOCOL(H22))</t>
        </is>
      </c>
      <c r="F102" s="51" cm="1">
        <f t="array" ref="F102">_xlfn.LET(_xlpm.a,arrow_move('arrow_move'!D22,'arrow_move'!F22,'arrow_move'!H22),_xlpm.b,arrow_move(_xlfn.TOCOL('arrow_move'!D22),_xlfn.TOCOL('arrow_move'!F22),_xlfn.TOCOL('arrow_move'!H22)),_xlpm.sa,IFERROR(ROWS(_xlpm.a)&amp;"x"&amp;COLUMNS(_xlpm.a),"err"),_xlpm.sb,IFERROR(ROWS(_xlpm.b)&amp;"x"&amp;COLUMNS(_xlpm.b),"err"),IF(_xlpm.sa&lt;&gt;_xlpm.sb,"FAIL",IF(_xlpm.sa="err",IF(ERROR.TYPE(_xlpm.a)=ERROR.TYPE(_xlpm.b),"PASS","FAIL"),IF(AND(IFERROR(_xlpm.a=_xlpm.b,IFERROR(ERROR.TYPE(_xlpm.a)=ERROR.TYPE(_xlpm.b),FALSE))),"PASS","FAIL"))))</f>
        <v>0</v>
      </c>
    </row>
    <row r="103">
      <c r="A103">
        <v>98</v>
      </c>
      <c r="B103" s="55" t="inlineStr">
        <is>
          <t xml:space="preserve">arrow_move</t>
        </is>
      </c>
      <c r="C103" t="inlineStr">
        <is>
          <t xml:space="preserve">arrow_move!N22</t>
        </is>
      </c>
      <c r="D103" s="51" t="inlineStr">
        <is>
          <t xml:space="preserve">textnum</t>
        </is>
      </c>
      <c r="E103" t="inlineStr">
        <is>
          <t xml:space="preserve">arrow_move(D22,F22,(H22&amp;""))</t>
        </is>
      </c>
      <c r="F103" s="51" cm="1">
        <f t="array" ref="F103">_xlfn.LET(_xlpm.a,arrow_move('arrow_move'!D22,'arrow_move'!F22,'arrow_move'!H22),_xlpm.b,arrow_move('arrow_move'!D22,'arrow_move'!F22,('arrow_move'!H22&amp;"")),_xlpm.sa,IFERROR(ROWS(_xlpm.a)&amp;"x"&amp;COLUMNS(_xlpm.a),"err"),_xlpm.sb,IFERROR(ROWS(_xlpm.b)&amp;"x"&amp;COLUMNS(_xlpm.b),"err"),IF(_xlpm.sa&lt;&gt;_xlpm.sb,"FAIL",IF(_xlpm.sa="err",IF(ERROR.TYPE(_xlpm.a)=ERROR.TYPE(_xlpm.b),"PASS","FAIL"),IF(AND(IFERROR(_xlpm.a=_xlpm.b,IFERROR(ERROR.TYPE(_xlpm.a)=ERROR.TYPE(_xlpm.b),FALSE))),"PASS","FAIL"))))</f>
        <v>0</v>
      </c>
    </row>
    <row r="104">
      <c r="A104">
        <v>99</v>
      </c>
      <c r="B104" s="55" t="inlineStr">
        <is>
          <t xml:space="preserve">arrow_move</t>
        </is>
      </c>
      <c r="C104" t="inlineStr">
        <is>
          <t xml:space="preserve">arrow_move!N22</t>
        </is>
      </c>
      <c r="D104" s="51" t="inlineStr">
        <is>
          <t xml:space="preserve">blank</t>
        </is>
      </c>
      <c r="E104" t="inlineStr">
        <is>
          <t xml:space="preserve">arrow_move(D22,F22,H22,shape_tests!$Z$1,shape_tests!$Z$1)</t>
        </is>
      </c>
      <c r="F104" s="51" cm="1">
        <f t="array" ref="F104">_xlfn.LET(_xlpm.a,arrow_move('arrow_move'!D22,'arrow_move'!F22,'arrow_move'!H22),_xlpm.b,arrow_move('arrow_move'!D22,'arrow_move'!F22,'arrow_move'!H22,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105">
      <c r="A105">
        <v>100</v>
      </c>
      <c r="B105" s="55" t="inlineStr">
        <is>
          <t xml:space="preserve">arrow_move</t>
        </is>
      </c>
      <c r="C105" t="inlineStr">
        <is>
          <t xml:space="preserve">arrow_move!N24</t>
        </is>
      </c>
      <c r="D105" s="51" t="inlineStr">
        <is>
          <t xml:space="preserve">tocol</t>
        </is>
      </c>
      <c r="E105" t="inlineStr">
        <is>
          <t xml:space="preserve">arrow_move(TOCOL(D24),TOCOL(F24),TOCOL(H24),A1:D4)</t>
        </is>
      </c>
      <c r="F105" s="51" cm="1">
        <f t="array" ref="F105">_xlfn.LET(_xlpm.a,arrow_move('arrow_move'!D24,'arrow_move'!F24,'arrow_move'!H24,'arrow_move'!A1:D4),_xlpm.b,arrow_move(_xlfn.TOCOL('arrow_move'!D24),_xlfn.TOCOL('arrow_move'!F24),_xlfn.TOCOL('arrow_move'!H24),'arrow_move'!A1:D4),_xlpm.sa,IFERROR(ROWS(_xlpm.a)&amp;"x"&amp;COLUMNS(_xlpm.a),"err"),_xlpm.sb,IFERROR(ROWS(_xlpm.b)&amp;"x"&amp;COLUMNS(_xlpm.b),"err"),IF(_xlpm.sa&lt;&gt;_xlpm.sb,"FAIL",IF(_xlpm.sa="err",IF(ERROR.TYPE(_xlpm.a)=ERROR.TYPE(_xlpm.b),"PASS","FAIL"),IF(AND(IFERROR(_xlpm.a=_xlpm.b,IFERROR(ERROR.TYPE(_xlpm.a)=ERROR.TYPE(_xlpm.b),FALSE))),"PASS","FAIL"))))</f>
        <v>0</v>
      </c>
    </row>
    <row r="106">
      <c r="A106">
        <v>101</v>
      </c>
      <c r="B106" s="55" t="inlineStr">
        <is>
          <t xml:space="preserve">arrow_move</t>
        </is>
      </c>
      <c r="C106" t="inlineStr">
        <is>
          <t xml:space="preserve">arrow_move!N24</t>
        </is>
      </c>
      <c r="D106" s="51" t="inlineStr">
        <is>
          <t xml:space="preserve">textnum</t>
        </is>
      </c>
      <c r="E106" t="inlineStr">
        <is>
          <t xml:space="preserve">arrow_move(D24,F24,(H24&amp;""),A1:D4)</t>
        </is>
      </c>
      <c r="F106" s="51" cm="1">
        <f t="array" ref="F106">_xlfn.LET(_xlpm.a,arrow_move('arrow_move'!D24,'arrow_move'!F24,'arrow_move'!H24,'arrow_move'!A1:D4),_xlpm.b,arrow_move('arrow_move'!D24,'arrow_move'!F24,('arrow_move'!H24&amp;""),'arrow_move'!A1:D4),_xlpm.sa,IFERROR(ROWS(_xlpm.a)&amp;"x"&amp;COLUMNS(_xlpm.a),"err"),_xlpm.sb,IFERROR(ROWS(_xlpm.b)&amp;"x"&amp;COLUMNS(_xlpm.b),"err"),IF(_xlpm.sa&lt;&gt;_xlpm.sb,"FAIL",IF(_xlpm.sa="err",IF(ERROR.TYPE(_xlpm.a)=ERROR.TYPE(_xlpm.b),"PASS","FAIL"),IF(AND(IFERROR(_xlpm.a=_xlpm.b,IFERROR(ERROR.TYPE(_xlpm.a)=ERROR.TYPE(_xlpm.b),FALSE))),"PASS","FAIL"))))</f>
        <v>0</v>
      </c>
    </row>
    <row r="107">
      <c r="A107">
        <v>102</v>
      </c>
      <c r="B107" s="55" t="inlineStr">
        <is>
          <t xml:space="preserve">arrow_move</t>
        </is>
      </c>
      <c r="C107" t="inlineStr">
        <is>
          <t xml:space="preserve">arrow_move!N24</t>
        </is>
      </c>
      <c r="D107" s="51" t="inlineStr">
        <is>
          <t xml:space="preserve">blank</t>
        </is>
      </c>
      <c r="E107" t="inlineStr">
        <is>
          <t xml:space="preserve">arrow_move(D24,F24,H24,A1:D4,shape_tests!$Z$1)</t>
        </is>
      </c>
      <c r="F107" s="51" cm="1">
        <f t="array" ref="F107">_xlfn.LET(_xlpm.a,arrow_move('arrow_move'!D24,'arrow_move'!F24,'arrow_move'!H24,'arrow_move'!A1:D4),_xlpm.b,arrow_move('arrow_move'!D24,'arrow_move'!F24,'arrow_move'!H24,'arrow_move'!A1:D4,shape_tests!$Z$1),_xlpm.sa,IFERROR(ROWS(_xlpm.a)&amp;"x"&amp;COLUMNS(_xlpm.a),"err"),_xlpm.sb,IFERROR(ROWS(_xlpm.b)&amp;"x"&amp;COLUMNS(_xlpm.b),"err"),IF(_xlpm.sa&lt;&gt;_xlpm.sb,"FAIL",IF(_xlpm.sa="err",IF(ERROR.TYPE(_xlpm.a)=ERROR.TYPE(_xlpm.b),"PASS","FAIL"),IF(AND(IFERROR(_xlpm.a=_xlpm.b,IFERROR(ERROR.TYPE(_xlpm.a)=ERROR.TYPE(_xlpm.b),FALSE))),"PASS","FAIL"))))</f>
        <v>0</v>
      </c>
    </row>
    <row r="108">
      <c r="A108">
        <v>103</v>
      </c>
      <c r="B108" s="55" t="inlineStr">
        <is>
          <t xml:space="preserve">arrow_move</t>
        </is>
      </c>
      <c r="C108" t="inlineStr">
        <is>
          <t xml:space="preserve">arrow_move!N26</t>
        </is>
      </c>
      <c r="D108" s="51" t="inlineStr">
        <is>
          <t xml:space="preserve">tocol</t>
        </is>
      </c>
      <c r="E108" t="inlineStr">
        <is>
          <t xml:space="preserve">arrow_move(TOCOL(D26),TOCOL(F26),TOCOL(H26),J26)</t>
        </is>
      </c>
      <c r="F108" s="51" cm="1">
        <f t="array" ref="F108">_xlfn.LET(_xlpm.a,arrow_move('arrow_move'!D26,'arrow_move'!F26,'arrow_move'!H26,'arrow_move'!J26),_xlpm.b,arrow_move(_xlfn.TOCOL('arrow_move'!D26),_xlfn.TOCOL('arrow_move'!F26),_xlfn.TOCOL('arrow_move'!H26),'arrow_move'!J26),_xlpm.sa,IFERROR(ROWS(_xlpm.a)&amp;"x"&amp;COLUMNS(_xlpm.a),"err"),_xlpm.sb,IFERROR(ROWS(_xlpm.b)&amp;"x"&amp;COLUMNS(_xlpm.b),"err"),IF(_xlpm.sa&lt;&gt;_xlpm.sb,"FAIL",IF(_xlpm.sa="err",IF(ERROR.TYPE(_xlpm.a)=ERROR.TYPE(_xlpm.b),"PASS","FAIL"),IF(AND(IFERROR(_xlpm.a=_xlpm.b,IFERROR(ERROR.TYPE(_xlpm.a)=ERROR.TYPE(_xlpm.b),FALSE))),"PASS","FAIL"))))</f>
        <v>0</v>
      </c>
    </row>
    <row r="109">
      <c r="A109">
        <v>104</v>
      </c>
      <c r="B109" s="55" t="inlineStr">
        <is>
          <t xml:space="preserve">arrow_move</t>
        </is>
      </c>
      <c r="C109" t="inlineStr">
        <is>
          <t xml:space="preserve">arrow_move!N26</t>
        </is>
      </c>
      <c r="D109" s="51" t="inlineStr">
        <is>
          <t xml:space="preserve">textnum</t>
        </is>
      </c>
      <c r="E109" t="inlineStr">
        <is>
          <t xml:space="preserve">arrow_move(D26,F26,(H26&amp;""),J26)</t>
        </is>
      </c>
      <c r="F109" s="51" cm="1">
        <f t="array" ref="F109">_xlfn.LET(_xlpm.a,arrow_move('arrow_move'!D26,'arrow_move'!F26,'arrow_move'!H26,'arrow_move'!J26),_xlpm.b,arrow_move('arrow_move'!D26,'arrow_move'!F26,('arrow_move'!H26&amp;""),'arrow_move'!J26),_xlpm.sa,IFERROR(ROWS(_xlpm.a)&amp;"x"&amp;COLUMNS(_xlpm.a),"err"),_xlpm.sb,IFERROR(ROWS(_xlpm.b)&amp;"x"&amp;COLUMNS(_xlpm.b),"err"),IF(_xlpm.sa&lt;&gt;_xlpm.sb,"FAIL",IF(_xlpm.sa="err",IF(ERROR.TYPE(_xlpm.a)=ERROR.TYPE(_xlpm.b),"PASS","FAIL"),IF(AND(IFERROR(_xlpm.a=_xlpm.b,IFERROR(ERROR.TYPE(_xlpm.a)=ERROR.TYPE(_xlpm.b),FALSE))),"PASS","FAIL"))))</f>
        <v>0</v>
      </c>
    </row>
    <row r="110">
      <c r="A110">
        <v>105</v>
      </c>
      <c r="B110" s="55" t="inlineStr">
        <is>
          <t xml:space="preserve">arrow_move</t>
        </is>
      </c>
      <c r="C110" t="inlineStr">
        <is>
          <t xml:space="preserve">arrow_move!N26</t>
        </is>
      </c>
      <c r="D110" s="51" t="inlineStr">
        <is>
          <t xml:space="preserve">blank</t>
        </is>
      </c>
      <c r="E110" t="inlineStr">
        <is>
          <t xml:space="preserve">arrow_move(D26,F26,H26,J26,shape_tests!$Z$1)</t>
        </is>
      </c>
      <c r="F110" s="51" cm="1">
        <f t="array" ref="F110">_xlfn.LET(_xlpm.a,arrow_move('arrow_move'!D26,'arrow_move'!F26,'arrow_move'!H26,'arrow_move'!J26),_xlpm.b,arrow_move('arrow_move'!D26,'arrow_move'!F26,'arrow_move'!H26,'arrow_move'!J26,shape_tests!$Z$1),_xlpm.sa,IFERROR(ROWS(_xlpm.a)&amp;"x"&amp;COLUMNS(_xlpm.a),"err"),_xlpm.sb,IFERROR(ROWS(_xlpm.b)&amp;"x"&amp;COLUMNS(_xlpm.b),"err"),IF(_xlpm.sa&lt;&gt;_xlpm.sb,"FAIL",IF(_xlpm.sa="err",IF(ERROR.TYPE(_xlpm.a)=ERROR.TYPE(_xlpm.b),"PASS","FAIL"),IF(AND(IFERROR(_xlpm.a=_xlpm.b,IFERROR(ERROR.TYPE(_xlpm.a)=ERROR.TYPE(_xlpm.b),FALSE))),"PASS","FAIL"))))</f>
        <v>0</v>
      </c>
    </row>
    <row r="111">
      <c r="A111">
        <v>106</v>
      </c>
      <c r="B111" s="55" t="inlineStr">
        <is>
          <t xml:space="preserve">arrow_move</t>
        </is>
      </c>
      <c r="C111" t="inlineStr">
        <is>
          <t xml:space="preserve">arrow_move!N28</t>
        </is>
      </c>
      <c r="D111" s="51" t="inlineStr">
        <is>
          <t xml:space="preserve">tocol</t>
        </is>
      </c>
      <c r="E111" t="inlineStr">
        <is>
          <t xml:space="preserve">arrow_move(TOCOL(D28),TOCOL(F28),TOCOL(H28),"A1:D4",TOCOL(J28))</t>
        </is>
      </c>
      <c r="F111" s="51" cm="1">
        <f t="array" ref="F111">_xlfn.LET(_xlpm.a,arrow_move('arrow_move'!D28,'arrow_move'!F28,'arrow_move'!H28,"A1:D4",'arrow_move'!J28),_xlpm.b,arrow_move(_xlfn.TOCOL('arrow_move'!D28),_xlfn.TOCOL('arrow_move'!F28),_xlfn.TOCOL('arrow_move'!H28),"A1:D4",_xlfn.TOCOL('arrow_move'!J28)),_xlpm.sa,IFERROR(ROWS(_xlpm.a)&amp;"x"&amp;COLUMNS(_xlpm.a),"err"),_xlpm.sb,IFERROR(ROWS(_xlpm.b)&amp;"x"&amp;COLUMNS(_xlpm.b),"err"),IF(_xlpm.sa&lt;&gt;_xlpm.sb,"FAIL",IF(_xlpm.sa="err",IF(ERROR.TYPE(_xlpm.a)=ERROR.TYPE(_xlpm.b),"PASS","FAIL"),IF(AND(IFERROR(_xlpm.a=_xlpm.b,IFERROR(ERROR.TYPE(_xlpm.a)=ERROR.TYPE(_xlpm.b),FALSE))),"PASS","FAIL"))))</f>
        <v>0</v>
      </c>
    </row>
    <row r="112">
      <c r="A112">
        <v>107</v>
      </c>
      <c r="B112" s="55" t="inlineStr">
        <is>
          <t xml:space="preserve">arrow_move</t>
        </is>
      </c>
      <c r="C112" t="inlineStr">
        <is>
          <t xml:space="preserve">arrow_move!N28</t>
        </is>
      </c>
      <c r="D112" s="51" t="inlineStr">
        <is>
          <t xml:space="preserve">textnum</t>
        </is>
      </c>
      <c r="E112" t="inlineStr">
        <is>
          <t xml:space="preserve">arrow_move(D28,F28,(H28&amp;""),"A1:D4",(J28&amp;""))</t>
        </is>
      </c>
      <c r="F112" s="51" cm="1">
        <f t="array" ref="F112">_xlfn.LET(_xlpm.a,arrow_move('arrow_move'!D28,'arrow_move'!F28,'arrow_move'!H28,"A1:D4",'arrow_move'!J28),_xlpm.b,arrow_move('arrow_move'!D28,'arrow_move'!F28,('arrow_move'!H28&amp;""),"A1:D4",('arrow_move'!J28&amp;"")),_xlpm.sa,IFERROR(ROWS(_xlpm.a)&amp;"x"&amp;COLUMNS(_xlpm.a),"err"),_xlpm.sb,IFERROR(ROWS(_xlpm.b)&amp;"x"&amp;COLUMNS(_xlpm.b),"err"),IF(_xlpm.sa&lt;&gt;_xlpm.sb,"FAIL",IF(_xlpm.sa="err",IF(ERROR.TYPE(_xlpm.a)=ERROR.TYPE(_xlpm.b),"PASS","FAIL"),IF(AND(IFERROR(_xlpm.a=_xlpm.b,IFERROR(ERROR.TYPE(_xlpm.a)=ERROR.TYPE(_xlpm.b),FALSE))),"PASS","FAIL"))))</f>
        <v>0</v>
      </c>
    </row>
    <row r="113">
      <c r="A113">
        <v>108</v>
      </c>
      <c r="B113" s="55" t="inlineStr">
        <is>
          <t xml:space="preserve">arrow_move</t>
        </is>
      </c>
      <c r="C113" t="inlineStr">
        <is>
          <t xml:space="preserve">arrow_move!N30</t>
        </is>
      </c>
      <c r="D113" s="51" t="inlineStr">
        <is>
          <t xml:space="preserve">tocol</t>
        </is>
      </c>
      <c r="E113" t="inlineStr">
        <is>
          <t xml:space="preserve">arrow_move(TOCOL(D30),TOCOL(F30),TOCOL(H30),J30,TOCOL(1))</t>
        </is>
      </c>
      <c r="F113" s="51" cm="1">
        <f t="array" ref="F113">_xlfn.LET(_xlpm.a,arrow_move('arrow_move'!D30,'arrow_move'!F30,'arrow_move'!H30,'arrow_move'!J30,1),_xlpm.b,arrow_move(_xlfn.TOCOL('arrow_move'!D30),_xlfn.TOCOL('arrow_move'!F30),_xlfn.TOCOL('arrow_move'!H30),'arrow_move'!J30,_xlfn.TOCOL(1)),_xlpm.sa,IFERROR(ROWS(_xlpm.a)&amp;"x"&amp;COLUMNS(_xlpm.a),"err"),_xlpm.sb,IFERROR(ROWS(_xlpm.b)&amp;"x"&amp;COLUMNS(_xlpm.b),"err"),IF(_xlpm.sa&lt;&gt;_xlpm.sb,"FAIL",IF(_xlpm.sa="err",IF(ERROR.TYPE(_xlpm.a)=ERROR.TYPE(_xlpm.b),"PASS","FAIL"),IF(AND(IFERROR(_xlpm.a=_xlpm.b,IFERROR(ERROR.TYPE(_xlpm.a)=ERROR.TYPE(_xlpm.b),FALSE))),"PASS","FAIL"))))</f>
        <v>0</v>
      </c>
    </row>
    <row r="114">
      <c r="A114">
        <v>109</v>
      </c>
      <c r="B114" s="55" t="inlineStr">
        <is>
          <t xml:space="preserve">arrow_move</t>
        </is>
      </c>
      <c r="C114" t="inlineStr">
        <is>
          <t xml:space="preserve">arrow_move!N30</t>
        </is>
      </c>
      <c r="D114" s="51" t="inlineStr">
        <is>
          <t xml:space="preserve">cellref</t>
        </is>
      </c>
      <c r="E114" t="inlineStr">
        <is>
          <t xml:space="preserve">arrow_move(D30,F30,H30,J30,shape_tests!$H$114)</t>
        </is>
      </c>
      <c r="F114" s="51" cm="1">
        <f t="array" ref="F114">_xlfn.LET(_xlpm.a,arrow_move('arrow_move'!D30,'arrow_move'!F30,'arrow_move'!H30,'arrow_move'!J30,1),_xlpm.b,arrow_move('arrow_move'!D30,'arrow_move'!F30,'arrow_move'!H30,'arrow_move'!J30,shape_tests!$H$114),_xlpm.sa,IFERROR(ROWS(_xlpm.a)&amp;"x"&amp;COLUMNS(_xlpm.a),"err"),_xlpm.sb,IFERROR(ROWS(_xlpm.b)&amp;"x"&amp;COLUMNS(_xlpm.b),"err"),IF(_xlpm.sa&lt;&gt;_xlpm.sb,"FAIL",IF(_xlpm.sa="err",IF(ERROR.TYPE(_xlpm.a)=ERROR.TYPE(_xlpm.b),"PASS","FAIL"),IF(AND(IFERROR(_xlpm.a=_xlpm.b,IFERROR(ERROR.TYPE(_xlpm.a)=ERROR.TYPE(_xlpm.b),FALSE))),"PASS","FAIL"))))</f>
        <v>0</v>
      </c>
      <c r="H114">
        <v>1.0</v>
      </c>
    </row>
    <row r="115">
      <c r="A115">
        <v>110</v>
      </c>
      <c r="B115" s="55" t="inlineStr">
        <is>
          <t xml:space="preserve">arrow_move</t>
        </is>
      </c>
      <c r="C115" t="inlineStr">
        <is>
          <t xml:space="preserve">arrow_move!N30</t>
        </is>
      </c>
      <c r="D115" s="51" t="inlineStr">
        <is>
          <t xml:space="preserve">textnum</t>
        </is>
      </c>
      <c r="E115" t="inlineStr">
        <is>
          <t xml:space="preserve">arrow_move(D30,F30,(H30&amp;""),J30,"1")</t>
        </is>
      </c>
      <c r="F115" s="51" cm="1">
        <f t="array" ref="F115">_xlfn.LET(_xlpm.a,arrow_move('arrow_move'!D30,'arrow_move'!F30,'arrow_move'!H30,'arrow_move'!J30,1),_xlpm.b,arrow_move('arrow_move'!D30,'arrow_move'!F30,('arrow_move'!H30&amp;""),'arrow_move'!J30,"1"),_xlpm.sa,IFERROR(ROWS(_xlpm.a)&amp;"x"&amp;COLUMNS(_xlpm.a),"err"),_xlpm.sb,IFERROR(ROWS(_xlpm.b)&amp;"x"&amp;COLUMNS(_xlpm.b),"err"),IF(_xlpm.sa&lt;&gt;_xlpm.sb,"FAIL",IF(_xlpm.sa="err",IF(ERROR.TYPE(_xlpm.a)=ERROR.TYPE(_xlpm.b),"PASS","FAIL"),IF(AND(IFERROR(_xlpm.a=_xlpm.b,IFERROR(ERROR.TYPE(_xlpm.a)=ERROR.TYPE(_xlpm.b),FALSE))),"PASS","FAIL"))))</f>
        <v>0</v>
      </c>
    </row>
    <row r="116">
      <c r="A116">
        <v>111</v>
      </c>
      <c r="B116" s="55" t="inlineStr">
        <is>
          <t xml:space="preserve">arrow_move</t>
        </is>
      </c>
      <c r="C116" t="inlineStr">
        <is>
          <t xml:space="preserve">arrow_move!N32</t>
        </is>
      </c>
      <c r="D116" s="51" t="inlineStr">
        <is>
          <t xml:space="preserve">tocol</t>
        </is>
      </c>
      <c r="E116" t="inlineStr">
        <is>
          <t xml:space="preserve">arrow_move(TOCOL(D32),TOCOL(F32),TOCOL(H32),J32,TOCOL(1))</t>
        </is>
      </c>
      <c r="F116" s="51" cm="1">
        <f t="array" ref="F116">_xlfn.LET(_xlpm.a,arrow_move('arrow_move'!D32,'arrow_move'!F32,'arrow_move'!H32,'arrow_move'!J32,1),_xlpm.b,arrow_move(_xlfn.TOCOL('arrow_move'!D32),_xlfn.TOCOL('arrow_move'!F32),_xlfn.TOCOL('arrow_move'!H32),'arrow_move'!J32,_xlfn.TOCOL(1)),_xlpm.sa,IFERROR(ROWS(_xlpm.a)&amp;"x"&amp;COLUMNS(_xlpm.a),"err"),_xlpm.sb,IFERROR(ROWS(_xlpm.b)&amp;"x"&amp;COLUMNS(_xlpm.b),"err"),IF(_xlpm.sa&lt;&gt;_xlpm.sb,"FAIL",IF(_xlpm.sa="err",IF(ERROR.TYPE(_xlpm.a)=ERROR.TYPE(_xlpm.b),"PASS","FAIL"),IF(AND(IFERROR(_xlpm.a=_xlpm.b,IFERROR(ERROR.TYPE(_xlpm.a)=ERROR.TYPE(_xlpm.b),FALSE))),"PASS","FAIL"))))</f>
        <v>0</v>
      </c>
    </row>
    <row r="117">
      <c r="A117">
        <v>112</v>
      </c>
      <c r="B117" s="55" t="inlineStr">
        <is>
          <t xml:space="preserve">arrow_move</t>
        </is>
      </c>
      <c r="C117" t="inlineStr">
        <is>
          <t xml:space="preserve">arrow_move!N32</t>
        </is>
      </c>
      <c r="D117" s="51" t="inlineStr">
        <is>
          <t xml:space="preserve">cellref</t>
        </is>
      </c>
      <c r="E117" t="inlineStr">
        <is>
          <t xml:space="preserve">arrow_move(D32,F32,H32,J32,shape_tests!$H$117)</t>
        </is>
      </c>
      <c r="F117" s="51" cm="1">
        <f t="array" ref="F117">_xlfn.LET(_xlpm.a,arrow_move('arrow_move'!D32,'arrow_move'!F32,'arrow_move'!H32,'arrow_move'!J32,1),_xlpm.b,arrow_move('arrow_move'!D32,'arrow_move'!F32,'arrow_move'!H32,'arrow_move'!J32,shape_tests!$H$117),_xlpm.sa,IFERROR(ROWS(_xlpm.a)&amp;"x"&amp;COLUMNS(_xlpm.a),"err"),_xlpm.sb,IFERROR(ROWS(_xlpm.b)&amp;"x"&amp;COLUMNS(_xlpm.b),"err"),IF(_xlpm.sa&lt;&gt;_xlpm.sb,"FAIL",IF(_xlpm.sa="err",IF(ERROR.TYPE(_xlpm.a)=ERROR.TYPE(_xlpm.b),"PASS","FAIL"),IF(AND(IFERROR(_xlpm.a=_xlpm.b,IFERROR(ERROR.TYPE(_xlpm.a)=ERROR.TYPE(_xlpm.b),FALSE))),"PASS","FAIL"))))</f>
        <v>0</v>
      </c>
      <c r="H117">
        <v>1.0</v>
      </c>
    </row>
    <row r="118">
      <c r="A118">
        <v>113</v>
      </c>
      <c r="B118" s="55" t="inlineStr">
        <is>
          <t xml:space="preserve">arrow_move</t>
        </is>
      </c>
      <c r="C118" t="inlineStr">
        <is>
          <t xml:space="preserve">arrow_move!N32</t>
        </is>
      </c>
      <c r="D118" s="51" t="inlineStr">
        <is>
          <t xml:space="preserve">textnum</t>
        </is>
      </c>
      <c r="E118" t="inlineStr">
        <is>
          <t xml:space="preserve">arrow_move(D32,F32,(H32&amp;""),J32,"1")</t>
        </is>
      </c>
      <c r="F118" s="51" cm="1">
        <f t="array" ref="F118">_xlfn.LET(_xlpm.a,arrow_move('arrow_move'!D32,'arrow_move'!F32,'arrow_move'!H32,'arrow_move'!J32,1),_xlpm.b,arrow_move('arrow_move'!D32,'arrow_move'!F32,('arrow_move'!H32&amp;""),'arrow_move'!J32,"1"),_xlpm.sa,IFERROR(ROWS(_xlpm.a)&amp;"x"&amp;COLUMNS(_xlpm.a),"err"),_xlpm.sb,IFERROR(ROWS(_xlpm.b)&amp;"x"&amp;COLUMNS(_xlpm.b),"err"),IF(_xlpm.sa&lt;&gt;_xlpm.sb,"FAIL",IF(_xlpm.sa="err",IF(ERROR.TYPE(_xlpm.a)=ERROR.TYPE(_xlpm.b),"PASS","FAIL"),IF(AND(IFERROR(_xlpm.a=_xlpm.b,IFERROR(ERROR.TYPE(_xlpm.a)=ERROR.TYPE(_xlpm.b),FALSE))),"PASS","FAIL"))))</f>
        <v>0</v>
      </c>
    </row>
    <row r="119">
      <c r="A119">
        <v>114</v>
      </c>
      <c r="B119" s="55" t="inlineStr">
        <is>
          <t xml:space="preserve">arrow_move</t>
        </is>
      </c>
      <c r="C119" t="inlineStr">
        <is>
          <t xml:space="preserve">arrow_move!N34</t>
        </is>
      </c>
      <c r="D119" s="51" t="inlineStr">
        <is>
          <t xml:space="preserve">tocol</t>
        </is>
      </c>
      <c r="E119" t="inlineStr">
        <is>
          <t xml:space="preserve">arrow_move(TOCOL(D34),TOCOL(F34),TOCOL(H34),$A$1:$D$4,TOCOL(1))=arrow_move(D34,F34,H34,"A1:D4",1)</t>
        </is>
      </c>
      <c r="F119" s="51" cm="1">
        <f t="array" ref="F119">_xlfn.LET(_xlpm.a,arrow_move('arrow_move'!D34,'arrow_move'!F34,'arrow_move'!H34,'arrow_move'!$A$1:$D$4,1)=arrow_move('arrow_move'!D34,'arrow_move'!F34,'arrow_move'!H34,"A1:D4",1),_xlpm.b,arrow_move(_xlfn.TOCOL('arrow_move'!D34),_xlfn.TOCOL('arrow_move'!F34),_xlfn.TOCOL('arrow_move'!H34),'arrow_move'!$A$1:$D$4,_xlfn.TOCOL(1))=arrow_move('arrow_move'!D34,'arrow_move'!F34,'arrow_move'!H34,"A1:D4",1),_xlpm.sa,IFERROR(ROWS(_xlpm.a)&amp;"x"&amp;COLUMNS(_xlpm.a),"err"),_xlpm.sb,IFERROR(ROWS(_xlpm.b)&amp;"x"&amp;COLUMNS(_xlpm.b),"err"),IF(_xlpm.sa&lt;&gt;_xlpm.sb,"FAIL",IF(_xlpm.sa="err",IF(ERROR.TYPE(_xlpm.a)=ERROR.TYPE(_xlpm.b),"PASS","FAIL"),IF(AND(IFERROR(_xlpm.a=_xlpm.b,IFERROR(ERROR.TYPE(_xlpm.a)=ERROR.TYPE(_xlpm.b),FALSE))),"PASS","FAIL"))))</f>
        <v>0</v>
      </c>
    </row>
    <row r="120">
      <c r="A120">
        <v>115</v>
      </c>
      <c r="B120" s="55" t="inlineStr">
        <is>
          <t xml:space="preserve">arrow_move</t>
        </is>
      </c>
      <c r="C120" t="inlineStr">
        <is>
          <t xml:space="preserve">arrow_move!N34</t>
        </is>
      </c>
      <c r="D120" s="51" t="inlineStr">
        <is>
          <t xml:space="preserve">cellref</t>
        </is>
      </c>
      <c r="E120" t="inlineStr">
        <is>
          <t xml:space="preserve">arrow_move(D34,F34,H34,$A$1:$D$4,shape_tests!$H$120)=arrow_move(D34,F34,H34,"A1:D4",1)</t>
        </is>
      </c>
      <c r="F120" s="51" cm="1">
        <f t="array" ref="F120">_xlfn.LET(_xlpm.a,arrow_move('arrow_move'!D34,'arrow_move'!F34,'arrow_move'!H34,'arrow_move'!$A$1:$D$4,1)=arrow_move('arrow_move'!D34,'arrow_move'!F34,'arrow_move'!H34,"A1:D4",1),_xlpm.b,arrow_move('arrow_move'!D34,'arrow_move'!F34,'arrow_move'!H34,'arrow_move'!$A$1:$D$4,shape_tests!$H$120)=arrow_move('arrow_move'!D34,'arrow_move'!F34,'arrow_move'!H34,"A1:D4",1),_xlpm.sa,IFERROR(ROWS(_xlpm.a)&amp;"x"&amp;COLUMNS(_xlpm.a),"err"),_xlpm.sb,IFERROR(ROWS(_xlpm.b)&amp;"x"&amp;COLUMNS(_xlpm.b),"err"),IF(_xlpm.sa&lt;&gt;_xlpm.sb,"FAIL",IF(_xlpm.sa="err",IF(ERROR.TYPE(_xlpm.a)=ERROR.TYPE(_xlpm.b),"PASS","FAIL"),IF(AND(IFERROR(_xlpm.a=_xlpm.b,IFERROR(ERROR.TYPE(_xlpm.a)=ERROR.TYPE(_xlpm.b),FALSE))),"PASS","FAIL"))))</f>
        <v>0</v>
      </c>
      <c r="H120">
        <v>1.0</v>
      </c>
    </row>
    <row r="121">
      <c r="A121">
        <v>116</v>
      </c>
      <c r="B121" s="55" t="inlineStr">
        <is>
          <t xml:space="preserve">arrow_move</t>
        </is>
      </c>
      <c r="C121" t="inlineStr">
        <is>
          <t xml:space="preserve">arrow_move!N34</t>
        </is>
      </c>
      <c r="D121" s="51" t="inlineStr">
        <is>
          <t xml:space="preserve">textnum</t>
        </is>
      </c>
      <c r="E121" t="inlineStr">
        <is>
          <t xml:space="preserve">arrow_move(D34,F34,(H34&amp;""),$A$1:$D$4,"1")=arrow_move(D34,F34,H34,"A1:D4",1)</t>
        </is>
      </c>
      <c r="F121" s="51" cm="1">
        <f t="array" ref="F121">_xlfn.LET(_xlpm.a,arrow_move('arrow_move'!D34,'arrow_move'!F34,'arrow_move'!H34,'arrow_move'!$A$1:$D$4,1)=arrow_move('arrow_move'!D34,'arrow_move'!F34,'arrow_move'!H34,"A1:D4",1),_xlpm.b,arrow_move('arrow_move'!D34,'arrow_move'!F34,('arrow_move'!H34&amp;""),'arrow_move'!$A$1:$D$4,"1")=arrow_move('arrow_move'!D34,'arrow_move'!F34,'arrow_move'!H34,"A1:D4",1),_xlpm.sa,IFERROR(ROWS(_xlpm.a)&amp;"x"&amp;COLUMNS(_xlpm.a),"err"),_xlpm.sb,IFERROR(ROWS(_xlpm.b)&amp;"x"&amp;COLUMNS(_xlpm.b),"err"),IF(_xlpm.sa&lt;&gt;_xlpm.sb,"FAIL",IF(_xlpm.sa="err",IF(ERROR.TYPE(_xlpm.a)=ERROR.TYPE(_xlpm.b),"PASS","FAIL"),IF(AND(IFERROR(_xlpm.a=_xlpm.b,IFERROR(ERROR.TYPE(_xlpm.a)=ERROR.TYPE(_xlpm.b),FALSE))),"PASS","FAIL"))))</f>
        <v>0</v>
      </c>
    </row>
    <row r="122">
      <c r="A122">
        <v>117</v>
      </c>
      <c r="B122" s="55" t="inlineStr">
        <is>
          <t xml:space="preserve">arrow_move</t>
        </is>
      </c>
      <c r="C122" t="inlineStr">
        <is>
          <t xml:space="preserve">arrow_move!N36</t>
        </is>
      </c>
      <c r="D122" s="51" t="inlineStr">
        <is>
          <t xml:space="preserve">tocol</t>
        </is>
      </c>
      <c r="E122" t="inlineStr">
        <is>
          <t xml:space="preserve">arrow_move(TOCOL(D36),TOCOL(F36),TOCOL(H36),"hi")</t>
        </is>
      </c>
      <c r="F122" s="51" cm="1">
        <f t="array" ref="F122">_xlfn.LET(_xlpm.a,arrow_move('arrow_move'!D36,'arrow_move'!F36,'arrow_move'!H36,"hi"),_xlpm.b,arrow_move(_xlfn.TOCOL('arrow_move'!D36),_xlfn.TOCOL('arrow_move'!F36),_xlfn.TOCOL('arrow_move'!H36),"hi"),_xlpm.sa,IFERROR(ROWS(_xlpm.a)&amp;"x"&amp;COLUMNS(_xlpm.a),"err"),_xlpm.sb,IFERROR(ROWS(_xlpm.b)&amp;"x"&amp;COLUMNS(_xlpm.b),"err"),IF(_xlpm.sa&lt;&gt;_xlpm.sb,"FAIL",IF(_xlpm.sa="err",IF(ERROR.TYPE(_xlpm.a)=ERROR.TYPE(_xlpm.b),"PASS","FAIL"),IF(AND(IFERROR(_xlpm.a=_xlpm.b,IFERROR(ERROR.TYPE(_xlpm.a)=ERROR.TYPE(_xlpm.b),FALSE))),"PASS","FAIL"))))</f>
        <v>0</v>
      </c>
    </row>
    <row r="123">
      <c r="A123">
        <v>118</v>
      </c>
      <c r="B123" s="55" t="inlineStr">
        <is>
          <t xml:space="preserve">arrow_move</t>
        </is>
      </c>
      <c r="C123" t="inlineStr">
        <is>
          <t xml:space="preserve">arrow_move!N36</t>
        </is>
      </c>
      <c r="D123" s="51" t="inlineStr">
        <is>
          <t xml:space="preserve">textnum</t>
        </is>
      </c>
      <c r="E123" t="inlineStr">
        <is>
          <t xml:space="preserve">arrow_move(D36,F36,(H36&amp;""),"hi")</t>
        </is>
      </c>
      <c r="F123" s="51" cm="1">
        <f t="array" ref="F123">_xlfn.LET(_xlpm.a,arrow_move('arrow_move'!D36,'arrow_move'!F36,'arrow_move'!H36,"hi"),_xlpm.b,arrow_move('arrow_move'!D36,'arrow_move'!F36,('arrow_move'!H36&amp;""),"hi"),_xlpm.sa,IFERROR(ROWS(_xlpm.a)&amp;"x"&amp;COLUMNS(_xlpm.a),"err"),_xlpm.sb,IFERROR(ROWS(_xlpm.b)&amp;"x"&amp;COLUMNS(_xlpm.b),"err"),IF(_xlpm.sa&lt;&gt;_xlpm.sb,"FAIL",IF(_xlpm.sa="err",IF(ERROR.TYPE(_xlpm.a)=ERROR.TYPE(_xlpm.b),"PASS","FAIL"),IF(AND(IFERROR(_xlpm.a=_xlpm.b,IFERROR(ERROR.TYPE(_xlpm.a)=ERROR.TYPE(_xlpm.b),FALSE))),"PASS","FAIL"))))</f>
        <v>0</v>
      </c>
    </row>
    <row r="124">
      <c r="A124">
        <v>119</v>
      </c>
      <c r="B124" s="55" t="inlineStr">
        <is>
          <t xml:space="preserve">arrow_move</t>
        </is>
      </c>
      <c r="C124" t="inlineStr">
        <is>
          <t xml:space="preserve">arrow_move!N36</t>
        </is>
      </c>
      <c r="D124" s="51" t="inlineStr">
        <is>
          <t xml:space="preserve">blank</t>
        </is>
      </c>
      <c r="E124" t="inlineStr">
        <is>
          <t xml:space="preserve">arrow_move(D36,F36,H36,"hi",shape_tests!$Z$1)</t>
        </is>
      </c>
      <c r="F124" s="51" cm="1">
        <f t="array" ref="F124">_xlfn.LET(_xlpm.a,arrow_move('arrow_move'!D36,'arrow_move'!F36,'arrow_move'!H36,"hi"),_xlpm.b,arrow_move('arrow_move'!D36,'arrow_move'!F36,'arrow_move'!H36,"hi",shape_tests!$Z$1),_xlpm.sa,IFERROR(ROWS(_xlpm.a)&amp;"x"&amp;COLUMNS(_xlpm.a),"err"),_xlpm.sb,IFERROR(ROWS(_xlpm.b)&amp;"x"&amp;COLUMNS(_xlpm.b),"err"),IF(_xlpm.sa&lt;&gt;_xlpm.sb,"FAIL",IF(_xlpm.sa="err",IF(ERROR.TYPE(_xlpm.a)=ERROR.TYPE(_xlpm.b),"PASS","FAIL"),IF(AND(IFERROR(_xlpm.a=_xlpm.b,IFERROR(ERROR.TYPE(_xlpm.a)=ERROR.TYPE(_xlpm.b),FALSE))),"PASS","FAIL"))))</f>
        <v>0</v>
      </c>
    </row>
    <row r="125">
      <c r="A125">
        <v>120</v>
      </c>
      <c r="B125" s="55" t="inlineStr">
        <is>
          <t xml:space="preserve">arrow_move</t>
        </is>
      </c>
      <c r="C125" t="inlineStr">
        <is>
          <t xml:space="preserve">arrow_move!N38</t>
        </is>
      </c>
      <c r="D125" s="51" t="inlineStr">
        <is>
          <t xml:space="preserve">tocol</t>
        </is>
      </c>
      <c r="E125" t="inlineStr">
        <is>
          <t xml:space="preserve">arrow_move(TOCOL(D38),TOCOL(F38),TOCOL(H38),$S$1,TOCOL(1))</t>
        </is>
      </c>
      <c r="F125" s="51" cm="1">
        <f t="array" ref="F125">_xlfn.LET(_xlpm.a,arrow_move('arrow_move'!D38,'arrow_move'!F38,'arrow_move'!H38,'arrow_move'!$S$1,1),_xlpm.b,arrow_move(_xlfn.TOCOL('arrow_move'!D38),_xlfn.TOCOL('arrow_move'!F38),_xlfn.TOCOL('arrow_move'!H38),'arrow_move'!$S$1,_xlfn.TOCOL(1)),_xlpm.sa,IFERROR(ROWS(_xlpm.a)&amp;"x"&amp;COLUMNS(_xlpm.a),"err"),_xlpm.sb,IFERROR(ROWS(_xlpm.b)&amp;"x"&amp;COLUMNS(_xlpm.b),"err"),IF(_xlpm.sa&lt;&gt;_xlpm.sb,"FAIL",IF(_xlpm.sa="err",IF(ERROR.TYPE(_xlpm.a)=ERROR.TYPE(_xlpm.b),"PASS","FAIL"),IF(AND(IFERROR(_xlpm.a=_xlpm.b,IFERROR(ERROR.TYPE(_xlpm.a)=ERROR.TYPE(_xlpm.b),FALSE))),"PASS","FAIL"))))</f>
        <v>0</v>
      </c>
    </row>
    <row r="126">
      <c r="A126">
        <v>121</v>
      </c>
      <c r="B126" s="55" t="inlineStr">
        <is>
          <t xml:space="preserve">arrow_move</t>
        </is>
      </c>
      <c r="C126" t="inlineStr">
        <is>
          <t xml:space="preserve">arrow_move!N38</t>
        </is>
      </c>
      <c r="D126" s="51" t="inlineStr">
        <is>
          <t xml:space="preserve">cellref</t>
        </is>
      </c>
      <c r="E126" t="inlineStr">
        <is>
          <t xml:space="preserve">arrow_move(D38,F38,H38,$S$1,shape_tests!$H$126)</t>
        </is>
      </c>
      <c r="F126" s="51" cm="1">
        <f t="array" ref="F126">_xlfn.LET(_xlpm.a,arrow_move('arrow_move'!D38,'arrow_move'!F38,'arrow_move'!H38,'arrow_move'!$S$1,1),_xlpm.b,arrow_move('arrow_move'!D38,'arrow_move'!F38,'arrow_move'!H38,'arrow_move'!$S$1,shape_tests!$H$126),_xlpm.sa,IFERROR(ROWS(_xlpm.a)&amp;"x"&amp;COLUMNS(_xlpm.a),"err"),_xlpm.sb,IFERROR(ROWS(_xlpm.b)&amp;"x"&amp;COLUMNS(_xlpm.b),"err"),IF(_xlpm.sa&lt;&gt;_xlpm.sb,"FAIL",IF(_xlpm.sa="err",IF(ERROR.TYPE(_xlpm.a)=ERROR.TYPE(_xlpm.b),"PASS","FAIL"),IF(AND(IFERROR(_xlpm.a=_xlpm.b,IFERROR(ERROR.TYPE(_xlpm.a)=ERROR.TYPE(_xlpm.b),FALSE))),"PASS","FAIL"))))</f>
        <v>0</v>
      </c>
      <c r="H126">
        <v>1.0</v>
      </c>
    </row>
    <row r="127">
      <c r="A127">
        <v>122</v>
      </c>
      <c r="B127" s="55" t="inlineStr">
        <is>
          <t xml:space="preserve">arrow_move</t>
        </is>
      </c>
      <c r="C127" t="inlineStr">
        <is>
          <t xml:space="preserve">arrow_move!N38</t>
        </is>
      </c>
      <c r="D127" s="51" t="inlineStr">
        <is>
          <t xml:space="preserve">textnum</t>
        </is>
      </c>
      <c r="E127" t="inlineStr">
        <is>
          <t xml:space="preserve">arrow_move(D38,F38,(H38&amp;""),$S$1,"1")</t>
        </is>
      </c>
      <c r="F127" s="51" cm="1">
        <f t="array" ref="F127">_xlfn.LET(_xlpm.a,arrow_move('arrow_move'!D38,'arrow_move'!F38,'arrow_move'!H38,'arrow_move'!$S$1,1),_xlpm.b,arrow_move('arrow_move'!D38,'arrow_move'!F38,('arrow_move'!H38&amp;""),'arrow_move'!$S$1,"1"),_xlpm.sa,IFERROR(ROWS(_xlpm.a)&amp;"x"&amp;COLUMNS(_xlpm.a),"err"),_xlpm.sb,IFERROR(ROWS(_xlpm.b)&amp;"x"&amp;COLUMNS(_xlpm.b),"err"),IF(_xlpm.sa&lt;&gt;_xlpm.sb,"FAIL",IF(_xlpm.sa="err",IF(ERROR.TYPE(_xlpm.a)=ERROR.TYPE(_xlpm.b),"PASS","FAIL"),IF(AND(IFERROR(_xlpm.a=_xlpm.b,IFERROR(ERROR.TYPE(_xlpm.a)=ERROR.TYPE(_xlpm.b),FALSE))),"PASS","FAIL"))))</f>
        <v>0</v>
      </c>
    </row>
    <row r="128">
      <c r="A128">
        <v>123</v>
      </c>
      <c r="B128" s="55" t="inlineStr">
        <is>
          <t xml:space="preserve">arrow_move</t>
        </is>
      </c>
      <c r="C128" t="inlineStr">
        <is>
          <t xml:space="preserve">arrow_move!N40</t>
        </is>
      </c>
      <c r="D128" s="51" t="inlineStr">
        <is>
          <t xml:space="preserve">tocol</t>
        </is>
      </c>
      <c r="E128" t="inlineStr">
        <is>
          <t xml:space="preserve">arrow_move(TOCOL(D40),TOCOL(F40),TOCOL(H40))</t>
        </is>
      </c>
      <c r="F128" s="51" cm="1">
        <f t="array" ref="F128">_xlfn.LET(_xlpm.a,arrow_move('arrow_move'!D40,'arrow_move'!F40,_xlfn.TOCOL('arrow_move'!H40)),_xlpm.b,arrow_move(_xlfn.TOCOL('arrow_move'!D40),_xlfn.TOCOL('arrow_move'!F40),_xlfn.TOCOL('arrow_move'!H40)),_xlpm.sa,IFERROR(ROWS(_xlpm.a)&amp;"x"&amp;COLUMNS(_xlpm.a),"err"),_xlpm.sb,IFERROR(ROWS(_xlpm.b)&amp;"x"&amp;COLUMNS(_xlpm.b),"err"),IF(_xlpm.sa&lt;&gt;_xlpm.sb,"FAIL",IF(_xlpm.sa="err",IF(ERROR.TYPE(_xlpm.a)=ERROR.TYPE(_xlpm.b),"PASS","FAIL"),IF(AND(IFERROR(_xlpm.a=_xlpm.b,IFERROR(ERROR.TYPE(_xlpm.a)=ERROR.TYPE(_xlpm.b),FALSE))),"PASS","FAIL"))))</f>
        <v>0</v>
      </c>
    </row>
    <row r="129">
      <c r="A129">
        <v>124</v>
      </c>
      <c r="B129" s="55" t="inlineStr">
        <is>
          <t xml:space="preserve">arrow_move</t>
        </is>
      </c>
      <c r="C129" t="inlineStr">
        <is>
          <t xml:space="preserve">arrow_move!N40</t>
        </is>
      </c>
      <c r="D129" s="51" t="inlineStr">
        <is>
          <t xml:space="preserve">blank</t>
        </is>
      </c>
      <c r="E129" t="inlineStr">
        <is>
          <t xml:space="preserve">arrow_move(D40,F40,TOCOL(H40),shape_tests!$Z$1,shape_tests!$Z$1)</t>
        </is>
      </c>
      <c r="F129" s="51" cm="1">
        <f t="array" ref="F129">_xlfn.LET(_xlpm.a,arrow_move('arrow_move'!D40,'arrow_move'!F40,_xlfn.TOCOL('arrow_move'!H40)),_xlpm.b,arrow_move('arrow_move'!D40,'arrow_move'!F40,_xlfn.TOCOL('arrow_move'!H40),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130">
      <c r="A130">
        <v>125</v>
      </c>
      <c r="B130" s="55" t="inlineStr">
        <is>
          <t xml:space="preserve">arrow_trip</t>
        </is>
      </c>
      <c r="C130" t="inlineStr">
        <is>
          <t xml:space="preserve">arrow_trip!M9</t>
        </is>
      </c>
      <c r="D130" s="51" t="inlineStr">
        <is>
          <t xml:space="preserve">tocol</t>
        </is>
      </c>
      <c r="E130" t="inlineStr">
        <is>
          <t xml:space="preserve">arrow_trip(D7:H7,TOCOL("D7"),TOCOL("→"))</t>
        </is>
      </c>
      <c r="F130" s="51" cm="1">
        <f t="array" ref="F130">_xlfn.LET(_xlpm.a,arrow_trip('arrow_trip'!D7:H7,"D7","→"),_xlpm.b,arrow_trip('arrow_trip'!D7:H7,_xlfn.TOCOL("D7"),_xlfn.TOCOL("→")),_xlpm.sa,IFERROR(ROWS(_xlpm.a)&amp;"x"&amp;COLUMNS(_xlpm.a),"err"),_xlpm.sb,IFERROR(ROWS(_xlpm.b)&amp;"x"&amp;COLUMNS(_xlpm.b),"err"),IF(_xlpm.sa&lt;&gt;_xlpm.sb,"FAIL",IF(_xlpm.sa="err",IF(ERROR.TYPE(_xlpm.a)=ERROR.TYPE(_xlpm.b),"PASS","FAIL"),IF(AND(IFERROR(_xlpm.a=_xlpm.b,IFERROR(ERROR.TYPE(_xlpm.a)=ERROR.TYPE(_xlpm.b),FALSE))),"PASS","FAIL"))))</f>
        <v>0</v>
      </c>
    </row>
    <row r="131">
      <c r="A131">
        <v>126</v>
      </c>
      <c r="B131" s="55" t="inlineStr">
        <is>
          <t xml:space="preserve">arrow_trip</t>
        </is>
      </c>
      <c r="C131" t="inlineStr">
        <is>
          <t xml:space="preserve">arrow_trip!M9</t>
        </is>
      </c>
      <c r="D131" s="51" t="inlineStr">
        <is>
          <t xml:space="preserve">cellref</t>
        </is>
      </c>
      <c r="E131" t="inlineStr">
        <is>
          <t xml:space="preserve">arrow_trip(D7:H7,shape_tests!$H$131,shape_tests!$I$131)</t>
        </is>
      </c>
      <c r="F131" s="51" cm="1">
        <f t="array" ref="F131">_xlfn.LET(_xlpm.a,arrow_trip('arrow_trip'!D7:H7,"D7","→"),_xlpm.b,arrow_trip('arrow_trip'!D7:H7,shape_tests!$H$131,shape_tests!$I$131),_xlpm.sa,IFERROR(ROWS(_xlpm.a)&amp;"x"&amp;COLUMNS(_xlpm.a),"err"),_xlpm.sb,IFERROR(ROWS(_xlpm.b)&amp;"x"&amp;COLUMNS(_xlpm.b),"err"),IF(_xlpm.sa&lt;&gt;_xlpm.sb,"FAIL",IF(_xlpm.sa="err",IF(ERROR.TYPE(_xlpm.a)=ERROR.TYPE(_xlpm.b),"PASS","FAIL"),IF(AND(IFERROR(_xlpm.a=_xlpm.b,IFERROR(ERROR.TYPE(_xlpm.a)=ERROR.TYPE(_xlpm.b),FALSE))),"PASS","FAIL"))))</f>
        <v>0</v>
      </c>
      <c r="H131" t="inlineStr">
        <is>
          <t xml:space="preserve">D7</t>
        </is>
      </c>
      <c r="I131" t="inlineStr">
        <is>
          <t xml:space="preserve">→</t>
        </is>
      </c>
    </row>
    <row r="132">
      <c r="A132">
        <v>127</v>
      </c>
      <c r="B132" s="55" t="inlineStr">
        <is>
          <t xml:space="preserve">arrow_trip</t>
        </is>
      </c>
      <c r="C132" t="inlineStr">
        <is>
          <t xml:space="preserve">arrow_trip!M9</t>
        </is>
      </c>
      <c r="D132" s="51" t="inlineStr">
        <is>
          <t xml:space="preserve">blank</t>
        </is>
      </c>
      <c r="E132" t="inlineStr">
        <is>
          <t xml:space="preserve">arrow_trip(D7:H7,"D7","→",shape_tests!$Z$1)</t>
        </is>
      </c>
      <c r="F132" s="51" cm="1">
        <f t="array" ref="F132">_xlfn.LET(_xlpm.a,arrow_trip('arrow_trip'!D7:H7,"D7","→"),_xlpm.b,arrow_trip('arrow_trip'!D7:H7,"D7","→",shape_tests!$Z$1),_xlpm.sa,IFERROR(ROWS(_xlpm.a)&amp;"x"&amp;COLUMNS(_xlpm.a),"err"),_xlpm.sb,IFERROR(ROWS(_xlpm.b)&amp;"x"&amp;COLUMNS(_xlpm.b),"err"),IF(_xlpm.sa&lt;&gt;_xlpm.sb,"FAIL",IF(_xlpm.sa="err",IF(ERROR.TYPE(_xlpm.a)=ERROR.TYPE(_xlpm.b),"PASS","FAIL"),IF(AND(IFERROR(_xlpm.a=_xlpm.b,IFERROR(ERROR.TYPE(_xlpm.a)=ERROR.TYPE(_xlpm.b),FALSE))),"PASS","FAIL"))))</f>
        <v>0</v>
      </c>
    </row>
    <row r="133">
      <c r="A133">
        <v>128</v>
      </c>
      <c r="B133" s="55" t="inlineStr">
        <is>
          <t xml:space="preserve">arrow_trip</t>
        </is>
      </c>
      <c r="C133" t="inlineStr">
        <is>
          <t xml:space="preserve">arrow_trip!M15</t>
        </is>
      </c>
      <c r="D133" s="51" t="inlineStr">
        <is>
          <t xml:space="preserve">tocol</t>
        </is>
      </c>
      <c r="E133" t="inlineStr">
        <is>
          <t xml:space="preserve">arrow_trip(D7:H7,TOCOL("D7"),TOCOL("→"),TOCOL("X"))</t>
        </is>
      </c>
      <c r="F133" s="51" cm="1">
        <f t="array" ref="F133">_xlfn.LET(_xlpm.a,arrow_trip('arrow_trip'!D7:H7,"D7","→","X"),_xlpm.b,arrow_trip('arrow_trip'!D7:H7,_xlfn.TOCOL("D7"),_xlfn.TOCOL("→"),_xlfn.TOCOL("X")),_xlpm.sa,IFERROR(ROWS(_xlpm.a)&amp;"x"&amp;COLUMNS(_xlpm.a),"err"),_xlpm.sb,IFERROR(ROWS(_xlpm.b)&amp;"x"&amp;COLUMNS(_xlpm.b),"err"),IF(_xlpm.sa&lt;&gt;_xlpm.sb,"FAIL",IF(_xlpm.sa="err",IF(ERROR.TYPE(_xlpm.a)=ERROR.TYPE(_xlpm.b),"PASS","FAIL"),IF(AND(IFERROR(_xlpm.a=_xlpm.b,IFERROR(ERROR.TYPE(_xlpm.a)=ERROR.TYPE(_xlpm.b),FALSE))),"PASS","FAIL"))))</f>
        <v>0</v>
      </c>
    </row>
    <row r="134">
      <c r="A134">
        <v>129</v>
      </c>
      <c r="B134" s="55" t="inlineStr">
        <is>
          <t xml:space="preserve">arrow_trip</t>
        </is>
      </c>
      <c r="C134" t="inlineStr">
        <is>
          <t xml:space="preserve">arrow_trip!M15</t>
        </is>
      </c>
      <c r="D134" s="51" t="inlineStr">
        <is>
          <t xml:space="preserve">cellref</t>
        </is>
      </c>
      <c r="E134" t="inlineStr">
        <is>
          <t xml:space="preserve">arrow_trip(D7:H7,shape_tests!$H$134,shape_tests!$I$134,shape_tests!$J$134)</t>
        </is>
      </c>
      <c r="F134" s="51" cm="1">
        <f t="array" ref="F134">_xlfn.LET(_xlpm.a,arrow_trip('arrow_trip'!D7:H7,"D7","→","X"),_xlpm.b,arrow_trip('arrow_trip'!D7:H7,shape_tests!$H$134,shape_tests!$I$134,shape_tests!$J$134),_xlpm.sa,IFERROR(ROWS(_xlpm.a)&amp;"x"&amp;COLUMNS(_xlpm.a),"err"),_xlpm.sb,IFERROR(ROWS(_xlpm.b)&amp;"x"&amp;COLUMNS(_xlpm.b),"err"),IF(_xlpm.sa&lt;&gt;_xlpm.sb,"FAIL",IF(_xlpm.sa="err",IF(ERROR.TYPE(_xlpm.a)=ERROR.TYPE(_xlpm.b),"PASS","FAIL"),IF(AND(IFERROR(_xlpm.a=_xlpm.b,IFERROR(ERROR.TYPE(_xlpm.a)=ERROR.TYPE(_xlpm.b),FALSE))),"PASS","FAIL"))))</f>
        <v>0</v>
      </c>
      <c r="H134" t="inlineStr">
        <is>
          <t xml:space="preserve">D7</t>
        </is>
      </c>
      <c r="I134" t="inlineStr">
        <is>
          <t xml:space="preserve">→</t>
        </is>
      </c>
      <c r="J134" t="inlineStr">
        <is>
          <t xml:space="preserve">X</t>
        </is>
      </c>
    </row>
    <row r="135">
      <c r="A135">
        <v>130</v>
      </c>
      <c r="B135" s="55" t="inlineStr">
        <is>
          <t xml:space="preserve">arrow_trip</t>
        </is>
      </c>
      <c r="C135" t="inlineStr">
        <is>
          <t xml:space="preserve">arrow_trip!M19</t>
        </is>
      </c>
      <c r="D135" s="51" t="inlineStr">
        <is>
          <t xml:space="preserve">tocol</t>
        </is>
      </c>
      <c r="E135" t="inlineStr">
        <is>
          <t xml:space="preserve">arrow_trip(D7:H7,TOCOL("D7"),TOCOL("→"),TOCOL("Z"))</t>
        </is>
      </c>
      <c r="F135" s="51" cm="1">
        <f t="array" ref="F135">_xlfn.LET(_xlpm.a,arrow_trip('arrow_trip'!D7:H7,"D7","→","Z"),_xlpm.b,arrow_trip('arrow_trip'!D7:H7,_xlfn.TOCOL("D7"),_xlfn.TOCOL("→"),_xlfn.TOCOL("Z")),_xlpm.sa,IFERROR(ROWS(_xlpm.a)&amp;"x"&amp;COLUMNS(_xlpm.a),"err"),_xlpm.sb,IFERROR(ROWS(_xlpm.b)&amp;"x"&amp;COLUMNS(_xlpm.b),"err"),IF(_xlpm.sa&lt;&gt;_xlpm.sb,"FAIL",IF(_xlpm.sa="err",IF(ERROR.TYPE(_xlpm.a)=ERROR.TYPE(_xlpm.b),"PASS","FAIL"),IF(AND(IFERROR(_xlpm.a=_xlpm.b,IFERROR(ERROR.TYPE(_xlpm.a)=ERROR.TYPE(_xlpm.b),FALSE))),"PASS","FAIL"))))</f>
        <v>0</v>
      </c>
    </row>
    <row r="136">
      <c r="A136">
        <v>131</v>
      </c>
      <c r="B136" s="55" t="inlineStr">
        <is>
          <t xml:space="preserve">arrow_trip</t>
        </is>
      </c>
      <c r="C136" t="inlineStr">
        <is>
          <t xml:space="preserve">arrow_trip!M19</t>
        </is>
      </c>
      <c r="D136" s="51" t="inlineStr">
        <is>
          <t xml:space="preserve">cellref</t>
        </is>
      </c>
      <c r="E136" t="inlineStr">
        <is>
          <t xml:space="preserve">arrow_trip(D7:H7,shape_tests!$H$136,shape_tests!$I$136,shape_tests!$J$136)</t>
        </is>
      </c>
      <c r="F136" s="51" cm="1">
        <f t="array" ref="F136">_xlfn.LET(_xlpm.a,arrow_trip('arrow_trip'!D7:H7,"D7","→","Z"),_xlpm.b,arrow_trip('arrow_trip'!D7:H7,shape_tests!$H$136,shape_tests!$I$136,shape_tests!$J$136),_xlpm.sa,IFERROR(ROWS(_xlpm.a)&amp;"x"&amp;COLUMNS(_xlpm.a),"err"),_xlpm.sb,IFERROR(ROWS(_xlpm.b)&amp;"x"&amp;COLUMNS(_xlpm.b),"err"),IF(_xlpm.sa&lt;&gt;_xlpm.sb,"FAIL",IF(_xlpm.sa="err",IF(ERROR.TYPE(_xlpm.a)=ERROR.TYPE(_xlpm.b),"PASS","FAIL"),IF(AND(IFERROR(_xlpm.a=_xlpm.b,IFERROR(ERROR.TYPE(_xlpm.a)=ERROR.TYPE(_xlpm.b),FALSE))),"PASS","FAIL"))))</f>
        <v>0</v>
      </c>
      <c r="H136" t="inlineStr">
        <is>
          <t xml:space="preserve">D7</t>
        </is>
      </c>
      <c r="I136" t="inlineStr">
        <is>
          <t xml:space="preserve">→</t>
        </is>
      </c>
      <c r="J136" t="inlineStr">
        <is>
          <t xml:space="preserve">Z</t>
        </is>
      </c>
    </row>
    <row r="137">
      <c r="A137">
        <v>132</v>
      </c>
      <c r="B137" s="55" t="inlineStr">
        <is>
          <t xml:space="preserve">arrow_trip</t>
        </is>
      </c>
      <c r="C137" t="inlineStr">
        <is>
          <t xml:space="preserve">arrow_trip!M25</t>
        </is>
      </c>
      <c r="D137" s="51" t="inlineStr">
        <is>
          <t xml:space="preserve">tocol</t>
        </is>
      </c>
      <c r="E137" t="inlineStr">
        <is>
          <t xml:space="preserve">arrow_trip(D7:H7,TOCOL("D6"),TOCOL("→"))</t>
        </is>
      </c>
      <c r="F137" s="51" cm="1">
        <f t="array" ref="F137">_xlfn.LET(_xlpm.a,arrow_trip('arrow_trip'!D7:H7,"D6","→"),_xlpm.b,arrow_trip('arrow_trip'!D7:H7,_xlfn.TOCOL("D6"),_xlfn.TOCOL("→")),_xlpm.sa,IFERROR(ROWS(_xlpm.a)&amp;"x"&amp;COLUMNS(_xlpm.a),"err"),_xlpm.sb,IFERROR(ROWS(_xlpm.b)&amp;"x"&amp;COLUMNS(_xlpm.b),"err"),IF(_xlpm.sa&lt;&gt;_xlpm.sb,"FAIL",IF(_xlpm.sa="err",IF(ERROR.TYPE(_xlpm.a)=ERROR.TYPE(_xlpm.b),"PASS","FAIL"),IF(AND(IFERROR(_xlpm.a=_xlpm.b,IFERROR(ERROR.TYPE(_xlpm.a)=ERROR.TYPE(_xlpm.b),FALSE))),"PASS","FAIL"))))</f>
        <v>0</v>
      </c>
    </row>
    <row r="138">
      <c r="A138">
        <v>133</v>
      </c>
      <c r="B138" s="55" t="inlineStr">
        <is>
          <t xml:space="preserve">arrow_trip</t>
        </is>
      </c>
      <c r="C138" t="inlineStr">
        <is>
          <t xml:space="preserve">arrow_trip!M25</t>
        </is>
      </c>
      <c r="D138" s="51" t="inlineStr">
        <is>
          <t xml:space="preserve">cellref</t>
        </is>
      </c>
      <c r="E138" t="inlineStr">
        <is>
          <t xml:space="preserve">arrow_trip(D7:H7,shape_tests!$H$138,shape_tests!$I$138)</t>
        </is>
      </c>
      <c r="F138" s="51" cm="1">
        <f t="array" ref="F138">_xlfn.LET(_xlpm.a,arrow_trip('arrow_trip'!D7:H7,"D6","→"),_xlpm.b,arrow_trip('arrow_trip'!D7:H7,shape_tests!$H$138,shape_tests!$I$138),_xlpm.sa,IFERROR(ROWS(_xlpm.a)&amp;"x"&amp;COLUMNS(_xlpm.a),"err"),_xlpm.sb,IFERROR(ROWS(_xlpm.b)&amp;"x"&amp;COLUMNS(_xlpm.b),"err"),IF(_xlpm.sa&lt;&gt;_xlpm.sb,"FAIL",IF(_xlpm.sa="err",IF(ERROR.TYPE(_xlpm.a)=ERROR.TYPE(_xlpm.b),"PASS","FAIL"),IF(AND(IFERROR(_xlpm.a=_xlpm.b,IFERROR(ERROR.TYPE(_xlpm.a)=ERROR.TYPE(_xlpm.b),FALSE))),"PASS","FAIL"))))</f>
        <v>0</v>
      </c>
      <c r="H138" t="inlineStr">
        <is>
          <t xml:space="preserve">D6</t>
        </is>
      </c>
      <c r="I138" t="inlineStr">
        <is>
          <t xml:space="preserve">→</t>
        </is>
      </c>
    </row>
    <row r="139">
      <c r="A139">
        <v>134</v>
      </c>
      <c r="B139" s="55" t="inlineStr">
        <is>
          <t xml:space="preserve">arrow_trip</t>
        </is>
      </c>
      <c r="C139" t="inlineStr">
        <is>
          <t xml:space="preserve">arrow_trip!M25</t>
        </is>
      </c>
      <c r="D139" s="51" t="inlineStr">
        <is>
          <t xml:space="preserve">blank</t>
        </is>
      </c>
      <c r="E139" t="inlineStr">
        <is>
          <t xml:space="preserve">arrow_trip(D7:H7,"D6","→",shape_tests!$Z$1)</t>
        </is>
      </c>
      <c r="F139" s="51" cm="1">
        <f t="array" ref="F139">_xlfn.LET(_xlpm.a,arrow_trip('arrow_trip'!D7:H7,"D6","→"),_xlpm.b,arrow_trip('arrow_trip'!D7:H7,"D6","→",shape_tests!$Z$1),_xlpm.sa,IFERROR(ROWS(_xlpm.a)&amp;"x"&amp;COLUMNS(_xlpm.a),"err"),_xlpm.sb,IFERROR(ROWS(_xlpm.b)&amp;"x"&amp;COLUMNS(_xlpm.b),"err"),IF(_xlpm.sa&lt;&gt;_xlpm.sb,"FAIL",IF(_xlpm.sa="err",IF(ERROR.TYPE(_xlpm.a)=ERROR.TYPE(_xlpm.b),"PASS","FAIL"),IF(AND(IFERROR(_xlpm.a=_xlpm.b,IFERROR(ERROR.TYPE(_xlpm.a)=ERROR.TYPE(_xlpm.b),FALSE))),"PASS","FAIL"))))</f>
        <v>0</v>
      </c>
    </row>
    <row r="140">
      <c r="A140">
        <v>135</v>
      </c>
      <c r="B140" s="55" t="inlineStr">
        <is>
          <t xml:space="preserve">arrow_trip</t>
        </is>
      </c>
      <c r="C140" t="inlineStr">
        <is>
          <t xml:space="preserve">arrow_trip!M27</t>
        </is>
      </c>
      <c r="D140" s="51" t="inlineStr">
        <is>
          <t xml:space="preserve">tocol</t>
        </is>
      </c>
      <c r="E140" t="inlineStr">
        <is>
          <t xml:space="preserve">arrow_trip(D7:H7,TOCOL("D7"),TOCOL("Z"))</t>
        </is>
      </c>
      <c r="F140" s="51" cm="1">
        <f t="array" ref="F140">_xlfn.LET(_xlpm.a,arrow_trip('arrow_trip'!D7:H7,"D7","Z"),_xlpm.b,arrow_trip('arrow_trip'!D7:H7,_xlfn.TOCOL("D7"),_xlfn.TOCOL("Z")),_xlpm.sa,IFERROR(ROWS(_xlpm.a)&amp;"x"&amp;COLUMNS(_xlpm.a),"err"),_xlpm.sb,IFERROR(ROWS(_xlpm.b)&amp;"x"&amp;COLUMNS(_xlpm.b),"err"),IF(_xlpm.sa&lt;&gt;_xlpm.sb,"FAIL",IF(_xlpm.sa="err",IF(ERROR.TYPE(_xlpm.a)=ERROR.TYPE(_xlpm.b),"PASS","FAIL"),IF(AND(IFERROR(_xlpm.a=_xlpm.b,IFERROR(ERROR.TYPE(_xlpm.a)=ERROR.TYPE(_xlpm.b),FALSE))),"PASS","FAIL"))))</f>
        <v>0</v>
      </c>
    </row>
    <row r="141">
      <c r="A141">
        <v>136</v>
      </c>
      <c r="B141" s="55" t="inlineStr">
        <is>
          <t xml:space="preserve">arrow_trip</t>
        </is>
      </c>
      <c r="C141" t="inlineStr">
        <is>
          <t xml:space="preserve">arrow_trip!M27</t>
        </is>
      </c>
      <c r="D141" s="51" t="inlineStr">
        <is>
          <t xml:space="preserve">cellref</t>
        </is>
      </c>
      <c r="E141" t="inlineStr">
        <is>
          <t xml:space="preserve">arrow_trip(D7:H7,shape_tests!$H$141,shape_tests!$I$141)</t>
        </is>
      </c>
      <c r="F141" s="51" cm="1">
        <f t="array" ref="F141">_xlfn.LET(_xlpm.a,arrow_trip('arrow_trip'!D7:H7,"D7","Z"),_xlpm.b,arrow_trip('arrow_trip'!D7:H7,shape_tests!$H$141,shape_tests!$I$141),_xlpm.sa,IFERROR(ROWS(_xlpm.a)&amp;"x"&amp;COLUMNS(_xlpm.a),"err"),_xlpm.sb,IFERROR(ROWS(_xlpm.b)&amp;"x"&amp;COLUMNS(_xlpm.b),"err"),IF(_xlpm.sa&lt;&gt;_xlpm.sb,"FAIL",IF(_xlpm.sa="err",IF(ERROR.TYPE(_xlpm.a)=ERROR.TYPE(_xlpm.b),"PASS","FAIL"),IF(AND(IFERROR(_xlpm.a=_xlpm.b,IFERROR(ERROR.TYPE(_xlpm.a)=ERROR.TYPE(_xlpm.b),FALSE))),"PASS","FAIL"))))</f>
        <v>0</v>
      </c>
      <c r="H141" t="inlineStr">
        <is>
          <t xml:space="preserve">D7</t>
        </is>
      </c>
      <c r="I141" t="inlineStr">
        <is>
          <t xml:space="preserve">Z</t>
        </is>
      </c>
    </row>
    <row r="142">
      <c r="A142">
        <v>137</v>
      </c>
      <c r="B142" s="55" t="inlineStr">
        <is>
          <t xml:space="preserve">arrow_trip</t>
        </is>
      </c>
      <c r="C142" t="inlineStr">
        <is>
          <t xml:space="preserve">arrow_trip!M27</t>
        </is>
      </c>
      <c r="D142" s="51" t="inlineStr">
        <is>
          <t xml:space="preserve">blank</t>
        </is>
      </c>
      <c r="E142" t="inlineStr">
        <is>
          <t xml:space="preserve">arrow_trip(D7:H7,"D7","Z",shape_tests!$Z$1)</t>
        </is>
      </c>
      <c r="F142" s="51" cm="1">
        <f t="array" ref="F142">_xlfn.LET(_xlpm.a,arrow_trip('arrow_trip'!D7:H7,"D7","Z"),_xlpm.b,arrow_trip('arrow_trip'!D7:H7,"D7","Z",shape_tests!$Z$1),_xlpm.sa,IFERROR(ROWS(_xlpm.a)&amp;"x"&amp;COLUMNS(_xlpm.a),"err"),_xlpm.sb,IFERROR(ROWS(_xlpm.b)&amp;"x"&amp;COLUMNS(_xlpm.b),"err"),IF(_xlpm.sa&lt;&gt;_xlpm.sb,"FAIL",IF(_xlpm.sa="err",IF(ERROR.TYPE(_xlpm.a)=ERROR.TYPE(_xlpm.b),"PASS","FAIL"),IF(AND(IFERROR(_xlpm.a=_xlpm.b,IFERROR(ERROR.TYPE(_xlpm.a)=ERROR.TYPE(_xlpm.b),FALSE))),"PASS","FAIL"))))</f>
        <v>0</v>
      </c>
    </row>
    <row r="143">
      <c r="A143">
        <v>138</v>
      </c>
      <c r="B143" s="55" t="inlineStr">
        <is>
          <t xml:space="preserve">arrow_trip</t>
        </is>
      </c>
      <c r="C143" t="inlineStr">
        <is>
          <t xml:space="preserve">arrow_trip!M29</t>
        </is>
      </c>
      <c r="D143" s="51" t="inlineStr">
        <is>
          <t xml:space="preserve">tocol</t>
        </is>
      </c>
      <c r="E143" t="inlineStr">
        <is>
          <t xml:space="preserve">arrow_trip(D7:H7,TOCOL("D7"),TOCOL(1))</t>
        </is>
      </c>
      <c r="F143" s="51" cm="1">
        <f t="array" ref="F143">_xlfn.LET(_xlpm.a,arrow_trip('arrow_trip'!D7:H7,"D7",1),_xlpm.b,arrow_trip('arrow_trip'!D7:H7,_xlfn.TOCOL("D7"),_xlfn.TOCOL(1)),_xlpm.sa,IFERROR(ROWS(_xlpm.a)&amp;"x"&amp;COLUMNS(_xlpm.a),"err"),_xlpm.sb,IFERROR(ROWS(_xlpm.b)&amp;"x"&amp;COLUMNS(_xlpm.b),"err"),IF(_xlpm.sa&lt;&gt;_xlpm.sb,"FAIL",IF(_xlpm.sa="err",IF(ERROR.TYPE(_xlpm.a)=ERROR.TYPE(_xlpm.b),"PASS","FAIL"),IF(AND(IFERROR(_xlpm.a=_xlpm.b,IFERROR(ERROR.TYPE(_xlpm.a)=ERROR.TYPE(_xlpm.b),FALSE))),"PASS","FAIL"))))</f>
        <v>0</v>
      </c>
    </row>
    <row r="144">
      <c r="A144">
        <v>139</v>
      </c>
      <c r="B144" s="55" t="inlineStr">
        <is>
          <t xml:space="preserve">arrow_trip</t>
        </is>
      </c>
      <c r="C144" t="inlineStr">
        <is>
          <t xml:space="preserve">arrow_trip!M29</t>
        </is>
      </c>
      <c r="D144" s="51" t="inlineStr">
        <is>
          <t xml:space="preserve">cellref</t>
        </is>
      </c>
      <c r="E144" t="inlineStr">
        <is>
          <t xml:space="preserve">arrow_trip(D7:H7,shape_tests!$H$144,shape_tests!$I$144)</t>
        </is>
      </c>
      <c r="F144" s="51" cm="1">
        <f t="array" ref="F144">_xlfn.LET(_xlpm.a,arrow_trip('arrow_trip'!D7:H7,"D7",1),_xlpm.b,arrow_trip('arrow_trip'!D7:H7,shape_tests!$H$144,shape_tests!$I$144),_xlpm.sa,IFERROR(ROWS(_xlpm.a)&amp;"x"&amp;COLUMNS(_xlpm.a),"err"),_xlpm.sb,IFERROR(ROWS(_xlpm.b)&amp;"x"&amp;COLUMNS(_xlpm.b),"err"),IF(_xlpm.sa&lt;&gt;_xlpm.sb,"FAIL",IF(_xlpm.sa="err",IF(ERROR.TYPE(_xlpm.a)=ERROR.TYPE(_xlpm.b),"PASS","FAIL"),IF(AND(IFERROR(_xlpm.a=_xlpm.b,IFERROR(ERROR.TYPE(_xlpm.a)=ERROR.TYPE(_xlpm.b),FALSE))),"PASS","FAIL"))))</f>
        <v>0</v>
      </c>
      <c r="H144" t="inlineStr">
        <is>
          <t xml:space="preserve">D7</t>
        </is>
      </c>
      <c r="I144">
        <v>1.0</v>
      </c>
    </row>
    <row r="145">
      <c r="A145">
        <v>140</v>
      </c>
      <c r="B145" s="55" t="inlineStr">
        <is>
          <t xml:space="preserve">arrow_trip</t>
        </is>
      </c>
      <c r="C145" t="inlineStr">
        <is>
          <t xml:space="preserve">arrow_trip!M29</t>
        </is>
      </c>
      <c r="D145" s="51" t="inlineStr">
        <is>
          <t xml:space="preserve">textnum</t>
        </is>
      </c>
      <c r="E145" t="inlineStr">
        <is>
          <t xml:space="preserve">arrow_trip(D7:H7,"D7","1")</t>
        </is>
      </c>
      <c r="F145" s="51" cm="1">
        <f t="array" ref="F145">_xlfn.LET(_xlpm.a,arrow_trip('arrow_trip'!D7:H7,"D7",1),_xlpm.b,arrow_trip('arrow_trip'!D7:H7,"D7","1"),_xlpm.sa,IFERROR(ROWS(_xlpm.a)&amp;"x"&amp;COLUMNS(_xlpm.a),"err"),_xlpm.sb,IFERROR(ROWS(_xlpm.b)&amp;"x"&amp;COLUMNS(_xlpm.b),"err"),IF(_xlpm.sa&lt;&gt;_xlpm.sb,"FAIL",IF(_xlpm.sa="err",IF(ERROR.TYPE(_xlpm.a)=ERROR.TYPE(_xlpm.b),"PASS","FAIL"),IF(AND(IFERROR(_xlpm.a=_xlpm.b,IFERROR(ERROR.TYPE(_xlpm.a)=ERROR.TYPE(_xlpm.b),FALSE))),"PASS","FAIL"))))</f>
        <v>0</v>
      </c>
    </row>
    <row r="146">
      <c r="A146">
        <v>141</v>
      </c>
      <c r="B146" s="55" t="inlineStr">
        <is>
          <t xml:space="preserve">arrow_trip</t>
        </is>
      </c>
      <c r="C146" t="inlineStr">
        <is>
          <t xml:space="preserve">arrow_trip!M29</t>
        </is>
      </c>
      <c r="D146" s="51" t="inlineStr">
        <is>
          <t xml:space="preserve">blank</t>
        </is>
      </c>
      <c r="E146" t="inlineStr">
        <is>
          <t xml:space="preserve">arrow_trip(D7:H7,"D7",1,shape_tests!$Z$1)</t>
        </is>
      </c>
      <c r="F146" s="51" cm="1">
        <f t="array" ref="F146">_xlfn.LET(_xlpm.a,arrow_trip('arrow_trip'!D7:H7,"D7",1),_xlpm.b,arrow_trip('arrow_trip'!D7:H7,"D7",1,shape_tests!$Z$1),_xlpm.sa,IFERROR(ROWS(_xlpm.a)&amp;"x"&amp;COLUMNS(_xlpm.a),"err"),_xlpm.sb,IFERROR(ROWS(_xlpm.b)&amp;"x"&amp;COLUMNS(_xlpm.b),"err"),IF(_xlpm.sa&lt;&gt;_xlpm.sb,"FAIL",IF(_xlpm.sa="err",IF(ERROR.TYPE(_xlpm.a)=ERROR.TYPE(_xlpm.b),"PASS","FAIL"),IF(AND(IFERROR(_xlpm.a=_xlpm.b,IFERROR(ERROR.TYPE(_xlpm.a)=ERROR.TYPE(_xlpm.b),FALSE))),"PASS","FAIL"))))</f>
        <v>0</v>
      </c>
    </row>
    <row r="147">
      <c r="A147">
        <v>142</v>
      </c>
      <c r="B147" s="55" t="inlineStr">
        <is>
          <t xml:space="preserve">arrow_trip</t>
        </is>
      </c>
      <c r="C147" t="inlineStr">
        <is>
          <t xml:space="preserve">arrow_trip!M35</t>
        </is>
      </c>
      <c r="D147" s="51" t="inlineStr">
        <is>
          <t xml:space="preserve">tocol</t>
        </is>
      </c>
      <c r="E147" t="inlineStr">
        <is>
          <t xml:space="preserve">arrow_trip(D7:H7,TOCOL("D7"),TOCOL("R"))</t>
        </is>
      </c>
      <c r="F147" s="51" cm="1">
        <f t="array" ref="F147">_xlfn.LET(_xlpm.a,arrow_trip('arrow_trip'!D7:H7,"D7","R"),_xlpm.b,arrow_trip('arrow_trip'!D7:H7,_xlfn.TOCOL("D7"),_xlfn.TOCOL("R")),_xlpm.sa,IFERROR(ROWS(_xlpm.a)&amp;"x"&amp;COLUMNS(_xlpm.a),"err"),_xlpm.sb,IFERROR(ROWS(_xlpm.b)&amp;"x"&amp;COLUMNS(_xlpm.b),"err"),IF(_xlpm.sa&lt;&gt;_xlpm.sb,"FAIL",IF(_xlpm.sa="err",IF(ERROR.TYPE(_xlpm.a)=ERROR.TYPE(_xlpm.b),"PASS","FAIL"),IF(AND(IFERROR(_xlpm.a=_xlpm.b,IFERROR(ERROR.TYPE(_xlpm.a)=ERROR.TYPE(_xlpm.b),FALSE))),"PASS","FAIL"))))</f>
        <v>0</v>
      </c>
    </row>
    <row r="148">
      <c r="A148">
        <v>143</v>
      </c>
      <c r="B148" s="55" t="inlineStr">
        <is>
          <t xml:space="preserve">arrow_trip</t>
        </is>
      </c>
      <c r="C148" t="inlineStr">
        <is>
          <t xml:space="preserve">arrow_trip!M35</t>
        </is>
      </c>
      <c r="D148" s="51" t="inlineStr">
        <is>
          <t xml:space="preserve">cellref</t>
        </is>
      </c>
      <c r="E148" t="inlineStr">
        <is>
          <t xml:space="preserve">arrow_trip(D7:H7,shape_tests!$H$148,shape_tests!$I$148)</t>
        </is>
      </c>
      <c r="F148" s="51" cm="1">
        <f t="array" ref="F148">_xlfn.LET(_xlpm.a,arrow_trip('arrow_trip'!D7:H7,"D7","R"),_xlpm.b,arrow_trip('arrow_trip'!D7:H7,shape_tests!$H$148,shape_tests!$I$148),_xlpm.sa,IFERROR(ROWS(_xlpm.a)&amp;"x"&amp;COLUMNS(_xlpm.a),"err"),_xlpm.sb,IFERROR(ROWS(_xlpm.b)&amp;"x"&amp;COLUMNS(_xlpm.b),"err"),IF(_xlpm.sa&lt;&gt;_xlpm.sb,"FAIL",IF(_xlpm.sa="err",IF(ERROR.TYPE(_xlpm.a)=ERROR.TYPE(_xlpm.b),"PASS","FAIL"),IF(AND(IFERROR(_xlpm.a=_xlpm.b,IFERROR(ERROR.TYPE(_xlpm.a)=ERROR.TYPE(_xlpm.b),FALSE))),"PASS","FAIL"))))</f>
        <v>0</v>
      </c>
      <c r="H148" t="inlineStr">
        <is>
          <t xml:space="preserve">D7</t>
        </is>
      </c>
      <c r="I148" t="inlineStr">
        <is>
          <t xml:space="preserve">R</t>
        </is>
      </c>
    </row>
    <row r="149">
      <c r="A149">
        <v>144</v>
      </c>
      <c r="B149" s="55" t="inlineStr">
        <is>
          <t xml:space="preserve">arrow_trip</t>
        </is>
      </c>
      <c r="C149" t="inlineStr">
        <is>
          <t xml:space="preserve">arrow_trip!M35</t>
        </is>
      </c>
      <c r="D149" s="51" t="inlineStr">
        <is>
          <t xml:space="preserve">blank</t>
        </is>
      </c>
      <c r="E149" t="inlineStr">
        <is>
          <t xml:space="preserve">arrow_trip(D7:H7,"D7","R",shape_tests!$Z$1)</t>
        </is>
      </c>
      <c r="F149" s="51" cm="1">
        <f t="array" ref="F149">_xlfn.LET(_xlpm.a,arrow_trip('arrow_trip'!D7:H7,"D7","R"),_xlpm.b,arrow_trip('arrow_trip'!D7:H7,"D7","R",shape_tests!$Z$1),_xlpm.sa,IFERROR(ROWS(_xlpm.a)&amp;"x"&amp;COLUMNS(_xlpm.a),"err"),_xlpm.sb,IFERROR(ROWS(_xlpm.b)&amp;"x"&amp;COLUMNS(_xlpm.b),"err"),IF(_xlpm.sa&lt;&gt;_xlpm.sb,"FAIL",IF(_xlpm.sa="err",IF(ERROR.TYPE(_xlpm.a)=ERROR.TYPE(_xlpm.b),"PASS","FAIL"),IF(AND(IFERROR(_xlpm.a=_xlpm.b,IFERROR(ERROR.TYPE(_xlpm.a)=ERROR.TYPE(_xlpm.b),FALSE))),"PASS","FAIL"))))</f>
        <v>0</v>
      </c>
    </row>
    <row r="150">
      <c r="A150">
        <v>145</v>
      </c>
      <c r="B150" s="55" t="inlineStr">
        <is>
          <t xml:space="preserve">arrow_trip</t>
        </is>
      </c>
      <c r="C150" t="inlineStr">
        <is>
          <t xml:space="preserve">arrow_trip!M44</t>
        </is>
      </c>
      <c r="D150" s="51" t="inlineStr">
        <is>
          <t xml:space="preserve">tocol</t>
        </is>
      </c>
      <c r="E150" t="inlineStr">
        <is>
          <t xml:space="preserve">arrow_trip(D41:E41,TOCOL("D41"),TOCOL("R"))</t>
        </is>
      </c>
      <c r="F150" s="51" cm="1">
        <f t="array" ref="F150">_xlfn.LET(_xlpm.a,arrow_trip('arrow_trip'!D41:E41,"D41","R"),_xlpm.b,arrow_trip('arrow_trip'!D41:E41,_xlfn.TOCOL("D41"),_xlfn.TOCOL("R")),_xlpm.sa,IFERROR(ROWS(_xlpm.a)&amp;"x"&amp;COLUMNS(_xlpm.a),"err"),_xlpm.sb,IFERROR(ROWS(_xlpm.b)&amp;"x"&amp;COLUMNS(_xlpm.b),"err"),IF(_xlpm.sa&lt;&gt;_xlpm.sb,"FAIL",IF(_xlpm.sa="err",IF(ERROR.TYPE(_xlpm.a)=ERROR.TYPE(_xlpm.b),"PASS","FAIL"),IF(AND(IFERROR(_xlpm.a=_xlpm.b,IFERROR(ERROR.TYPE(_xlpm.a)=ERROR.TYPE(_xlpm.b),FALSE))),"PASS","FAIL"))))</f>
        <v>0</v>
      </c>
    </row>
    <row r="151">
      <c r="A151">
        <v>146</v>
      </c>
      <c r="B151" s="55" t="inlineStr">
        <is>
          <t xml:space="preserve">arrow_trip</t>
        </is>
      </c>
      <c r="C151" t="inlineStr">
        <is>
          <t xml:space="preserve">arrow_trip!M44</t>
        </is>
      </c>
      <c r="D151" s="51" t="inlineStr">
        <is>
          <t xml:space="preserve">cellref</t>
        </is>
      </c>
      <c r="E151" t="inlineStr">
        <is>
          <t xml:space="preserve">arrow_trip(D41:E41,shape_tests!$H$151,shape_tests!$I$151)</t>
        </is>
      </c>
      <c r="F151" s="51" cm="1">
        <f t="array" ref="F151">_xlfn.LET(_xlpm.a,arrow_trip('arrow_trip'!D41:E41,"D41","R"),_xlpm.b,arrow_trip('arrow_trip'!D41:E41,shape_tests!$H$151,shape_tests!$I$151),_xlpm.sa,IFERROR(ROWS(_xlpm.a)&amp;"x"&amp;COLUMNS(_xlpm.a),"err"),_xlpm.sb,IFERROR(ROWS(_xlpm.b)&amp;"x"&amp;COLUMNS(_xlpm.b),"err"),IF(_xlpm.sa&lt;&gt;_xlpm.sb,"FAIL",IF(_xlpm.sa="err",IF(ERROR.TYPE(_xlpm.a)=ERROR.TYPE(_xlpm.b),"PASS","FAIL"),IF(AND(IFERROR(_xlpm.a=_xlpm.b,IFERROR(ERROR.TYPE(_xlpm.a)=ERROR.TYPE(_xlpm.b),FALSE))),"PASS","FAIL"))))</f>
        <v>0</v>
      </c>
      <c r="H151" t="inlineStr">
        <is>
          <t xml:space="preserve">D41</t>
        </is>
      </c>
      <c r="I151" t="inlineStr">
        <is>
          <t xml:space="preserve">R</t>
        </is>
      </c>
    </row>
    <row r="152">
      <c r="A152">
        <v>147</v>
      </c>
      <c r="B152" s="55" t="inlineStr">
        <is>
          <t xml:space="preserve">arrow_trip</t>
        </is>
      </c>
      <c r="C152" t="inlineStr">
        <is>
          <t xml:space="preserve">arrow_trip!M44</t>
        </is>
      </c>
      <c r="D152" s="51" t="inlineStr">
        <is>
          <t xml:space="preserve">blank</t>
        </is>
      </c>
      <c r="E152" t="inlineStr">
        <is>
          <t xml:space="preserve">arrow_trip(D41:E41,"D41","R",shape_tests!$Z$1)</t>
        </is>
      </c>
      <c r="F152" s="51" cm="1">
        <f t="array" ref="F152">_xlfn.LET(_xlpm.a,arrow_trip('arrow_trip'!D41:E41,"D41","R"),_xlpm.b,arrow_trip('arrow_trip'!D41:E41,"D41","R",shape_tests!$Z$1),_xlpm.sa,IFERROR(ROWS(_xlpm.a)&amp;"x"&amp;COLUMNS(_xlpm.a),"err"),_xlpm.sb,IFERROR(ROWS(_xlpm.b)&amp;"x"&amp;COLUMNS(_xlpm.b),"err"),IF(_xlpm.sa&lt;&gt;_xlpm.sb,"FAIL",IF(_xlpm.sa="err",IF(ERROR.TYPE(_xlpm.a)=ERROR.TYPE(_xlpm.b),"PASS","FAIL"),IF(AND(IFERROR(_xlpm.a=_xlpm.b,IFERROR(ERROR.TYPE(_xlpm.a)=ERROR.TYPE(_xlpm.b),FALSE))),"PASS","FAIL"))))</f>
        <v>0</v>
      </c>
    </row>
    <row r="153">
      <c r="A153">
        <v>148</v>
      </c>
      <c r="B153" s="55" t="inlineStr">
        <is>
          <t xml:space="preserve">biggest</t>
        </is>
      </c>
      <c r="C153" t="inlineStr">
        <is>
          <t xml:space="preserve">biggest!J6</t>
        </is>
      </c>
      <c r="D153" s="51" t="inlineStr">
        <is>
          <t xml:space="preserve">array</t>
        </is>
      </c>
      <c r="E153" t="inlineStr">
        <is>
          <t xml:space="preserve">biggest(D6:D8,CHOOSEROWS(F6:F8,SEQUENCE(ROWS(F6:F8))))</t>
        </is>
      </c>
      <c r="F153" s="51" cm="1">
        <f t="array" ref="F153">_xlfn.LET(_xlpm.a,biggest('biggest'!D6:D8,'biggest'!F6:F8),_xlpm.b,biggest('biggest'!D6:D8,_xlfn.CHOOSEROWS('biggest'!F6:F8,_xlfn.SEQUENCE(ROWS('biggest'!F6:F8)))),_xlpm.sa,IFERROR(ROWS(_xlpm.a)&amp;"x"&amp;COLUMNS(_xlpm.a),"err"),_xlpm.sb,IFERROR(ROWS(_xlpm.b)&amp;"x"&amp;COLUMNS(_xlpm.b),"err"),IF(_xlpm.sa&lt;&gt;_xlpm.sb,"FAIL",IF(_xlpm.sa="err",IF(ERROR.TYPE(_xlpm.a)=ERROR.TYPE(_xlpm.b),"PASS","FAIL"),IF(AND(IFERROR(_xlpm.a=_xlpm.b,IFERROR(ERROR.TYPE(_xlpm.a)=ERROR.TYPE(_xlpm.b),FALSE))),"PASS","FAIL"))))</f>
        <v>0</v>
      </c>
    </row>
    <row r="154">
      <c r="A154">
        <v>149</v>
      </c>
      <c r="B154" s="55" t="inlineStr">
        <is>
          <t xml:space="preserve">biggest</t>
        </is>
      </c>
      <c r="C154" t="inlineStr">
        <is>
          <t xml:space="preserve">biggest!J10</t>
        </is>
      </c>
      <c r="D154" s="51" t="inlineStr">
        <is>
          <t xml:space="preserve">array</t>
        </is>
      </c>
      <c r="E154" t="inlineStr">
        <is>
          <t xml:space="preserve">biggest(D10:D13,CHOOSEROWS(F10:F13,SEQUENCE(ROWS(F10:F13))))</t>
        </is>
      </c>
      <c r="F154" s="51" cm="1">
        <f t="array" ref="F154">_xlfn.LET(_xlpm.a,biggest('biggest'!D10:D13,'biggest'!F10:F13),_xlpm.b,biggest('biggest'!D10:D13,_xlfn.CHOOSEROWS('biggest'!F10:F13,_xlfn.SEQUENCE(ROWS('biggest'!F10:F13)))),_xlpm.sa,IFERROR(ROWS(_xlpm.a)&amp;"x"&amp;COLUMNS(_xlpm.a),"err"),_xlpm.sb,IFERROR(ROWS(_xlpm.b)&amp;"x"&amp;COLUMNS(_xlpm.b),"err"),IF(_xlpm.sa&lt;&gt;_xlpm.sb,"FAIL",IF(_xlpm.sa="err",IF(ERROR.TYPE(_xlpm.a)=ERROR.TYPE(_xlpm.b),"PASS","FAIL"),IF(AND(IFERROR(_xlpm.a=_xlpm.b,IFERROR(ERROR.TYPE(_xlpm.a)=ERROR.TYPE(_xlpm.b),FALSE))),"PASS","FAIL"))))</f>
        <v>0</v>
      </c>
    </row>
    <row r="155">
      <c r="A155">
        <v>150</v>
      </c>
      <c r="B155" s="55" t="inlineStr">
        <is>
          <t xml:space="preserve">biggest</t>
        </is>
      </c>
      <c r="C155" t="inlineStr">
        <is>
          <t xml:space="preserve">biggest!J15</t>
        </is>
      </c>
      <c r="D155" s="51" t="inlineStr">
        <is>
          <t xml:space="preserve">tocol</t>
        </is>
      </c>
      <c r="E155" t="inlineStr">
        <is>
          <t xml:space="preserve">biggest(TOCOL(D15),TOCOL(F15))</t>
        </is>
      </c>
      <c r="F155" s="51" cm="1">
        <f t="array" ref="F155">_xlfn.LET(_xlpm.a,biggest('biggest'!D15,'biggest'!F15),_xlpm.b,biggest(_xlfn.TOCOL('biggest'!D15),_xlfn.TOCOL('biggest'!F15)),_xlpm.sa,IFERROR(ROWS(_xlpm.a)&amp;"x"&amp;COLUMNS(_xlpm.a),"err"),_xlpm.sb,IFERROR(ROWS(_xlpm.b)&amp;"x"&amp;COLUMNS(_xlpm.b),"err"),IF(_xlpm.sa&lt;&gt;_xlpm.sb,"FAIL",IF(_xlpm.sa="err",IF(ERROR.TYPE(_xlpm.a)=ERROR.TYPE(_xlpm.b),"PASS","FAIL"),IF(AND(IFERROR(_xlpm.a=_xlpm.b,IFERROR(ERROR.TYPE(_xlpm.a)=ERROR.TYPE(_xlpm.b),FALSE))),"PASS","FAIL"))))</f>
        <v>0</v>
      </c>
    </row>
    <row r="156">
      <c r="A156">
        <v>151</v>
      </c>
      <c r="B156" s="55" t="inlineStr">
        <is>
          <t xml:space="preserve">clamp</t>
        </is>
      </c>
      <c r="C156" t="inlineStr">
        <is>
          <t xml:space="preserve">clamp!L6</t>
        </is>
      </c>
      <c r="D156" s="51" t="inlineStr">
        <is>
          <t xml:space="preserve">tocol</t>
        </is>
      </c>
      <c r="E156" t="inlineStr">
        <is>
          <t xml:space="preserve">clamp(D6:D8,TOCOL(F6),TOCOL(H6))</t>
        </is>
      </c>
      <c r="F156" s="51" cm="1">
        <f t="array" ref="F156">_xlfn.LET(_xlpm.a,clamp('clamp'!D6:D8,'clamp'!F6,'clamp'!H6),_xlpm.b,clamp('clamp'!D6:D8,_xlfn.TOCOL('clamp'!F6),_xlfn.TOCOL('clamp'!H6)),_xlpm.sa,IFERROR(ROWS(_xlpm.a)&amp;"x"&amp;COLUMNS(_xlpm.a),"err"),_xlpm.sb,IFERROR(ROWS(_xlpm.b)&amp;"x"&amp;COLUMNS(_xlpm.b),"err"),IF(_xlpm.sa&lt;&gt;_xlpm.sb,"FAIL",IF(_xlpm.sa="err",IF(ERROR.TYPE(_xlpm.a)=ERROR.TYPE(_xlpm.b),"PASS","FAIL"),IF(AND(IFERROR(_xlpm.a=_xlpm.b,IFERROR(ERROR.TYPE(_xlpm.a)=ERROR.TYPE(_xlpm.b),FALSE))),"PASS","FAIL"))))</f>
        <v>0</v>
      </c>
    </row>
    <row r="157">
      <c r="A157">
        <v>152</v>
      </c>
      <c r="B157" s="55" t="inlineStr">
        <is>
          <t xml:space="preserve">clamp</t>
        </is>
      </c>
      <c r="C157" t="inlineStr">
        <is>
          <t xml:space="preserve">clamp!L6</t>
        </is>
      </c>
      <c r="D157" s="51" t="inlineStr">
        <is>
          <t xml:space="preserve">textnum</t>
        </is>
      </c>
      <c r="E157" t="inlineStr">
        <is>
          <t xml:space="preserve">clamp(D6:D8,(F6&amp;""),(H6&amp;""))</t>
        </is>
      </c>
      <c r="F157" s="51" cm="1">
        <f t="array" ref="F157">_xlfn.LET(_xlpm.a,clamp('clamp'!D6:D8,'clamp'!F6,'clamp'!H6),_xlpm.b,clamp('clamp'!D6:D8,('clamp'!F6&amp;""),('clamp'!H6&amp;"")),_xlpm.sa,IFERROR(ROWS(_xlpm.a)&amp;"x"&amp;COLUMNS(_xlpm.a),"err"),_xlpm.sb,IFERROR(ROWS(_xlpm.b)&amp;"x"&amp;COLUMNS(_xlpm.b),"err"),IF(_xlpm.sa&lt;&gt;_xlpm.sb,"FAIL",IF(_xlpm.sa="err",IF(ERROR.TYPE(_xlpm.a)=ERROR.TYPE(_xlpm.b),"PASS","FAIL"),IF(AND(IFERROR(_xlpm.a=_xlpm.b,IFERROR(ERROR.TYPE(_xlpm.a)=ERROR.TYPE(_xlpm.b),FALSE))),"PASS","FAIL"))))</f>
        <v>0</v>
      </c>
    </row>
    <row r="158">
      <c r="A158">
        <v>153</v>
      </c>
      <c r="B158" s="55" t="inlineStr">
        <is>
          <t xml:space="preserve">clamp</t>
        </is>
      </c>
      <c r="C158" t="inlineStr">
        <is>
          <t xml:space="preserve">clamp!L10</t>
        </is>
      </c>
      <c r="D158" s="51" t="inlineStr">
        <is>
          <t xml:space="preserve">tocol</t>
        </is>
      </c>
      <c r="E158" t="inlineStr">
        <is>
          <t xml:space="preserve">clamp(TOCOL(D10),,TOCOL(F10))</t>
        </is>
      </c>
      <c r="F158" s="51" cm="1">
        <f t="array" ref="F158">_xlfn.LET(_xlpm.a,clamp('clamp'!D10,,'clamp'!F10),_xlpm.b,clamp(_xlfn.TOCOL('clamp'!D10),,_xlfn.TOCOL('clamp'!F10)),_xlpm.sa,IFERROR(ROWS(_xlpm.a)&amp;"x"&amp;COLUMNS(_xlpm.a),"err"),_xlpm.sb,IFERROR(ROWS(_xlpm.b)&amp;"x"&amp;COLUMNS(_xlpm.b),"err"),IF(_xlpm.sa&lt;&gt;_xlpm.sb,"FAIL",IF(_xlpm.sa="err",IF(ERROR.TYPE(_xlpm.a)=ERROR.TYPE(_xlpm.b),"PASS","FAIL"),IF(AND(IFERROR(_xlpm.a=_xlpm.b,IFERROR(ERROR.TYPE(_xlpm.a)=ERROR.TYPE(_xlpm.b),FALSE))),"PASS","FAIL"))))</f>
        <v>0</v>
      </c>
    </row>
    <row r="159">
      <c r="A159">
        <v>154</v>
      </c>
      <c r="B159" s="55" t="inlineStr">
        <is>
          <t xml:space="preserve">clamp</t>
        </is>
      </c>
      <c r="C159" t="inlineStr">
        <is>
          <t xml:space="preserve">clamp!L10</t>
        </is>
      </c>
      <c r="D159" s="51" t="inlineStr">
        <is>
          <t xml:space="preserve">textnum</t>
        </is>
      </c>
      <c r="E159" t="inlineStr">
        <is>
          <t xml:space="preserve">clamp((D10&amp;""),,(F10&amp;""))</t>
        </is>
      </c>
      <c r="F159" s="51" cm="1">
        <f t="array" ref="F159">_xlfn.LET(_xlpm.a,clamp('clamp'!D10,,'clamp'!F10),_xlpm.b,clamp(('clamp'!D10&amp;""),,('clamp'!F10&amp;"")),_xlpm.sa,IFERROR(ROWS(_xlpm.a)&amp;"x"&amp;COLUMNS(_xlpm.a),"err"),_xlpm.sb,IFERROR(ROWS(_xlpm.b)&amp;"x"&amp;COLUMNS(_xlpm.b),"err"),IF(_xlpm.sa&lt;&gt;_xlpm.sb,"FAIL",IF(_xlpm.sa="err",IF(ERROR.TYPE(_xlpm.a)=ERROR.TYPE(_xlpm.b),"PASS","FAIL"),IF(AND(IFERROR(_xlpm.a=_xlpm.b,IFERROR(ERROR.TYPE(_xlpm.a)=ERROR.TYPE(_xlpm.b),FALSE))),"PASS","FAIL"))))</f>
        <v>0</v>
      </c>
    </row>
    <row r="160">
      <c r="A160">
        <v>155</v>
      </c>
      <c r="B160" s="55" t="inlineStr">
        <is>
          <t xml:space="preserve">clamp</t>
        </is>
      </c>
      <c r="C160" t="inlineStr">
        <is>
          <t xml:space="preserve">clamp!L10</t>
        </is>
      </c>
      <c r="D160" s="51" t="inlineStr">
        <is>
          <t xml:space="preserve">blank</t>
        </is>
      </c>
      <c r="E160" t="inlineStr">
        <is>
          <t xml:space="preserve">clamp(D10,shape_tests!$Z$1,F10)</t>
        </is>
      </c>
      <c r="F160" s="51" cm="1">
        <f t="array" ref="F160">_xlfn.LET(_xlpm.a,clamp('clamp'!D10,,'clamp'!F10),_xlpm.b,clamp('clamp'!D10,shape_tests!$Z$1,'clamp'!F10),_xlpm.sa,IFERROR(ROWS(_xlpm.a)&amp;"x"&amp;COLUMNS(_xlpm.a),"err"),_xlpm.sb,IFERROR(ROWS(_xlpm.b)&amp;"x"&amp;COLUMNS(_xlpm.b),"err"),IF(_xlpm.sa&lt;&gt;_xlpm.sb,"FAIL",IF(_xlpm.sa="err",IF(ERROR.TYPE(_xlpm.a)=ERROR.TYPE(_xlpm.b),"PASS","FAIL"),IF(AND(IFERROR(_xlpm.a=_xlpm.b,IFERROR(ERROR.TYPE(_xlpm.a)=ERROR.TYPE(_xlpm.b),FALSE))),"PASS","FAIL"))))</f>
        <v>0</v>
      </c>
    </row>
    <row r="161">
      <c r="A161">
        <v>156</v>
      </c>
      <c r="B161" s="55" t="inlineStr">
        <is>
          <t xml:space="preserve">clamp</t>
        </is>
      </c>
      <c r="C161" t="inlineStr">
        <is>
          <t xml:space="preserve">clamp!L12</t>
        </is>
      </c>
      <c r="D161" s="51" t="inlineStr">
        <is>
          <t xml:space="preserve">tocol</t>
        </is>
      </c>
      <c r="E161" t="inlineStr">
        <is>
          <t xml:space="preserve">clamp(TOCOL(D12),TOCOL(F12))</t>
        </is>
      </c>
      <c r="F161" s="51" cm="1">
        <f t="array" ref="F161">_xlfn.LET(_xlpm.a,clamp('clamp'!D12,'clamp'!F12),_xlpm.b,clamp(_xlfn.TOCOL('clamp'!D12),_xlfn.TOCOL('clamp'!F12)),_xlpm.sa,IFERROR(ROWS(_xlpm.a)&amp;"x"&amp;COLUMNS(_xlpm.a),"err"),_xlpm.sb,IFERROR(ROWS(_xlpm.b)&amp;"x"&amp;COLUMNS(_xlpm.b),"err"),IF(_xlpm.sa&lt;&gt;_xlpm.sb,"FAIL",IF(_xlpm.sa="err",IF(ERROR.TYPE(_xlpm.a)=ERROR.TYPE(_xlpm.b),"PASS","FAIL"),IF(AND(IFERROR(_xlpm.a=_xlpm.b,IFERROR(ERROR.TYPE(_xlpm.a)=ERROR.TYPE(_xlpm.b),FALSE))),"PASS","FAIL"))))</f>
        <v>0</v>
      </c>
    </row>
    <row r="162">
      <c r="A162">
        <v>157</v>
      </c>
      <c r="B162" s="55" t="inlineStr">
        <is>
          <t xml:space="preserve">clamp</t>
        </is>
      </c>
      <c r="C162" t="inlineStr">
        <is>
          <t xml:space="preserve">clamp!L12</t>
        </is>
      </c>
      <c r="D162" s="51" t="inlineStr">
        <is>
          <t xml:space="preserve">textnum</t>
        </is>
      </c>
      <c r="E162" t="inlineStr">
        <is>
          <t xml:space="preserve">clamp((D12&amp;""),(F12&amp;""))</t>
        </is>
      </c>
      <c r="F162" s="51" cm="1">
        <f t="array" ref="F162">_xlfn.LET(_xlpm.a,clamp('clamp'!D12,'clamp'!F12),_xlpm.b,clamp(('clamp'!D12&amp;""),('clamp'!F12&amp;"")),_xlpm.sa,IFERROR(ROWS(_xlpm.a)&amp;"x"&amp;COLUMNS(_xlpm.a),"err"),_xlpm.sb,IFERROR(ROWS(_xlpm.b)&amp;"x"&amp;COLUMNS(_xlpm.b),"err"),IF(_xlpm.sa&lt;&gt;_xlpm.sb,"FAIL",IF(_xlpm.sa="err",IF(ERROR.TYPE(_xlpm.a)=ERROR.TYPE(_xlpm.b),"PASS","FAIL"),IF(AND(IFERROR(_xlpm.a=_xlpm.b,IFERROR(ERROR.TYPE(_xlpm.a)=ERROR.TYPE(_xlpm.b),FALSE))),"PASS","FAIL"))))</f>
        <v>0</v>
      </c>
    </row>
    <row r="163">
      <c r="A163">
        <v>158</v>
      </c>
      <c r="B163" s="55" t="inlineStr">
        <is>
          <t xml:space="preserve">clamp</t>
        </is>
      </c>
      <c r="C163" t="inlineStr">
        <is>
          <t xml:space="preserve">clamp!L12</t>
        </is>
      </c>
      <c r="D163" s="51" t="inlineStr">
        <is>
          <t xml:space="preserve">blank</t>
        </is>
      </c>
      <c r="E163" t="inlineStr">
        <is>
          <t xml:space="preserve">clamp(D12,F12,shape_tests!$Z$1)</t>
        </is>
      </c>
      <c r="F163" s="51" cm="1">
        <f t="array" ref="F163">_xlfn.LET(_xlpm.a,clamp('clamp'!D12,'clamp'!F12),_xlpm.b,clamp('clamp'!D12,'clamp'!F12,shape_tests!$Z$1),_xlpm.sa,IFERROR(ROWS(_xlpm.a)&amp;"x"&amp;COLUMNS(_xlpm.a),"err"),_xlpm.sb,IFERROR(ROWS(_xlpm.b)&amp;"x"&amp;COLUMNS(_xlpm.b),"err"),IF(_xlpm.sa&lt;&gt;_xlpm.sb,"FAIL",IF(_xlpm.sa="err",IF(ERROR.TYPE(_xlpm.a)=ERROR.TYPE(_xlpm.b),"PASS","FAIL"),IF(AND(IFERROR(_xlpm.a=_xlpm.b,IFERROR(ERROR.TYPE(_xlpm.a)=ERROR.TYPE(_xlpm.b),FALSE))),"PASS","FAIL"))))</f>
        <v>0</v>
      </c>
    </row>
    <row r="164">
      <c r="A164">
        <v>159</v>
      </c>
      <c r="B164" s="55" t="inlineStr">
        <is>
          <t xml:space="preserve">clamp</t>
        </is>
      </c>
      <c r="C164" t="inlineStr">
        <is>
          <t xml:space="preserve">clamp!L14</t>
        </is>
      </c>
      <c r="D164" s="51" t="inlineStr">
        <is>
          <t xml:space="preserve">tocol</t>
        </is>
      </c>
      <c r="E164" t="inlineStr">
        <is>
          <t xml:space="preserve">clamp(D14:D17,TOCOL(F14),TOCOL(H14))</t>
        </is>
      </c>
      <c r="F164" s="51" cm="1">
        <f t="array" ref="F164">_xlfn.LET(_xlpm.a,clamp('clamp'!D14:D17,'clamp'!F14,'clamp'!H14),_xlpm.b,clamp('clamp'!D14:D17,_xlfn.TOCOL('clamp'!F14),_xlfn.TOCOL('clamp'!H14)),_xlpm.sa,IFERROR(ROWS(_xlpm.a)&amp;"x"&amp;COLUMNS(_xlpm.a),"err"),_xlpm.sb,IFERROR(ROWS(_xlpm.b)&amp;"x"&amp;COLUMNS(_xlpm.b),"err"),IF(_xlpm.sa&lt;&gt;_xlpm.sb,"FAIL",IF(_xlpm.sa="err",IF(ERROR.TYPE(_xlpm.a)=ERROR.TYPE(_xlpm.b),"PASS","FAIL"),IF(AND(IFERROR(_xlpm.a=_xlpm.b,IFERROR(ERROR.TYPE(_xlpm.a)=ERROR.TYPE(_xlpm.b),FALSE))),"PASS","FAIL"))))</f>
        <v>0</v>
      </c>
    </row>
    <row r="165">
      <c r="A165">
        <v>160</v>
      </c>
      <c r="B165" s="55" t="inlineStr">
        <is>
          <t xml:space="preserve">clamp</t>
        </is>
      </c>
      <c r="C165" t="inlineStr">
        <is>
          <t xml:space="preserve">clamp!L14</t>
        </is>
      </c>
      <c r="D165" s="51" t="inlineStr">
        <is>
          <t xml:space="preserve">textnum</t>
        </is>
      </c>
      <c r="E165" t="inlineStr">
        <is>
          <t xml:space="preserve">clamp(D14:D17,(F14&amp;""),(H14&amp;""))</t>
        </is>
      </c>
      <c r="F165" s="51" cm="1">
        <f t="array" ref="F165">_xlfn.LET(_xlpm.a,clamp('clamp'!D14:D17,'clamp'!F14,'clamp'!H14),_xlpm.b,clamp('clamp'!D14:D17,('clamp'!F14&amp;""),('clamp'!H14&amp;"")),_xlpm.sa,IFERROR(ROWS(_xlpm.a)&amp;"x"&amp;COLUMNS(_xlpm.a),"err"),_xlpm.sb,IFERROR(ROWS(_xlpm.b)&amp;"x"&amp;COLUMNS(_xlpm.b),"err"),IF(_xlpm.sa&lt;&gt;_xlpm.sb,"FAIL",IF(_xlpm.sa="err",IF(ERROR.TYPE(_xlpm.a)=ERROR.TYPE(_xlpm.b),"PASS","FAIL"),IF(AND(IFERROR(_xlpm.a=_xlpm.b,IFERROR(ERROR.TYPE(_xlpm.a)=ERROR.TYPE(_xlpm.b),FALSE))),"PASS","FAIL"))))</f>
        <v>0</v>
      </c>
    </row>
    <row r="166">
      <c r="A166">
        <v>161</v>
      </c>
      <c r="B166" s="55" t="inlineStr">
        <is>
          <t xml:space="preserve">clamp</t>
        </is>
      </c>
      <c r="C166" t="inlineStr">
        <is>
          <t xml:space="preserve">clamp!L19</t>
        </is>
      </c>
      <c r="D166" s="51" t="inlineStr">
        <is>
          <t xml:space="preserve">tocol</t>
        </is>
      </c>
      <c r="E166" t="inlineStr">
        <is>
          <t xml:space="preserve">clamp(TOCOL(D19),TOCOL(F19),TOCOL(H19))</t>
        </is>
      </c>
      <c r="F166" s="51" cm="1">
        <f t="array" ref="F166">_xlfn.LET(_xlpm.a,clamp('clamp'!D19,'clamp'!F19,'clamp'!H19),_xlpm.b,clamp(_xlfn.TOCOL('clamp'!D19),_xlfn.TOCOL('clamp'!F19),_xlfn.TOCOL('clamp'!H19)),_xlpm.sa,IFERROR(ROWS(_xlpm.a)&amp;"x"&amp;COLUMNS(_xlpm.a),"err"),_xlpm.sb,IFERROR(ROWS(_xlpm.b)&amp;"x"&amp;COLUMNS(_xlpm.b),"err"),IF(_xlpm.sa&lt;&gt;_xlpm.sb,"FAIL",IF(_xlpm.sa="err",IF(ERROR.TYPE(_xlpm.a)=ERROR.TYPE(_xlpm.b),"PASS","FAIL"),IF(AND(IFERROR(_xlpm.a=_xlpm.b,IFERROR(ERROR.TYPE(_xlpm.a)=ERROR.TYPE(_xlpm.b),FALSE))),"PASS","FAIL"))))</f>
        <v>0</v>
      </c>
    </row>
    <row r="167">
      <c r="A167">
        <v>162</v>
      </c>
      <c r="B167" s="55" t="inlineStr">
        <is>
          <t xml:space="preserve">clamp</t>
        </is>
      </c>
      <c r="C167" t="inlineStr">
        <is>
          <t xml:space="preserve">clamp!L19</t>
        </is>
      </c>
      <c r="D167" s="51" t="inlineStr">
        <is>
          <t xml:space="preserve">textnum</t>
        </is>
      </c>
      <c r="E167" t="inlineStr">
        <is>
          <t xml:space="preserve">clamp(D19,(F19&amp;""),(H19&amp;""))</t>
        </is>
      </c>
      <c r="F167" s="51" cm="1">
        <f t="array" ref="F167">_xlfn.LET(_xlpm.a,clamp('clamp'!D19,'clamp'!F19,'clamp'!H19),_xlpm.b,clamp('clamp'!D19,('clamp'!F19&amp;""),('clamp'!H19&amp;"")),_xlpm.sa,IFERROR(ROWS(_xlpm.a)&amp;"x"&amp;COLUMNS(_xlpm.a),"err"),_xlpm.sb,IFERROR(ROWS(_xlpm.b)&amp;"x"&amp;COLUMNS(_xlpm.b),"err"),IF(_xlpm.sa&lt;&gt;_xlpm.sb,"FAIL",IF(_xlpm.sa="err",IF(ERROR.TYPE(_xlpm.a)=ERROR.TYPE(_xlpm.b),"PASS","FAIL"),IF(AND(IFERROR(_xlpm.a=_xlpm.b,IFERROR(ERROR.TYPE(_xlpm.a)=ERROR.TYPE(_xlpm.b),FALSE))),"PASS","FAIL"))))</f>
        <v>0</v>
      </c>
    </row>
    <row r="168">
      <c r="A168">
        <v>163</v>
      </c>
      <c r="B168" s="55" t="inlineStr">
        <is>
          <t xml:space="preserve">cont_to_ad</t>
        </is>
      </c>
      <c r="C168" t="inlineStr">
        <is>
          <t xml:space="preserve">cont_to_ad!H11</t>
        </is>
      </c>
      <c r="D168" s="51" t="inlineStr">
        <is>
          <t xml:space="preserve">tocol</t>
        </is>
      </c>
      <c r="E168" t="inlineStr">
        <is>
          <t xml:space="preserve">cont_to_ad(TOCOL(9),D7:F8)</t>
        </is>
      </c>
      <c r="F168" s="51" cm="1">
        <f t="array" ref="F168">_xlfn.LET(_xlpm.a,cont_to_ad(9,'cont_to_ad'!D7:F8),_xlpm.b,cont_to_ad(_xlfn.TOCOL(9),'cont_to_ad'!D7:F8),_xlpm.sa,IFERROR(ROWS(_xlpm.a)&amp;"x"&amp;COLUMNS(_xlpm.a),"err"),_xlpm.sb,IFERROR(ROWS(_xlpm.b)&amp;"x"&amp;COLUMNS(_xlpm.b),"err"),IF(_xlpm.sa&lt;&gt;_xlpm.sb,"FAIL",IF(_xlpm.sa="err",IF(ERROR.TYPE(_xlpm.a)=ERROR.TYPE(_xlpm.b),"PASS","FAIL"),IF(AND(IFERROR(_xlpm.a=_xlpm.b,IFERROR(ERROR.TYPE(_xlpm.a)=ERROR.TYPE(_xlpm.b),FALSE))),"PASS","FAIL"))))</f>
        <v>0</v>
      </c>
    </row>
    <row r="169">
      <c r="A169">
        <v>164</v>
      </c>
      <c r="B169" s="55" t="inlineStr">
        <is>
          <t xml:space="preserve">cont_to_ad</t>
        </is>
      </c>
      <c r="C169" t="inlineStr">
        <is>
          <t xml:space="preserve">cont_to_ad!H11</t>
        </is>
      </c>
      <c r="D169" s="51" t="inlineStr">
        <is>
          <t xml:space="preserve">cellref</t>
        </is>
      </c>
      <c r="E169" t="inlineStr">
        <is>
          <t xml:space="preserve">cont_to_ad(shape_tests!$H$169,D7:F8)</t>
        </is>
      </c>
      <c r="F169" s="51" cm="1">
        <f t="array" ref="F169">_xlfn.LET(_xlpm.a,cont_to_ad(9,'cont_to_ad'!D7:F8),_xlpm.b,cont_to_ad(shape_tests!$H$169,'cont_to_ad'!D7:F8),_xlpm.sa,IFERROR(ROWS(_xlpm.a)&amp;"x"&amp;COLUMNS(_xlpm.a),"err"),_xlpm.sb,IFERROR(ROWS(_xlpm.b)&amp;"x"&amp;COLUMNS(_xlpm.b),"err"),IF(_xlpm.sa&lt;&gt;_xlpm.sb,"FAIL",IF(_xlpm.sa="err",IF(ERROR.TYPE(_xlpm.a)=ERROR.TYPE(_xlpm.b),"PASS","FAIL"),IF(AND(IFERROR(_xlpm.a=_xlpm.b,IFERROR(ERROR.TYPE(_xlpm.a)=ERROR.TYPE(_xlpm.b),FALSE))),"PASS","FAIL"))))</f>
        <v>0</v>
      </c>
      <c r="H169">
        <v>9.0</v>
      </c>
    </row>
    <row r="170">
      <c r="A170">
        <v>165</v>
      </c>
      <c r="B170" s="55" t="inlineStr">
        <is>
          <t xml:space="preserve">cont_to_ad</t>
        </is>
      </c>
      <c r="C170" t="inlineStr">
        <is>
          <t xml:space="preserve">cont_to_ad!H11</t>
        </is>
      </c>
      <c r="D170" s="51" t="inlineStr">
        <is>
          <t xml:space="preserve">blank</t>
        </is>
      </c>
      <c r="E170" t="inlineStr">
        <is>
          <t xml:space="preserve">cont_to_ad(9,D7:F8,shape_tests!$Z$1)</t>
        </is>
      </c>
      <c r="F170" s="51" cm="1">
        <f t="array" ref="F170">_xlfn.LET(_xlpm.a,cont_to_ad(9,'cont_to_ad'!D7:F8),_xlpm.b,cont_to_ad(9,'cont_to_ad'!D7:F8,shape_tests!$Z$1),_xlpm.sa,IFERROR(ROWS(_xlpm.a)&amp;"x"&amp;COLUMNS(_xlpm.a),"err"),_xlpm.sb,IFERROR(ROWS(_xlpm.b)&amp;"x"&amp;COLUMNS(_xlpm.b),"err"),IF(_xlpm.sa&lt;&gt;_xlpm.sb,"FAIL",IF(_xlpm.sa="err",IF(ERROR.TYPE(_xlpm.a)=ERROR.TYPE(_xlpm.b),"PASS","FAIL"),IF(AND(IFERROR(_xlpm.a=_xlpm.b,IFERROR(ERROR.TYPE(_xlpm.a)=ERROR.TYPE(_xlpm.b),FALSE))),"PASS","FAIL"))))</f>
        <v>0</v>
      </c>
    </row>
    <row r="171">
      <c r="A171">
        <v>166</v>
      </c>
      <c r="B171" s="55" t="inlineStr">
        <is>
          <t xml:space="preserve">cont_to_ad</t>
        </is>
      </c>
      <c r="C171" t="inlineStr">
        <is>
          <t xml:space="preserve">cont_to_ad!H13</t>
        </is>
      </c>
      <c r="D171" s="51" t="inlineStr">
        <is>
          <t xml:space="preserve">tocol</t>
        </is>
      </c>
      <c r="E171" t="inlineStr">
        <is>
          <t xml:space="preserve">cont_to_ad(TOCOL(7),D7:F8)</t>
        </is>
      </c>
      <c r="F171" s="51" cm="1">
        <f t="array" ref="F171">_xlfn.LET(_xlpm.a,cont_to_ad(7,'cont_to_ad'!D7:F8),_xlpm.b,cont_to_ad(_xlfn.TOCOL(7),'cont_to_ad'!D7:F8),_xlpm.sa,IFERROR(ROWS(_xlpm.a)&amp;"x"&amp;COLUMNS(_xlpm.a),"err"),_xlpm.sb,IFERROR(ROWS(_xlpm.b)&amp;"x"&amp;COLUMNS(_xlpm.b),"err"),IF(_xlpm.sa&lt;&gt;_xlpm.sb,"FAIL",IF(_xlpm.sa="err",IF(ERROR.TYPE(_xlpm.a)=ERROR.TYPE(_xlpm.b),"PASS","FAIL"),IF(AND(IFERROR(_xlpm.a=_xlpm.b,IFERROR(ERROR.TYPE(_xlpm.a)=ERROR.TYPE(_xlpm.b),FALSE))),"PASS","FAIL"))))</f>
        <v>0</v>
      </c>
    </row>
    <row r="172">
      <c r="A172">
        <v>167</v>
      </c>
      <c r="B172" s="55" t="inlineStr">
        <is>
          <t xml:space="preserve">cont_to_ad</t>
        </is>
      </c>
      <c r="C172" t="inlineStr">
        <is>
          <t xml:space="preserve">cont_to_ad!H13</t>
        </is>
      </c>
      <c r="D172" s="51" t="inlineStr">
        <is>
          <t xml:space="preserve">cellref</t>
        </is>
      </c>
      <c r="E172" t="inlineStr">
        <is>
          <t xml:space="preserve">cont_to_ad(shape_tests!$H$172,D7:F8)</t>
        </is>
      </c>
      <c r="F172" s="51" cm="1">
        <f t="array" ref="F172">_xlfn.LET(_xlpm.a,cont_to_ad(7,'cont_to_ad'!D7:F8),_xlpm.b,cont_to_ad(shape_tests!$H$172,'cont_to_ad'!D7:F8),_xlpm.sa,IFERROR(ROWS(_xlpm.a)&amp;"x"&amp;COLUMNS(_xlpm.a),"err"),_xlpm.sb,IFERROR(ROWS(_xlpm.b)&amp;"x"&amp;COLUMNS(_xlpm.b),"err"),IF(_xlpm.sa&lt;&gt;_xlpm.sb,"FAIL",IF(_xlpm.sa="err",IF(ERROR.TYPE(_xlpm.a)=ERROR.TYPE(_xlpm.b),"PASS","FAIL"),IF(AND(IFERROR(_xlpm.a=_xlpm.b,IFERROR(ERROR.TYPE(_xlpm.a)=ERROR.TYPE(_xlpm.b),FALSE))),"PASS","FAIL"))))</f>
        <v>0</v>
      </c>
      <c r="H172">
        <v>7.0</v>
      </c>
    </row>
    <row r="173">
      <c r="A173">
        <v>168</v>
      </c>
      <c r="B173" s="55" t="inlineStr">
        <is>
          <t xml:space="preserve">cont_to_ad</t>
        </is>
      </c>
      <c r="C173" t="inlineStr">
        <is>
          <t xml:space="preserve">cont_to_ad!H13</t>
        </is>
      </c>
      <c r="D173" s="51" t="inlineStr">
        <is>
          <t xml:space="preserve">blank</t>
        </is>
      </c>
      <c r="E173" t="inlineStr">
        <is>
          <t xml:space="preserve">cont_to_ad(7,D7:F8,shape_tests!$Z$1)</t>
        </is>
      </c>
      <c r="F173" s="51" cm="1">
        <f t="array" ref="F173">_xlfn.LET(_xlpm.a,cont_to_ad(7,'cont_to_ad'!D7:F8),_xlpm.b,cont_to_ad(7,'cont_to_ad'!D7:F8,shape_tests!$Z$1),_xlpm.sa,IFERROR(ROWS(_xlpm.a)&amp;"x"&amp;COLUMNS(_xlpm.a),"err"),_xlpm.sb,IFERROR(ROWS(_xlpm.b)&amp;"x"&amp;COLUMNS(_xlpm.b),"err"),IF(_xlpm.sa&lt;&gt;_xlpm.sb,"FAIL",IF(_xlpm.sa="err",IF(ERROR.TYPE(_xlpm.a)=ERROR.TYPE(_xlpm.b),"PASS","FAIL"),IF(AND(IFERROR(_xlpm.a=_xlpm.b,IFERROR(ERROR.TYPE(_xlpm.a)=ERROR.TYPE(_xlpm.b),FALSE))),"PASS","FAIL"))))</f>
        <v>0</v>
      </c>
    </row>
    <row r="174">
      <c r="A174">
        <v>169</v>
      </c>
      <c r="B174" s="55" t="inlineStr">
        <is>
          <t xml:space="preserve">cont_to_ad</t>
        </is>
      </c>
      <c r="C174" t="inlineStr">
        <is>
          <t xml:space="preserve">cont_to_ad!H15</t>
        </is>
      </c>
      <c r="D174" s="51" t="inlineStr">
        <is>
          <t xml:space="preserve">tocol</t>
        </is>
      </c>
      <c r="E174" t="inlineStr">
        <is>
          <t xml:space="preserve">cont_to_ad(TOCOL(9),D7:F8,TOCOL(1))</t>
        </is>
      </c>
      <c r="F174" s="51" cm="1">
        <f t="array" ref="F174">_xlfn.LET(_xlpm.a,cont_to_ad(9,'cont_to_ad'!D7:F8,1),_xlpm.b,cont_to_ad(_xlfn.TOCOL(9),'cont_to_ad'!D7:F8,_xlfn.TOCOL(1)),_xlpm.sa,IFERROR(ROWS(_xlpm.a)&amp;"x"&amp;COLUMNS(_xlpm.a),"err"),_xlpm.sb,IFERROR(ROWS(_xlpm.b)&amp;"x"&amp;COLUMNS(_xlpm.b),"err"),IF(_xlpm.sa&lt;&gt;_xlpm.sb,"FAIL",IF(_xlpm.sa="err",IF(ERROR.TYPE(_xlpm.a)=ERROR.TYPE(_xlpm.b),"PASS","FAIL"),IF(AND(IFERROR(_xlpm.a=_xlpm.b,IFERROR(ERROR.TYPE(_xlpm.a)=ERROR.TYPE(_xlpm.b),FALSE))),"PASS","FAIL"))))</f>
        <v>0</v>
      </c>
    </row>
    <row r="175">
      <c r="A175">
        <v>170</v>
      </c>
      <c r="B175" s="55" t="inlineStr">
        <is>
          <t xml:space="preserve">cont_to_ad</t>
        </is>
      </c>
      <c r="C175" t="inlineStr">
        <is>
          <t xml:space="preserve">cont_to_ad!H15</t>
        </is>
      </c>
      <c r="D175" s="51" t="inlineStr">
        <is>
          <t xml:space="preserve">cellref</t>
        </is>
      </c>
      <c r="E175" t="inlineStr">
        <is>
          <t xml:space="preserve">cont_to_ad(shape_tests!$H$175,D7:F8,shape_tests!$I$175)</t>
        </is>
      </c>
      <c r="F175" s="51" cm="1">
        <f t="array" ref="F175">_xlfn.LET(_xlpm.a,cont_to_ad(9,'cont_to_ad'!D7:F8,1),_xlpm.b,cont_to_ad(shape_tests!$H$175,'cont_to_ad'!D7:F8,shape_tests!$I$175),_xlpm.sa,IFERROR(ROWS(_xlpm.a)&amp;"x"&amp;COLUMNS(_xlpm.a),"err"),_xlpm.sb,IFERROR(ROWS(_xlpm.b)&amp;"x"&amp;COLUMNS(_xlpm.b),"err"),IF(_xlpm.sa&lt;&gt;_xlpm.sb,"FAIL",IF(_xlpm.sa="err",IF(ERROR.TYPE(_xlpm.a)=ERROR.TYPE(_xlpm.b),"PASS","FAIL"),IF(AND(IFERROR(_xlpm.a=_xlpm.b,IFERROR(ERROR.TYPE(_xlpm.a)=ERROR.TYPE(_xlpm.b),FALSE))),"PASS","FAIL"))))</f>
        <v>0</v>
      </c>
      <c r="H175">
        <v>9.0</v>
      </c>
      <c r="I175">
        <v>1.0</v>
      </c>
    </row>
    <row r="176">
      <c r="A176">
        <v>171</v>
      </c>
      <c r="B176" s="55" t="inlineStr">
        <is>
          <t xml:space="preserve">cont_to_ad</t>
        </is>
      </c>
      <c r="C176" t="inlineStr">
        <is>
          <t xml:space="preserve">cont_to_ad!H15</t>
        </is>
      </c>
      <c r="D176" s="51" t="inlineStr">
        <is>
          <t xml:space="preserve">textnum</t>
        </is>
      </c>
      <c r="E176" t="inlineStr">
        <is>
          <t xml:space="preserve">cont_to_ad(9,D7:F8,"1")</t>
        </is>
      </c>
      <c r="F176" s="51" cm="1">
        <f t="array" ref="F176">_xlfn.LET(_xlpm.a,cont_to_ad(9,'cont_to_ad'!D7:F8,1),_xlpm.b,cont_to_ad(9,'cont_to_ad'!D7:F8,"1"),_xlpm.sa,IFERROR(ROWS(_xlpm.a)&amp;"x"&amp;COLUMNS(_xlpm.a),"err"),_xlpm.sb,IFERROR(ROWS(_xlpm.b)&amp;"x"&amp;COLUMNS(_xlpm.b),"err"),IF(_xlpm.sa&lt;&gt;_xlpm.sb,"FAIL",IF(_xlpm.sa="err",IF(ERROR.TYPE(_xlpm.a)=ERROR.TYPE(_xlpm.b),"PASS","FAIL"),IF(AND(IFERROR(_xlpm.a=_xlpm.b,IFERROR(ERROR.TYPE(_xlpm.a)=ERROR.TYPE(_xlpm.b),FALSE))),"PASS","FAIL"))))</f>
        <v>0</v>
      </c>
    </row>
    <row r="177">
      <c r="A177">
        <v>172</v>
      </c>
      <c r="B177" s="55" t="inlineStr">
        <is>
          <t xml:space="preserve">cont_to_ad</t>
        </is>
      </c>
      <c r="C177" t="inlineStr">
        <is>
          <t xml:space="preserve">cont_to_ad!D17</t>
        </is>
      </c>
      <c r="D177" s="51" t="inlineStr">
        <is>
          <t xml:space="preserve">tocol</t>
        </is>
      </c>
      <c r="E177" t="inlineStr">
        <is>
          <t xml:space="preserve">cont_to_ad(TOCOL(100),D7:F8)</t>
        </is>
      </c>
      <c r="F177" s="51" cm="1">
        <f t="array" ref="F177">_xlfn.LET(_xlpm.a,cont_to_ad(100,'cont_to_ad'!D7:F8),_xlpm.b,cont_to_ad(_xlfn.TOCOL(100),'cont_to_ad'!D7:F8),_xlpm.sa,IFERROR(ROWS(_xlpm.a)&amp;"x"&amp;COLUMNS(_xlpm.a),"err"),_xlpm.sb,IFERROR(ROWS(_xlpm.b)&amp;"x"&amp;COLUMNS(_xlpm.b),"err"),IF(_xlpm.sa&lt;&gt;_xlpm.sb,"FAIL",IF(_xlpm.sa="err",IF(ERROR.TYPE(_xlpm.a)=ERROR.TYPE(_xlpm.b),"PASS","FAIL"),IF(AND(IFERROR(_xlpm.a=_xlpm.b,IFERROR(ERROR.TYPE(_xlpm.a)=ERROR.TYPE(_xlpm.b),FALSE))),"PASS","FAIL"))))</f>
        <v>0</v>
      </c>
    </row>
    <row r="178">
      <c r="A178">
        <v>173</v>
      </c>
      <c r="B178" s="55" t="inlineStr">
        <is>
          <t xml:space="preserve">cont_to_ad</t>
        </is>
      </c>
      <c r="C178" t="inlineStr">
        <is>
          <t xml:space="preserve">cont_to_ad!D17</t>
        </is>
      </c>
      <c r="D178" s="51" t="inlineStr">
        <is>
          <t xml:space="preserve">cellref</t>
        </is>
      </c>
      <c r="E178" t="inlineStr">
        <is>
          <t xml:space="preserve">cont_to_ad(shape_tests!$H$178,D7:F8)</t>
        </is>
      </c>
      <c r="F178" s="51" cm="1">
        <f t="array" ref="F178">_xlfn.LET(_xlpm.a,cont_to_ad(100,'cont_to_ad'!D7:F8),_xlpm.b,cont_to_ad(shape_tests!$H$178,'cont_to_ad'!D7:F8),_xlpm.sa,IFERROR(ROWS(_xlpm.a)&amp;"x"&amp;COLUMNS(_xlpm.a),"err"),_xlpm.sb,IFERROR(ROWS(_xlpm.b)&amp;"x"&amp;COLUMNS(_xlpm.b),"err"),IF(_xlpm.sa&lt;&gt;_xlpm.sb,"FAIL",IF(_xlpm.sa="err",IF(ERROR.TYPE(_xlpm.a)=ERROR.TYPE(_xlpm.b),"PASS","FAIL"),IF(AND(IFERROR(_xlpm.a=_xlpm.b,IFERROR(ERROR.TYPE(_xlpm.a)=ERROR.TYPE(_xlpm.b),FALSE))),"PASS","FAIL"))))</f>
        <v>0</v>
      </c>
      <c r="H178">
        <v>100.0</v>
      </c>
    </row>
    <row r="179">
      <c r="A179">
        <v>174</v>
      </c>
      <c r="B179" s="55" t="inlineStr">
        <is>
          <t xml:space="preserve">cont_to_ad</t>
        </is>
      </c>
      <c r="C179" t="inlineStr">
        <is>
          <t xml:space="preserve">cont_to_ad!D17</t>
        </is>
      </c>
      <c r="D179" s="51" t="inlineStr">
        <is>
          <t xml:space="preserve">blank</t>
        </is>
      </c>
      <c r="E179" t="inlineStr">
        <is>
          <t xml:space="preserve">cont_to_ad(100,D7:F8,shape_tests!$Z$1)</t>
        </is>
      </c>
      <c r="F179" s="51" cm="1">
        <f t="array" ref="F179">_xlfn.LET(_xlpm.a,cont_to_ad(100,'cont_to_ad'!D7:F8),_xlpm.b,cont_to_ad(100,'cont_to_ad'!D7:F8,shape_tests!$Z$1),_xlpm.sa,IFERROR(ROWS(_xlpm.a)&amp;"x"&amp;COLUMNS(_xlpm.a),"err"),_xlpm.sb,IFERROR(ROWS(_xlpm.b)&amp;"x"&amp;COLUMNS(_xlpm.b),"err"),IF(_xlpm.sa&lt;&gt;_xlpm.sb,"FAIL",IF(_xlpm.sa="err",IF(ERROR.TYPE(_xlpm.a)=ERROR.TYPE(_xlpm.b),"PASS","FAIL"),IF(AND(IFERROR(_xlpm.a=_xlpm.b,IFERROR(ERROR.TYPE(_xlpm.a)=ERROR.TYPE(_xlpm.b),FALSE))),"PASS","FAIL"))))</f>
        <v>0</v>
      </c>
    </row>
    <row r="180">
      <c r="A180">
        <v>175</v>
      </c>
      <c r="B180" s="55" t="inlineStr">
        <is>
          <t xml:space="preserve">cont_to_ad</t>
        </is>
      </c>
      <c r="C180" t="inlineStr">
        <is>
          <t xml:space="preserve">cont_to_ad!H19</t>
        </is>
      </c>
      <c r="D180" s="51" t="inlineStr">
        <is>
          <t xml:space="preserve">blank</t>
        </is>
      </c>
      <c r="E180" t="inlineStr">
        <is>
          <t xml:space="preserve">cont_to_ad(VSTACK(9,1),D7:F8,shape_tests!$Z$1)</t>
        </is>
      </c>
      <c r="F180" s="51" cm="1">
        <f t="array" ref="F180">_xlfn.LET(_xlpm.a,cont_to_ad(_xlfn.VSTACK(9,1),'cont_to_ad'!D7:F8),_xlpm.b,cont_to_ad(_xlfn.VSTACK(9,1),'cont_to_ad'!D7:F8,shape_tests!$Z$1),_xlpm.sa,IFERROR(ROWS(_xlpm.a)&amp;"x"&amp;COLUMNS(_xlpm.a),"err"),_xlpm.sb,IFERROR(ROWS(_xlpm.b)&amp;"x"&amp;COLUMNS(_xlpm.b),"err"),IF(_xlpm.sa&lt;&gt;_xlpm.sb,"FAIL",IF(_xlpm.sa="err",IF(ERROR.TYPE(_xlpm.a)=ERROR.TYPE(_xlpm.b),"PASS","FAIL"),IF(AND(IFERROR(_xlpm.a=_xlpm.b,IFERROR(ERROR.TYPE(_xlpm.a)=ERROR.TYPE(_xlpm.b),FALSE))),"PASS","FAIL"))))</f>
        <v>0</v>
      </c>
    </row>
    <row r="181">
      <c r="A181">
        <v>176</v>
      </c>
      <c r="B181" s="55" t="inlineStr">
        <is>
          <t xml:space="preserve">count_substring</t>
        </is>
      </c>
      <c r="C181" t="inlineStr">
        <is>
          <t xml:space="preserve">count_substring!L6</t>
        </is>
      </c>
      <c r="D181" s="51" t="inlineStr">
        <is>
          <t xml:space="preserve">tocol</t>
        </is>
      </c>
      <c r="E181" t="inlineStr">
        <is>
          <t xml:space="preserve">count_substring(TOCOL(D6),TOCOL(F6))</t>
        </is>
      </c>
      <c r="F181" s="51" cm="1">
        <f t="array" ref="F181">_xlfn.LET(_xlpm.a,count_substring('count_substring'!D6,'count_substring'!F6),_xlpm.b,count_substring(_xlfn.TOCOL('count_substring'!D6),_xlfn.TOCOL('count_substring'!F6)),_xlpm.sa,IFERROR(ROWS(_xlpm.a)&amp;"x"&amp;COLUMNS(_xlpm.a),"err"),_xlpm.sb,IFERROR(ROWS(_xlpm.b)&amp;"x"&amp;COLUMNS(_xlpm.b),"err"),IF(_xlpm.sa&lt;&gt;_xlpm.sb,"FAIL",IF(_xlpm.sa="err",IF(ERROR.TYPE(_xlpm.a)=ERROR.TYPE(_xlpm.b),"PASS","FAIL"),IF(AND(IFERROR(_xlpm.a=_xlpm.b,IFERROR(ERROR.TYPE(_xlpm.a)=ERROR.TYPE(_xlpm.b),FALSE))),"PASS","FAIL"))))</f>
        <v>0</v>
      </c>
    </row>
    <row r="182">
      <c r="A182">
        <v>177</v>
      </c>
      <c r="B182" s="55" t="inlineStr">
        <is>
          <t xml:space="preserve">count_substring</t>
        </is>
      </c>
      <c r="C182" t="inlineStr">
        <is>
          <t xml:space="preserve">count_substring!L6</t>
        </is>
      </c>
      <c r="D182" s="51" t="inlineStr">
        <is>
          <t xml:space="preserve">blank</t>
        </is>
      </c>
      <c r="E182" t="inlineStr">
        <is>
          <t xml:space="preserve">count_substring(D6,F6,shape_tests!$Z$1)</t>
        </is>
      </c>
      <c r="F182" s="51" cm="1">
        <f t="array" ref="F182">_xlfn.LET(_xlpm.a,count_substring('count_substring'!D6,'count_substring'!F6),_xlpm.b,count_substring('count_substring'!D6,'count_substring'!F6,shape_tests!$Z$1),_xlpm.sa,IFERROR(ROWS(_xlpm.a)&amp;"x"&amp;COLUMNS(_xlpm.a),"err"),_xlpm.sb,IFERROR(ROWS(_xlpm.b)&amp;"x"&amp;COLUMNS(_xlpm.b),"err"),IF(_xlpm.sa&lt;&gt;_xlpm.sb,"FAIL",IF(_xlpm.sa="err",IF(ERROR.TYPE(_xlpm.a)=ERROR.TYPE(_xlpm.b),"PASS","FAIL"),IF(AND(IFERROR(_xlpm.a=_xlpm.b,IFERROR(ERROR.TYPE(_xlpm.a)=ERROR.TYPE(_xlpm.b),FALSE))),"PASS","FAIL"))))</f>
        <v>0</v>
      </c>
    </row>
    <row r="183">
      <c r="A183">
        <v>178</v>
      </c>
      <c r="B183" s="55" t="inlineStr">
        <is>
          <t xml:space="preserve">count_substring</t>
        </is>
      </c>
      <c r="C183" t="inlineStr">
        <is>
          <t xml:space="preserve">count_substring!L8</t>
        </is>
      </c>
      <c r="D183" s="51" t="inlineStr">
        <is>
          <t xml:space="preserve">tocol</t>
        </is>
      </c>
      <c r="E183" t="inlineStr">
        <is>
          <t xml:space="preserve">count_substring(TOCOL(D8),TOCOL(F8))</t>
        </is>
      </c>
      <c r="F183" s="51" cm="1">
        <f t="array" ref="F183">_xlfn.LET(_xlpm.a,count_substring('count_substring'!D8,'count_substring'!F8),_xlpm.b,count_substring(_xlfn.TOCOL('count_substring'!D8),_xlfn.TOCOL('count_substring'!F8)),_xlpm.sa,IFERROR(ROWS(_xlpm.a)&amp;"x"&amp;COLUMNS(_xlpm.a),"err"),_xlpm.sb,IFERROR(ROWS(_xlpm.b)&amp;"x"&amp;COLUMNS(_xlpm.b),"err"),IF(_xlpm.sa&lt;&gt;_xlpm.sb,"FAIL",IF(_xlpm.sa="err",IF(ERROR.TYPE(_xlpm.a)=ERROR.TYPE(_xlpm.b),"PASS","FAIL"),IF(AND(IFERROR(_xlpm.a=_xlpm.b,IFERROR(ERROR.TYPE(_xlpm.a)=ERROR.TYPE(_xlpm.b),FALSE))),"PASS","FAIL"))))</f>
        <v>0</v>
      </c>
    </row>
    <row r="184">
      <c r="A184">
        <v>179</v>
      </c>
      <c r="B184" s="55" t="inlineStr">
        <is>
          <t xml:space="preserve">count_substring</t>
        </is>
      </c>
      <c r="C184" t="inlineStr">
        <is>
          <t xml:space="preserve">count_substring!L8</t>
        </is>
      </c>
      <c r="D184" s="51" t="inlineStr">
        <is>
          <t xml:space="preserve">blank</t>
        </is>
      </c>
      <c r="E184" t="inlineStr">
        <is>
          <t xml:space="preserve">count_substring(D8,F8,shape_tests!$Z$1)</t>
        </is>
      </c>
      <c r="F184" s="51" cm="1">
        <f t="array" ref="F184">_xlfn.LET(_xlpm.a,count_substring('count_substring'!D8,'count_substring'!F8),_xlpm.b,count_substring('count_substring'!D8,'count_substring'!F8,shape_tests!$Z$1),_xlpm.sa,IFERROR(ROWS(_xlpm.a)&amp;"x"&amp;COLUMNS(_xlpm.a),"err"),_xlpm.sb,IFERROR(ROWS(_xlpm.b)&amp;"x"&amp;COLUMNS(_xlpm.b),"err"),IF(_xlpm.sa&lt;&gt;_xlpm.sb,"FAIL",IF(_xlpm.sa="err",IF(ERROR.TYPE(_xlpm.a)=ERROR.TYPE(_xlpm.b),"PASS","FAIL"),IF(AND(IFERROR(_xlpm.a=_xlpm.b,IFERROR(ERROR.TYPE(_xlpm.a)=ERROR.TYPE(_xlpm.b),FALSE))),"PASS","FAIL"))))</f>
        <v>0</v>
      </c>
    </row>
    <row r="185">
      <c r="A185">
        <v>180</v>
      </c>
      <c r="B185" s="55" t="inlineStr">
        <is>
          <t xml:space="preserve">count_substring</t>
        </is>
      </c>
      <c r="C185" t="inlineStr">
        <is>
          <t xml:space="preserve">count_substring!L10</t>
        </is>
      </c>
      <c r="D185" s="51" t="inlineStr">
        <is>
          <t xml:space="preserve">tocol</t>
        </is>
      </c>
      <c r="E185" t="inlineStr">
        <is>
          <t xml:space="preserve">count_substring(TOCOL(D10),TOCOL(F10),TOCOL(H10))</t>
        </is>
      </c>
      <c r="F185" s="51" cm="1">
        <f t="array" ref="F185">_xlfn.LET(_xlpm.a,count_substring('count_substring'!D10,'count_substring'!F10,'count_substring'!H10),_xlpm.b,count_substring(_xlfn.TOCOL('count_substring'!D10),_xlfn.TOCOL('count_substring'!F10),_xlfn.TOCOL('count_substring'!H10)),_xlpm.sa,IFERROR(ROWS(_xlpm.a)&amp;"x"&amp;COLUMNS(_xlpm.a),"err"),_xlpm.sb,IFERROR(ROWS(_xlpm.b)&amp;"x"&amp;COLUMNS(_xlpm.b),"err"),IF(_xlpm.sa&lt;&gt;_xlpm.sb,"FAIL",IF(_xlpm.sa="err",IF(ERROR.TYPE(_xlpm.a)=ERROR.TYPE(_xlpm.b),"PASS","FAIL"),IF(AND(IFERROR(_xlpm.a=_xlpm.b,IFERROR(ERROR.TYPE(_xlpm.a)=ERROR.TYPE(_xlpm.b),FALSE))),"PASS","FAIL"))))</f>
        <v>0</v>
      </c>
    </row>
    <row r="186">
      <c r="A186">
        <v>181</v>
      </c>
      <c r="B186" s="55" t="inlineStr">
        <is>
          <t xml:space="preserve">count_substring</t>
        </is>
      </c>
      <c r="C186" t="inlineStr">
        <is>
          <t xml:space="preserve">count_substring!L10</t>
        </is>
      </c>
      <c r="D186" s="51" t="inlineStr">
        <is>
          <t xml:space="preserve">textnum</t>
        </is>
      </c>
      <c r="E186" t="inlineStr">
        <is>
          <t xml:space="preserve">count_substring(D10,F10,(H10&amp;""))</t>
        </is>
      </c>
      <c r="F186" s="51" cm="1">
        <f t="array" ref="F186">_xlfn.LET(_xlpm.a,count_substring('count_substring'!D10,'count_substring'!F10,'count_substring'!H10),_xlpm.b,count_substring('count_substring'!D10,'count_substring'!F10,('count_substring'!H10&amp;"")),_xlpm.sa,IFERROR(ROWS(_xlpm.a)&amp;"x"&amp;COLUMNS(_xlpm.a),"err"),_xlpm.sb,IFERROR(ROWS(_xlpm.b)&amp;"x"&amp;COLUMNS(_xlpm.b),"err"),IF(_xlpm.sa&lt;&gt;_xlpm.sb,"FAIL",IF(_xlpm.sa="err",IF(ERROR.TYPE(_xlpm.a)=ERROR.TYPE(_xlpm.b),"PASS","FAIL"),IF(AND(IFERROR(_xlpm.a=_xlpm.b,IFERROR(ERROR.TYPE(_xlpm.a)=ERROR.TYPE(_xlpm.b),FALSE))),"PASS","FAIL"))))</f>
        <v>0</v>
      </c>
    </row>
    <row r="187">
      <c r="A187">
        <v>182</v>
      </c>
      <c r="B187" s="55" t="inlineStr">
        <is>
          <t xml:space="preserve">count_substring</t>
        </is>
      </c>
      <c r="C187" t="inlineStr">
        <is>
          <t xml:space="preserve">count_substring!L12</t>
        </is>
      </c>
      <c r="D187" s="51" t="inlineStr">
        <is>
          <t xml:space="preserve">tocol</t>
        </is>
      </c>
      <c r="E187" t="inlineStr">
        <is>
          <t xml:space="preserve">count_substring(TOCOL(D12),TOCOL(F12))</t>
        </is>
      </c>
      <c r="F187" s="51" cm="1">
        <f t="array" ref="F187">_xlfn.LET(_xlpm.a,count_substring('count_substring'!D12,'count_substring'!F12),_xlpm.b,count_substring(_xlfn.TOCOL('count_substring'!D12),_xlfn.TOCOL('count_substring'!F12)),_xlpm.sa,IFERROR(ROWS(_xlpm.a)&amp;"x"&amp;COLUMNS(_xlpm.a),"err"),_xlpm.sb,IFERROR(ROWS(_xlpm.b)&amp;"x"&amp;COLUMNS(_xlpm.b),"err"),IF(_xlpm.sa&lt;&gt;_xlpm.sb,"FAIL",IF(_xlpm.sa="err",IF(ERROR.TYPE(_xlpm.a)=ERROR.TYPE(_xlpm.b),"PASS","FAIL"),IF(AND(IFERROR(_xlpm.a=_xlpm.b,IFERROR(ERROR.TYPE(_xlpm.a)=ERROR.TYPE(_xlpm.b),FALSE))),"PASS","FAIL"))))</f>
        <v>0</v>
      </c>
    </row>
    <row r="188">
      <c r="A188">
        <v>183</v>
      </c>
      <c r="B188" s="55" t="inlineStr">
        <is>
          <t xml:space="preserve">count_substring</t>
        </is>
      </c>
      <c r="C188" t="inlineStr">
        <is>
          <t xml:space="preserve">count_substring!L12</t>
        </is>
      </c>
      <c r="D188" s="51" t="inlineStr">
        <is>
          <t xml:space="preserve">blank</t>
        </is>
      </c>
      <c r="E188" t="inlineStr">
        <is>
          <t xml:space="preserve">count_substring(D12,F12,shape_tests!$Z$1)</t>
        </is>
      </c>
      <c r="F188" s="51" cm="1">
        <f t="array" ref="F188">_xlfn.LET(_xlpm.a,count_substring('count_substring'!D12,'count_substring'!F12),_xlpm.b,count_substring('count_substring'!D12,'count_substring'!F12,shape_tests!$Z$1),_xlpm.sa,IFERROR(ROWS(_xlpm.a)&amp;"x"&amp;COLUMNS(_xlpm.a),"err"),_xlpm.sb,IFERROR(ROWS(_xlpm.b)&amp;"x"&amp;COLUMNS(_xlpm.b),"err"),IF(_xlpm.sa&lt;&gt;_xlpm.sb,"FAIL",IF(_xlpm.sa="err",IF(ERROR.TYPE(_xlpm.a)=ERROR.TYPE(_xlpm.b),"PASS","FAIL"),IF(AND(IFERROR(_xlpm.a=_xlpm.b,IFERROR(ERROR.TYPE(_xlpm.a)=ERROR.TYPE(_xlpm.b),FALSE))),"PASS","FAIL"))))</f>
        <v>0</v>
      </c>
    </row>
    <row r="189">
      <c r="A189">
        <v>184</v>
      </c>
      <c r="B189" s="55" t="inlineStr">
        <is>
          <t xml:space="preserve">count_substring</t>
        </is>
      </c>
      <c r="C189" t="inlineStr">
        <is>
          <t xml:space="preserve">count_substring!L14</t>
        </is>
      </c>
      <c r="D189" s="51" t="inlineStr">
        <is>
          <t xml:space="preserve">tocol</t>
        </is>
      </c>
      <c r="E189" t="inlineStr">
        <is>
          <t xml:space="preserve">count_substring(TOCOL(D14),F14:F15)</t>
        </is>
      </c>
      <c r="F189" s="51" cm="1">
        <f t="array" ref="F189">_xlfn.LET(_xlpm.a,count_substring('count_substring'!D14,'count_substring'!F14:F15),_xlpm.b,count_substring(_xlfn.TOCOL('count_substring'!D14),'count_substring'!F14:F15),_xlpm.sa,IFERROR(ROWS(_xlpm.a)&amp;"x"&amp;COLUMNS(_xlpm.a),"err"),_xlpm.sb,IFERROR(ROWS(_xlpm.b)&amp;"x"&amp;COLUMNS(_xlpm.b),"err"),IF(_xlpm.sa&lt;&gt;_xlpm.sb,"FAIL",IF(_xlpm.sa="err",IF(ERROR.TYPE(_xlpm.a)=ERROR.TYPE(_xlpm.b),"PASS","FAIL"),IF(AND(IFERROR(_xlpm.a=_xlpm.b,IFERROR(ERROR.TYPE(_xlpm.a)=ERROR.TYPE(_xlpm.b),FALSE))),"PASS","FAIL"))))</f>
        <v>0</v>
      </c>
    </row>
    <row r="190">
      <c r="A190">
        <v>185</v>
      </c>
      <c r="B190" s="55" t="inlineStr">
        <is>
          <t xml:space="preserve">count_substring</t>
        </is>
      </c>
      <c r="C190" t="inlineStr">
        <is>
          <t xml:space="preserve">count_substring!L14</t>
        </is>
      </c>
      <c r="D190" s="51" t="inlineStr">
        <is>
          <t xml:space="preserve">blank</t>
        </is>
      </c>
      <c r="E190" t="inlineStr">
        <is>
          <t xml:space="preserve">count_substring(D14,F14:F15,shape_tests!$Z$1)</t>
        </is>
      </c>
      <c r="F190" s="51" cm="1">
        <f t="array" ref="F190">_xlfn.LET(_xlpm.a,count_substring('count_substring'!D14,'count_substring'!F14:F15),_xlpm.b,count_substring('count_substring'!D14,'count_substring'!F14:F15,shape_tests!$Z$1),_xlpm.sa,IFERROR(ROWS(_xlpm.a)&amp;"x"&amp;COLUMNS(_xlpm.a),"err"),_xlpm.sb,IFERROR(ROWS(_xlpm.b)&amp;"x"&amp;COLUMNS(_xlpm.b),"err"),IF(_xlpm.sa&lt;&gt;_xlpm.sb,"FAIL",IF(_xlpm.sa="err",IF(ERROR.TYPE(_xlpm.a)=ERROR.TYPE(_xlpm.b),"PASS","FAIL"),IF(AND(IFERROR(_xlpm.a=_xlpm.b,IFERROR(ERROR.TYPE(_xlpm.a)=ERROR.TYPE(_xlpm.b),FALSE))),"PASS","FAIL"))))</f>
        <v>0</v>
      </c>
    </row>
    <row r="191">
      <c r="A191">
        <v>186</v>
      </c>
      <c r="B191" s="55" t="inlineStr">
        <is>
          <t xml:space="preserve">count_substring</t>
        </is>
      </c>
      <c r="C191" t="inlineStr">
        <is>
          <t xml:space="preserve">count_substring!L17</t>
        </is>
      </c>
      <c r="D191" s="51" t="inlineStr">
        <is>
          <t xml:space="preserve">tocol</t>
        </is>
      </c>
      <c r="E191" t="inlineStr">
        <is>
          <t xml:space="preserve">count_substring(D17:D18,TOCOL(F17))</t>
        </is>
      </c>
      <c r="F191" s="51" cm="1">
        <f t="array" ref="F191">_xlfn.LET(_xlpm.a,count_substring('count_substring'!D17:D18,'count_substring'!F17),_xlpm.b,count_substring('count_substring'!D17:D18,_xlfn.TOCOL('count_substring'!F17)),_xlpm.sa,IFERROR(ROWS(_xlpm.a)&amp;"x"&amp;COLUMNS(_xlpm.a),"err"),_xlpm.sb,IFERROR(ROWS(_xlpm.b)&amp;"x"&amp;COLUMNS(_xlpm.b),"err"),IF(_xlpm.sa&lt;&gt;_xlpm.sb,"FAIL",IF(_xlpm.sa="err",IF(ERROR.TYPE(_xlpm.a)=ERROR.TYPE(_xlpm.b),"PASS","FAIL"),IF(AND(IFERROR(_xlpm.a=_xlpm.b,IFERROR(ERROR.TYPE(_xlpm.a)=ERROR.TYPE(_xlpm.b),FALSE))),"PASS","FAIL"))))</f>
        <v>0</v>
      </c>
    </row>
    <row r="192">
      <c r="A192">
        <v>187</v>
      </c>
      <c r="B192" s="55" t="inlineStr">
        <is>
          <t xml:space="preserve">count_substring</t>
        </is>
      </c>
      <c r="C192" t="inlineStr">
        <is>
          <t xml:space="preserve">count_substring!L17</t>
        </is>
      </c>
      <c r="D192" s="51" t="inlineStr">
        <is>
          <t xml:space="preserve">blank</t>
        </is>
      </c>
      <c r="E192" t="inlineStr">
        <is>
          <t xml:space="preserve">count_substring(D17:D18,F17,shape_tests!$Z$1)</t>
        </is>
      </c>
      <c r="F192" s="51" cm="1">
        <f t="array" ref="F192">_xlfn.LET(_xlpm.a,count_substring('count_substring'!D17:D18,'count_substring'!F17),_xlpm.b,count_substring('count_substring'!D17:D18,'count_substring'!F17,shape_tests!$Z$1),_xlpm.sa,IFERROR(ROWS(_xlpm.a)&amp;"x"&amp;COLUMNS(_xlpm.a),"err"),_xlpm.sb,IFERROR(ROWS(_xlpm.b)&amp;"x"&amp;COLUMNS(_xlpm.b),"err"),IF(_xlpm.sa&lt;&gt;_xlpm.sb,"FAIL",IF(_xlpm.sa="err",IF(ERROR.TYPE(_xlpm.a)=ERROR.TYPE(_xlpm.b),"PASS","FAIL"),IF(AND(IFERROR(_xlpm.a=_xlpm.b,IFERROR(ERROR.TYPE(_xlpm.a)=ERROR.TYPE(_xlpm.b),FALSE))),"PASS","FAIL"))))</f>
        <v>0</v>
      </c>
    </row>
    <row r="193">
      <c r="A193">
        <v>188</v>
      </c>
      <c r="B193" s="55" t="inlineStr">
        <is>
          <t xml:space="preserve">ctotal</t>
        </is>
      </c>
      <c r="C193" t="inlineStr">
        <is>
          <t xml:space="preserve">ctotal!N18</t>
        </is>
      </c>
      <c r="D193" s="51" t="inlineStr">
        <is>
          <t xml:space="preserve">array</t>
        </is>
      </c>
      <c r="E193" t="inlineStr">
        <is>
          <t xml:space="preserve">ctotal(CHOOSEROWS(D18:G18,SEQUENCE(ROWS(D18:G18))))</t>
        </is>
      </c>
      <c r="F193" s="51" cm="1">
        <f t="array" ref="F193">_xlfn.LET(_xlpm.a,ctotal('ctotal'!D18:G18),_xlpm.b,ctotal(_xlfn.CHOOSEROWS('ctotal'!D18:G18,_xlfn.SEQUENCE(ROWS('ctotal'!D18:G18)))),_xlpm.sa,IFERROR(ROWS(_xlpm.a)&amp;"x"&amp;COLUMNS(_xlpm.a),"err"),_xlpm.sb,IFERROR(ROWS(_xlpm.b)&amp;"x"&amp;COLUMNS(_xlpm.b),"err"),IF(_xlpm.sa&lt;&gt;_xlpm.sb,"FAIL",IF(_xlpm.sa="err",IF(ERROR.TYPE(_xlpm.a)=ERROR.TYPE(_xlpm.b),"PASS","FAIL"),IF(AND(IFERROR(_xlpm.a=_xlpm.b,IFERROR(ERROR.TYPE(_xlpm.a)=ERROR.TYPE(_xlpm.b),FALSE))),"PASS","FAIL"))))</f>
        <v>0</v>
      </c>
    </row>
    <row r="194">
      <c r="A194">
        <v>189</v>
      </c>
      <c r="B194" s="55" t="inlineStr">
        <is>
          <t xml:space="preserve">cycles</t>
        </is>
      </c>
      <c r="C194" t="inlineStr">
        <is>
          <t xml:space="preserve">cycles!K6</t>
        </is>
      </c>
      <c r="D194" s="51" t="inlineStr">
        <is>
          <t xml:space="preserve">tocol</t>
        </is>
      </c>
      <c r="E194" t="inlineStr">
        <is>
          <t xml:space="preserve">cycles(TOCOL(D6),TOCOL(F6))</t>
        </is>
      </c>
      <c r="F194" s="51" cm="1">
        <f t="array" ref="F194">_xlfn.LET(_xlpm.a,cycles('cycles'!D6,'cycles'!F6),_xlpm.b,cycles(_xlfn.TOCOL('cycles'!D6),_xlfn.TOCOL('cycles'!F6)),_xlpm.sa,IFERROR(ROWS(_xlpm.a)&amp;"x"&amp;COLUMNS(_xlpm.a),"err"),_xlpm.sb,IFERROR(ROWS(_xlpm.b)&amp;"x"&amp;COLUMNS(_xlpm.b),"err"),IF(_xlpm.sa&lt;&gt;_xlpm.sb,"FAIL",IF(_xlpm.sa="err",IF(ERROR.TYPE(_xlpm.a)=ERROR.TYPE(_xlpm.b),"PASS","FAIL"),IF(AND(IFERROR(_xlpm.a=_xlpm.b,IFERROR(ERROR.TYPE(_xlpm.a)=ERROR.TYPE(_xlpm.b),FALSE))),"PASS","FAIL"))))</f>
        <v>0</v>
      </c>
    </row>
    <row r="195">
      <c r="A195">
        <v>190</v>
      </c>
      <c r="B195" s="55" t="inlineStr">
        <is>
          <t xml:space="preserve">cycles</t>
        </is>
      </c>
      <c r="C195" t="inlineStr">
        <is>
          <t xml:space="preserve">cycles!K6</t>
        </is>
      </c>
      <c r="D195" s="51" t="inlineStr">
        <is>
          <t xml:space="preserve">textnum</t>
        </is>
      </c>
      <c r="E195" t="inlineStr">
        <is>
          <t xml:space="preserve">cycles((D6&amp;""),(F6&amp;""))</t>
        </is>
      </c>
      <c r="F195" s="51" cm="1">
        <f t="array" ref="F195">_xlfn.LET(_xlpm.a,cycles('cycles'!D6,'cycles'!F6),_xlpm.b,cycles(('cycles'!D6&amp;""),('cycles'!F6&amp;"")),_xlpm.sa,IFERROR(ROWS(_xlpm.a)&amp;"x"&amp;COLUMNS(_xlpm.a),"err"),_xlpm.sb,IFERROR(ROWS(_xlpm.b)&amp;"x"&amp;COLUMNS(_xlpm.b),"err"),IF(_xlpm.sa&lt;&gt;_xlpm.sb,"FAIL",IF(_xlpm.sa="err",IF(ERROR.TYPE(_xlpm.a)=ERROR.TYPE(_xlpm.b),"PASS","FAIL"),IF(AND(IFERROR(_xlpm.a=_xlpm.b,IFERROR(ERROR.TYPE(_xlpm.a)=ERROR.TYPE(_xlpm.b),FALSE))),"PASS","FAIL"))))</f>
        <v>0</v>
      </c>
    </row>
    <row r="196">
      <c r="A196">
        <v>191</v>
      </c>
      <c r="B196" s="55" t="inlineStr">
        <is>
          <t xml:space="preserve">cycles</t>
        </is>
      </c>
      <c r="C196" t="inlineStr">
        <is>
          <t xml:space="preserve">cycles!K13</t>
        </is>
      </c>
      <c r="D196" s="51" t="inlineStr">
        <is>
          <t xml:space="preserve">tocol</t>
        </is>
      </c>
      <c r="E196" t="inlineStr">
        <is>
          <t xml:space="preserve">cycles(TOCOL(D13),TOCOL(F13))</t>
        </is>
      </c>
      <c r="F196" s="51" cm="1">
        <f t="array" ref="F196">_xlfn.LET(_xlpm.a,cycles('cycles'!D13,'cycles'!F13),_xlpm.b,cycles(_xlfn.TOCOL('cycles'!D13),_xlfn.TOCOL('cycles'!F13)),_xlpm.sa,IFERROR(ROWS(_xlpm.a)&amp;"x"&amp;COLUMNS(_xlpm.a),"err"),_xlpm.sb,IFERROR(ROWS(_xlpm.b)&amp;"x"&amp;COLUMNS(_xlpm.b),"err"),IF(_xlpm.sa&lt;&gt;_xlpm.sb,"FAIL",IF(_xlpm.sa="err",IF(ERROR.TYPE(_xlpm.a)=ERROR.TYPE(_xlpm.b),"PASS","FAIL"),IF(AND(IFERROR(_xlpm.a=_xlpm.b,IFERROR(ERROR.TYPE(_xlpm.a)=ERROR.TYPE(_xlpm.b),FALSE))),"PASS","FAIL"))))</f>
        <v>0</v>
      </c>
    </row>
    <row r="197">
      <c r="A197">
        <v>192</v>
      </c>
      <c r="B197" s="55" t="inlineStr">
        <is>
          <t xml:space="preserve">cycles</t>
        </is>
      </c>
      <c r="C197" t="inlineStr">
        <is>
          <t xml:space="preserve">cycles!K13</t>
        </is>
      </c>
      <c r="D197" s="51" t="inlineStr">
        <is>
          <t xml:space="preserve">textnum</t>
        </is>
      </c>
      <c r="E197" t="inlineStr">
        <is>
          <t xml:space="preserve">cycles((D13&amp;""),(F13&amp;""))</t>
        </is>
      </c>
      <c r="F197" s="51" cm="1">
        <f t="array" ref="F197">_xlfn.LET(_xlpm.a,cycles('cycles'!D13,'cycles'!F13),_xlpm.b,cycles(('cycles'!D13&amp;""),('cycles'!F13&amp;"")),_xlpm.sa,IFERROR(ROWS(_xlpm.a)&amp;"x"&amp;COLUMNS(_xlpm.a),"err"),_xlpm.sb,IFERROR(ROWS(_xlpm.b)&amp;"x"&amp;COLUMNS(_xlpm.b),"err"),IF(_xlpm.sa&lt;&gt;_xlpm.sb,"FAIL",IF(_xlpm.sa="err",IF(ERROR.TYPE(_xlpm.a)=ERROR.TYPE(_xlpm.b),"PASS","FAIL"),IF(AND(IFERROR(_xlpm.a=_xlpm.b,IFERROR(ERROR.TYPE(_xlpm.a)=ERROR.TYPE(_xlpm.b),FALSE))),"PASS","FAIL"))))</f>
        <v>0</v>
      </c>
    </row>
    <row r="198">
      <c r="A198">
        <v>193</v>
      </c>
      <c r="B198" s="55" t="inlineStr">
        <is>
          <t xml:space="preserve">cycles</t>
        </is>
      </c>
      <c r="C198" t="inlineStr">
        <is>
          <t xml:space="preserve">cycles!K20</t>
        </is>
      </c>
      <c r="D198" s="51" t="inlineStr">
        <is>
          <t xml:space="preserve">tocol</t>
        </is>
      </c>
      <c r="E198" t="inlineStr">
        <is>
          <t xml:space="preserve">cycles(TOCOL(D20),TOCOL(F20))</t>
        </is>
      </c>
      <c r="F198" s="51" cm="1">
        <f t="array" ref="F198">_xlfn.LET(_xlpm.a,cycles(_xlfn.TOCOL('cycles'!D20),'cycles'!F20),_xlpm.b,cycles(_xlfn.TOCOL('cycles'!D20),_xlfn.TOCOL('cycles'!F20)),_xlpm.sa,IFERROR(ROWS(_xlpm.a)&amp;"x"&amp;COLUMNS(_xlpm.a),"err"),_xlpm.sb,IFERROR(ROWS(_xlpm.b)&amp;"x"&amp;COLUMNS(_xlpm.b),"err"),IF(_xlpm.sa&lt;&gt;_xlpm.sb,"FAIL",IF(_xlpm.sa="err",IF(ERROR.TYPE(_xlpm.a)=ERROR.TYPE(_xlpm.b),"PASS","FAIL"),IF(AND(IFERROR(_xlpm.a=_xlpm.b,IFERROR(ERROR.TYPE(_xlpm.a)=ERROR.TYPE(_xlpm.b),FALSE))),"PASS","FAIL"))))</f>
        <v>0</v>
      </c>
    </row>
    <row r="199">
      <c r="A199">
        <v>194</v>
      </c>
      <c r="B199" s="55" t="inlineStr">
        <is>
          <t xml:space="preserve">cycles</t>
        </is>
      </c>
      <c r="C199" t="inlineStr">
        <is>
          <t xml:space="preserve">cycles!K20</t>
        </is>
      </c>
      <c r="D199" s="51" t="inlineStr">
        <is>
          <t xml:space="preserve">textnum</t>
        </is>
      </c>
      <c r="E199" t="inlineStr">
        <is>
          <t xml:space="preserve">cycles(TOCOL(D20),(F20&amp;""))</t>
        </is>
      </c>
      <c r="F199" s="51" cm="1">
        <f t="array" ref="F199">_xlfn.LET(_xlpm.a,cycles(_xlfn.TOCOL('cycles'!D20),'cycles'!F20),_xlpm.b,cycles(_xlfn.TOCOL('cycles'!D20),('cycles'!F20&amp;"")),_xlpm.sa,IFERROR(ROWS(_xlpm.a)&amp;"x"&amp;COLUMNS(_xlpm.a),"err"),_xlpm.sb,IFERROR(ROWS(_xlpm.b)&amp;"x"&amp;COLUMNS(_xlpm.b),"err"),IF(_xlpm.sa&lt;&gt;_xlpm.sb,"FAIL",IF(_xlpm.sa="err",IF(ERROR.TYPE(_xlpm.a)=ERROR.TYPE(_xlpm.b),"PASS","FAIL"),IF(AND(IFERROR(_xlpm.a=_xlpm.b,IFERROR(ERROR.TYPE(_xlpm.a)=ERROR.TYPE(_xlpm.b),FALSE))),"PASS","FAIL"))))</f>
        <v>0</v>
      </c>
    </row>
    <row r="200">
      <c r="A200">
        <v>195</v>
      </c>
      <c r="B200" s="55" t="inlineStr">
        <is>
          <t xml:space="preserve">die_pips</t>
        </is>
      </c>
      <c r="C200" t="inlineStr">
        <is>
          <t xml:space="preserve">die_pips!H6</t>
        </is>
      </c>
      <c r="D200" s="51" t="inlineStr">
        <is>
          <t xml:space="preserve">tocol</t>
        </is>
      </c>
      <c r="E200" t="inlineStr">
        <is>
          <t xml:space="preserve">die_pips(TOCOL(D6))</t>
        </is>
      </c>
      <c r="F200" s="51" cm="1">
        <f t="array" ref="F200">_xlfn.LET(_xlpm.a,die_pips('die_pips'!D6),_xlpm.b,die_pips(_xlfn.TOCOL('die_pips'!D6)),_xlpm.sa,IFERROR(ROWS(_xlpm.a)&amp;"x"&amp;COLUMNS(_xlpm.a),"err"),_xlpm.sb,IFERROR(ROWS(_xlpm.b)&amp;"x"&amp;COLUMNS(_xlpm.b),"err"),IF(_xlpm.sa&lt;&gt;_xlpm.sb,"FAIL",IF(_xlpm.sa="err",IF(ERROR.TYPE(_xlpm.a)=ERROR.TYPE(_xlpm.b),"PASS","FAIL"),IF(AND(IFERROR(_xlpm.a=_xlpm.b,IFERROR(ERROR.TYPE(_xlpm.a)=ERROR.TYPE(_xlpm.b),FALSE))),"PASS","FAIL"))))</f>
        <v>0</v>
      </c>
    </row>
    <row r="201">
      <c r="A201">
        <v>196</v>
      </c>
      <c r="B201" s="55" t="inlineStr">
        <is>
          <t xml:space="preserve">die_pips</t>
        </is>
      </c>
      <c r="C201" t="inlineStr">
        <is>
          <t xml:space="preserve">die_pips!H8</t>
        </is>
      </c>
      <c r="D201" s="51" t="inlineStr">
        <is>
          <t xml:space="preserve">tocol</t>
        </is>
      </c>
      <c r="E201" t="inlineStr">
        <is>
          <t xml:space="preserve">die_pips(TOCOL(D8))</t>
        </is>
      </c>
      <c r="F201" s="51" cm="1">
        <f t="array" ref="F201">_xlfn.LET(_xlpm.a,die_pips('die_pips'!D8),_xlpm.b,die_pips(_xlfn.TOCOL('die_pips'!D8)),_xlpm.sa,IFERROR(ROWS(_xlpm.a)&amp;"x"&amp;COLUMNS(_xlpm.a),"err"),_xlpm.sb,IFERROR(ROWS(_xlpm.b)&amp;"x"&amp;COLUMNS(_xlpm.b),"err"),IF(_xlpm.sa&lt;&gt;_xlpm.sb,"FAIL",IF(_xlpm.sa="err",IF(ERROR.TYPE(_xlpm.a)=ERROR.TYPE(_xlpm.b),"PASS","FAIL"),IF(AND(IFERROR(_xlpm.a=_xlpm.b,IFERROR(ERROR.TYPE(_xlpm.a)=ERROR.TYPE(_xlpm.b),FALSE))),"PASS","FAIL"))))</f>
        <v>0</v>
      </c>
    </row>
    <row r="202">
      <c r="A202">
        <v>197</v>
      </c>
      <c r="B202" s="55" t="inlineStr">
        <is>
          <t xml:space="preserve">die_pips</t>
        </is>
      </c>
      <c r="C202" t="inlineStr">
        <is>
          <t xml:space="preserve">die_pips!H10</t>
        </is>
      </c>
      <c r="D202" s="51" t="inlineStr">
        <is>
          <t xml:space="preserve">tocol</t>
        </is>
      </c>
      <c r="E202" t="inlineStr">
        <is>
          <t xml:space="preserve">die_pips(TOCOL(D10))</t>
        </is>
      </c>
      <c r="F202" s="51" cm="1">
        <f t="array" ref="F202">_xlfn.LET(_xlpm.a,die_pips('die_pips'!D10),_xlpm.b,die_pips(_xlfn.TOCOL('die_pips'!D10)),_xlpm.sa,IFERROR(ROWS(_xlpm.a)&amp;"x"&amp;COLUMNS(_xlpm.a),"err"),_xlpm.sb,IFERROR(ROWS(_xlpm.b)&amp;"x"&amp;COLUMNS(_xlpm.b),"err"),IF(_xlpm.sa&lt;&gt;_xlpm.sb,"FAIL",IF(_xlpm.sa="err",IF(ERROR.TYPE(_xlpm.a)=ERROR.TYPE(_xlpm.b),"PASS","FAIL"),IF(AND(IFERROR(_xlpm.a=_xlpm.b,IFERROR(ERROR.TYPE(_xlpm.a)=ERROR.TYPE(_xlpm.b),FALSE))),"PASS","FAIL"))))</f>
        <v>0</v>
      </c>
    </row>
    <row r="203">
      <c r="A203">
        <v>198</v>
      </c>
      <c r="B203" s="55" t="inlineStr">
        <is>
          <t xml:space="preserve">die_pips</t>
        </is>
      </c>
      <c r="C203" t="inlineStr">
        <is>
          <t xml:space="preserve">die_pips!H16</t>
        </is>
      </c>
      <c r="D203" s="51" t="inlineStr">
        <is>
          <t xml:space="preserve">tocol</t>
        </is>
      </c>
      <c r="E203" t="inlineStr">
        <is>
          <t xml:space="preserve">die_pips(TOCOL(D16))</t>
        </is>
      </c>
      <c r="F203" s="51" cm="1">
        <f t="array" ref="F203">_xlfn.LET(_xlpm.a,die_pips('die_pips'!D16),_xlpm.b,die_pips(_xlfn.TOCOL('die_pips'!D16)),_xlpm.sa,IFERROR(ROWS(_xlpm.a)&amp;"x"&amp;COLUMNS(_xlpm.a),"err"),_xlpm.sb,IFERROR(ROWS(_xlpm.b)&amp;"x"&amp;COLUMNS(_xlpm.b),"err"),IF(_xlpm.sa&lt;&gt;_xlpm.sb,"FAIL",IF(_xlpm.sa="err",IF(ERROR.TYPE(_xlpm.a)=ERROR.TYPE(_xlpm.b),"PASS","FAIL"),IF(AND(IFERROR(_xlpm.a=_xlpm.b,IFERROR(ERROR.TYPE(_xlpm.a)=ERROR.TYPE(_xlpm.b),FALSE))),"PASS","FAIL"))))</f>
        <v>0</v>
      </c>
    </row>
    <row r="204">
      <c r="A204">
        <v>199</v>
      </c>
      <c r="B204" s="55" t="inlineStr">
        <is>
          <t xml:space="preserve">dist</t>
        </is>
      </c>
      <c r="C204" t="inlineStr">
        <is>
          <t xml:space="preserve">dist!N6</t>
        </is>
      </c>
      <c r="D204" s="51" t="inlineStr">
        <is>
          <t xml:space="preserve">tocol</t>
        </is>
      </c>
      <c r="E204" t="inlineStr">
        <is>
          <t xml:space="preserve">dist(TOCOL(D6),TOCOL(F6))</t>
        </is>
      </c>
      <c r="F204" s="51" cm="1">
        <f t="array" ref="F204">_xlfn.LET(_xlpm.a,dist('dist'!D6,'dist'!F6),_xlpm.b,dist(_xlfn.TOCOL('dist'!D6),_xlfn.TOCOL('dist'!F6)),_xlpm.sa,IFERROR(ROWS(_xlpm.a)&amp;"x"&amp;COLUMNS(_xlpm.a),"err"),_xlpm.sb,IFERROR(ROWS(_xlpm.b)&amp;"x"&amp;COLUMNS(_xlpm.b),"err"),IF(_xlpm.sa&lt;&gt;_xlpm.sb,"FAIL",IF(_xlpm.sa="err",IF(ERROR.TYPE(_xlpm.a)=ERROR.TYPE(_xlpm.b),"PASS","FAIL"),IF(AND(IFERROR(_xlpm.a=_xlpm.b,IFERROR(ERROR.TYPE(_xlpm.a)=ERROR.TYPE(_xlpm.b),FALSE))),"PASS","FAIL"))))</f>
        <v>0</v>
      </c>
    </row>
    <row r="205">
      <c r="A205">
        <v>200</v>
      </c>
      <c r="B205" s="55" t="inlineStr">
        <is>
          <t xml:space="preserve">dist</t>
        </is>
      </c>
      <c r="C205" t="inlineStr">
        <is>
          <t xml:space="preserve">dist!N6</t>
        </is>
      </c>
      <c r="D205" s="51" t="inlineStr">
        <is>
          <t xml:space="preserve">blank</t>
        </is>
      </c>
      <c r="E205" t="inlineStr">
        <is>
          <t xml:space="preserve">dist(D6,F6,shape_tests!$Z$1,shape_tests!$Z$1)</t>
        </is>
      </c>
      <c r="F205" s="51" cm="1">
        <f t="array" ref="F205">_xlfn.LET(_xlpm.a,dist('dist'!D6,'dist'!F6),_xlpm.b,dist('dist'!D6,'dist'!F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06">
      <c r="A206">
        <v>201</v>
      </c>
      <c r="B206" s="55" t="inlineStr">
        <is>
          <t xml:space="preserve">dist</t>
        </is>
      </c>
      <c r="C206" t="inlineStr">
        <is>
          <t xml:space="preserve">dist!N8</t>
        </is>
      </c>
      <c r="D206" s="51" t="inlineStr">
        <is>
          <t xml:space="preserve">tocol</t>
        </is>
      </c>
      <c r="E206" t="inlineStr">
        <is>
          <t xml:space="preserve">dist(TOCOL(D8),TOCOL(F8),TOCOL(H8))</t>
        </is>
      </c>
      <c r="F206" s="51" cm="1">
        <f t="array" ref="F206">_xlfn.LET(_xlpm.a,dist('dist'!D8,'dist'!F8,'dist'!H8),_xlpm.b,dist(_xlfn.TOCOL('dist'!D8),_xlfn.TOCOL('dist'!F8),_xlfn.TOCOL('dist'!H8)),_xlpm.sa,IFERROR(ROWS(_xlpm.a)&amp;"x"&amp;COLUMNS(_xlpm.a),"err"),_xlpm.sb,IFERROR(ROWS(_xlpm.b)&amp;"x"&amp;COLUMNS(_xlpm.b),"err"),IF(_xlpm.sa&lt;&gt;_xlpm.sb,"FAIL",IF(_xlpm.sa="err",IF(ERROR.TYPE(_xlpm.a)=ERROR.TYPE(_xlpm.b),"PASS","FAIL"),IF(AND(IFERROR(_xlpm.a=_xlpm.b,IFERROR(ERROR.TYPE(_xlpm.a)=ERROR.TYPE(_xlpm.b),FALSE))),"PASS","FAIL"))))</f>
        <v>0</v>
      </c>
    </row>
    <row r="207">
      <c r="A207">
        <v>202</v>
      </c>
      <c r="B207" s="55" t="inlineStr">
        <is>
          <t xml:space="preserve">dist</t>
        </is>
      </c>
      <c r="C207" t="inlineStr">
        <is>
          <t xml:space="preserve">dist!N8</t>
        </is>
      </c>
      <c r="D207" s="51" t="inlineStr">
        <is>
          <t xml:space="preserve">textnum</t>
        </is>
      </c>
      <c r="E207" t="inlineStr">
        <is>
          <t xml:space="preserve">dist(D8,F8,(H8&amp;""))</t>
        </is>
      </c>
      <c r="F207" s="51" cm="1">
        <f t="array" ref="F207">_xlfn.LET(_xlpm.a,dist('dist'!D8,'dist'!F8,'dist'!H8),_xlpm.b,dist('dist'!D8,'dist'!F8,('dist'!H8&amp;"")),_xlpm.sa,IFERROR(ROWS(_xlpm.a)&amp;"x"&amp;COLUMNS(_xlpm.a),"err"),_xlpm.sb,IFERROR(ROWS(_xlpm.b)&amp;"x"&amp;COLUMNS(_xlpm.b),"err"),IF(_xlpm.sa&lt;&gt;_xlpm.sb,"FAIL",IF(_xlpm.sa="err",IF(ERROR.TYPE(_xlpm.a)=ERROR.TYPE(_xlpm.b),"PASS","FAIL"),IF(AND(IFERROR(_xlpm.a=_xlpm.b,IFERROR(ERROR.TYPE(_xlpm.a)=ERROR.TYPE(_xlpm.b),FALSE))),"PASS","FAIL"))))</f>
        <v>0</v>
      </c>
    </row>
    <row r="208">
      <c r="A208">
        <v>203</v>
      </c>
      <c r="B208" s="55" t="inlineStr">
        <is>
          <t xml:space="preserve">dist</t>
        </is>
      </c>
      <c r="C208" t="inlineStr">
        <is>
          <t xml:space="preserve">dist!N8</t>
        </is>
      </c>
      <c r="D208" s="51" t="inlineStr">
        <is>
          <t xml:space="preserve">blank</t>
        </is>
      </c>
      <c r="E208" t="inlineStr">
        <is>
          <t xml:space="preserve">dist(D8,F8,H8,shape_tests!$Z$1)</t>
        </is>
      </c>
      <c r="F208" s="51" cm="1">
        <f t="array" ref="F208">_xlfn.LET(_xlpm.a,dist('dist'!D8,'dist'!F8,'dist'!H8),_xlpm.b,dist('dist'!D8,'dist'!F8,'dist'!H8,shape_tests!$Z$1),_xlpm.sa,IFERROR(ROWS(_xlpm.a)&amp;"x"&amp;COLUMNS(_xlpm.a),"err"),_xlpm.sb,IFERROR(ROWS(_xlpm.b)&amp;"x"&amp;COLUMNS(_xlpm.b),"err"),IF(_xlpm.sa&lt;&gt;_xlpm.sb,"FAIL",IF(_xlpm.sa="err",IF(ERROR.TYPE(_xlpm.a)=ERROR.TYPE(_xlpm.b),"PASS","FAIL"),IF(AND(IFERROR(_xlpm.a=_xlpm.b,IFERROR(ERROR.TYPE(_xlpm.a)=ERROR.TYPE(_xlpm.b),FALSE))),"PASS","FAIL"))))</f>
        <v>0</v>
      </c>
    </row>
    <row r="209">
      <c r="A209">
        <v>204</v>
      </c>
      <c r="B209" s="55" t="inlineStr">
        <is>
          <t xml:space="preserve">dist</t>
        </is>
      </c>
      <c r="C209" t="inlineStr">
        <is>
          <t xml:space="preserve">dist!N10</t>
        </is>
      </c>
      <c r="D209" s="51" t="inlineStr">
        <is>
          <t xml:space="preserve">tocol</t>
        </is>
      </c>
      <c r="E209" t="inlineStr">
        <is>
          <t xml:space="preserve">dist(TOCOL(D10),TOCOL(F10),TOCOL(H10))</t>
        </is>
      </c>
      <c r="F209" s="51" cm="1">
        <f t="array" ref="F209">_xlfn.LET(_xlpm.a,dist('dist'!D10,'dist'!F10,'dist'!H10),_xlpm.b,dist(_xlfn.TOCOL('dist'!D10),_xlfn.TOCOL('dist'!F10),_xlfn.TOCOL('dist'!H10)),_xlpm.sa,IFERROR(ROWS(_xlpm.a)&amp;"x"&amp;COLUMNS(_xlpm.a),"err"),_xlpm.sb,IFERROR(ROWS(_xlpm.b)&amp;"x"&amp;COLUMNS(_xlpm.b),"err"),IF(_xlpm.sa&lt;&gt;_xlpm.sb,"FAIL",IF(_xlpm.sa="err",IF(ERROR.TYPE(_xlpm.a)=ERROR.TYPE(_xlpm.b),"PASS","FAIL"),IF(AND(IFERROR(_xlpm.a=_xlpm.b,IFERROR(ERROR.TYPE(_xlpm.a)=ERROR.TYPE(_xlpm.b),FALSE))),"PASS","FAIL"))))</f>
        <v>0</v>
      </c>
    </row>
    <row r="210">
      <c r="A210">
        <v>205</v>
      </c>
      <c r="B210" s="55" t="inlineStr">
        <is>
          <t xml:space="preserve">dist</t>
        </is>
      </c>
      <c r="C210" t="inlineStr">
        <is>
          <t xml:space="preserve">dist!N10</t>
        </is>
      </c>
      <c r="D210" s="51" t="inlineStr">
        <is>
          <t xml:space="preserve">textnum</t>
        </is>
      </c>
      <c r="E210" t="inlineStr">
        <is>
          <t xml:space="preserve">dist(D10,F10,(H10&amp;""))</t>
        </is>
      </c>
      <c r="F210" s="51" cm="1">
        <f t="array" ref="F210">_xlfn.LET(_xlpm.a,dist('dist'!D10,'dist'!F10,'dist'!H10),_xlpm.b,dist('dist'!D10,'dist'!F10,('dist'!H10&amp;"")),_xlpm.sa,IFERROR(ROWS(_xlpm.a)&amp;"x"&amp;COLUMNS(_xlpm.a),"err"),_xlpm.sb,IFERROR(ROWS(_xlpm.b)&amp;"x"&amp;COLUMNS(_xlpm.b),"err"),IF(_xlpm.sa&lt;&gt;_xlpm.sb,"FAIL",IF(_xlpm.sa="err",IF(ERROR.TYPE(_xlpm.a)=ERROR.TYPE(_xlpm.b),"PASS","FAIL"),IF(AND(IFERROR(_xlpm.a=_xlpm.b,IFERROR(ERROR.TYPE(_xlpm.a)=ERROR.TYPE(_xlpm.b),FALSE))),"PASS","FAIL"))))</f>
        <v>0</v>
      </c>
    </row>
    <row r="211">
      <c r="A211">
        <v>206</v>
      </c>
      <c r="B211" s="55" t="inlineStr">
        <is>
          <t xml:space="preserve">dist</t>
        </is>
      </c>
      <c r="C211" t="inlineStr">
        <is>
          <t xml:space="preserve">dist!N10</t>
        </is>
      </c>
      <c r="D211" s="51" t="inlineStr">
        <is>
          <t xml:space="preserve">blank</t>
        </is>
      </c>
      <c r="E211" t="inlineStr">
        <is>
          <t xml:space="preserve">dist(D10,F10,H10,shape_tests!$Z$1)</t>
        </is>
      </c>
      <c r="F211" s="51" cm="1">
        <f t="array" ref="F211">_xlfn.LET(_xlpm.a,dist('dist'!D10,'dist'!F10,'dist'!H10),_xlpm.b,dist('dist'!D10,'dist'!F10,'dist'!H10,shape_tests!$Z$1),_xlpm.sa,IFERROR(ROWS(_xlpm.a)&amp;"x"&amp;COLUMNS(_xlpm.a),"err"),_xlpm.sb,IFERROR(ROWS(_xlpm.b)&amp;"x"&amp;COLUMNS(_xlpm.b),"err"),IF(_xlpm.sa&lt;&gt;_xlpm.sb,"FAIL",IF(_xlpm.sa="err",IF(ERROR.TYPE(_xlpm.a)=ERROR.TYPE(_xlpm.b),"PASS","FAIL"),IF(AND(IFERROR(_xlpm.a=_xlpm.b,IFERROR(ERROR.TYPE(_xlpm.a)=ERROR.TYPE(_xlpm.b),FALSE))),"PASS","FAIL"))))</f>
        <v>0</v>
      </c>
    </row>
    <row r="212">
      <c r="A212">
        <v>207</v>
      </c>
      <c r="B212" s="55" t="inlineStr">
        <is>
          <t xml:space="preserve">dist</t>
        </is>
      </c>
      <c r="C212" t="inlineStr">
        <is>
          <t xml:space="preserve">dist!N12</t>
        </is>
      </c>
      <c r="D212" s="51" t="inlineStr">
        <is>
          <t xml:space="preserve">tocol</t>
        </is>
      </c>
      <c r="E212" t="inlineStr">
        <is>
          <t xml:space="preserve">dist(TOCOL(D12),TOCOL(F12))</t>
        </is>
      </c>
      <c r="F212" s="51" cm="1">
        <f t="array" ref="F212">_xlfn.LET(_xlpm.a,dist('dist'!D12,'dist'!F12),_xlpm.b,dist(_xlfn.TOCOL('dist'!D12),_xlfn.TOCOL('dist'!F12)),_xlpm.sa,IFERROR(ROWS(_xlpm.a)&amp;"x"&amp;COLUMNS(_xlpm.a),"err"),_xlpm.sb,IFERROR(ROWS(_xlpm.b)&amp;"x"&amp;COLUMNS(_xlpm.b),"err"),IF(_xlpm.sa&lt;&gt;_xlpm.sb,"FAIL",IF(_xlpm.sa="err",IF(ERROR.TYPE(_xlpm.a)=ERROR.TYPE(_xlpm.b),"PASS","FAIL"),IF(AND(IFERROR(_xlpm.a=_xlpm.b,IFERROR(ERROR.TYPE(_xlpm.a)=ERROR.TYPE(_xlpm.b),FALSE))),"PASS","FAIL"))))</f>
        <v>0</v>
      </c>
    </row>
    <row r="213">
      <c r="A213">
        <v>208</v>
      </c>
      <c r="B213" s="55" t="inlineStr">
        <is>
          <t xml:space="preserve">dist</t>
        </is>
      </c>
      <c r="C213" t="inlineStr">
        <is>
          <t xml:space="preserve">dist!N12</t>
        </is>
      </c>
      <c r="D213" s="51" t="inlineStr">
        <is>
          <t xml:space="preserve">blank</t>
        </is>
      </c>
      <c r="E213" t="inlineStr">
        <is>
          <t xml:space="preserve">dist(D12,F12,shape_tests!$Z$1,shape_tests!$Z$1)</t>
        </is>
      </c>
      <c r="F213" s="51" cm="1">
        <f t="array" ref="F213">_xlfn.LET(_xlpm.a,dist('dist'!D12,'dist'!F12),_xlpm.b,dist('dist'!D12,'dist'!F12,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14">
      <c r="A214">
        <v>209</v>
      </c>
      <c r="B214" s="55" t="inlineStr">
        <is>
          <t xml:space="preserve">dist</t>
        </is>
      </c>
      <c r="C214" t="inlineStr">
        <is>
          <t xml:space="preserve">dist!N14</t>
        </is>
      </c>
      <c r="D214" s="51" t="inlineStr">
        <is>
          <t xml:space="preserve">tocol</t>
        </is>
      </c>
      <c r="E214" t="inlineStr">
        <is>
          <t xml:space="preserve">dist(TOCOL(D14),TOCOL(F14),TOCOL(H14),TOCOL(J14))</t>
        </is>
      </c>
      <c r="F214" s="51" cm="1">
        <f t="array" ref="F214">_xlfn.LET(_xlpm.a,dist('dist'!D14,'dist'!F14,'dist'!H14,'dist'!J14),_xlpm.b,dist(_xlfn.TOCOL('dist'!D14),_xlfn.TOCOL('dist'!F14),_xlfn.TOCOL('dist'!H14),_xlfn.TOCOL('dist'!J14)),_xlpm.sa,IFERROR(ROWS(_xlpm.a)&amp;"x"&amp;COLUMNS(_xlpm.a),"err"),_xlpm.sb,IFERROR(ROWS(_xlpm.b)&amp;"x"&amp;COLUMNS(_xlpm.b),"err"),IF(_xlpm.sa&lt;&gt;_xlpm.sb,"FAIL",IF(_xlpm.sa="err",IF(ERROR.TYPE(_xlpm.a)=ERROR.TYPE(_xlpm.b),"PASS","FAIL"),IF(AND(IFERROR(_xlpm.a=_xlpm.b,IFERROR(ERROR.TYPE(_xlpm.a)=ERROR.TYPE(_xlpm.b),FALSE))),"PASS","FAIL"))))</f>
        <v>0</v>
      </c>
    </row>
    <row r="215">
      <c r="A215">
        <v>210</v>
      </c>
      <c r="B215" s="55" t="inlineStr">
        <is>
          <t xml:space="preserve">dist</t>
        </is>
      </c>
      <c r="C215" t="inlineStr">
        <is>
          <t xml:space="preserve">dist!N14</t>
        </is>
      </c>
      <c r="D215" s="51" t="inlineStr">
        <is>
          <t xml:space="preserve">textnum</t>
        </is>
      </c>
      <c r="E215" t="inlineStr">
        <is>
          <t xml:space="preserve">dist(D14,F14,(H14&amp;""),(J14&amp;""))</t>
        </is>
      </c>
      <c r="F215" s="51" cm="1">
        <f t="array" ref="F215">_xlfn.LET(_xlpm.a,dist('dist'!D14,'dist'!F14,'dist'!H14,'dist'!J14),_xlpm.b,dist('dist'!D14,'dist'!F14,('dist'!H14&amp;""),('dist'!J14&amp;"")),_xlpm.sa,IFERROR(ROWS(_xlpm.a)&amp;"x"&amp;COLUMNS(_xlpm.a),"err"),_xlpm.sb,IFERROR(ROWS(_xlpm.b)&amp;"x"&amp;COLUMNS(_xlpm.b),"err"),IF(_xlpm.sa&lt;&gt;_xlpm.sb,"FAIL",IF(_xlpm.sa="err",IF(ERROR.TYPE(_xlpm.a)=ERROR.TYPE(_xlpm.b),"PASS","FAIL"),IF(AND(IFERROR(_xlpm.a=_xlpm.b,IFERROR(ERROR.TYPE(_xlpm.a)=ERROR.TYPE(_xlpm.b),FALSE))),"PASS","FAIL"))))</f>
        <v>0</v>
      </c>
    </row>
    <row r="216">
      <c r="A216">
        <v>211</v>
      </c>
      <c r="B216" s="55" t="inlineStr">
        <is>
          <t xml:space="preserve">dist</t>
        </is>
      </c>
      <c r="C216" t="inlineStr">
        <is>
          <t xml:space="preserve">dist!N21</t>
        </is>
      </c>
      <c r="D216" s="51" t="inlineStr">
        <is>
          <t xml:space="preserve">tocol</t>
        </is>
      </c>
      <c r="E216" t="inlineStr">
        <is>
          <t xml:space="preserve">dist(TOCOL(D21),TOCOL(F21),TOCOL(H21),TOCOL(J21))</t>
        </is>
      </c>
      <c r="F216" s="51" cm="1">
        <f t="array" ref="F216">_xlfn.LET(_xlpm.a,dist('dist'!D21,'dist'!F21,'dist'!H21,'dist'!J21),_xlpm.b,dist(_xlfn.TOCOL('dist'!D21),_xlfn.TOCOL('dist'!F21),_xlfn.TOCOL('dist'!H21),_xlfn.TOCOL('dist'!J21)),_xlpm.sa,IFERROR(ROWS(_xlpm.a)&amp;"x"&amp;COLUMNS(_xlpm.a),"err"),_xlpm.sb,IFERROR(ROWS(_xlpm.b)&amp;"x"&amp;COLUMNS(_xlpm.b),"err"),IF(_xlpm.sa&lt;&gt;_xlpm.sb,"FAIL",IF(_xlpm.sa="err",IF(ERROR.TYPE(_xlpm.a)=ERROR.TYPE(_xlpm.b),"PASS","FAIL"),IF(AND(IFERROR(_xlpm.a=_xlpm.b,IFERROR(ERROR.TYPE(_xlpm.a)=ERROR.TYPE(_xlpm.b),FALSE))),"PASS","FAIL"))))</f>
        <v>0</v>
      </c>
    </row>
    <row r="217">
      <c r="A217">
        <v>212</v>
      </c>
      <c r="B217" s="55" t="inlineStr">
        <is>
          <t xml:space="preserve">dist</t>
        </is>
      </c>
      <c r="C217" t="inlineStr">
        <is>
          <t xml:space="preserve">dist!N21</t>
        </is>
      </c>
      <c r="D217" s="51" t="inlineStr">
        <is>
          <t xml:space="preserve">textnum</t>
        </is>
      </c>
      <c r="E217" t="inlineStr">
        <is>
          <t xml:space="preserve">dist(D21,F21,(H21&amp;""),(J21&amp;""))</t>
        </is>
      </c>
      <c r="F217" s="51" cm="1">
        <f t="array" ref="F217">_xlfn.LET(_xlpm.a,dist('dist'!D21,'dist'!F21,'dist'!H21,'dist'!J21),_xlpm.b,dist('dist'!D21,'dist'!F21,('dist'!H21&amp;""),('dist'!J21&amp;"")),_xlpm.sa,IFERROR(ROWS(_xlpm.a)&amp;"x"&amp;COLUMNS(_xlpm.a),"err"),_xlpm.sb,IFERROR(ROWS(_xlpm.b)&amp;"x"&amp;COLUMNS(_xlpm.b),"err"),IF(_xlpm.sa&lt;&gt;_xlpm.sb,"FAIL",IF(_xlpm.sa="err",IF(ERROR.TYPE(_xlpm.a)=ERROR.TYPE(_xlpm.b),"PASS","FAIL"),IF(AND(IFERROR(_xlpm.a=_xlpm.b,IFERROR(ERROR.TYPE(_xlpm.a)=ERROR.TYPE(_xlpm.b),FALSE))),"PASS","FAIL"))))</f>
        <v>0</v>
      </c>
    </row>
    <row r="218">
      <c r="A218">
        <v>213</v>
      </c>
      <c r="B218" s="55" t="inlineStr">
        <is>
          <t xml:space="preserve">dist</t>
        </is>
      </c>
      <c r="C218" t="inlineStr">
        <is>
          <t xml:space="preserve">dist!N28</t>
        </is>
      </c>
      <c r="D218" s="51" t="inlineStr">
        <is>
          <t xml:space="preserve">tocol</t>
        </is>
      </c>
      <c r="E218" t="inlineStr">
        <is>
          <t xml:space="preserve">dist(TOCOL(D28),TOCOL(F28),TOCOL(H28),TOCOL(J28))</t>
        </is>
      </c>
      <c r="F218" s="51" cm="1">
        <f t="array" ref="F218">_xlfn.LET(_xlpm.a,dist('dist'!D28,'dist'!F28,'dist'!H28,'dist'!J28),_xlpm.b,dist(_xlfn.TOCOL('dist'!D28),_xlfn.TOCOL('dist'!F28),_xlfn.TOCOL('dist'!H28),_xlfn.TOCOL('dist'!J28)),_xlpm.sa,IFERROR(ROWS(_xlpm.a)&amp;"x"&amp;COLUMNS(_xlpm.a),"err"),_xlpm.sb,IFERROR(ROWS(_xlpm.b)&amp;"x"&amp;COLUMNS(_xlpm.b),"err"),IF(_xlpm.sa&lt;&gt;_xlpm.sb,"FAIL",IF(_xlpm.sa="err",IF(ERROR.TYPE(_xlpm.a)=ERROR.TYPE(_xlpm.b),"PASS","FAIL"),IF(AND(IFERROR(_xlpm.a=_xlpm.b,IFERROR(ERROR.TYPE(_xlpm.a)=ERROR.TYPE(_xlpm.b),FALSE))),"PASS","FAIL"))))</f>
        <v>0</v>
      </c>
    </row>
    <row r="219">
      <c r="A219">
        <v>214</v>
      </c>
      <c r="B219" s="55" t="inlineStr">
        <is>
          <t xml:space="preserve">dist</t>
        </is>
      </c>
      <c r="C219" t="inlineStr">
        <is>
          <t xml:space="preserve">dist!N28</t>
        </is>
      </c>
      <c r="D219" s="51" t="inlineStr">
        <is>
          <t xml:space="preserve">textnum</t>
        </is>
      </c>
      <c r="E219" t="inlineStr">
        <is>
          <t xml:space="preserve">dist(D28,F28,(H28&amp;""),(J28&amp;""))</t>
        </is>
      </c>
      <c r="F219" s="51" cm="1">
        <f t="array" ref="F219">_xlfn.LET(_xlpm.a,dist('dist'!D28,'dist'!F28,'dist'!H28,'dist'!J28),_xlpm.b,dist('dist'!D28,'dist'!F28,('dist'!H28&amp;""),('dist'!J28&amp;"")),_xlpm.sa,IFERROR(ROWS(_xlpm.a)&amp;"x"&amp;COLUMNS(_xlpm.a),"err"),_xlpm.sb,IFERROR(ROWS(_xlpm.b)&amp;"x"&amp;COLUMNS(_xlpm.b),"err"),IF(_xlpm.sa&lt;&gt;_xlpm.sb,"FAIL",IF(_xlpm.sa="err",IF(ERROR.TYPE(_xlpm.a)=ERROR.TYPE(_xlpm.b),"PASS","FAIL"),IF(AND(IFERROR(_xlpm.a=_xlpm.b,IFERROR(ERROR.TYPE(_xlpm.a)=ERROR.TYPE(_xlpm.b),FALSE))),"PASS","FAIL"))))</f>
        <v>0</v>
      </c>
    </row>
    <row r="220">
      <c r="A220">
        <v>215</v>
      </c>
      <c r="B220" s="55" t="inlineStr">
        <is>
          <t xml:space="preserve">exists</t>
        </is>
      </c>
      <c r="C220" t="inlineStr">
        <is>
          <t xml:space="preserve">exists!J6</t>
        </is>
      </c>
      <c r="D220" s="51" t="inlineStr">
        <is>
          <t xml:space="preserve">tocol</t>
        </is>
      </c>
      <c r="E220" t="inlineStr">
        <is>
          <t xml:space="preserve">exists(D6:D8,TOCOL(F6))</t>
        </is>
      </c>
      <c r="F220" s="51" cm="1">
        <f t="array" ref="F220">_xlfn.LET(_xlpm.a,exists('exists'!D6:D8,'exists'!F6),_xlpm.b,exists('exists'!D6:D8,_xlfn.TOCOL('exists'!F6)),_xlpm.sa,IFERROR(ROWS(_xlpm.a)&amp;"x"&amp;COLUMNS(_xlpm.a),"err"),_xlpm.sb,IFERROR(ROWS(_xlpm.b)&amp;"x"&amp;COLUMNS(_xlpm.b),"err"),IF(_xlpm.sa&lt;&gt;_xlpm.sb,"FAIL",IF(_xlpm.sa="err",IF(ERROR.TYPE(_xlpm.a)=ERROR.TYPE(_xlpm.b),"PASS","FAIL"),IF(AND(IFERROR(_xlpm.a=_xlpm.b,IFERROR(ERROR.TYPE(_xlpm.a)=ERROR.TYPE(_xlpm.b),FALSE))),"PASS","FAIL"))))</f>
        <v>0</v>
      </c>
    </row>
    <row r="221">
      <c r="A221">
        <v>216</v>
      </c>
      <c r="B221" s="55" t="inlineStr">
        <is>
          <t xml:space="preserve">exists</t>
        </is>
      </c>
      <c r="C221" t="inlineStr">
        <is>
          <t xml:space="preserve">exists!J10</t>
        </is>
      </c>
      <c r="D221" s="51" t="inlineStr">
        <is>
          <t xml:space="preserve">tocol</t>
        </is>
      </c>
      <c r="E221" t="inlineStr">
        <is>
          <t xml:space="preserve">exists(D10:D12,TOCOL(F10))</t>
        </is>
      </c>
      <c r="F221" s="51" cm="1">
        <f t="array" ref="F221">_xlfn.LET(_xlpm.a,exists('exists'!D10:D12,'exists'!F10),_xlpm.b,exists('exists'!D10:D12,_xlfn.TOCOL('exists'!F10)),_xlpm.sa,IFERROR(ROWS(_xlpm.a)&amp;"x"&amp;COLUMNS(_xlpm.a),"err"),_xlpm.sb,IFERROR(ROWS(_xlpm.b)&amp;"x"&amp;COLUMNS(_xlpm.b),"err"),IF(_xlpm.sa&lt;&gt;_xlpm.sb,"FAIL",IF(_xlpm.sa="err",IF(ERROR.TYPE(_xlpm.a)=ERROR.TYPE(_xlpm.b),"PASS","FAIL"),IF(AND(IFERROR(_xlpm.a=_xlpm.b,IFERROR(ERROR.TYPE(_xlpm.a)=ERROR.TYPE(_xlpm.b),FALSE))),"PASS","FAIL"))))</f>
        <v>0</v>
      </c>
    </row>
    <row r="222">
      <c r="A222">
        <v>217</v>
      </c>
      <c r="B222" s="55" t="inlineStr">
        <is>
          <t xml:space="preserve">exists</t>
        </is>
      </c>
      <c r="C222" t="inlineStr">
        <is>
          <t xml:space="preserve">exists!J14</t>
        </is>
      </c>
      <c r="D222" s="51" t="inlineStr">
        <is>
          <t xml:space="preserve">array</t>
        </is>
      </c>
      <c r="E222" t="inlineStr">
        <is>
          <t xml:space="preserve">exists(D14:D16,CHOOSEROWS(F14:F15,SEQUENCE(ROWS(F14:F15))))</t>
        </is>
      </c>
      <c r="F222" s="51" cm="1">
        <f t="array" ref="F222">_xlfn.LET(_xlpm.a,exists('exists'!D14:D16,'exists'!F14:F15),_xlpm.b,exists('exists'!D14:D16,_xlfn.CHOOSEROWS('exists'!F14:F15,_xlfn.SEQUENCE(ROWS('exists'!F14:F15)))),_xlpm.sa,IFERROR(ROWS(_xlpm.a)&amp;"x"&amp;COLUMNS(_xlpm.a),"err"),_xlpm.sb,IFERROR(ROWS(_xlpm.b)&amp;"x"&amp;COLUMNS(_xlpm.b),"err"),IF(_xlpm.sa&lt;&gt;_xlpm.sb,"FAIL",IF(_xlpm.sa="err",IF(ERROR.TYPE(_xlpm.a)=ERROR.TYPE(_xlpm.b),"PASS","FAIL"),IF(AND(IFERROR(_xlpm.a=_xlpm.b,IFERROR(ERROR.TYPE(_xlpm.a)=ERROR.TYPE(_xlpm.b),FALSE))),"PASS","FAIL"))))</f>
        <v>0</v>
      </c>
    </row>
    <row r="223">
      <c r="A223">
        <v>218</v>
      </c>
      <c r="B223" s="55" t="inlineStr">
        <is>
          <t xml:space="preserve">exists</t>
        </is>
      </c>
      <c r="C223" t="inlineStr">
        <is>
          <t xml:space="preserve">exists!J18</t>
        </is>
      </c>
      <c r="D223" s="51" t="inlineStr">
        <is>
          <t xml:space="preserve">array</t>
        </is>
      </c>
      <c r="E223" t="inlineStr">
        <is>
          <t xml:space="preserve">exists(D18:D20,CHOOSEROWS(F18:F19,SEQUENCE(ROWS(F18:F19))))</t>
        </is>
      </c>
      <c r="F223" s="51" cm="1">
        <f t="array" ref="F223">_xlfn.LET(_xlpm.a,exists('exists'!D18:D20,'exists'!F18:F19),_xlpm.b,exists('exists'!D18:D20,_xlfn.CHOOSEROWS('exists'!F18:F19,_xlfn.SEQUENCE(ROWS('exists'!F18:F19)))),_xlpm.sa,IFERROR(ROWS(_xlpm.a)&amp;"x"&amp;COLUMNS(_xlpm.a),"err"),_xlpm.sb,IFERROR(ROWS(_xlpm.b)&amp;"x"&amp;COLUMNS(_xlpm.b),"err"),IF(_xlpm.sa&lt;&gt;_xlpm.sb,"FAIL",IF(_xlpm.sa="err",IF(ERROR.TYPE(_xlpm.a)=ERROR.TYPE(_xlpm.b),"PASS","FAIL"),IF(AND(IFERROR(_xlpm.a=_xlpm.b,IFERROR(ERROR.TYPE(_xlpm.a)=ERROR.TYPE(_xlpm.b),FALSE))),"PASS","FAIL"))))</f>
        <v>0</v>
      </c>
    </row>
    <row r="224">
      <c r="A224">
        <v>219</v>
      </c>
      <c r="B224" s="55" t="inlineStr">
        <is>
          <t xml:space="preserve">exlookup</t>
        </is>
      </c>
      <c r="C224" t="inlineStr">
        <is>
          <t xml:space="preserve">exlookup!L6</t>
        </is>
      </c>
      <c r="D224" s="51" t="inlineStr">
        <is>
          <t xml:space="preserve">tocol</t>
        </is>
      </c>
      <c r="E224" t="inlineStr">
        <is>
          <t xml:space="preserve">exlookup(TOCOL("b"),{"A";"B";"b";"C"},{1;2;3;4})</t>
        </is>
      </c>
      <c r="F224" s="51" cm="1">
        <f t="array" ref="F224">_xlfn.LET(_xlpm.a,exlookup("b",{"A";"B";"b";"C"},{1;2;3;4}),_xlpm.b,exlookup(_xlfn.TOCOL("b"),{"A";"B";"b";"C"},{1;2;3;4}),_xlpm.sa,IFERROR(ROWS(_xlpm.a)&amp;"x"&amp;COLUMNS(_xlpm.a),"err"),_xlpm.sb,IFERROR(ROWS(_xlpm.b)&amp;"x"&amp;COLUMNS(_xlpm.b),"err"),IF(_xlpm.sa&lt;&gt;_xlpm.sb,"FAIL",IF(_xlpm.sa="err",IF(ERROR.TYPE(_xlpm.a)=ERROR.TYPE(_xlpm.b),"PASS","FAIL"),IF(AND(IFERROR(_xlpm.a=_xlpm.b,IFERROR(ERROR.TYPE(_xlpm.a)=ERROR.TYPE(_xlpm.b),FALSE))),"PASS","FAIL"))))</f>
        <v>0</v>
      </c>
    </row>
    <row r="225">
      <c r="A225">
        <v>220</v>
      </c>
      <c r="B225" s="55" t="inlineStr">
        <is>
          <t xml:space="preserve">exlookup</t>
        </is>
      </c>
      <c r="C225" t="inlineStr">
        <is>
          <t xml:space="preserve">exlookup!L6</t>
        </is>
      </c>
      <c r="D225" s="51" t="inlineStr">
        <is>
          <t xml:space="preserve">cellref</t>
        </is>
      </c>
      <c r="E225" t="inlineStr">
        <is>
          <t xml:space="preserve">exlookup(shape_tests!$H$225,{"A";"B";"b";"C"},{1;2;3;4})</t>
        </is>
      </c>
      <c r="F225" s="51" cm="1">
        <f t="array" ref="F225">_xlfn.LET(_xlpm.a,exlookup("b",{"A";"B";"b";"C"},{1;2;3;4}),_xlpm.b,exlookup(shape_tests!$H$225,{"A";"B";"b";"C"},{1;2;3;4}),_xlpm.sa,IFERROR(ROWS(_xlpm.a)&amp;"x"&amp;COLUMNS(_xlpm.a),"err"),_xlpm.sb,IFERROR(ROWS(_xlpm.b)&amp;"x"&amp;COLUMNS(_xlpm.b),"err"),IF(_xlpm.sa&lt;&gt;_xlpm.sb,"FAIL",IF(_xlpm.sa="err",IF(ERROR.TYPE(_xlpm.a)=ERROR.TYPE(_xlpm.b),"PASS","FAIL"),IF(AND(IFERROR(_xlpm.a=_xlpm.b,IFERROR(ERROR.TYPE(_xlpm.a)=ERROR.TYPE(_xlpm.b),FALSE))),"PASS","FAIL"))))</f>
        <v>0</v>
      </c>
      <c r="H225" t="inlineStr">
        <is>
          <t xml:space="preserve">b</t>
        </is>
      </c>
    </row>
    <row r="226">
      <c r="A226">
        <v>221</v>
      </c>
      <c r="B226" s="55" t="inlineStr">
        <is>
          <t xml:space="preserve">exlookup</t>
        </is>
      </c>
      <c r="C226" t="inlineStr">
        <is>
          <t xml:space="preserve">exlookup!L6</t>
        </is>
      </c>
      <c r="D226" s="51" t="inlineStr">
        <is>
          <t xml:space="preserve">blank</t>
        </is>
      </c>
      <c r="E226" t="inlineStr">
        <is>
          <t xml:space="preserve">exlookup("b",{"A";"B";"b";"C"},{1;2;3;4},,shape_tests!$Z$1,shape_tests!$Z$1)</t>
        </is>
      </c>
      <c r="F226" s="51" cm="1">
        <f t="array" ref="F226">_xlfn.LET(_xlpm.a,exlookup("b",{"A";"B";"b";"C"},{1;2;3;4}),_xlpm.b,exlookup("b",{"A";"B";"b";"C"},{1;2;3;4},,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27">
      <c r="A227">
        <v>222</v>
      </c>
      <c r="B227" s="55" t="inlineStr">
        <is>
          <t xml:space="preserve">exlookup</t>
        </is>
      </c>
      <c r="C227" t="inlineStr">
        <is>
          <t xml:space="preserve">exlookup!L8</t>
        </is>
      </c>
      <c r="D227" s="51" t="inlineStr">
        <is>
          <t xml:space="preserve">tocol</t>
        </is>
      </c>
      <c r="E227" t="inlineStr">
        <is>
          <t xml:space="preserve">ERROR.TYPE(exlookup(TOCOL("c"),{"A";"B";"C"},{1;2;3}))</t>
        </is>
      </c>
      <c r="F227" s="51" cm="1">
        <f t="array" ref="F227">_xlfn.LET(_xlpm.a,ERROR.TYPE(exlookup("c",{"A";"B";"C"},{1;2;3})),_xlpm.b,ERROR.TYPE(exlookup(_xlfn.TOCOL("c"),{"A";"B";"C"},{1;2;3})),_xlpm.sa,IFERROR(ROWS(_xlpm.a)&amp;"x"&amp;COLUMNS(_xlpm.a),"err"),_xlpm.sb,IFERROR(ROWS(_xlpm.b)&amp;"x"&amp;COLUMNS(_xlpm.b),"err"),IF(_xlpm.sa&lt;&gt;_xlpm.sb,"FAIL",IF(_xlpm.sa="err",IF(ERROR.TYPE(_xlpm.a)=ERROR.TYPE(_xlpm.b),"PASS","FAIL"),IF(AND(IFERROR(_xlpm.a=_xlpm.b,IFERROR(ERROR.TYPE(_xlpm.a)=ERROR.TYPE(_xlpm.b),FALSE))),"PASS","FAIL"))))</f>
        <v>0</v>
      </c>
    </row>
    <row r="228">
      <c r="A228">
        <v>223</v>
      </c>
      <c r="B228" s="55" t="inlineStr">
        <is>
          <t xml:space="preserve">exlookup</t>
        </is>
      </c>
      <c r="C228" t="inlineStr">
        <is>
          <t xml:space="preserve">exlookup!L8</t>
        </is>
      </c>
      <c r="D228" s="51" t="inlineStr">
        <is>
          <t xml:space="preserve">cellref</t>
        </is>
      </c>
      <c r="E228" t="inlineStr">
        <is>
          <t xml:space="preserve">ERROR.TYPE(exlookup(shape_tests!$H$228,{"A";"B";"C"},{1;2;3}))</t>
        </is>
      </c>
      <c r="F228" s="51" cm="1">
        <f t="array" ref="F228">_xlfn.LET(_xlpm.a,ERROR.TYPE(exlookup("c",{"A";"B";"C"},{1;2;3})),_xlpm.b,ERROR.TYPE(exlookup(shape_tests!$H$228,{"A";"B";"C"},{1;2;3})),_xlpm.sa,IFERROR(ROWS(_xlpm.a)&amp;"x"&amp;COLUMNS(_xlpm.a),"err"),_xlpm.sb,IFERROR(ROWS(_xlpm.b)&amp;"x"&amp;COLUMNS(_xlpm.b),"err"),IF(_xlpm.sa&lt;&gt;_xlpm.sb,"FAIL",IF(_xlpm.sa="err",IF(ERROR.TYPE(_xlpm.a)=ERROR.TYPE(_xlpm.b),"PASS","FAIL"),IF(AND(IFERROR(_xlpm.a=_xlpm.b,IFERROR(ERROR.TYPE(_xlpm.a)=ERROR.TYPE(_xlpm.b),FALSE))),"PASS","FAIL"))))</f>
        <v>0</v>
      </c>
      <c r="H228" t="inlineStr">
        <is>
          <t xml:space="preserve">c</t>
        </is>
      </c>
    </row>
    <row r="229">
      <c r="A229">
        <v>224</v>
      </c>
      <c r="B229" s="55" t="inlineStr">
        <is>
          <t xml:space="preserve">exlookup</t>
        </is>
      </c>
      <c r="C229" t="inlineStr">
        <is>
          <t xml:space="preserve">exlookup!L8</t>
        </is>
      </c>
      <c r="D229" s="51" t="inlineStr">
        <is>
          <t xml:space="preserve">blank</t>
        </is>
      </c>
      <c r="E229" t="inlineStr">
        <is>
          <t xml:space="preserve">ERROR.TYPE(exlookup("c",{"A";"B";"C"},{1;2;3},,shape_tests!$Z$1,shape_tests!$Z$1))</t>
        </is>
      </c>
      <c r="F229" s="51" cm="1">
        <f t="array" ref="F229">_xlfn.LET(_xlpm.a,ERROR.TYPE(exlookup("c",{"A";"B";"C"},{1;2;3})),_xlpm.b,ERROR.TYPE(exlookup("c",{"A";"B";"C"},{1;2;3},,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30">
      <c r="A230">
        <v>225</v>
      </c>
      <c r="B230" s="55" t="inlineStr">
        <is>
          <t xml:space="preserve">exlookup</t>
        </is>
      </c>
      <c r="C230" t="inlineStr">
        <is>
          <t xml:space="preserve">exlookup!L10</t>
        </is>
      </c>
      <c r="D230" s="51" t="inlineStr">
        <is>
          <t xml:space="preserve">tocol</t>
        </is>
      </c>
      <c r="E230" t="inlineStr">
        <is>
          <t xml:space="preserve">exlookup(TOCOL("c"),{"A";"B";"C"},{1;2;3},TOCOL("none"))</t>
        </is>
      </c>
      <c r="F230" s="51" cm="1">
        <f t="array" ref="F230">_xlfn.LET(_xlpm.a,exlookup("c",{"A";"B";"C"},{1;2;3},"none"),_xlpm.b,exlookup(_xlfn.TOCOL("c"),{"A";"B";"C"},{1;2;3},_xlfn.TOCOL("none")),_xlpm.sa,IFERROR(ROWS(_xlpm.a)&amp;"x"&amp;COLUMNS(_xlpm.a),"err"),_xlpm.sb,IFERROR(ROWS(_xlpm.b)&amp;"x"&amp;COLUMNS(_xlpm.b),"err"),IF(_xlpm.sa&lt;&gt;_xlpm.sb,"FAIL",IF(_xlpm.sa="err",IF(ERROR.TYPE(_xlpm.a)=ERROR.TYPE(_xlpm.b),"PASS","FAIL"),IF(AND(IFERROR(_xlpm.a=_xlpm.b,IFERROR(ERROR.TYPE(_xlpm.a)=ERROR.TYPE(_xlpm.b),FALSE))),"PASS","FAIL"))))</f>
        <v>0</v>
      </c>
    </row>
    <row r="231">
      <c r="A231">
        <v>226</v>
      </c>
      <c r="B231" s="55" t="inlineStr">
        <is>
          <t xml:space="preserve">exlookup</t>
        </is>
      </c>
      <c r="C231" t="inlineStr">
        <is>
          <t xml:space="preserve">exlookup!L10</t>
        </is>
      </c>
      <c r="D231" s="51" t="inlineStr">
        <is>
          <t xml:space="preserve">cellref</t>
        </is>
      </c>
      <c r="E231" t="inlineStr">
        <is>
          <t xml:space="preserve">exlookup(shape_tests!$H$231,{"A";"B";"C"},{1;2;3},shape_tests!$I$231)</t>
        </is>
      </c>
      <c r="F231" s="51" cm="1">
        <f t="array" ref="F231">_xlfn.LET(_xlpm.a,exlookup("c",{"A";"B";"C"},{1;2;3},"none"),_xlpm.b,exlookup(shape_tests!$H$231,{"A";"B";"C"},{1;2;3},shape_tests!$I$231),_xlpm.sa,IFERROR(ROWS(_xlpm.a)&amp;"x"&amp;COLUMNS(_xlpm.a),"err"),_xlpm.sb,IFERROR(ROWS(_xlpm.b)&amp;"x"&amp;COLUMNS(_xlpm.b),"err"),IF(_xlpm.sa&lt;&gt;_xlpm.sb,"FAIL",IF(_xlpm.sa="err",IF(ERROR.TYPE(_xlpm.a)=ERROR.TYPE(_xlpm.b),"PASS","FAIL"),IF(AND(IFERROR(_xlpm.a=_xlpm.b,IFERROR(ERROR.TYPE(_xlpm.a)=ERROR.TYPE(_xlpm.b),FALSE))),"PASS","FAIL"))))</f>
        <v>0</v>
      </c>
      <c r="H231" t="inlineStr">
        <is>
          <t xml:space="preserve">c</t>
        </is>
      </c>
      <c r="I231" t="inlineStr">
        <is>
          <t xml:space="preserve">none</t>
        </is>
      </c>
    </row>
    <row r="232">
      <c r="A232">
        <v>227</v>
      </c>
      <c r="B232" s="55" t="inlineStr">
        <is>
          <t xml:space="preserve">exlookup</t>
        </is>
      </c>
      <c r="C232" t="inlineStr">
        <is>
          <t xml:space="preserve">exlookup!L10</t>
        </is>
      </c>
      <c r="D232" s="51" t="inlineStr">
        <is>
          <t xml:space="preserve">blank</t>
        </is>
      </c>
      <c r="E232" t="inlineStr">
        <is>
          <t xml:space="preserve">exlookup("c",{"A";"B";"C"},{1;2;3},"none",shape_tests!$Z$1,shape_tests!$Z$1)</t>
        </is>
      </c>
      <c r="F232" s="51" cm="1">
        <f t="array" ref="F232">_xlfn.LET(_xlpm.a,exlookup("c",{"A";"B";"C"},{1;2;3},"none"),_xlpm.b,exlookup("c",{"A";"B";"C"},{1;2;3},"none",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33">
      <c r="A233">
        <v>228</v>
      </c>
      <c r="B233" s="55" t="inlineStr">
        <is>
          <t xml:space="preserve">exlookup</t>
        </is>
      </c>
      <c r="C233" t="inlineStr">
        <is>
          <t xml:space="preserve">exlookup!L12</t>
        </is>
      </c>
      <c r="D233" s="51" t="inlineStr">
        <is>
          <t xml:space="preserve">tocol</t>
        </is>
      </c>
      <c r="E233" t="inlineStr">
        <is>
          <t xml:space="preserve">exlookup(TOCOL("b"),{"b";"B";"b"},{1;2;3},,,TOCOL(-1))</t>
        </is>
      </c>
      <c r="F233" s="51" cm="1">
        <f t="array" ref="F233">_xlfn.LET(_xlpm.a,exlookup("b",{"b";"B";"b"},{1;2;3},,,-1),_xlpm.b,exlookup(_xlfn.TOCOL("b"),{"b";"B";"b"},{1;2;3},,,_xlfn.TOCOL(-1)),_xlpm.sa,IFERROR(ROWS(_xlpm.a)&amp;"x"&amp;COLUMNS(_xlpm.a),"err"),_xlpm.sb,IFERROR(ROWS(_xlpm.b)&amp;"x"&amp;COLUMNS(_xlpm.b),"err"),IF(_xlpm.sa&lt;&gt;_xlpm.sb,"FAIL",IF(_xlpm.sa="err",IF(ERROR.TYPE(_xlpm.a)=ERROR.TYPE(_xlpm.b),"PASS","FAIL"),IF(AND(IFERROR(_xlpm.a=_xlpm.b,IFERROR(ERROR.TYPE(_xlpm.a)=ERROR.TYPE(_xlpm.b),FALSE))),"PASS","FAIL"))))</f>
        <v>0</v>
      </c>
    </row>
    <row r="234">
      <c r="A234">
        <v>229</v>
      </c>
      <c r="B234" s="55" t="inlineStr">
        <is>
          <t xml:space="preserve">exlookup</t>
        </is>
      </c>
      <c r="C234" t="inlineStr">
        <is>
          <t xml:space="preserve">exlookup!L12</t>
        </is>
      </c>
      <c r="D234" s="51" t="inlineStr">
        <is>
          <t xml:space="preserve">cellref</t>
        </is>
      </c>
      <c r="E234" t="inlineStr">
        <is>
          <t xml:space="preserve">exlookup(shape_tests!$H$234,{"b";"B";"b"},{1;2;3},,,shape_tests!$I$234)</t>
        </is>
      </c>
      <c r="F234" s="51" cm="1">
        <f t="array" ref="F234">_xlfn.LET(_xlpm.a,exlookup("b",{"b";"B";"b"},{1;2;3},,,-1),_xlpm.b,exlookup(shape_tests!$H$234,{"b";"B";"b"},{1;2;3},,,shape_tests!$I$234),_xlpm.sa,IFERROR(ROWS(_xlpm.a)&amp;"x"&amp;COLUMNS(_xlpm.a),"err"),_xlpm.sb,IFERROR(ROWS(_xlpm.b)&amp;"x"&amp;COLUMNS(_xlpm.b),"err"),IF(_xlpm.sa&lt;&gt;_xlpm.sb,"FAIL",IF(_xlpm.sa="err",IF(ERROR.TYPE(_xlpm.a)=ERROR.TYPE(_xlpm.b),"PASS","FAIL"),IF(AND(IFERROR(_xlpm.a=_xlpm.b,IFERROR(ERROR.TYPE(_xlpm.a)=ERROR.TYPE(_xlpm.b),FALSE))),"PASS","FAIL"))))</f>
        <v>0</v>
      </c>
      <c r="H234" t="inlineStr">
        <is>
          <t xml:space="preserve">b</t>
        </is>
      </c>
      <c r="I234">
        <v>-1.0</v>
      </c>
    </row>
    <row r="235">
      <c r="A235">
        <v>230</v>
      </c>
      <c r="B235" s="55" t="inlineStr">
        <is>
          <t xml:space="preserve">exlookup</t>
        </is>
      </c>
      <c r="C235" t="inlineStr">
        <is>
          <t xml:space="preserve">exlookup!L12</t>
        </is>
      </c>
      <c r="D235" s="51" t="inlineStr">
        <is>
          <t xml:space="preserve">textnum</t>
        </is>
      </c>
      <c r="E235" t="inlineStr">
        <is>
          <t xml:space="preserve">exlookup("b",{"b";"B";"b"},{1;2;3},,,"-1")</t>
        </is>
      </c>
      <c r="F235" s="51" cm="1">
        <f t="array" ref="F235">_xlfn.LET(_xlpm.a,exlookup("b",{"b";"B";"b"},{1;2;3},,,-1),_xlpm.b,exlookup("b",{"b";"B";"b"},{1;2;3},,,"-1"),_xlpm.sa,IFERROR(ROWS(_xlpm.a)&amp;"x"&amp;COLUMNS(_xlpm.a),"err"),_xlpm.sb,IFERROR(ROWS(_xlpm.b)&amp;"x"&amp;COLUMNS(_xlpm.b),"err"),IF(_xlpm.sa&lt;&gt;_xlpm.sb,"FAIL",IF(_xlpm.sa="err",IF(ERROR.TYPE(_xlpm.a)=ERROR.TYPE(_xlpm.b),"PASS","FAIL"),IF(AND(IFERROR(_xlpm.a=_xlpm.b,IFERROR(ERROR.TYPE(_xlpm.a)=ERROR.TYPE(_xlpm.b),FALSE))),"PASS","FAIL"))))</f>
        <v>0</v>
      </c>
    </row>
    <row r="236">
      <c r="A236">
        <v>231</v>
      </c>
      <c r="B236" s="55" t="inlineStr">
        <is>
          <t xml:space="preserve">exlookup</t>
        </is>
      </c>
      <c r="C236" t="inlineStr">
        <is>
          <t xml:space="preserve">exlookup!L12</t>
        </is>
      </c>
      <c r="D236" s="51" t="inlineStr">
        <is>
          <t xml:space="preserve">blank</t>
        </is>
      </c>
      <c r="E236" t="inlineStr">
        <is>
          <t xml:space="preserve">exlookup("b",{"b";"B";"b"},{1;2;3},,shape_tests!$Z$1,-1)</t>
        </is>
      </c>
      <c r="F236" s="51" cm="1">
        <f t="array" ref="F236">_xlfn.LET(_xlpm.a,exlookup("b",{"b";"B";"b"},{1;2;3},,,-1),_xlpm.b,exlookup("b",{"b";"B";"b"},{1;2;3},,shape_tests!$Z$1,-1),_xlpm.sa,IFERROR(ROWS(_xlpm.a)&amp;"x"&amp;COLUMNS(_xlpm.a),"err"),_xlpm.sb,IFERROR(ROWS(_xlpm.b)&amp;"x"&amp;COLUMNS(_xlpm.b),"err"),IF(_xlpm.sa&lt;&gt;_xlpm.sb,"FAIL",IF(_xlpm.sa="err",IF(ERROR.TYPE(_xlpm.a)=ERROR.TYPE(_xlpm.b),"PASS","FAIL"),IF(AND(IFERROR(_xlpm.a=_xlpm.b,IFERROR(ERROR.TYPE(_xlpm.a)=ERROR.TYPE(_xlpm.b),FALSE))),"PASS","FAIL"))))</f>
        <v>0</v>
      </c>
    </row>
    <row r="237">
      <c r="A237">
        <v>232</v>
      </c>
      <c r="B237" s="55" t="inlineStr">
        <is>
          <t xml:space="preserve">exlookup</t>
        </is>
      </c>
      <c r="C237" t="inlineStr">
        <is>
          <t xml:space="preserve">exlookup!L14</t>
        </is>
      </c>
      <c r="D237" s="51" t="inlineStr">
        <is>
          <t xml:space="preserve">tocol</t>
        </is>
      </c>
      <c r="E237" t="inlineStr">
        <is>
          <t xml:space="preserve">exlookup(TOCOL("b"),{"A","b","B"},{1,2,3})</t>
        </is>
      </c>
      <c r="F237" s="51" cm="1">
        <f t="array" ref="F237">_xlfn.LET(_xlpm.a,exlookup("b",{"A","b","B"},{1,2,3}),_xlpm.b,exlookup(_xlfn.TOCOL("b"),{"A","b","B"},{1,2,3}),_xlpm.sa,IFERROR(ROWS(_xlpm.a)&amp;"x"&amp;COLUMNS(_xlpm.a),"err"),_xlpm.sb,IFERROR(ROWS(_xlpm.b)&amp;"x"&amp;COLUMNS(_xlpm.b),"err"),IF(_xlpm.sa&lt;&gt;_xlpm.sb,"FAIL",IF(_xlpm.sa="err",IF(ERROR.TYPE(_xlpm.a)=ERROR.TYPE(_xlpm.b),"PASS","FAIL"),IF(AND(IFERROR(_xlpm.a=_xlpm.b,IFERROR(ERROR.TYPE(_xlpm.a)=ERROR.TYPE(_xlpm.b),FALSE))),"PASS","FAIL"))))</f>
        <v>0</v>
      </c>
    </row>
    <row r="238">
      <c r="A238">
        <v>233</v>
      </c>
      <c r="B238" s="55" t="inlineStr">
        <is>
          <t xml:space="preserve">exlookup</t>
        </is>
      </c>
      <c r="C238" t="inlineStr">
        <is>
          <t xml:space="preserve">exlookup!L14</t>
        </is>
      </c>
      <c r="D238" s="51" t="inlineStr">
        <is>
          <t xml:space="preserve">cellref</t>
        </is>
      </c>
      <c r="E238" t="inlineStr">
        <is>
          <t xml:space="preserve">exlookup(shape_tests!$H$238,{"A","b","B"},{1,2,3})</t>
        </is>
      </c>
      <c r="F238" s="51" cm="1">
        <f t="array" ref="F238">_xlfn.LET(_xlpm.a,exlookup("b",{"A","b","B"},{1,2,3}),_xlpm.b,exlookup(shape_tests!$H$238,{"A","b","B"},{1,2,3}),_xlpm.sa,IFERROR(ROWS(_xlpm.a)&amp;"x"&amp;COLUMNS(_xlpm.a),"err"),_xlpm.sb,IFERROR(ROWS(_xlpm.b)&amp;"x"&amp;COLUMNS(_xlpm.b),"err"),IF(_xlpm.sa&lt;&gt;_xlpm.sb,"FAIL",IF(_xlpm.sa="err",IF(ERROR.TYPE(_xlpm.a)=ERROR.TYPE(_xlpm.b),"PASS","FAIL"),IF(AND(IFERROR(_xlpm.a=_xlpm.b,IFERROR(ERROR.TYPE(_xlpm.a)=ERROR.TYPE(_xlpm.b),FALSE))),"PASS","FAIL"))))</f>
        <v>0</v>
      </c>
      <c r="H238" t="inlineStr">
        <is>
          <t xml:space="preserve">b</t>
        </is>
      </c>
    </row>
    <row r="239">
      <c r="A239">
        <v>234</v>
      </c>
      <c r="B239" s="55" t="inlineStr">
        <is>
          <t xml:space="preserve">exlookup</t>
        </is>
      </c>
      <c r="C239" t="inlineStr">
        <is>
          <t xml:space="preserve">exlookup!L14</t>
        </is>
      </c>
      <c r="D239" s="51" t="inlineStr">
        <is>
          <t xml:space="preserve">blank</t>
        </is>
      </c>
      <c r="E239" t="inlineStr">
        <is>
          <t xml:space="preserve">exlookup("b",{"A","b","B"},{1,2,3},,shape_tests!$Z$1,shape_tests!$Z$1)</t>
        </is>
      </c>
      <c r="F239" s="51" cm="1">
        <f t="array" ref="F239">_xlfn.LET(_xlpm.a,exlookup("b",{"A","b","B"},{1,2,3}),_xlpm.b,exlookup("b",{"A","b","B"},{1,2,3},,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40">
      <c r="A240">
        <v>235</v>
      </c>
      <c r="B240" s="55" t="inlineStr">
        <is>
          <t xml:space="preserve">exlookup</t>
        </is>
      </c>
      <c r="C240" t="inlineStr">
        <is>
          <t xml:space="preserve">exlookup!L16</t>
        </is>
      </c>
      <c r="D240" s="51" t="inlineStr">
        <is>
          <t xml:space="preserve">tocol</t>
        </is>
      </c>
      <c r="E240" t="inlineStr">
        <is>
          <t xml:space="preserve">exlookup(TOCOL("b"),{"A";"b"},{1,10;2,20})</t>
        </is>
      </c>
      <c r="F240" s="51" cm="1">
        <f t="array" ref="F240">_xlfn.LET(_xlpm.a,exlookup("b",{"A";"b"},{1,10;2,20}),_xlpm.b,exlookup(_xlfn.TOCOL("b"),{"A";"b"},{1,10;2,20}),_xlpm.sa,IFERROR(ROWS(_xlpm.a)&amp;"x"&amp;COLUMNS(_xlpm.a),"err"),_xlpm.sb,IFERROR(ROWS(_xlpm.b)&amp;"x"&amp;COLUMNS(_xlpm.b),"err"),IF(_xlpm.sa&lt;&gt;_xlpm.sb,"FAIL",IF(_xlpm.sa="err",IF(ERROR.TYPE(_xlpm.a)=ERROR.TYPE(_xlpm.b),"PASS","FAIL"),IF(AND(IFERROR(_xlpm.a=_xlpm.b,IFERROR(ERROR.TYPE(_xlpm.a)=ERROR.TYPE(_xlpm.b),FALSE))),"PASS","FAIL"))))</f>
        <v>0</v>
      </c>
    </row>
    <row r="241">
      <c r="A241">
        <v>236</v>
      </c>
      <c r="B241" s="55" t="inlineStr">
        <is>
          <t xml:space="preserve">exlookup</t>
        </is>
      </c>
      <c r="C241" t="inlineStr">
        <is>
          <t xml:space="preserve">exlookup!L16</t>
        </is>
      </c>
      <c r="D241" s="51" t="inlineStr">
        <is>
          <t xml:space="preserve">cellref</t>
        </is>
      </c>
      <c r="E241" t="inlineStr">
        <is>
          <t xml:space="preserve">exlookup(shape_tests!$H$241,{"A";"b"},{1,10;2,20})</t>
        </is>
      </c>
      <c r="F241" s="51" cm="1">
        <f t="array" ref="F241">_xlfn.LET(_xlpm.a,exlookup("b",{"A";"b"},{1,10;2,20}),_xlpm.b,exlookup(shape_tests!$H$241,{"A";"b"},{1,10;2,20}),_xlpm.sa,IFERROR(ROWS(_xlpm.a)&amp;"x"&amp;COLUMNS(_xlpm.a),"err"),_xlpm.sb,IFERROR(ROWS(_xlpm.b)&amp;"x"&amp;COLUMNS(_xlpm.b),"err"),IF(_xlpm.sa&lt;&gt;_xlpm.sb,"FAIL",IF(_xlpm.sa="err",IF(ERROR.TYPE(_xlpm.a)=ERROR.TYPE(_xlpm.b),"PASS","FAIL"),IF(AND(IFERROR(_xlpm.a=_xlpm.b,IFERROR(ERROR.TYPE(_xlpm.a)=ERROR.TYPE(_xlpm.b),FALSE))),"PASS","FAIL"))))</f>
        <v>0</v>
      </c>
      <c r="H241" t="inlineStr">
        <is>
          <t xml:space="preserve">b</t>
        </is>
      </c>
    </row>
    <row r="242">
      <c r="A242">
        <v>237</v>
      </c>
      <c r="B242" s="55" t="inlineStr">
        <is>
          <t xml:space="preserve">exlookup</t>
        </is>
      </c>
      <c r="C242" t="inlineStr">
        <is>
          <t xml:space="preserve">exlookup!L16</t>
        </is>
      </c>
      <c r="D242" s="51" t="inlineStr">
        <is>
          <t xml:space="preserve">blank</t>
        </is>
      </c>
      <c r="E242" t="inlineStr">
        <is>
          <t xml:space="preserve">exlookup("b",{"A";"b"},{1,10;2,20},,shape_tests!$Z$1,shape_tests!$Z$1)</t>
        </is>
      </c>
      <c r="F242" s="51" cm="1">
        <f t="array" ref="F242">_xlfn.LET(_xlpm.a,exlookup("b",{"A";"b"},{1,10;2,20}),_xlpm.b,exlookup("b",{"A";"b"},{1,10;2,20},,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43">
      <c r="A243">
        <v>238</v>
      </c>
      <c r="B243" s="55" t="inlineStr">
        <is>
          <t xml:space="preserve">exlookup</t>
        </is>
      </c>
      <c r="C243" t="inlineStr">
        <is>
          <t xml:space="preserve">exlookup!L18</t>
        </is>
      </c>
      <c r="D243" s="51" t="inlineStr">
        <is>
          <t xml:space="preserve">blank</t>
        </is>
      </c>
      <c r="E243" t="inlineStr">
        <is>
          <t xml:space="preserve">exlookup({"b";"A"},{"A";"b"},{1;2},,shape_tests!$Z$1,shape_tests!$Z$1)</t>
        </is>
      </c>
      <c r="F243" s="51" cm="1">
        <f t="array" ref="F243">_xlfn.LET(_xlpm.a,exlookup({"b";"A"},{"A";"b"},{1;2}),_xlpm.b,exlookup({"b";"A"},{"A";"b"},{1;2},,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44">
      <c r="A244">
        <v>239</v>
      </c>
      <c r="B244" s="55" t="inlineStr">
        <is>
          <t xml:space="preserve">exlookup</t>
        </is>
      </c>
      <c r="C244" t="inlineStr">
        <is>
          <t xml:space="preserve">exlookup!L21</t>
        </is>
      </c>
      <c r="D244" s="51" t="inlineStr">
        <is>
          <t xml:space="preserve">tocol</t>
        </is>
      </c>
      <c r="E244" t="inlineStr">
        <is>
          <t xml:space="preserve">exlookup(TOCOL(2),{1;2;3},{"x";"y";"z"})</t>
        </is>
      </c>
      <c r="F244" s="51" cm="1">
        <f t="array" ref="F244">_xlfn.LET(_xlpm.a,exlookup(2,{1;2;3},{"x";"y";"z"}),_xlpm.b,exlookup(_xlfn.TOCOL(2),{1;2;3},{"x";"y";"z"}),_xlpm.sa,IFERROR(ROWS(_xlpm.a)&amp;"x"&amp;COLUMNS(_xlpm.a),"err"),_xlpm.sb,IFERROR(ROWS(_xlpm.b)&amp;"x"&amp;COLUMNS(_xlpm.b),"err"),IF(_xlpm.sa&lt;&gt;_xlpm.sb,"FAIL",IF(_xlpm.sa="err",IF(ERROR.TYPE(_xlpm.a)=ERROR.TYPE(_xlpm.b),"PASS","FAIL"),IF(AND(IFERROR(_xlpm.a=_xlpm.b,IFERROR(ERROR.TYPE(_xlpm.a)=ERROR.TYPE(_xlpm.b),FALSE))),"PASS","FAIL"))))</f>
        <v>0</v>
      </c>
    </row>
    <row r="245">
      <c r="A245">
        <v>240</v>
      </c>
      <c r="B245" s="55" t="inlineStr">
        <is>
          <t xml:space="preserve">exlookup</t>
        </is>
      </c>
      <c r="C245" t="inlineStr">
        <is>
          <t xml:space="preserve">exlookup!L21</t>
        </is>
      </c>
      <c r="D245" s="51" t="inlineStr">
        <is>
          <t xml:space="preserve">cellref</t>
        </is>
      </c>
      <c r="E245" t="inlineStr">
        <is>
          <t xml:space="preserve">exlookup(shape_tests!$H$245,{1;2;3},{"x";"y";"z"})</t>
        </is>
      </c>
      <c r="F245" s="51" cm="1">
        <f t="array" ref="F245">_xlfn.LET(_xlpm.a,exlookup(2,{1;2;3},{"x";"y";"z"}),_xlpm.b,exlookup(shape_tests!$H$245,{1;2;3},{"x";"y";"z"}),_xlpm.sa,IFERROR(ROWS(_xlpm.a)&amp;"x"&amp;COLUMNS(_xlpm.a),"err"),_xlpm.sb,IFERROR(ROWS(_xlpm.b)&amp;"x"&amp;COLUMNS(_xlpm.b),"err"),IF(_xlpm.sa&lt;&gt;_xlpm.sb,"FAIL",IF(_xlpm.sa="err",IF(ERROR.TYPE(_xlpm.a)=ERROR.TYPE(_xlpm.b),"PASS","FAIL"),IF(AND(IFERROR(_xlpm.a=_xlpm.b,IFERROR(ERROR.TYPE(_xlpm.a)=ERROR.TYPE(_xlpm.b),FALSE))),"PASS","FAIL"))))</f>
        <v>0</v>
      </c>
      <c r="H245">
        <v>2.0</v>
      </c>
    </row>
    <row r="246">
      <c r="A246">
        <v>241</v>
      </c>
      <c r="B246" s="55" t="inlineStr">
        <is>
          <t xml:space="preserve">exlookup</t>
        </is>
      </c>
      <c r="C246" t="inlineStr">
        <is>
          <t xml:space="preserve">exlookup!L21</t>
        </is>
      </c>
      <c r="D246" s="51" t="inlineStr">
        <is>
          <t xml:space="preserve">blank</t>
        </is>
      </c>
      <c r="E246" t="inlineStr">
        <is>
          <t xml:space="preserve">exlookup(2,{1;2;3},{"x";"y";"z"},,shape_tests!$Z$1,shape_tests!$Z$1)</t>
        </is>
      </c>
      <c r="F246" s="51" cm="1">
        <f t="array" ref="F246">_xlfn.LET(_xlpm.a,exlookup(2,{1;2;3},{"x";"y";"z"}),_xlpm.b,exlookup(2,{1;2;3},{"x";"y";"z"},,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47">
      <c r="A247">
        <v>242</v>
      </c>
      <c r="B247" s="55" t="inlineStr">
        <is>
          <t xml:space="preserve">exlookup</t>
        </is>
      </c>
      <c r="C247" t="inlineStr">
        <is>
          <t xml:space="preserve">exlookup!L23</t>
        </is>
      </c>
      <c r="D247" s="51" t="inlineStr">
        <is>
          <t xml:space="preserve">tocol</t>
        </is>
      </c>
      <c r="E247" t="inlineStr">
        <is>
          <t xml:space="preserve">exlookup(TOCOL("b*t"),{"Bat";"bat";"cat"},{1;2;3},,TOCOL(2))</t>
        </is>
      </c>
      <c r="F247" s="51" cm="1">
        <f t="array" ref="F247">_xlfn.LET(_xlpm.a,exlookup("b*t",{"Bat";"bat";"cat"},{1;2;3},,2),_xlpm.b,exlookup(_xlfn.TOCOL("b*t"),{"Bat";"bat";"cat"},{1;2;3},,_xlfn.TOCOL(2)),_xlpm.sa,IFERROR(ROWS(_xlpm.a)&amp;"x"&amp;COLUMNS(_xlpm.a),"err"),_xlpm.sb,IFERROR(ROWS(_xlpm.b)&amp;"x"&amp;COLUMNS(_xlpm.b),"err"),IF(_xlpm.sa&lt;&gt;_xlpm.sb,"FAIL",IF(_xlpm.sa="err",IF(ERROR.TYPE(_xlpm.a)=ERROR.TYPE(_xlpm.b),"PASS","FAIL"),IF(AND(IFERROR(_xlpm.a=_xlpm.b,IFERROR(ERROR.TYPE(_xlpm.a)=ERROR.TYPE(_xlpm.b),FALSE))),"PASS","FAIL"))))</f>
        <v>0</v>
      </c>
    </row>
    <row r="248">
      <c r="A248">
        <v>243</v>
      </c>
      <c r="B248" s="55" t="inlineStr">
        <is>
          <t xml:space="preserve">exlookup</t>
        </is>
      </c>
      <c r="C248" t="inlineStr">
        <is>
          <t xml:space="preserve">exlookup!L23</t>
        </is>
      </c>
      <c r="D248" s="51" t="inlineStr">
        <is>
          <t xml:space="preserve">cellref</t>
        </is>
      </c>
      <c r="E248" t="inlineStr">
        <is>
          <t xml:space="preserve">exlookup(shape_tests!$H$248,{"Bat";"bat";"cat"},{1;2;3},,shape_tests!$I$248)</t>
        </is>
      </c>
      <c r="F248" s="51" cm="1">
        <f t="array" ref="F248">_xlfn.LET(_xlpm.a,exlookup("b*t",{"Bat";"bat";"cat"},{1;2;3},,2),_xlpm.b,exlookup(shape_tests!$H$248,{"Bat";"bat";"cat"},{1;2;3},,shape_tests!$I$248),_xlpm.sa,IFERROR(ROWS(_xlpm.a)&amp;"x"&amp;COLUMNS(_xlpm.a),"err"),_xlpm.sb,IFERROR(ROWS(_xlpm.b)&amp;"x"&amp;COLUMNS(_xlpm.b),"err"),IF(_xlpm.sa&lt;&gt;_xlpm.sb,"FAIL",IF(_xlpm.sa="err",IF(ERROR.TYPE(_xlpm.a)=ERROR.TYPE(_xlpm.b),"PASS","FAIL"),IF(AND(IFERROR(_xlpm.a=_xlpm.b,IFERROR(ERROR.TYPE(_xlpm.a)=ERROR.TYPE(_xlpm.b),FALSE))),"PASS","FAIL"))))</f>
        <v>0</v>
      </c>
      <c r="H248" t="inlineStr">
        <is>
          <t xml:space="preserve">b*t</t>
        </is>
      </c>
      <c r="I248">
        <v>2.0</v>
      </c>
    </row>
    <row r="249">
      <c r="A249">
        <v>244</v>
      </c>
      <c r="B249" s="55" t="inlineStr">
        <is>
          <t xml:space="preserve">exlookup</t>
        </is>
      </c>
      <c r="C249" t="inlineStr">
        <is>
          <t xml:space="preserve">exlookup!L23</t>
        </is>
      </c>
      <c r="D249" s="51" t="inlineStr">
        <is>
          <t xml:space="preserve">textnum</t>
        </is>
      </c>
      <c r="E249" t="inlineStr">
        <is>
          <t xml:space="preserve">exlookup("b*t",{"Bat";"bat";"cat"},{1;2;3},,"2")</t>
        </is>
      </c>
      <c r="F249" s="51" cm="1">
        <f t="array" ref="F249">_xlfn.LET(_xlpm.a,exlookup("b*t",{"Bat";"bat";"cat"},{1;2;3},,2),_xlpm.b,exlookup("b*t",{"Bat";"bat";"cat"},{1;2;3},,"2"),_xlpm.sa,IFERROR(ROWS(_xlpm.a)&amp;"x"&amp;COLUMNS(_xlpm.a),"err"),_xlpm.sb,IFERROR(ROWS(_xlpm.b)&amp;"x"&amp;COLUMNS(_xlpm.b),"err"),IF(_xlpm.sa&lt;&gt;_xlpm.sb,"FAIL",IF(_xlpm.sa="err",IF(ERROR.TYPE(_xlpm.a)=ERROR.TYPE(_xlpm.b),"PASS","FAIL"),IF(AND(IFERROR(_xlpm.a=_xlpm.b,IFERROR(ERROR.TYPE(_xlpm.a)=ERROR.TYPE(_xlpm.b),FALSE))),"PASS","FAIL"))))</f>
        <v>0</v>
      </c>
    </row>
    <row r="250">
      <c r="A250">
        <v>245</v>
      </c>
      <c r="B250" s="55" t="inlineStr">
        <is>
          <t xml:space="preserve">exlookup</t>
        </is>
      </c>
      <c r="C250" t="inlineStr">
        <is>
          <t xml:space="preserve">exlookup!L23</t>
        </is>
      </c>
      <c r="D250" s="51" t="inlineStr">
        <is>
          <t xml:space="preserve">blank</t>
        </is>
      </c>
      <c r="E250" t="inlineStr">
        <is>
          <t xml:space="preserve">exlookup("b*t",{"Bat";"bat";"cat"},{1;2;3},,2,shape_tests!$Z$1)</t>
        </is>
      </c>
      <c r="F250" s="51" cm="1">
        <f t="array" ref="F250">_xlfn.LET(_xlpm.a,exlookup("b*t",{"Bat";"bat";"cat"},{1;2;3},,2),_xlpm.b,exlookup("b*t",{"Bat";"bat";"cat"},{1;2;3},,2,shape_tests!$Z$1),_xlpm.sa,IFERROR(ROWS(_xlpm.a)&amp;"x"&amp;COLUMNS(_xlpm.a),"err"),_xlpm.sb,IFERROR(ROWS(_xlpm.b)&amp;"x"&amp;COLUMNS(_xlpm.b),"err"),IF(_xlpm.sa&lt;&gt;_xlpm.sb,"FAIL",IF(_xlpm.sa="err",IF(ERROR.TYPE(_xlpm.a)=ERROR.TYPE(_xlpm.b),"PASS","FAIL"),IF(AND(IFERROR(_xlpm.a=_xlpm.b,IFERROR(ERROR.TYPE(_xlpm.a)=ERROR.TYPE(_xlpm.b),FALSE))),"PASS","FAIL"))))</f>
        <v>0</v>
      </c>
    </row>
    <row r="251">
      <c r="A251">
        <v>246</v>
      </c>
      <c r="B251" s="55" t="inlineStr">
        <is>
          <t xml:space="preserve">exlookup</t>
        </is>
      </c>
      <c r="C251" t="inlineStr">
        <is>
          <t xml:space="preserve">exlookup!L25</t>
        </is>
      </c>
      <c r="D251" s="51" t="inlineStr">
        <is>
          <t xml:space="preserve">tocol</t>
        </is>
      </c>
      <c r="E251" t="inlineStr">
        <is>
          <t xml:space="preserve">exlookup(TOCOL("a.c"),{"abc";"xyz"},{1;2},TOCOL("none"),TOCOL(2))</t>
        </is>
      </c>
      <c r="F251" s="51" cm="1">
        <f t="array" ref="F251">_xlfn.LET(_xlpm.a,exlookup("a.c",{"abc";"xyz"},{1;2},"none",2),_xlpm.b,exlookup(_xlfn.TOCOL("a.c"),{"abc";"xyz"},{1;2},_xlfn.TOCOL("none"),_xlfn.TOCOL(2)),_xlpm.sa,IFERROR(ROWS(_xlpm.a)&amp;"x"&amp;COLUMNS(_xlpm.a),"err"),_xlpm.sb,IFERROR(ROWS(_xlpm.b)&amp;"x"&amp;COLUMNS(_xlpm.b),"err"),IF(_xlpm.sa&lt;&gt;_xlpm.sb,"FAIL",IF(_xlpm.sa="err",IF(ERROR.TYPE(_xlpm.a)=ERROR.TYPE(_xlpm.b),"PASS","FAIL"),IF(AND(IFERROR(_xlpm.a=_xlpm.b,IFERROR(ERROR.TYPE(_xlpm.a)=ERROR.TYPE(_xlpm.b),FALSE))),"PASS","FAIL"))))</f>
        <v>0</v>
      </c>
    </row>
    <row r="252">
      <c r="A252">
        <v>247</v>
      </c>
      <c r="B252" s="55" t="inlineStr">
        <is>
          <t xml:space="preserve">exlookup</t>
        </is>
      </c>
      <c r="C252" t="inlineStr">
        <is>
          <t xml:space="preserve">exlookup!L25</t>
        </is>
      </c>
      <c r="D252" s="51" t="inlineStr">
        <is>
          <t xml:space="preserve">cellref</t>
        </is>
      </c>
      <c r="E252" t="inlineStr">
        <is>
          <t xml:space="preserve">exlookup(shape_tests!$H$252,{"abc";"xyz"},{1;2},shape_tests!$I$252,shape_tests!$J$252)</t>
        </is>
      </c>
      <c r="F252" s="51" cm="1">
        <f t="array" ref="F252">_xlfn.LET(_xlpm.a,exlookup("a.c",{"abc";"xyz"},{1;2},"none",2),_xlpm.b,exlookup(shape_tests!$H$252,{"abc";"xyz"},{1;2},shape_tests!$I$252,shape_tests!$J$252),_xlpm.sa,IFERROR(ROWS(_xlpm.a)&amp;"x"&amp;COLUMNS(_xlpm.a),"err"),_xlpm.sb,IFERROR(ROWS(_xlpm.b)&amp;"x"&amp;COLUMNS(_xlpm.b),"err"),IF(_xlpm.sa&lt;&gt;_xlpm.sb,"FAIL",IF(_xlpm.sa="err",IF(ERROR.TYPE(_xlpm.a)=ERROR.TYPE(_xlpm.b),"PASS","FAIL"),IF(AND(IFERROR(_xlpm.a=_xlpm.b,IFERROR(ERROR.TYPE(_xlpm.a)=ERROR.TYPE(_xlpm.b),FALSE))),"PASS","FAIL"))))</f>
        <v>0</v>
      </c>
      <c r="H252" t="inlineStr">
        <is>
          <t xml:space="preserve">a.c</t>
        </is>
      </c>
      <c r="I252" t="inlineStr">
        <is>
          <t xml:space="preserve">none</t>
        </is>
      </c>
      <c r="J252">
        <v>2.0</v>
      </c>
    </row>
    <row r="253">
      <c r="A253">
        <v>248</v>
      </c>
      <c r="B253" s="55" t="inlineStr">
        <is>
          <t xml:space="preserve">exlookup</t>
        </is>
      </c>
      <c r="C253" t="inlineStr">
        <is>
          <t xml:space="preserve">exlookup!L25</t>
        </is>
      </c>
      <c r="D253" s="51" t="inlineStr">
        <is>
          <t xml:space="preserve">textnum</t>
        </is>
      </c>
      <c r="E253" t="inlineStr">
        <is>
          <t xml:space="preserve">exlookup("a.c",{"abc";"xyz"},{1;2},"none","2")</t>
        </is>
      </c>
      <c r="F253" s="51" cm="1">
        <f t="array" ref="F253">_xlfn.LET(_xlpm.a,exlookup("a.c",{"abc";"xyz"},{1;2},"none",2),_xlpm.b,exlookup("a.c",{"abc";"xyz"},{1;2},"none","2"),_xlpm.sa,IFERROR(ROWS(_xlpm.a)&amp;"x"&amp;COLUMNS(_xlpm.a),"err"),_xlpm.sb,IFERROR(ROWS(_xlpm.b)&amp;"x"&amp;COLUMNS(_xlpm.b),"err"),IF(_xlpm.sa&lt;&gt;_xlpm.sb,"FAIL",IF(_xlpm.sa="err",IF(ERROR.TYPE(_xlpm.a)=ERROR.TYPE(_xlpm.b),"PASS","FAIL"),IF(AND(IFERROR(_xlpm.a=_xlpm.b,IFERROR(ERROR.TYPE(_xlpm.a)=ERROR.TYPE(_xlpm.b),FALSE))),"PASS","FAIL"))))</f>
        <v>0</v>
      </c>
    </row>
    <row r="254">
      <c r="A254">
        <v>249</v>
      </c>
      <c r="B254" s="55" t="inlineStr">
        <is>
          <t xml:space="preserve">exlookup</t>
        </is>
      </c>
      <c r="C254" t="inlineStr">
        <is>
          <t xml:space="preserve">exlookup!L25</t>
        </is>
      </c>
      <c r="D254" s="51" t="inlineStr">
        <is>
          <t xml:space="preserve">blank</t>
        </is>
      </c>
      <c r="E254" t="inlineStr">
        <is>
          <t xml:space="preserve">exlookup("a.c",{"abc";"xyz"},{1;2},"none",2,shape_tests!$Z$1)</t>
        </is>
      </c>
      <c r="F254" s="51" cm="1">
        <f t="array" ref="F254">_xlfn.LET(_xlpm.a,exlookup("a.c",{"abc";"xyz"},{1;2},"none",2),_xlpm.b,exlookup("a.c",{"abc";"xyz"},{1;2},"none",2,shape_tests!$Z$1),_xlpm.sa,IFERROR(ROWS(_xlpm.a)&amp;"x"&amp;COLUMNS(_xlpm.a),"err"),_xlpm.sb,IFERROR(ROWS(_xlpm.b)&amp;"x"&amp;COLUMNS(_xlpm.b),"err"),IF(_xlpm.sa&lt;&gt;_xlpm.sb,"FAIL",IF(_xlpm.sa="err",IF(ERROR.TYPE(_xlpm.a)=ERROR.TYPE(_xlpm.b),"PASS","FAIL"),IF(AND(IFERROR(_xlpm.a=_xlpm.b,IFERROR(ERROR.TYPE(_xlpm.a)=ERROR.TYPE(_xlpm.b),FALSE))),"PASS","FAIL"))))</f>
        <v>0</v>
      </c>
    </row>
    <row r="255">
      <c r="A255">
        <v>250</v>
      </c>
      <c r="B255" s="55" t="inlineStr">
        <is>
          <t xml:space="preserve">exlookup</t>
        </is>
      </c>
      <c r="C255" t="inlineStr">
        <is>
          <t xml:space="preserve">exlookup!L27</t>
        </is>
      </c>
      <c r="D255" s="51" t="inlineStr">
        <is>
          <t xml:space="preserve">tocol</t>
        </is>
      </c>
      <c r="E255" t="inlineStr">
        <is>
          <t xml:space="preserve">exlookup(TOCOL(2.5),{1;2;3},{"a";"b";"c"},,TOCOL(-1))</t>
        </is>
      </c>
      <c r="F255" s="51" cm="1">
        <f t="array" ref="F255">_xlfn.LET(_xlpm.a,exlookup(2.5,{1;2;3},{"a";"b";"c"},,-1),_xlpm.b,exlookup(_xlfn.TOCOL(2.5),{1;2;3},{"a";"b";"c"},,_xlfn.TOCOL(-1)),_xlpm.sa,IFERROR(ROWS(_xlpm.a)&amp;"x"&amp;COLUMNS(_xlpm.a),"err"),_xlpm.sb,IFERROR(ROWS(_xlpm.b)&amp;"x"&amp;COLUMNS(_xlpm.b),"err"),IF(_xlpm.sa&lt;&gt;_xlpm.sb,"FAIL",IF(_xlpm.sa="err",IF(ERROR.TYPE(_xlpm.a)=ERROR.TYPE(_xlpm.b),"PASS","FAIL"),IF(AND(IFERROR(_xlpm.a=_xlpm.b,IFERROR(ERROR.TYPE(_xlpm.a)=ERROR.TYPE(_xlpm.b),FALSE))),"PASS","FAIL"))))</f>
        <v>0</v>
      </c>
    </row>
    <row r="256">
      <c r="A256">
        <v>251</v>
      </c>
      <c r="B256" s="55" t="inlineStr">
        <is>
          <t xml:space="preserve">exlookup</t>
        </is>
      </c>
      <c r="C256" t="inlineStr">
        <is>
          <t xml:space="preserve">exlookup!L27</t>
        </is>
      </c>
      <c r="D256" s="51" t="inlineStr">
        <is>
          <t xml:space="preserve">cellref</t>
        </is>
      </c>
      <c r="E256" t="inlineStr">
        <is>
          <t xml:space="preserve">exlookup(shape_tests!$H$256,{1;2;3},{"a";"b";"c"},,shape_tests!$I$256)</t>
        </is>
      </c>
      <c r="F256" s="51" cm="1">
        <f t="array" ref="F256">_xlfn.LET(_xlpm.a,exlookup(2.5,{1;2;3},{"a";"b";"c"},,-1),_xlpm.b,exlookup(shape_tests!$H$256,{1;2;3},{"a";"b";"c"},,shape_tests!$I$256),_xlpm.sa,IFERROR(ROWS(_xlpm.a)&amp;"x"&amp;COLUMNS(_xlpm.a),"err"),_xlpm.sb,IFERROR(ROWS(_xlpm.b)&amp;"x"&amp;COLUMNS(_xlpm.b),"err"),IF(_xlpm.sa&lt;&gt;_xlpm.sb,"FAIL",IF(_xlpm.sa="err",IF(ERROR.TYPE(_xlpm.a)=ERROR.TYPE(_xlpm.b),"PASS","FAIL"),IF(AND(IFERROR(_xlpm.a=_xlpm.b,IFERROR(ERROR.TYPE(_xlpm.a)=ERROR.TYPE(_xlpm.b),FALSE))),"PASS","FAIL"))))</f>
        <v>0</v>
      </c>
      <c r="H256">
        <v>2.5</v>
      </c>
      <c r="I256">
        <v>-1.0</v>
      </c>
    </row>
    <row r="257">
      <c r="A257">
        <v>252</v>
      </c>
      <c r="B257" s="55" t="inlineStr">
        <is>
          <t xml:space="preserve">exlookup</t>
        </is>
      </c>
      <c r="C257" t="inlineStr">
        <is>
          <t xml:space="preserve">exlookup!L27</t>
        </is>
      </c>
      <c r="D257" s="51" t="inlineStr">
        <is>
          <t xml:space="preserve">textnum</t>
        </is>
      </c>
      <c r="E257" t="inlineStr">
        <is>
          <t xml:space="preserve">exlookup(2.5,{1;2;3},{"a";"b";"c"},,"-1")</t>
        </is>
      </c>
      <c r="F257" s="51" cm="1">
        <f t="array" ref="F257">_xlfn.LET(_xlpm.a,exlookup(2.5,{1;2;3},{"a";"b";"c"},,-1),_xlpm.b,exlookup(2.5,{1;2;3},{"a";"b";"c"},,"-1"),_xlpm.sa,IFERROR(ROWS(_xlpm.a)&amp;"x"&amp;COLUMNS(_xlpm.a),"err"),_xlpm.sb,IFERROR(ROWS(_xlpm.b)&amp;"x"&amp;COLUMNS(_xlpm.b),"err"),IF(_xlpm.sa&lt;&gt;_xlpm.sb,"FAIL",IF(_xlpm.sa="err",IF(ERROR.TYPE(_xlpm.a)=ERROR.TYPE(_xlpm.b),"PASS","FAIL"),IF(AND(IFERROR(_xlpm.a=_xlpm.b,IFERROR(ERROR.TYPE(_xlpm.a)=ERROR.TYPE(_xlpm.b),FALSE))),"PASS","FAIL"))))</f>
        <v>0</v>
      </c>
    </row>
    <row r="258">
      <c r="A258">
        <v>253</v>
      </c>
      <c r="B258" s="55" t="inlineStr">
        <is>
          <t xml:space="preserve">exlookup</t>
        </is>
      </c>
      <c r="C258" t="inlineStr">
        <is>
          <t xml:space="preserve">exlookup!L27</t>
        </is>
      </c>
      <c r="D258" s="51" t="inlineStr">
        <is>
          <t xml:space="preserve">blank</t>
        </is>
      </c>
      <c r="E258" t="inlineStr">
        <is>
          <t xml:space="preserve">exlookup(2.5,{1;2;3},{"a";"b";"c"},,-1,shape_tests!$Z$1)</t>
        </is>
      </c>
      <c r="F258" s="51" cm="1">
        <f t="array" ref="F258">_xlfn.LET(_xlpm.a,exlookup(2.5,{1;2;3},{"a";"b";"c"},,-1),_xlpm.b,exlookup(2.5,{1;2;3},{"a";"b";"c"},,-1,shape_tests!$Z$1),_xlpm.sa,IFERROR(ROWS(_xlpm.a)&amp;"x"&amp;COLUMNS(_xlpm.a),"err"),_xlpm.sb,IFERROR(ROWS(_xlpm.b)&amp;"x"&amp;COLUMNS(_xlpm.b),"err"),IF(_xlpm.sa&lt;&gt;_xlpm.sb,"FAIL",IF(_xlpm.sa="err",IF(ERROR.TYPE(_xlpm.a)=ERROR.TYPE(_xlpm.b),"PASS","FAIL"),IF(AND(IFERROR(_xlpm.a=_xlpm.b,IFERROR(ERROR.TYPE(_xlpm.a)=ERROR.TYPE(_xlpm.b),FALSE))),"PASS","FAIL"))))</f>
        <v>0</v>
      </c>
    </row>
    <row r="259">
      <c r="A259">
        <v>254</v>
      </c>
      <c r="B259" s="55" t="inlineStr">
        <is>
          <t xml:space="preserve">exlookup</t>
        </is>
      </c>
      <c r="C259" t="inlineStr">
        <is>
          <t xml:space="preserve">exlookup!L29</t>
        </is>
      </c>
      <c r="D259" s="51" t="inlineStr">
        <is>
          <t xml:space="preserve">tocol</t>
        </is>
      </c>
      <c r="E259" t="inlineStr">
        <is>
          <t xml:space="preserve">exlookup(TOCOL(2.5),{1;2;3},{"a";"b";"c"},,TOCOL(1))</t>
        </is>
      </c>
      <c r="F259" s="51" cm="1">
        <f t="array" ref="F259">_xlfn.LET(_xlpm.a,exlookup(2.5,{1;2;3},{"a";"b";"c"},,1),_xlpm.b,exlookup(_xlfn.TOCOL(2.5),{1;2;3},{"a";"b";"c"},,_xlfn.TOCOL(1)),_xlpm.sa,IFERROR(ROWS(_xlpm.a)&amp;"x"&amp;COLUMNS(_xlpm.a),"err"),_xlpm.sb,IFERROR(ROWS(_xlpm.b)&amp;"x"&amp;COLUMNS(_xlpm.b),"err"),IF(_xlpm.sa&lt;&gt;_xlpm.sb,"FAIL",IF(_xlpm.sa="err",IF(ERROR.TYPE(_xlpm.a)=ERROR.TYPE(_xlpm.b),"PASS","FAIL"),IF(AND(IFERROR(_xlpm.a=_xlpm.b,IFERROR(ERROR.TYPE(_xlpm.a)=ERROR.TYPE(_xlpm.b),FALSE))),"PASS","FAIL"))))</f>
        <v>0</v>
      </c>
    </row>
    <row r="260">
      <c r="A260">
        <v>255</v>
      </c>
      <c r="B260" s="55" t="inlineStr">
        <is>
          <t xml:space="preserve">exlookup</t>
        </is>
      </c>
      <c r="C260" t="inlineStr">
        <is>
          <t xml:space="preserve">exlookup!L29</t>
        </is>
      </c>
      <c r="D260" s="51" t="inlineStr">
        <is>
          <t xml:space="preserve">cellref</t>
        </is>
      </c>
      <c r="E260" t="inlineStr">
        <is>
          <t xml:space="preserve">exlookup(shape_tests!$H$260,{1;2;3},{"a";"b";"c"},,shape_tests!$I$260)</t>
        </is>
      </c>
      <c r="F260" s="51" cm="1">
        <f t="array" ref="F260">_xlfn.LET(_xlpm.a,exlookup(2.5,{1;2;3},{"a";"b";"c"},,1),_xlpm.b,exlookup(shape_tests!$H$260,{1;2;3},{"a";"b";"c"},,shape_tests!$I$260),_xlpm.sa,IFERROR(ROWS(_xlpm.a)&amp;"x"&amp;COLUMNS(_xlpm.a),"err"),_xlpm.sb,IFERROR(ROWS(_xlpm.b)&amp;"x"&amp;COLUMNS(_xlpm.b),"err"),IF(_xlpm.sa&lt;&gt;_xlpm.sb,"FAIL",IF(_xlpm.sa="err",IF(ERROR.TYPE(_xlpm.a)=ERROR.TYPE(_xlpm.b),"PASS","FAIL"),IF(AND(IFERROR(_xlpm.a=_xlpm.b,IFERROR(ERROR.TYPE(_xlpm.a)=ERROR.TYPE(_xlpm.b),FALSE))),"PASS","FAIL"))))</f>
        <v>0</v>
      </c>
      <c r="H260">
        <v>2.5</v>
      </c>
      <c r="I260">
        <v>1.0</v>
      </c>
    </row>
    <row r="261">
      <c r="A261">
        <v>256</v>
      </c>
      <c r="B261" s="55" t="inlineStr">
        <is>
          <t xml:space="preserve">exlookup</t>
        </is>
      </c>
      <c r="C261" t="inlineStr">
        <is>
          <t xml:space="preserve">exlookup!L29</t>
        </is>
      </c>
      <c r="D261" s="51" t="inlineStr">
        <is>
          <t xml:space="preserve">textnum</t>
        </is>
      </c>
      <c r="E261" t="inlineStr">
        <is>
          <t xml:space="preserve">exlookup(2.5,{1;2;3},{"a";"b";"c"},,"1")</t>
        </is>
      </c>
      <c r="F261" s="51" cm="1">
        <f t="array" ref="F261">_xlfn.LET(_xlpm.a,exlookup(2.5,{1;2;3},{"a";"b";"c"},,1),_xlpm.b,exlookup(2.5,{1;2;3},{"a";"b";"c"},,"1"),_xlpm.sa,IFERROR(ROWS(_xlpm.a)&amp;"x"&amp;COLUMNS(_xlpm.a),"err"),_xlpm.sb,IFERROR(ROWS(_xlpm.b)&amp;"x"&amp;COLUMNS(_xlpm.b),"err"),IF(_xlpm.sa&lt;&gt;_xlpm.sb,"FAIL",IF(_xlpm.sa="err",IF(ERROR.TYPE(_xlpm.a)=ERROR.TYPE(_xlpm.b),"PASS","FAIL"),IF(AND(IFERROR(_xlpm.a=_xlpm.b,IFERROR(ERROR.TYPE(_xlpm.a)=ERROR.TYPE(_xlpm.b),FALSE))),"PASS","FAIL"))))</f>
        <v>0</v>
      </c>
    </row>
    <row r="262">
      <c r="A262">
        <v>257</v>
      </c>
      <c r="B262" s="55" t="inlineStr">
        <is>
          <t xml:space="preserve">exlookup</t>
        </is>
      </c>
      <c r="C262" t="inlineStr">
        <is>
          <t xml:space="preserve">exlookup!L29</t>
        </is>
      </c>
      <c r="D262" s="51" t="inlineStr">
        <is>
          <t xml:space="preserve">blank</t>
        </is>
      </c>
      <c r="E262" t="inlineStr">
        <is>
          <t xml:space="preserve">exlookup(2.5,{1;2;3},{"a";"b";"c"},,1,shape_tests!$Z$1)</t>
        </is>
      </c>
      <c r="F262" s="51" cm="1">
        <f t="array" ref="F262">_xlfn.LET(_xlpm.a,exlookup(2.5,{1;2;3},{"a";"b";"c"},,1),_xlpm.b,exlookup(2.5,{1;2;3},{"a";"b";"c"},,1,shape_tests!$Z$1),_xlpm.sa,IFERROR(ROWS(_xlpm.a)&amp;"x"&amp;COLUMNS(_xlpm.a),"err"),_xlpm.sb,IFERROR(ROWS(_xlpm.b)&amp;"x"&amp;COLUMNS(_xlpm.b),"err"),IF(_xlpm.sa&lt;&gt;_xlpm.sb,"FAIL",IF(_xlpm.sa="err",IF(ERROR.TYPE(_xlpm.a)=ERROR.TYPE(_xlpm.b),"PASS","FAIL"),IF(AND(IFERROR(_xlpm.a=_xlpm.b,IFERROR(ERROR.TYPE(_xlpm.a)=ERROR.TYPE(_xlpm.b),FALSE))),"PASS","FAIL"))))</f>
        <v>0</v>
      </c>
    </row>
    <row r="263">
      <c r="A263">
        <v>258</v>
      </c>
      <c r="B263" s="55" t="inlineStr">
        <is>
          <t xml:space="preserve">exlookup</t>
        </is>
      </c>
      <c r="C263" t="inlineStr">
        <is>
          <t xml:space="preserve">exlookup!L31</t>
        </is>
      </c>
      <c r="D263" s="51" t="inlineStr">
        <is>
          <t xml:space="preserve">tocol</t>
        </is>
      </c>
      <c r="E263" t="inlineStr">
        <is>
          <t xml:space="preserve">exlookup(TOCOL("b"),{"B";"b"},{1;2},,TOCOL(-1))</t>
        </is>
      </c>
      <c r="F263" s="51" cm="1">
        <f t="array" ref="F263">_xlfn.LET(_xlpm.a,exlookup("b",{"B";"b"},{1;2},,-1),_xlpm.b,exlookup(_xlfn.TOCOL("b"),{"B";"b"},{1;2},,_xlfn.TOCOL(-1)),_xlpm.sa,IFERROR(ROWS(_xlpm.a)&amp;"x"&amp;COLUMNS(_xlpm.a),"err"),_xlpm.sb,IFERROR(ROWS(_xlpm.b)&amp;"x"&amp;COLUMNS(_xlpm.b),"err"),IF(_xlpm.sa&lt;&gt;_xlpm.sb,"FAIL",IF(_xlpm.sa="err",IF(ERROR.TYPE(_xlpm.a)=ERROR.TYPE(_xlpm.b),"PASS","FAIL"),IF(AND(IFERROR(_xlpm.a=_xlpm.b,IFERROR(ERROR.TYPE(_xlpm.a)=ERROR.TYPE(_xlpm.b),FALSE))),"PASS","FAIL"))))</f>
        <v>0</v>
      </c>
    </row>
    <row r="264">
      <c r="A264">
        <v>259</v>
      </c>
      <c r="B264" s="55" t="inlineStr">
        <is>
          <t xml:space="preserve">exlookup</t>
        </is>
      </c>
      <c r="C264" t="inlineStr">
        <is>
          <t xml:space="preserve">exlookup!L31</t>
        </is>
      </c>
      <c r="D264" s="51" t="inlineStr">
        <is>
          <t xml:space="preserve">cellref</t>
        </is>
      </c>
      <c r="E264" t="inlineStr">
        <is>
          <t xml:space="preserve">exlookup(shape_tests!$H$264,{"B";"b"},{1;2},,shape_tests!$I$264)</t>
        </is>
      </c>
      <c r="F264" s="51" cm="1">
        <f t="array" ref="F264">_xlfn.LET(_xlpm.a,exlookup("b",{"B";"b"},{1;2},,-1),_xlpm.b,exlookup(shape_tests!$H$264,{"B";"b"},{1;2},,shape_tests!$I$264),_xlpm.sa,IFERROR(ROWS(_xlpm.a)&amp;"x"&amp;COLUMNS(_xlpm.a),"err"),_xlpm.sb,IFERROR(ROWS(_xlpm.b)&amp;"x"&amp;COLUMNS(_xlpm.b),"err"),IF(_xlpm.sa&lt;&gt;_xlpm.sb,"FAIL",IF(_xlpm.sa="err",IF(ERROR.TYPE(_xlpm.a)=ERROR.TYPE(_xlpm.b),"PASS","FAIL"),IF(AND(IFERROR(_xlpm.a=_xlpm.b,IFERROR(ERROR.TYPE(_xlpm.a)=ERROR.TYPE(_xlpm.b),FALSE))),"PASS","FAIL"))))</f>
        <v>0</v>
      </c>
      <c r="H264" t="inlineStr">
        <is>
          <t xml:space="preserve">b</t>
        </is>
      </c>
      <c r="I264">
        <v>-1.0</v>
      </c>
    </row>
    <row r="265">
      <c r="A265">
        <v>260</v>
      </c>
      <c r="B265" s="55" t="inlineStr">
        <is>
          <t xml:space="preserve">exlookup</t>
        </is>
      </c>
      <c r="C265" t="inlineStr">
        <is>
          <t xml:space="preserve">exlookup!L31</t>
        </is>
      </c>
      <c r="D265" s="51" t="inlineStr">
        <is>
          <t xml:space="preserve">textnum</t>
        </is>
      </c>
      <c r="E265" t="inlineStr">
        <is>
          <t xml:space="preserve">exlookup("b",{"B";"b"},{1;2},,"-1")</t>
        </is>
      </c>
      <c r="F265" s="51" cm="1">
        <f t="array" ref="F265">_xlfn.LET(_xlpm.a,exlookup("b",{"B";"b"},{1;2},,-1),_xlpm.b,exlookup("b",{"B";"b"},{1;2},,"-1"),_xlpm.sa,IFERROR(ROWS(_xlpm.a)&amp;"x"&amp;COLUMNS(_xlpm.a),"err"),_xlpm.sb,IFERROR(ROWS(_xlpm.b)&amp;"x"&amp;COLUMNS(_xlpm.b),"err"),IF(_xlpm.sa&lt;&gt;_xlpm.sb,"FAIL",IF(_xlpm.sa="err",IF(ERROR.TYPE(_xlpm.a)=ERROR.TYPE(_xlpm.b),"PASS","FAIL"),IF(AND(IFERROR(_xlpm.a=_xlpm.b,IFERROR(ERROR.TYPE(_xlpm.a)=ERROR.TYPE(_xlpm.b),FALSE))),"PASS","FAIL"))))</f>
        <v>0</v>
      </c>
    </row>
    <row r="266">
      <c r="A266">
        <v>261</v>
      </c>
      <c r="B266" s="55" t="inlineStr">
        <is>
          <t xml:space="preserve">exlookup</t>
        </is>
      </c>
      <c r="C266" t="inlineStr">
        <is>
          <t xml:space="preserve">exlookup!L31</t>
        </is>
      </c>
      <c r="D266" s="51" t="inlineStr">
        <is>
          <t xml:space="preserve">blank</t>
        </is>
      </c>
      <c r="E266" t="inlineStr">
        <is>
          <t xml:space="preserve">exlookup("b",{"B";"b"},{1;2},,-1,shape_tests!$Z$1)</t>
        </is>
      </c>
      <c r="F266" s="51" cm="1">
        <f t="array" ref="F266">_xlfn.LET(_xlpm.a,exlookup("b",{"B";"b"},{1;2},,-1),_xlpm.b,exlookup("b",{"B";"b"},{1;2},,-1,shape_tests!$Z$1),_xlpm.sa,IFERROR(ROWS(_xlpm.a)&amp;"x"&amp;COLUMNS(_xlpm.a),"err"),_xlpm.sb,IFERROR(ROWS(_xlpm.b)&amp;"x"&amp;COLUMNS(_xlpm.b),"err"),IF(_xlpm.sa&lt;&gt;_xlpm.sb,"FAIL",IF(_xlpm.sa="err",IF(ERROR.TYPE(_xlpm.a)=ERROR.TYPE(_xlpm.b),"PASS","FAIL"),IF(AND(IFERROR(_xlpm.a=_xlpm.b,IFERROR(ERROR.TYPE(_xlpm.a)=ERROR.TYPE(_xlpm.b),FALSE))),"PASS","FAIL"))))</f>
        <v>0</v>
      </c>
    </row>
    <row r="267">
      <c r="A267">
        <v>262</v>
      </c>
      <c r="B267" s="55" t="inlineStr">
        <is>
          <t xml:space="preserve">exlookup</t>
        </is>
      </c>
      <c r="C267" t="inlineStr">
        <is>
          <t xml:space="preserve">exlookup!L33</t>
        </is>
      </c>
      <c r="D267" s="51" t="inlineStr">
        <is>
          <t xml:space="preserve">tocol</t>
        </is>
      </c>
      <c r="E267" t="inlineStr">
        <is>
          <t xml:space="preserve">exlookup(TOCOL("~*x"),{"ax";"*x"},{1;2},,TOCOL(2))</t>
        </is>
      </c>
      <c r="F267" s="51" cm="1">
        <f t="array" ref="F267">_xlfn.LET(_xlpm.a,exlookup("~*x",{"ax";"*x"},{1;2},,2),_xlpm.b,exlookup(_xlfn.TOCOL("~*x"),{"ax";"*x"},{1;2},,_xlfn.TOCOL(2)),_xlpm.sa,IFERROR(ROWS(_xlpm.a)&amp;"x"&amp;COLUMNS(_xlpm.a),"err"),_xlpm.sb,IFERROR(ROWS(_xlpm.b)&amp;"x"&amp;COLUMNS(_xlpm.b),"err"),IF(_xlpm.sa&lt;&gt;_xlpm.sb,"FAIL",IF(_xlpm.sa="err",IF(ERROR.TYPE(_xlpm.a)=ERROR.TYPE(_xlpm.b),"PASS","FAIL"),IF(AND(IFERROR(_xlpm.a=_xlpm.b,IFERROR(ERROR.TYPE(_xlpm.a)=ERROR.TYPE(_xlpm.b),FALSE))),"PASS","FAIL"))))</f>
        <v>0</v>
      </c>
    </row>
    <row r="268">
      <c r="A268">
        <v>263</v>
      </c>
      <c r="B268" s="55" t="inlineStr">
        <is>
          <t xml:space="preserve">exlookup</t>
        </is>
      </c>
      <c r="C268" t="inlineStr">
        <is>
          <t xml:space="preserve">exlookup!L33</t>
        </is>
      </c>
      <c r="D268" s="51" t="inlineStr">
        <is>
          <t xml:space="preserve">cellref</t>
        </is>
      </c>
      <c r="E268" t="inlineStr">
        <is>
          <t xml:space="preserve">exlookup(shape_tests!$H$268,{"ax";"*x"},{1;2},,shape_tests!$I$268)</t>
        </is>
      </c>
      <c r="F268" s="51" cm="1">
        <f t="array" ref="F268">_xlfn.LET(_xlpm.a,exlookup("~*x",{"ax";"*x"},{1;2},,2),_xlpm.b,exlookup(shape_tests!$H$268,{"ax";"*x"},{1;2},,shape_tests!$I$268),_xlpm.sa,IFERROR(ROWS(_xlpm.a)&amp;"x"&amp;COLUMNS(_xlpm.a),"err"),_xlpm.sb,IFERROR(ROWS(_xlpm.b)&amp;"x"&amp;COLUMNS(_xlpm.b),"err"),IF(_xlpm.sa&lt;&gt;_xlpm.sb,"FAIL",IF(_xlpm.sa="err",IF(ERROR.TYPE(_xlpm.a)=ERROR.TYPE(_xlpm.b),"PASS","FAIL"),IF(AND(IFERROR(_xlpm.a=_xlpm.b,IFERROR(ERROR.TYPE(_xlpm.a)=ERROR.TYPE(_xlpm.b),FALSE))),"PASS","FAIL"))))</f>
        <v>0</v>
      </c>
      <c r="H268" t="inlineStr">
        <is>
          <t xml:space="preserve">~*x</t>
        </is>
      </c>
      <c r="I268">
        <v>2.0</v>
      </c>
    </row>
    <row r="269">
      <c r="A269">
        <v>264</v>
      </c>
      <c r="B269" s="55" t="inlineStr">
        <is>
          <t xml:space="preserve">exlookup</t>
        </is>
      </c>
      <c r="C269" t="inlineStr">
        <is>
          <t xml:space="preserve">exlookup!L33</t>
        </is>
      </c>
      <c r="D269" s="51" t="inlineStr">
        <is>
          <t xml:space="preserve">textnum</t>
        </is>
      </c>
      <c r="E269" t="inlineStr">
        <is>
          <t xml:space="preserve">exlookup("~*x",{"ax";"*x"},{1;2},,"2")</t>
        </is>
      </c>
      <c r="F269" s="51" cm="1">
        <f t="array" ref="F269">_xlfn.LET(_xlpm.a,exlookup("~*x",{"ax";"*x"},{1;2},,2),_xlpm.b,exlookup("~*x",{"ax";"*x"},{1;2},,"2"),_xlpm.sa,IFERROR(ROWS(_xlpm.a)&amp;"x"&amp;COLUMNS(_xlpm.a),"err"),_xlpm.sb,IFERROR(ROWS(_xlpm.b)&amp;"x"&amp;COLUMNS(_xlpm.b),"err"),IF(_xlpm.sa&lt;&gt;_xlpm.sb,"FAIL",IF(_xlpm.sa="err",IF(ERROR.TYPE(_xlpm.a)=ERROR.TYPE(_xlpm.b),"PASS","FAIL"),IF(AND(IFERROR(_xlpm.a=_xlpm.b,IFERROR(ERROR.TYPE(_xlpm.a)=ERROR.TYPE(_xlpm.b),FALSE))),"PASS","FAIL"))))</f>
        <v>0</v>
      </c>
    </row>
    <row r="270">
      <c r="A270">
        <v>265</v>
      </c>
      <c r="B270" s="55" t="inlineStr">
        <is>
          <t xml:space="preserve">exlookup</t>
        </is>
      </c>
      <c r="C270" t="inlineStr">
        <is>
          <t xml:space="preserve">exlookup!L33</t>
        </is>
      </c>
      <c r="D270" s="51" t="inlineStr">
        <is>
          <t xml:space="preserve">blank</t>
        </is>
      </c>
      <c r="E270" t="inlineStr">
        <is>
          <t xml:space="preserve">exlookup("~*x",{"ax";"*x"},{1;2},,2,shape_tests!$Z$1)</t>
        </is>
      </c>
      <c r="F270" s="51" cm="1">
        <f t="array" ref="F270">_xlfn.LET(_xlpm.a,exlookup("~*x",{"ax";"*x"},{1;2},,2),_xlpm.b,exlookup("~*x",{"ax";"*x"},{1;2},,2,shape_tests!$Z$1),_xlpm.sa,IFERROR(ROWS(_xlpm.a)&amp;"x"&amp;COLUMNS(_xlpm.a),"err"),_xlpm.sb,IFERROR(ROWS(_xlpm.b)&amp;"x"&amp;COLUMNS(_xlpm.b),"err"),IF(_xlpm.sa&lt;&gt;_xlpm.sb,"FAIL",IF(_xlpm.sa="err",IF(ERROR.TYPE(_xlpm.a)=ERROR.TYPE(_xlpm.b),"PASS","FAIL"),IF(AND(IFERROR(_xlpm.a=_xlpm.b,IFERROR(ERROR.TYPE(_xlpm.a)=ERROR.TYPE(_xlpm.b),FALSE))),"PASS","FAIL"))))</f>
        <v>0</v>
      </c>
    </row>
    <row r="271">
      <c r="A271">
        <v>266</v>
      </c>
      <c r="B271" s="55" t="inlineStr">
        <is>
          <t xml:space="preserve">expand_rng</t>
        </is>
      </c>
      <c r="C271" t="inlineStr">
        <is>
          <t xml:space="preserve">expand_rng!H6</t>
        </is>
      </c>
      <c r="D271" s="51" t="inlineStr">
        <is>
          <t xml:space="preserve">tocol</t>
        </is>
      </c>
      <c r="E271" t="inlineStr">
        <is>
          <t xml:space="preserve">expand_rng(TOCOL("J10:K11"),TOCOL(1),TOCOL(2),TOCOL(0),TOCOL(4))</t>
        </is>
      </c>
      <c r="F271" s="51" cm="1">
        <f t="array" ref="F271">_xlfn.LET(_xlpm.a,expand_rng("J10:K11",1,2,0,4),_xlpm.b,expand_rng(_xlfn.TOCOL("J10:K11"),_xlfn.TOCOL(1),_xlfn.TOCOL(2),_xlfn.TOCOL(0),_xlfn.TOCOL(4)),_xlpm.sa,IFERROR(ROWS(_xlpm.a)&amp;"x"&amp;COLUMNS(_xlpm.a),"err"),_xlpm.sb,IFERROR(ROWS(_xlpm.b)&amp;"x"&amp;COLUMNS(_xlpm.b),"err"),IF(_xlpm.sa&lt;&gt;_xlpm.sb,"FAIL",IF(_xlpm.sa="err",IF(ERROR.TYPE(_xlpm.a)=ERROR.TYPE(_xlpm.b),"PASS","FAIL"),IF(AND(IFERROR(_xlpm.a=_xlpm.b,IFERROR(ERROR.TYPE(_xlpm.a)=ERROR.TYPE(_xlpm.b),FALSE))),"PASS","FAIL"))))</f>
        <v>0</v>
      </c>
    </row>
    <row r="272">
      <c r="A272">
        <v>267</v>
      </c>
      <c r="B272" s="55" t="inlineStr">
        <is>
          <t xml:space="preserve">expand_rng</t>
        </is>
      </c>
      <c r="C272" t="inlineStr">
        <is>
          <t xml:space="preserve">expand_rng!H6</t>
        </is>
      </c>
      <c r="D272" s="51" t="inlineStr">
        <is>
          <t xml:space="preserve">cellref</t>
        </is>
      </c>
      <c r="E272" t="inlineStr">
        <is>
          <t xml:space="preserve">expand_rng(shape_tests!$H$272,shape_tests!$I$272,shape_tests!$J$272,shape_tests!$K$272,shape_tests!$L$272)</t>
        </is>
      </c>
      <c r="F272" s="51" cm="1">
        <f t="array" ref="F272">_xlfn.LET(_xlpm.a,expand_rng("J10:K11",1,2,0,4),_xlpm.b,expand_rng(shape_tests!$H$272,shape_tests!$I$272,shape_tests!$J$272,shape_tests!$K$272,shape_tests!$L$272),_xlpm.sa,IFERROR(ROWS(_xlpm.a)&amp;"x"&amp;COLUMNS(_xlpm.a),"err"),_xlpm.sb,IFERROR(ROWS(_xlpm.b)&amp;"x"&amp;COLUMNS(_xlpm.b),"err"),IF(_xlpm.sa&lt;&gt;_xlpm.sb,"FAIL",IF(_xlpm.sa="err",IF(ERROR.TYPE(_xlpm.a)=ERROR.TYPE(_xlpm.b),"PASS","FAIL"),IF(AND(IFERROR(_xlpm.a=_xlpm.b,IFERROR(ERROR.TYPE(_xlpm.a)=ERROR.TYPE(_xlpm.b),FALSE))),"PASS","FAIL"))))</f>
        <v>0</v>
      </c>
      <c r="H272" t="inlineStr">
        <is>
          <t xml:space="preserve">J10:K11</t>
        </is>
      </c>
      <c r="I272">
        <v>1.0</v>
      </c>
      <c r="J272">
        <v>2.0</v>
      </c>
      <c r="K272">
        <v>0.0</v>
      </c>
      <c r="L272">
        <v>4.0</v>
      </c>
    </row>
    <row r="273">
      <c r="A273">
        <v>268</v>
      </c>
      <c r="B273" s="55" t="inlineStr">
        <is>
          <t xml:space="preserve">expand_rng</t>
        </is>
      </c>
      <c r="C273" t="inlineStr">
        <is>
          <t xml:space="preserve">expand_rng!H6</t>
        </is>
      </c>
      <c r="D273" s="51" t="inlineStr">
        <is>
          <t xml:space="preserve">textnum</t>
        </is>
      </c>
      <c r="E273" t="inlineStr">
        <is>
          <t xml:space="preserve">expand_rng("J10:K11","1","2","0","4")</t>
        </is>
      </c>
      <c r="F273" s="51" cm="1">
        <f t="array" ref="F273">_xlfn.LET(_xlpm.a,expand_rng("J10:K11",1,2,0,4),_xlpm.b,expand_rng("J10:K11","1","2","0","4"),_xlpm.sa,IFERROR(ROWS(_xlpm.a)&amp;"x"&amp;COLUMNS(_xlpm.a),"err"),_xlpm.sb,IFERROR(ROWS(_xlpm.b)&amp;"x"&amp;COLUMNS(_xlpm.b),"err"),IF(_xlpm.sa&lt;&gt;_xlpm.sb,"FAIL",IF(_xlpm.sa="err",IF(ERROR.TYPE(_xlpm.a)=ERROR.TYPE(_xlpm.b),"PASS","FAIL"),IF(AND(IFERROR(_xlpm.a=_xlpm.b,IFERROR(ERROR.TYPE(_xlpm.a)=ERROR.TYPE(_xlpm.b),FALSE))),"PASS","FAIL"))))</f>
        <v>0</v>
      </c>
    </row>
    <row r="274">
      <c r="A274">
        <v>269</v>
      </c>
      <c r="B274" s="55" t="inlineStr">
        <is>
          <t xml:space="preserve">expand_rng</t>
        </is>
      </c>
      <c r="C274" t="inlineStr">
        <is>
          <t xml:space="preserve">expand_rng!H8</t>
        </is>
      </c>
      <c r="D274" s="51" t="inlineStr">
        <is>
          <t xml:space="preserve">tocol</t>
        </is>
      </c>
      <c r="E274" t="inlineStr">
        <is>
          <t xml:space="preserve">expand_rng(TOCOL("B3"),TOCOL(0),TOCOL(0),TOCOL(10),TOCOL(0))</t>
        </is>
      </c>
      <c r="F274" s="51" cm="1">
        <f t="array" ref="F274">_xlfn.LET(_xlpm.a,expand_rng("B3",0,0,10,0),_xlpm.b,expand_rng(_xlfn.TOCOL("B3"),_xlfn.TOCOL(0),_xlfn.TOCOL(0),_xlfn.TOCOL(10),_xlfn.TOCOL(0)),_xlpm.sa,IFERROR(ROWS(_xlpm.a)&amp;"x"&amp;COLUMNS(_xlpm.a),"err"),_xlpm.sb,IFERROR(ROWS(_xlpm.b)&amp;"x"&amp;COLUMNS(_xlpm.b),"err"),IF(_xlpm.sa&lt;&gt;_xlpm.sb,"FAIL",IF(_xlpm.sa="err",IF(ERROR.TYPE(_xlpm.a)=ERROR.TYPE(_xlpm.b),"PASS","FAIL"),IF(AND(IFERROR(_xlpm.a=_xlpm.b,IFERROR(ERROR.TYPE(_xlpm.a)=ERROR.TYPE(_xlpm.b),FALSE))),"PASS","FAIL"))))</f>
        <v>0</v>
      </c>
    </row>
    <row r="275">
      <c r="A275">
        <v>270</v>
      </c>
      <c r="B275" s="55" t="inlineStr">
        <is>
          <t xml:space="preserve">expand_rng</t>
        </is>
      </c>
      <c r="C275" t="inlineStr">
        <is>
          <t xml:space="preserve">expand_rng!H8</t>
        </is>
      </c>
      <c r="D275" s="51" t="inlineStr">
        <is>
          <t xml:space="preserve">cellref</t>
        </is>
      </c>
      <c r="E275" t="inlineStr">
        <is>
          <t xml:space="preserve">expand_rng(shape_tests!$H$275,shape_tests!$I$275,shape_tests!$J$275,shape_tests!$K$275,shape_tests!$L$275)</t>
        </is>
      </c>
      <c r="F275" s="51" cm="1">
        <f t="array" ref="F275">_xlfn.LET(_xlpm.a,expand_rng("B3",0,0,10,0),_xlpm.b,expand_rng(shape_tests!$H$275,shape_tests!$I$275,shape_tests!$J$275,shape_tests!$K$275,shape_tests!$L$275),_xlpm.sa,IFERROR(ROWS(_xlpm.a)&amp;"x"&amp;COLUMNS(_xlpm.a),"err"),_xlpm.sb,IFERROR(ROWS(_xlpm.b)&amp;"x"&amp;COLUMNS(_xlpm.b),"err"),IF(_xlpm.sa&lt;&gt;_xlpm.sb,"FAIL",IF(_xlpm.sa="err",IF(ERROR.TYPE(_xlpm.a)=ERROR.TYPE(_xlpm.b),"PASS","FAIL"),IF(AND(IFERROR(_xlpm.a=_xlpm.b,IFERROR(ERROR.TYPE(_xlpm.a)=ERROR.TYPE(_xlpm.b),FALSE))),"PASS","FAIL"))))</f>
        <v>0</v>
      </c>
      <c r="H275" t="inlineStr">
        <is>
          <t xml:space="preserve">B3</t>
        </is>
      </c>
      <c r="I275">
        <v>0.0</v>
      </c>
      <c r="J275">
        <v>0.0</v>
      </c>
      <c r="K275">
        <v>10.0</v>
      </c>
      <c r="L275">
        <v>0.0</v>
      </c>
    </row>
    <row r="276">
      <c r="A276">
        <v>271</v>
      </c>
      <c r="B276" s="55" t="inlineStr">
        <is>
          <t xml:space="preserve">expand_rng</t>
        </is>
      </c>
      <c r="C276" t="inlineStr">
        <is>
          <t xml:space="preserve">expand_rng!H8</t>
        </is>
      </c>
      <c r="D276" s="51" t="inlineStr">
        <is>
          <t xml:space="preserve">textnum</t>
        </is>
      </c>
      <c r="E276" t="inlineStr">
        <is>
          <t xml:space="preserve">expand_rng("B3","0","0","10","0")</t>
        </is>
      </c>
      <c r="F276" s="51" cm="1">
        <f t="array" ref="F276">_xlfn.LET(_xlpm.a,expand_rng("B3",0,0,10,0),_xlpm.b,expand_rng("B3","0","0","10","0"),_xlpm.sa,IFERROR(ROWS(_xlpm.a)&amp;"x"&amp;COLUMNS(_xlpm.a),"err"),_xlpm.sb,IFERROR(ROWS(_xlpm.b)&amp;"x"&amp;COLUMNS(_xlpm.b),"err"),IF(_xlpm.sa&lt;&gt;_xlpm.sb,"FAIL",IF(_xlpm.sa="err",IF(ERROR.TYPE(_xlpm.a)=ERROR.TYPE(_xlpm.b),"PASS","FAIL"),IF(AND(IFERROR(_xlpm.a=_xlpm.b,IFERROR(ERROR.TYPE(_xlpm.a)=ERROR.TYPE(_xlpm.b),FALSE))),"PASS","FAIL"))))</f>
        <v>0</v>
      </c>
    </row>
    <row r="277">
      <c r="A277">
        <v>272</v>
      </c>
      <c r="B277" s="55" t="inlineStr">
        <is>
          <t xml:space="preserve">expand_rng</t>
        </is>
      </c>
      <c r="C277" t="inlineStr">
        <is>
          <t xml:space="preserve">expand_rng!H10</t>
        </is>
      </c>
      <c r="D277" s="51" t="inlineStr">
        <is>
          <t xml:space="preserve">tocol</t>
        </is>
      </c>
      <c r="E277" t="inlineStr">
        <is>
          <t xml:space="preserve">expand_rng(TOCOL("B3"),TOCOL(0),TOCOL(0),TOCOL(0),TOCOL(10))</t>
        </is>
      </c>
      <c r="F277" s="51" cm="1">
        <f t="array" ref="F277">_xlfn.LET(_xlpm.a,expand_rng("B3",0,0,0,10),_xlpm.b,expand_rng(_xlfn.TOCOL("B3"),_xlfn.TOCOL(0),_xlfn.TOCOL(0),_xlfn.TOCOL(0),_xlfn.TOCOL(10)),_xlpm.sa,IFERROR(ROWS(_xlpm.a)&amp;"x"&amp;COLUMNS(_xlpm.a),"err"),_xlpm.sb,IFERROR(ROWS(_xlpm.b)&amp;"x"&amp;COLUMNS(_xlpm.b),"err"),IF(_xlpm.sa&lt;&gt;_xlpm.sb,"FAIL",IF(_xlpm.sa="err",IF(ERROR.TYPE(_xlpm.a)=ERROR.TYPE(_xlpm.b),"PASS","FAIL"),IF(AND(IFERROR(_xlpm.a=_xlpm.b,IFERROR(ERROR.TYPE(_xlpm.a)=ERROR.TYPE(_xlpm.b),FALSE))),"PASS","FAIL"))))</f>
        <v>0</v>
      </c>
    </row>
    <row r="278">
      <c r="A278">
        <v>273</v>
      </c>
      <c r="B278" s="55" t="inlineStr">
        <is>
          <t xml:space="preserve">expand_rng</t>
        </is>
      </c>
      <c r="C278" t="inlineStr">
        <is>
          <t xml:space="preserve">expand_rng!H10</t>
        </is>
      </c>
      <c r="D278" s="51" t="inlineStr">
        <is>
          <t xml:space="preserve">cellref</t>
        </is>
      </c>
      <c r="E278" t="inlineStr">
        <is>
          <t xml:space="preserve">expand_rng(shape_tests!$H$278,shape_tests!$I$278,shape_tests!$J$278,shape_tests!$K$278,shape_tests!$L$278)</t>
        </is>
      </c>
      <c r="F278" s="51" cm="1">
        <f t="array" ref="F278">_xlfn.LET(_xlpm.a,expand_rng("B3",0,0,0,10),_xlpm.b,expand_rng(shape_tests!$H$278,shape_tests!$I$278,shape_tests!$J$278,shape_tests!$K$278,shape_tests!$L$278),_xlpm.sa,IFERROR(ROWS(_xlpm.a)&amp;"x"&amp;COLUMNS(_xlpm.a),"err"),_xlpm.sb,IFERROR(ROWS(_xlpm.b)&amp;"x"&amp;COLUMNS(_xlpm.b),"err"),IF(_xlpm.sa&lt;&gt;_xlpm.sb,"FAIL",IF(_xlpm.sa="err",IF(ERROR.TYPE(_xlpm.a)=ERROR.TYPE(_xlpm.b),"PASS","FAIL"),IF(AND(IFERROR(_xlpm.a=_xlpm.b,IFERROR(ERROR.TYPE(_xlpm.a)=ERROR.TYPE(_xlpm.b),FALSE))),"PASS","FAIL"))))</f>
        <v>0</v>
      </c>
      <c r="H278" t="inlineStr">
        <is>
          <t xml:space="preserve">B3</t>
        </is>
      </c>
      <c r="I278">
        <v>0.0</v>
      </c>
      <c r="J278">
        <v>0.0</v>
      </c>
      <c r="K278">
        <v>0.0</v>
      </c>
      <c r="L278">
        <v>10.0</v>
      </c>
    </row>
    <row r="279">
      <c r="A279">
        <v>274</v>
      </c>
      <c r="B279" s="55" t="inlineStr">
        <is>
          <t xml:space="preserve">expand_rng</t>
        </is>
      </c>
      <c r="C279" t="inlineStr">
        <is>
          <t xml:space="preserve">expand_rng!H10</t>
        </is>
      </c>
      <c r="D279" s="51" t="inlineStr">
        <is>
          <t xml:space="preserve">textnum</t>
        </is>
      </c>
      <c r="E279" t="inlineStr">
        <is>
          <t xml:space="preserve">expand_rng("B3","0","0","0","10")</t>
        </is>
      </c>
      <c r="F279" s="51" cm="1">
        <f t="array" ref="F279">_xlfn.LET(_xlpm.a,expand_rng("B3",0,0,0,10),_xlpm.b,expand_rng("B3","0","0","0","10"),_xlpm.sa,IFERROR(ROWS(_xlpm.a)&amp;"x"&amp;COLUMNS(_xlpm.a),"err"),_xlpm.sb,IFERROR(ROWS(_xlpm.b)&amp;"x"&amp;COLUMNS(_xlpm.b),"err"),IF(_xlpm.sa&lt;&gt;_xlpm.sb,"FAIL",IF(_xlpm.sa="err",IF(ERROR.TYPE(_xlpm.a)=ERROR.TYPE(_xlpm.b),"PASS","FAIL"),IF(AND(IFERROR(_xlpm.a=_xlpm.b,IFERROR(ERROR.TYPE(_xlpm.a)=ERROR.TYPE(_xlpm.b),FALSE))),"PASS","FAIL"))))</f>
        <v>0</v>
      </c>
    </row>
    <row r="280">
      <c r="A280">
        <v>275</v>
      </c>
      <c r="B280" s="55" t="inlineStr">
        <is>
          <t xml:space="preserve">expand_rng</t>
        </is>
      </c>
      <c r="C280" t="inlineStr">
        <is>
          <t xml:space="preserve">expand_rng!H12</t>
        </is>
      </c>
      <c r="D280" s="51" t="inlineStr">
        <is>
          <t xml:space="preserve">tocol</t>
        </is>
      </c>
      <c r="E280" t="inlineStr">
        <is>
          <t xml:space="preserve">expand_rng(TOCOL("1000001:1000002"),TOCOL(1),TOCOL(0),TOCOL(0),TOCOL(0))</t>
        </is>
      </c>
      <c r="F280" s="51" cm="1">
        <f t="array" ref="F280">_xlfn.LET(_xlpm.a,expand_rng("1000001:1000002",1,0,0,0),_xlpm.b,expand_rng(_xlfn.TOCOL("1000001:1000002"),_xlfn.TOCOL(1),_xlfn.TOCOL(0),_xlfn.TOCOL(0),_xlfn.TOCOL(0)),_xlpm.sa,IFERROR(ROWS(_xlpm.a)&amp;"x"&amp;COLUMNS(_xlpm.a),"err"),_xlpm.sb,IFERROR(ROWS(_xlpm.b)&amp;"x"&amp;COLUMNS(_xlpm.b),"err"),IF(_xlpm.sa&lt;&gt;_xlpm.sb,"FAIL",IF(_xlpm.sa="err",IF(ERROR.TYPE(_xlpm.a)=ERROR.TYPE(_xlpm.b),"PASS","FAIL"),IF(AND(IFERROR(_xlpm.a=_xlpm.b,IFERROR(ERROR.TYPE(_xlpm.a)=ERROR.TYPE(_xlpm.b),FALSE))),"PASS","FAIL"))))</f>
        <v>0</v>
      </c>
    </row>
    <row r="281">
      <c r="A281">
        <v>276</v>
      </c>
      <c r="B281" s="55" t="inlineStr">
        <is>
          <t xml:space="preserve">expand_rng</t>
        </is>
      </c>
      <c r="C281" t="inlineStr">
        <is>
          <t xml:space="preserve">expand_rng!H12</t>
        </is>
      </c>
      <c r="D281" s="51" t="inlineStr">
        <is>
          <t xml:space="preserve">cellref</t>
        </is>
      </c>
      <c r="E281" t="inlineStr">
        <is>
          <t xml:space="preserve">expand_rng(shape_tests!$H$281,shape_tests!$I$281,shape_tests!$J$281,shape_tests!$K$281,shape_tests!$L$281)</t>
        </is>
      </c>
      <c r="F281" s="51" cm="1">
        <f t="array" ref="F281">_xlfn.LET(_xlpm.a,expand_rng("1000001:1000002",1,0,0,0),_xlpm.b,expand_rng(shape_tests!$H$281,shape_tests!$I$281,shape_tests!$J$281,shape_tests!$K$281,shape_tests!$L$281),_xlpm.sa,IFERROR(ROWS(_xlpm.a)&amp;"x"&amp;COLUMNS(_xlpm.a),"err"),_xlpm.sb,IFERROR(ROWS(_xlpm.b)&amp;"x"&amp;COLUMNS(_xlpm.b),"err"),IF(_xlpm.sa&lt;&gt;_xlpm.sb,"FAIL",IF(_xlpm.sa="err",IF(ERROR.TYPE(_xlpm.a)=ERROR.TYPE(_xlpm.b),"PASS","FAIL"),IF(AND(IFERROR(_xlpm.a=_xlpm.b,IFERROR(ERROR.TYPE(_xlpm.a)=ERROR.TYPE(_xlpm.b),FALSE))),"PASS","FAIL"))))</f>
        <v>0</v>
      </c>
      <c r="H281" t="inlineStr">
        <is>
          <t xml:space="preserve">1000001:1000002</t>
        </is>
      </c>
      <c r="I281">
        <v>1.0</v>
      </c>
      <c r="J281">
        <v>0.0</v>
      </c>
      <c r="K281">
        <v>0.0</v>
      </c>
      <c r="L281">
        <v>0.0</v>
      </c>
    </row>
    <row r="282">
      <c r="A282">
        <v>277</v>
      </c>
      <c r="B282" s="55" t="inlineStr">
        <is>
          <t xml:space="preserve">expand_rng</t>
        </is>
      </c>
      <c r="C282" t="inlineStr">
        <is>
          <t xml:space="preserve">expand_rng!H12</t>
        </is>
      </c>
      <c r="D282" s="51" t="inlineStr">
        <is>
          <t xml:space="preserve">textnum</t>
        </is>
      </c>
      <c r="E282" t="inlineStr">
        <is>
          <t xml:space="preserve">expand_rng("1000001:1000002","1","0","0","0")</t>
        </is>
      </c>
      <c r="F282" s="51" cm="1">
        <f t="array" ref="F282">_xlfn.LET(_xlpm.a,expand_rng("1000001:1000002",1,0,0,0),_xlpm.b,expand_rng("1000001:1000002","1","0","0","0"),_xlpm.sa,IFERROR(ROWS(_xlpm.a)&amp;"x"&amp;COLUMNS(_xlpm.a),"err"),_xlpm.sb,IFERROR(ROWS(_xlpm.b)&amp;"x"&amp;COLUMNS(_xlpm.b),"err"),IF(_xlpm.sa&lt;&gt;_xlpm.sb,"FAIL",IF(_xlpm.sa="err",IF(ERROR.TYPE(_xlpm.a)=ERROR.TYPE(_xlpm.b),"PASS","FAIL"),IF(AND(IFERROR(_xlpm.a=_xlpm.b,IFERROR(ERROR.TYPE(_xlpm.a)=ERROR.TYPE(_xlpm.b),FALSE))),"PASS","FAIL"))))</f>
        <v>0</v>
      </c>
    </row>
    <row r="283">
      <c r="A283">
        <v>278</v>
      </c>
      <c r="B283" s="55" t="inlineStr">
        <is>
          <t xml:space="preserve">expand_rng</t>
        </is>
      </c>
      <c r="C283" t="inlineStr">
        <is>
          <t xml:space="preserve">expand_rng!H14</t>
        </is>
      </c>
      <c r="D283" s="51" t="inlineStr">
        <is>
          <t xml:space="preserve">tocol</t>
        </is>
      </c>
      <c r="E283" t="inlineStr">
        <is>
          <t xml:space="preserve">expand_rng(TOCOL(3000004))</t>
        </is>
      </c>
      <c r="F283" s="51" cm="1">
        <f t="array" ref="F283">_xlfn.LET(_xlpm.a,expand_rng(3000004),_xlpm.b,expand_rng(_xlfn.TOCOL(3000004)),_xlpm.sa,IFERROR(ROWS(_xlpm.a)&amp;"x"&amp;COLUMNS(_xlpm.a),"err"),_xlpm.sb,IFERROR(ROWS(_xlpm.b)&amp;"x"&amp;COLUMNS(_xlpm.b),"err"),IF(_xlpm.sa&lt;&gt;_xlpm.sb,"FAIL",IF(_xlpm.sa="err",IF(ERROR.TYPE(_xlpm.a)=ERROR.TYPE(_xlpm.b),"PASS","FAIL"),IF(AND(IFERROR(_xlpm.a=_xlpm.b,IFERROR(ERROR.TYPE(_xlpm.a)=ERROR.TYPE(_xlpm.b),FALSE))),"PASS","FAIL"))))</f>
        <v>0</v>
      </c>
    </row>
    <row r="284">
      <c r="A284">
        <v>279</v>
      </c>
      <c r="B284" s="55" t="inlineStr">
        <is>
          <t xml:space="preserve">expand_rng</t>
        </is>
      </c>
      <c r="C284" t="inlineStr">
        <is>
          <t xml:space="preserve">expand_rng!H14</t>
        </is>
      </c>
      <c r="D284" s="51" t="inlineStr">
        <is>
          <t xml:space="preserve">cellref</t>
        </is>
      </c>
      <c r="E284" t="inlineStr">
        <is>
          <t xml:space="preserve">expand_rng(shape_tests!$H$284)</t>
        </is>
      </c>
      <c r="F284" s="51" cm="1">
        <f t="array" ref="F284">_xlfn.LET(_xlpm.a,expand_rng(3000004),_xlpm.b,expand_rng(shape_tests!$H$284),_xlpm.sa,IFERROR(ROWS(_xlpm.a)&amp;"x"&amp;COLUMNS(_xlpm.a),"err"),_xlpm.sb,IFERROR(ROWS(_xlpm.b)&amp;"x"&amp;COLUMNS(_xlpm.b),"err"),IF(_xlpm.sa&lt;&gt;_xlpm.sb,"FAIL",IF(_xlpm.sa="err",IF(ERROR.TYPE(_xlpm.a)=ERROR.TYPE(_xlpm.b),"PASS","FAIL"),IF(AND(IFERROR(_xlpm.a=_xlpm.b,IFERROR(ERROR.TYPE(_xlpm.a)=ERROR.TYPE(_xlpm.b),FALSE))),"PASS","FAIL"))))</f>
        <v>0</v>
      </c>
      <c r="H284">
        <v>3000004.0</v>
      </c>
    </row>
    <row r="285">
      <c r="A285">
        <v>280</v>
      </c>
      <c r="B285" s="55" t="inlineStr">
        <is>
          <t xml:space="preserve">expand_rng</t>
        </is>
      </c>
      <c r="C285" t="inlineStr">
        <is>
          <t xml:space="preserve">expand_rng!H14</t>
        </is>
      </c>
      <c r="D285" s="51" t="inlineStr">
        <is>
          <t xml:space="preserve">textnum</t>
        </is>
      </c>
      <c r="E285" t="inlineStr">
        <is>
          <t xml:space="preserve">expand_rng("3000004")</t>
        </is>
      </c>
      <c r="F285" s="51" cm="1">
        <f t="array" ref="F285">_xlfn.LET(_xlpm.a,expand_rng(3000004),_xlpm.b,expand_rng("3000004"),_xlpm.sa,IFERROR(ROWS(_xlpm.a)&amp;"x"&amp;COLUMNS(_xlpm.a),"err"),_xlpm.sb,IFERROR(ROWS(_xlpm.b)&amp;"x"&amp;COLUMNS(_xlpm.b),"err"),IF(_xlpm.sa&lt;&gt;_xlpm.sb,"FAIL",IF(_xlpm.sa="err",IF(ERROR.TYPE(_xlpm.a)=ERROR.TYPE(_xlpm.b),"PASS","FAIL"),IF(AND(IFERROR(_xlpm.a=_xlpm.b,IFERROR(ERROR.TYPE(_xlpm.a)=ERROR.TYPE(_xlpm.b),FALSE))),"PASS","FAIL"))))</f>
        <v>0</v>
      </c>
    </row>
    <row r="286">
      <c r="A286">
        <v>281</v>
      </c>
      <c r="B286" s="55" t="inlineStr">
        <is>
          <t xml:space="preserve">expand_rng</t>
        </is>
      </c>
      <c r="C286" t="inlineStr">
        <is>
          <t xml:space="preserve">expand_rng!H14</t>
        </is>
      </c>
      <c r="D286" s="51" t="inlineStr">
        <is>
          <t xml:space="preserve">blank</t>
        </is>
      </c>
      <c r="E286" t="inlineStr">
        <is>
          <t xml:space="preserve">expand_rng(3000004,shape_tests!$Z$1,shape_tests!$Z$1,shape_tests!$Z$1,shape_tests!$Z$1)</t>
        </is>
      </c>
      <c r="F286" s="51" cm="1">
        <f t="array" ref="F286">_xlfn.LET(_xlpm.a,expand_rng(3000004),_xlpm.b,expand_rng(3000004,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87">
      <c r="A287">
        <v>282</v>
      </c>
      <c r="B287" s="55" t="inlineStr">
        <is>
          <t xml:space="preserve">expand_rng</t>
        </is>
      </c>
      <c r="C287" t="inlineStr">
        <is>
          <t xml:space="preserve">expand_rng!H16</t>
        </is>
      </c>
      <c r="D287" s="51" t="inlineStr">
        <is>
          <t xml:space="preserve">blank</t>
        </is>
      </c>
      <c r="E287" t="inlineStr">
        <is>
          <t xml:space="preserve">ERROR.TYPE(expand_rng({1,2},shape_tests!$Z$1,shape_tests!$Z$1,shape_tests!$Z$1,shape_tests!$Z$1))</t>
        </is>
      </c>
      <c r="F287" s="51" cm="1">
        <f t="array" ref="F287">_xlfn.LET(_xlpm.a,ERROR.TYPE(expand_rng({1,2})),_xlpm.b,ERROR.TYPE(expand_rng({1,2},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88">
      <c r="A288">
        <v>283</v>
      </c>
      <c r="B288" s="55" t="inlineStr">
        <is>
          <t xml:space="preserve">expand_rng</t>
        </is>
      </c>
      <c r="C288" t="inlineStr">
        <is>
          <t xml:space="preserve">expand_rng!H18</t>
        </is>
      </c>
      <c r="D288" s="51" t="inlineStr">
        <is>
          <t xml:space="preserve">tocol</t>
        </is>
      </c>
      <c r="E288" t="inlineStr">
        <is>
          <t xml:space="preserve">ERROR.TYPE(expand_rng(TOCOL("B3"),TOCOL(-1)))</t>
        </is>
      </c>
      <c r="F288" s="51" cm="1">
        <f t="array" ref="F288">_xlfn.LET(_xlpm.a,ERROR.TYPE(expand_rng("B3",-1)),_xlpm.b,ERROR.TYPE(expand_rng(_xlfn.TOCOL("B3"),_xlfn.TOCOL(-1))),_xlpm.sa,IFERROR(ROWS(_xlpm.a)&amp;"x"&amp;COLUMNS(_xlpm.a),"err"),_xlpm.sb,IFERROR(ROWS(_xlpm.b)&amp;"x"&amp;COLUMNS(_xlpm.b),"err"),IF(_xlpm.sa&lt;&gt;_xlpm.sb,"FAIL",IF(_xlpm.sa="err",IF(ERROR.TYPE(_xlpm.a)=ERROR.TYPE(_xlpm.b),"PASS","FAIL"),IF(AND(IFERROR(_xlpm.a=_xlpm.b,IFERROR(ERROR.TYPE(_xlpm.a)=ERROR.TYPE(_xlpm.b),FALSE))),"PASS","FAIL"))))</f>
        <v>0</v>
      </c>
    </row>
    <row r="289">
      <c r="A289">
        <v>284</v>
      </c>
      <c r="B289" s="55" t="inlineStr">
        <is>
          <t xml:space="preserve">expand_rng</t>
        </is>
      </c>
      <c r="C289" t="inlineStr">
        <is>
          <t xml:space="preserve">expand_rng!H18</t>
        </is>
      </c>
      <c r="D289" s="51" t="inlineStr">
        <is>
          <t xml:space="preserve">cellref</t>
        </is>
      </c>
      <c r="E289" t="inlineStr">
        <is>
          <t xml:space="preserve">ERROR.TYPE(expand_rng(shape_tests!$H$289,shape_tests!$I$289))</t>
        </is>
      </c>
      <c r="F289" s="51" cm="1">
        <f t="array" ref="F289">_xlfn.LET(_xlpm.a,ERROR.TYPE(expand_rng("B3",-1)),_xlpm.b,ERROR.TYPE(expand_rng(shape_tests!$H$289,shape_tests!$I$289)),_xlpm.sa,IFERROR(ROWS(_xlpm.a)&amp;"x"&amp;COLUMNS(_xlpm.a),"err"),_xlpm.sb,IFERROR(ROWS(_xlpm.b)&amp;"x"&amp;COLUMNS(_xlpm.b),"err"),IF(_xlpm.sa&lt;&gt;_xlpm.sb,"FAIL",IF(_xlpm.sa="err",IF(ERROR.TYPE(_xlpm.a)=ERROR.TYPE(_xlpm.b),"PASS","FAIL"),IF(AND(IFERROR(_xlpm.a=_xlpm.b,IFERROR(ERROR.TYPE(_xlpm.a)=ERROR.TYPE(_xlpm.b),FALSE))),"PASS","FAIL"))))</f>
        <v>0</v>
      </c>
      <c r="H289" t="inlineStr">
        <is>
          <t xml:space="preserve">B3</t>
        </is>
      </c>
      <c r="I289">
        <v>-1.0</v>
      </c>
    </row>
    <row r="290">
      <c r="A290">
        <v>285</v>
      </c>
      <c r="B290" s="55" t="inlineStr">
        <is>
          <t xml:space="preserve">expand_rng</t>
        </is>
      </c>
      <c r="C290" t="inlineStr">
        <is>
          <t xml:space="preserve">expand_rng!H18</t>
        </is>
      </c>
      <c r="D290" s="51" t="inlineStr">
        <is>
          <t xml:space="preserve">textnum</t>
        </is>
      </c>
      <c r="E290" t="inlineStr">
        <is>
          <t xml:space="preserve">ERROR.TYPE(expand_rng("B3","-1"))</t>
        </is>
      </c>
      <c r="F290" s="51" cm="1">
        <f t="array" ref="F290">_xlfn.LET(_xlpm.a,ERROR.TYPE(expand_rng("B3",-1)),_xlpm.b,ERROR.TYPE(expand_rng("B3","-1")),_xlpm.sa,IFERROR(ROWS(_xlpm.a)&amp;"x"&amp;COLUMNS(_xlpm.a),"err"),_xlpm.sb,IFERROR(ROWS(_xlpm.b)&amp;"x"&amp;COLUMNS(_xlpm.b),"err"),IF(_xlpm.sa&lt;&gt;_xlpm.sb,"FAIL",IF(_xlpm.sa="err",IF(ERROR.TYPE(_xlpm.a)=ERROR.TYPE(_xlpm.b),"PASS","FAIL"),IF(AND(IFERROR(_xlpm.a=_xlpm.b,IFERROR(ERROR.TYPE(_xlpm.a)=ERROR.TYPE(_xlpm.b),FALSE))),"PASS","FAIL"))))</f>
        <v>0</v>
      </c>
    </row>
    <row r="291">
      <c r="A291">
        <v>286</v>
      </c>
      <c r="B291" s="55" t="inlineStr">
        <is>
          <t xml:space="preserve">expand_rng</t>
        </is>
      </c>
      <c r="C291" t="inlineStr">
        <is>
          <t xml:space="preserve">expand_rng!H18</t>
        </is>
      </c>
      <c r="D291" s="51" t="inlineStr">
        <is>
          <t xml:space="preserve">blank</t>
        </is>
      </c>
      <c r="E291" t="inlineStr">
        <is>
          <t xml:space="preserve">ERROR.TYPE(expand_rng("B3",-1,shape_tests!$Z$1,shape_tests!$Z$1,shape_tests!$Z$1))</t>
        </is>
      </c>
      <c r="F291" s="51" cm="1">
        <f t="array" ref="F291">_xlfn.LET(_xlpm.a,ERROR.TYPE(expand_rng("B3",-1)),_xlpm.b,ERROR.TYPE(expand_rng("B3",-1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92">
      <c r="A292">
        <v>287</v>
      </c>
      <c r="B292" s="55" t="inlineStr">
        <is>
          <t xml:space="preserve">expand_rng</t>
        </is>
      </c>
      <c r="C292" t="inlineStr">
        <is>
          <t xml:space="preserve">expand_rng!H20</t>
        </is>
      </c>
      <c r="D292" s="51" t="inlineStr">
        <is>
          <t xml:space="preserve">tocol</t>
        </is>
      </c>
      <c r="E292" t="inlineStr">
        <is>
          <t xml:space="preserve">expand_rng(TOCOL("B2:D6"),TOCOL(-2))</t>
        </is>
      </c>
      <c r="F292" s="51" cm="1">
        <f t="array" ref="F292">_xlfn.LET(_xlpm.a,expand_rng("B2:D6",-2),_xlpm.b,expand_rng(_xlfn.TOCOL("B2:D6"),_xlfn.TOCOL(-2)),_xlpm.sa,IFERROR(ROWS(_xlpm.a)&amp;"x"&amp;COLUMNS(_xlpm.a),"err"),_xlpm.sb,IFERROR(ROWS(_xlpm.b)&amp;"x"&amp;COLUMNS(_xlpm.b),"err"),IF(_xlpm.sa&lt;&gt;_xlpm.sb,"FAIL",IF(_xlpm.sa="err",IF(ERROR.TYPE(_xlpm.a)=ERROR.TYPE(_xlpm.b),"PASS","FAIL"),IF(AND(IFERROR(_xlpm.a=_xlpm.b,IFERROR(ERROR.TYPE(_xlpm.a)=ERROR.TYPE(_xlpm.b),FALSE))),"PASS","FAIL"))))</f>
        <v>0</v>
      </c>
    </row>
    <row r="293">
      <c r="A293">
        <v>288</v>
      </c>
      <c r="B293" s="55" t="inlineStr">
        <is>
          <t xml:space="preserve">expand_rng</t>
        </is>
      </c>
      <c r="C293" t="inlineStr">
        <is>
          <t xml:space="preserve">expand_rng!H20</t>
        </is>
      </c>
      <c r="D293" s="51" t="inlineStr">
        <is>
          <t xml:space="preserve">cellref</t>
        </is>
      </c>
      <c r="E293" t="inlineStr">
        <is>
          <t xml:space="preserve">expand_rng(shape_tests!$H$293,shape_tests!$I$293)</t>
        </is>
      </c>
      <c r="F293" s="51" cm="1">
        <f t="array" ref="F293">_xlfn.LET(_xlpm.a,expand_rng("B2:D6",-2),_xlpm.b,expand_rng(shape_tests!$H$293,shape_tests!$I$293),_xlpm.sa,IFERROR(ROWS(_xlpm.a)&amp;"x"&amp;COLUMNS(_xlpm.a),"err"),_xlpm.sb,IFERROR(ROWS(_xlpm.b)&amp;"x"&amp;COLUMNS(_xlpm.b),"err"),IF(_xlpm.sa&lt;&gt;_xlpm.sb,"FAIL",IF(_xlpm.sa="err",IF(ERROR.TYPE(_xlpm.a)=ERROR.TYPE(_xlpm.b),"PASS","FAIL"),IF(AND(IFERROR(_xlpm.a=_xlpm.b,IFERROR(ERROR.TYPE(_xlpm.a)=ERROR.TYPE(_xlpm.b),FALSE))),"PASS","FAIL"))))</f>
        <v>0</v>
      </c>
      <c r="H293" t="inlineStr">
        <is>
          <t xml:space="preserve">B2:D6</t>
        </is>
      </c>
      <c r="I293">
        <v>-2.0</v>
      </c>
    </row>
    <row r="294">
      <c r="A294">
        <v>289</v>
      </c>
      <c r="B294" s="55" t="inlineStr">
        <is>
          <t xml:space="preserve">expand_rng</t>
        </is>
      </c>
      <c r="C294" t="inlineStr">
        <is>
          <t xml:space="preserve">expand_rng!H20</t>
        </is>
      </c>
      <c r="D294" s="51" t="inlineStr">
        <is>
          <t xml:space="preserve">textnum</t>
        </is>
      </c>
      <c r="E294" t="inlineStr">
        <is>
          <t xml:space="preserve">expand_rng("B2:D6","-2")</t>
        </is>
      </c>
      <c r="F294" s="51" cm="1">
        <f t="array" ref="F294">_xlfn.LET(_xlpm.a,expand_rng("B2:D6",-2),_xlpm.b,expand_rng("B2:D6","-2"),_xlpm.sa,IFERROR(ROWS(_xlpm.a)&amp;"x"&amp;COLUMNS(_xlpm.a),"err"),_xlpm.sb,IFERROR(ROWS(_xlpm.b)&amp;"x"&amp;COLUMNS(_xlpm.b),"err"),IF(_xlpm.sa&lt;&gt;_xlpm.sb,"FAIL",IF(_xlpm.sa="err",IF(ERROR.TYPE(_xlpm.a)=ERROR.TYPE(_xlpm.b),"PASS","FAIL"),IF(AND(IFERROR(_xlpm.a=_xlpm.b,IFERROR(ERROR.TYPE(_xlpm.a)=ERROR.TYPE(_xlpm.b),FALSE))),"PASS","FAIL"))))</f>
        <v>0</v>
      </c>
    </row>
    <row r="295">
      <c r="A295">
        <v>290</v>
      </c>
      <c r="B295" s="55" t="inlineStr">
        <is>
          <t xml:space="preserve">expand_rng</t>
        </is>
      </c>
      <c r="C295" t="inlineStr">
        <is>
          <t xml:space="preserve">expand_rng!H20</t>
        </is>
      </c>
      <c r="D295" s="51" t="inlineStr">
        <is>
          <t xml:space="preserve">blank</t>
        </is>
      </c>
      <c r="E295" t="inlineStr">
        <is>
          <t xml:space="preserve">expand_rng("B2:D6",-2,shape_tests!$Z$1,shape_tests!$Z$1,shape_tests!$Z$1)</t>
        </is>
      </c>
      <c r="F295" s="51" cm="1">
        <f t="array" ref="F295">_xlfn.LET(_xlpm.a,expand_rng("B2:D6",-2),_xlpm.b,expand_rng("B2:D6",-2,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96">
      <c r="A296">
        <v>291</v>
      </c>
      <c r="B296" s="55" t="inlineStr">
        <is>
          <t xml:space="preserve">expand_rng</t>
        </is>
      </c>
      <c r="C296" t="inlineStr">
        <is>
          <t xml:space="preserve">expand_rng!H22</t>
        </is>
      </c>
      <c r="D296" s="51" t="inlineStr">
        <is>
          <t xml:space="preserve">tocol</t>
        </is>
      </c>
      <c r="E296" t="inlineStr">
        <is>
          <t xml:space="preserve">expand_rng(TOCOL("B2:D6"),TOCOL(0),TOCOL(-1),TOCOL(-1),TOCOL(0))</t>
        </is>
      </c>
      <c r="F296" s="51" cm="1">
        <f t="array" ref="F296">_xlfn.LET(_xlpm.a,expand_rng("B2:D6",0,-1,-1,0),_xlpm.b,expand_rng(_xlfn.TOCOL("B2:D6"),_xlfn.TOCOL(0),_xlfn.TOCOL(-1),_xlfn.TOCOL(-1),_xlfn.TOCOL(0)),_xlpm.sa,IFERROR(ROWS(_xlpm.a)&amp;"x"&amp;COLUMNS(_xlpm.a),"err"),_xlpm.sb,IFERROR(ROWS(_xlpm.b)&amp;"x"&amp;COLUMNS(_xlpm.b),"err"),IF(_xlpm.sa&lt;&gt;_xlpm.sb,"FAIL",IF(_xlpm.sa="err",IF(ERROR.TYPE(_xlpm.a)=ERROR.TYPE(_xlpm.b),"PASS","FAIL"),IF(AND(IFERROR(_xlpm.a=_xlpm.b,IFERROR(ERROR.TYPE(_xlpm.a)=ERROR.TYPE(_xlpm.b),FALSE))),"PASS","FAIL"))))</f>
        <v>0</v>
      </c>
    </row>
    <row r="297">
      <c r="A297">
        <v>292</v>
      </c>
      <c r="B297" s="55" t="inlineStr">
        <is>
          <t xml:space="preserve">expand_rng</t>
        </is>
      </c>
      <c r="C297" t="inlineStr">
        <is>
          <t xml:space="preserve">expand_rng!H22</t>
        </is>
      </c>
      <c r="D297" s="51" t="inlineStr">
        <is>
          <t xml:space="preserve">cellref</t>
        </is>
      </c>
      <c r="E297" t="inlineStr">
        <is>
          <t xml:space="preserve">expand_rng(shape_tests!$H$297,shape_tests!$I$297,shape_tests!$J$297,shape_tests!$K$297,shape_tests!$L$297)</t>
        </is>
      </c>
      <c r="F297" s="51" cm="1">
        <f t="array" ref="F297">_xlfn.LET(_xlpm.a,expand_rng("B2:D6",0,-1,-1,0),_xlpm.b,expand_rng(shape_tests!$H$297,shape_tests!$I$297,shape_tests!$J$297,shape_tests!$K$297,shape_tests!$L$297),_xlpm.sa,IFERROR(ROWS(_xlpm.a)&amp;"x"&amp;COLUMNS(_xlpm.a),"err"),_xlpm.sb,IFERROR(ROWS(_xlpm.b)&amp;"x"&amp;COLUMNS(_xlpm.b),"err"),IF(_xlpm.sa&lt;&gt;_xlpm.sb,"FAIL",IF(_xlpm.sa="err",IF(ERROR.TYPE(_xlpm.a)=ERROR.TYPE(_xlpm.b),"PASS","FAIL"),IF(AND(IFERROR(_xlpm.a=_xlpm.b,IFERROR(ERROR.TYPE(_xlpm.a)=ERROR.TYPE(_xlpm.b),FALSE))),"PASS","FAIL"))))</f>
        <v>0</v>
      </c>
      <c r="H297" t="inlineStr">
        <is>
          <t xml:space="preserve">B2:D6</t>
        </is>
      </c>
      <c r="I297">
        <v>0.0</v>
      </c>
      <c r="J297">
        <v>-1.0</v>
      </c>
      <c r="K297">
        <v>-1.0</v>
      </c>
      <c r="L297">
        <v>0.0</v>
      </c>
    </row>
    <row r="298">
      <c r="A298">
        <v>293</v>
      </c>
      <c r="B298" s="55" t="inlineStr">
        <is>
          <t xml:space="preserve">expand_rng</t>
        </is>
      </c>
      <c r="C298" t="inlineStr">
        <is>
          <t xml:space="preserve">expand_rng!H22</t>
        </is>
      </c>
      <c r="D298" s="51" t="inlineStr">
        <is>
          <t xml:space="preserve">textnum</t>
        </is>
      </c>
      <c r="E298" t="inlineStr">
        <is>
          <t xml:space="preserve">expand_rng("B2:D6","0","-1","-1","0")</t>
        </is>
      </c>
      <c r="F298" s="51" cm="1">
        <f t="array" ref="F298">_xlfn.LET(_xlpm.a,expand_rng("B2:D6",0,-1,-1,0),_xlpm.b,expand_rng("B2:D6","0","-1","-1","0"),_xlpm.sa,IFERROR(ROWS(_xlpm.a)&amp;"x"&amp;COLUMNS(_xlpm.a),"err"),_xlpm.sb,IFERROR(ROWS(_xlpm.b)&amp;"x"&amp;COLUMNS(_xlpm.b),"err"),IF(_xlpm.sa&lt;&gt;_xlpm.sb,"FAIL",IF(_xlpm.sa="err",IF(ERROR.TYPE(_xlpm.a)=ERROR.TYPE(_xlpm.b),"PASS","FAIL"),IF(AND(IFERROR(_xlpm.a=_xlpm.b,IFERROR(ERROR.TYPE(_xlpm.a)=ERROR.TYPE(_xlpm.b),FALSE))),"PASS","FAIL"))))</f>
        <v>0</v>
      </c>
    </row>
    <row r="299">
      <c r="A299">
        <v>294</v>
      </c>
      <c r="B299" s="55" t="inlineStr">
        <is>
          <t xml:space="preserve">expand_rng</t>
        </is>
      </c>
      <c r="C299" t="inlineStr">
        <is>
          <t xml:space="preserve">expand_rng!H24</t>
        </is>
      </c>
      <c r="D299" s="51" t="inlineStr">
        <is>
          <t xml:space="preserve">tocol</t>
        </is>
      </c>
      <c r="E299" t="inlineStr">
        <is>
          <t xml:space="preserve">expand_rng(TOCOL("B2:B3"),TOCOL(-1))</t>
        </is>
      </c>
      <c r="F299" s="51" cm="1">
        <f t="array" ref="F299">_xlfn.LET(_xlpm.a,expand_rng("B2:B3",-1),_xlpm.b,expand_rng(_xlfn.TOCOL("B2:B3"),_xlfn.TOCOL(-1)),_xlpm.sa,IFERROR(ROWS(_xlpm.a)&amp;"x"&amp;COLUMNS(_xlpm.a),"err"),_xlpm.sb,IFERROR(ROWS(_xlpm.b)&amp;"x"&amp;COLUMNS(_xlpm.b),"err"),IF(_xlpm.sa&lt;&gt;_xlpm.sb,"FAIL",IF(_xlpm.sa="err",IF(ERROR.TYPE(_xlpm.a)=ERROR.TYPE(_xlpm.b),"PASS","FAIL"),IF(AND(IFERROR(_xlpm.a=_xlpm.b,IFERROR(ERROR.TYPE(_xlpm.a)=ERROR.TYPE(_xlpm.b),FALSE))),"PASS","FAIL"))))</f>
        <v>0</v>
      </c>
    </row>
    <row r="300">
      <c r="A300">
        <v>295</v>
      </c>
      <c r="B300" s="55" t="inlineStr">
        <is>
          <t xml:space="preserve">expand_rng</t>
        </is>
      </c>
      <c r="C300" t="inlineStr">
        <is>
          <t xml:space="preserve">expand_rng!H24</t>
        </is>
      </c>
      <c r="D300" s="51" t="inlineStr">
        <is>
          <t xml:space="preserve">cellref</t>
        </is>
      </c>
      <c r="E300" t="inlineStr">
        <is>
          <t xml:space="preserve">expand_rng(shape_tests!$H$300,shape_tests!$I$300)</t>
        </is>
      </c>
      <c r="F300" s="51" cm="1">
        <f t="array" ref="F300">_xlfn.LET(_xlpm.a,expand_rng("B2:B3",-1),_xlpm.b,expand_rng(shape_tests!$H$300,shape_tests!$I$300),_xlpm.sa,IFERROR(ROWS(_xlpm.a)&amp;"x"&amp;COLUMNS(_xlpm.a),"err"),_xlpm.sb,IFERROR(ROWS(_xlpm.b)&amp;"x"&amp;COLUMNS(_xlpm.b),"err"),IF(_xlpm.sa&lt;&gt;_xlpm.sb,"FAIL",IF(_xlpm.sa="err",IF(ERROR.TYPE(_xlpm.a)=ERROR.TYPE(_xlpm.b),"PASS","FAIL"),IF(AND(IFERROR(_xlpm.a=_xlpm.b,IFERROR(ERROR.TYPE(_xlpm.a)=ERROR.TYPE(_xlpm.b),FALSE))),"PASS","FAIL"))))</f>
        <v>0</v>
      </c>
      <c r="H300" t="inlineStr">
        <is>
          <t xml:space="preserve">B2:B3</t>
        </is>
      </c>
      <c r="I300">
        <v>-1.0</v>
      </c>
    </row>
    <row r="301">
      <c r="A301">
        <v>296</v>
      </c>
      <c r="B301" s="55" t="inlineStr">
        <is>
          <t xml:space="preserve">expand_rng</t>
        </is>
      </c>
      <c r="C301" t="inlineStr">
        <is>
          <t xml:space="preserve">expand_rng!H24</t>
        </is>
      </c>
      <c r="D301" s="51" t="inlineStr">
        <is>
          <t xml:space="preserve">textnum</t>
        </is>
      </c>
      <c r="E301" t="inlineStr">
        <is>
          <t xml:space="preserve">expand_rng("B2:B3","-1")</t>
        </is>
      </c>
      <c r="F301" s="51" cm="1">
        <f t="array" ref="F301">_xlfn.LET(_xlpm.a,expand_rng("B2:B3",-1),_xlpm.b,expand_rng("B2:B3","-1"),_xlpm.sa,IFERROR(ROWS(_xlpm.a)&amp;"x"&amp;COLUMNS(_xlpm.a),"err"),_xlpm.sb,IFERROR(ROWS(_xlpm.b)&amp;"x"&amp;COLUMNS(_xlpm.b),"err"),IF(_xlpm.sa&lt;&gt;_xlpm.sb,"FAIL",IF(_xlpm.sa="err",IF(ERROR.TYPE(_xlpm.a)=ERROR.TYPE(_xlpm.b),"PASS","FAIL"),IF(AND(IFERROR(_xlpm.a=_xlpm.b,IFERROR(ERROR.TYPE(_xlpm.a)=ERROR.TYPE(_xlpm.b),FALSE))),"PASS","FAIL"))))</f>
        <v>0</v>
      </c>
    </row>
    <row r="302">
      <c r="A302">
        <v>297</v>
      </c>
      <c r="B302" s="55" t="inlineStr">
        <is>
          <t xml:space="preserve">expand_rng</t>
        </is>
      </c>
      <c r="C302" t="inlineStr">
        <is>
          <t xml:space="preserve">expand_rng!H24</t>
        </is>
      </c>
      <c r="D302" s="51" t="inlineStr">
        <is>
          <t xml:space="preserve">blank</t>
        </is>
      </c>
      <c r="E302" t="inlineStr">
        <is>
          <t xml:space="preserve">expand_rng("B2:B3",-1,shape_tests!$Z$1,shape_tests!$Z$1,shape_tests!$Z$1)</t>
        </is>
      </c>
      <c r="F302" s="51" cm="1">
        <f t="array" ref="F302">_xlfn.LET(_xlpm.a,expand_rng("B2:B3",-1),_xlpm.b,expand_rng("B2:B3",-1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303">
      <c r="A303">
        <v>298</v>
      </c>
      <c r="B303" s="55" t="inlineStr">
        <is>
          <t xml:space="preserve">expand_rng</t>
        </is>
      </c>
      <c r="C303" t="inlineStr">
        <is>
          <t xml:space="preserve">expand_rng!H26</t>
        </is>
      </c>
      <c r="D303" s="51" t="inlineStr">
        <is>
          <t xml:space="preserve">tocol</t>
        </is>
      </c>
      <c r="E303" t="inlineStr">
        <is>
          <t xml:space="preserve">expand_rng(TOCOL("3000004:4000004"),TOCOL(-1))</t>
        </is>
      </c>
      <c r="F303" s="51" cm="1">
        <f t="array" ref="F303">_xlfn.LET(_xlpm.a,expand_rng("3000004:4000004",-1),_xlpm.b,expand_rng(_xlfn.TOCOL("3000004:4000004"),_xlfn.TOCOL(-1)),_xlpm.sa,IFERROR(ROWS(_xlpm.a)&amp;"x"&amp;COLUMNS(_xlpm.a),"err"),_xlpm.sb,IFERROR(ROWS(_xlpm.b)&amp;"x"&amp;COLUMNS(_xlpm.b),"err"),IF(_xlpm.sa&lt;&gt;_xlpm.sb,"FAIL",IF(_xlpm.sa="err",IF(ERROR.TYPE(_xlpm.a)=ERROR.TYPE(_xlpm.b),"PASS","FAIL"),IF(AND(IFERROR(_xlpm.a=_xlpm.b,IFERROR(ERROR.TYPE(_xlpm.a)=ERROR.TYPE(_xlpm.b),FALSE))),"PASS","FAIL"))))</f>
        <v>0</v>
      </c>
    </row>
    <row r="304">
      <c r="A304">
        <v>299</v>
      </c>
      <c r="B304" s="55" t="inlineStr">
        <is>
          <t xml:space="preserve">expand_rng</t>
        </is>
      </c>
      <c r="C304" t="inlineStr">
        <is>
          <t xml:space="preserve">expand_rng!H26</t>
        </is>
      </c>
      <c r="D304" s="51" t="inlineStr">
        <is>
          <t xml:space="preserve">cellref</t>
        </is>
      </c>
      <c r="E304" t="inlineStr">
        <is>
          <t xml:space="preserve">expand_rng(shape_tests!$H$304,shape_tests!$I$304)</t>
        </is>
      </c>
      <c r="F304" s="51" cm="1">
        <f t="array" ref="F304">_xlfn.LET(_xlpm.a,expand_rng("3000004:4000004",-1),_xlpm.b,expand_rng(shape_tests!$H$304,shape_tests!$I$304),_xlpm.sa,IFERROR(ROWS(_xlpm.a)&amp;"x"&amp;COLUMNS(_xlpm.a),"err"),_xlpm.sb,IFERROR(ROWS(_xlpm.b)&amp;"x"&amp;COLUMNS(_xlpm.b),"err"),IF(_xlpm.sa&lt;&gt;_xlpm.sb,"FAIL",IF(_xlpm.sa="err",IF(ERROR.TYPE(_xlpm.a)=ERROR.TYPE(_xlpm.b),"PASS","FAIL"),IF(AND(IFERROR(_xlpm.a=_xlpm.b,IFERROR(ERROR.TYPE(_xlpm.a)=ERROR.TYPE(_xlpm.b),FALSE))),"PASS","FAIL"))))</f>
        <v>0</v>
      </c>
      <c r="H304" t="inlineStr">
        <is>
          <t xml:space="preserve">3000004:4000004</t>
        </is>
      </c>
      <c r="I304">
        <v>-1.0</v>
      </c>
    </row>
    <row r="305">
      <c r="A305">
        <v>300</v>
      </c>
      <c r="B305" s="55" t="inlineStr">
        <is>
          <t xml:space="preserve">expand_rng</t>
        </is>
      </c>
      <c r="C305" t="inlineStr">
        <is>
          <t xml:space="preserve">expand_rng!H26</t>
        </is>
      </c>
      <c r="D305" s="51" t="inlineStr">
        <is>
          <t xml:space="preserve">textnum</t>
        </is>
      </c>
      <c r="E305" t="inlineStr">
        <is>
          <t xml:space="preserve">expand_rng("3000004:4000004","-1")</t>
        </is>
      </c>
      <c r="F305" s="51" cm="1">
        <f t="array" ref="F305">_xlfn.LET(_xlpm.a,expand_rng("3000004:4000004",-1),_xlpm.b,expand_rng("3000004:4000004","-1"),_xlpm.sa,IFERROR(ROWS(_xlpm.a)&amp;"x"&amp;COLUMNS(_xlpm.a),"err"),_xlpm.sb,IFERROR(ROWS(_xlpm.b)&amp;"x"&amp;COLUMNS(_xlpm.b),"err"),IF(_xlpm.sa&lt;&gt;_xlpm.sb,"FAIL",IF(_xlpm.sa="err",IF(ERROR.TYPE(_xlpm.a)=ERROR.TYPE(_xlpm.b),"PASS","FAIL"),IF(AND(IFERROR(_xlpm.a=_xlpm.b,IFERROR(ERROR.TYPE(_xlpm.a)=ERROR.TYPE(_xlpm.b),FALSE))),"PASS","FAIL"))))</f>
        <v>0</v>
      </c>
    </row>
    <row r="306">
      <c r="A306">
        <v>301</v>
      </c>
      <c r="B306" s="55" t="inlineStr">
        <is>
          <t xml:space="preserve">expand_rng</t>
        </is>
      </c>
      <c r="C306" t="inlineStr">
        <is>
          <t xml:space="preserve">expand_rng!H26</t>
        </is>
      </c>
      <c r="D306" s="51" t="inlineStr">
        <is>
          <t xml:space="preserve">blank</t>
        </is>
      </c>
      <c r="E306" t="inlineStr">
        <is>
          <t xml:space="preserve">expand_rng("3000004:4000004",-1,shape_tests!$Z$1,shape_tests!$Z$1,shape_tests!$Z$1)</t>
        </is>
      </c>
      <c r="F306" s="51" cm="1">
        <f t="array" ref="F306">_xlfn.LET(_xlpm.a,expand_rng("3000004:4000004",-1),_xlpm.b,expand_rng("3000004:4000004",-1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307">
      <c r="A307">
        <v>302</v>
      </c>
      <c r="B307" s="55" t="inlineStr">
        <is>
          <t xml:space="preserve">expand_rng</t>
        </is>
      </c>
      <c r="C307" t="inlineStr">
        <is>
          <t xml:space="preserve">expand_rng!H28</t>
        </is>
      </c>
      <c r="D307" s="51" t="inlineStr">
        <is>
          <t xml:space="preserve">tocol</t>
        </is>
      </c>
      <c r="E307" t="inlineStr">
        <is>
          <t xml:space="preserve">ERROR.TYPE(expand_rng(TOCOL("B2:D6"),TOCOL(-5)))</t>
        </is>
      </c>
      <c r="F307" s="51" cm="1">
        <f t="array" ref="F307">_xlfn.LET(_xlpm.a,ERROR.TYPE(expand_rng("B2:D6",-5)),_xlpm.b,ERROR.TYPE(expand_rng(_xlfn.TOCOL("B2:D6"),_xlfn.TOCOL(-5))),_xlpm.sa,IFERROR(ROWS(_xlpm.a)&amp;"x"&amp;COLUMNS(_xlpm.a),"err"),_xlpm.sb,IFERROR(ROWS(_xlpm.b)&amp;"x"&amp;COLUMNS(_xlpm.b),"err"),IF(_xlpm.sa&lt;&gt;_xlpm.sb,"FAIL",IF(_xlpm.sa="err",IF(ERROR.TYPE(_xlpm.a)=ERROR.TYPE(_xlpm.b),"PASS","FAIL"),IF(AND(IFERROR(_xlpm.a=_xlpm.b,IFERROR(ERROR.TYPE(_xlpm.a)=ERROR.TYPE(_xlpm.b),FALSE))),"PASS","FAIL"))))</f>
        <v>0</v>
      </c>
    </row>
    <row r="308">
      <c r="A308">
        <v>303</v>
      </c>
      <c r="B308" s="55" t="inlineStr">
        <is>
          <t xml:space="preserve">expand_rng</t>
        </is>
      </c>
      <c r="C308" t="inlineStr">
        <is>
          <t xml:space="preserve">expand_rng!H28</t>
        </is>
      </c>
      <c r="D308" s="51" t="inlineStr">
        <is>
          <t xml:space="preserve">cellref</t>
        </is>
      </c>
      <c r="E308" t="inlineStr">
        <is>
          <t xml:space="preserve">ERROR.TYPE(expand_rng(shape_tests!$H$308,shape_tests!$I$308))</t>
        </is>
      </c>
      <c r="F308" s="51" cm="1">
        <f t="array" ref="F308">_xlfn.LET(_xlpm.a,ERROR.TYPE(expand_rng("B2:D6",-5)),_xlpm.b,ERROR.TYPE(expand_rng(shape_tests!$H$308,shape_tests!$I$308)),_xlpm.sa,IFERROR(ROWS(_xlpm.a)&amp;"x"&amp;COLUMNS(_xlpm.a),"err"),_xlpm.sb,IFERROR(ROWS(_xlpm.b)&amp;"x"&amp;COLUMNS(_xlpm.b),"err"),IF(_xlpm.sa&lt;&gt;_xlpm.sb,"FAIL",IF(_xlpm.sa="err",IF(ERROR.TYPE(_xlpm.a)=ERROR.TYPE(_xlpm.b),"PASS","FAIL"),IF(AND(IFERROR(_xlpm.a=_xlpm.b,IFERROR(ERROR.TYPE(_xlpm.a)=ERROR.TYPE(_xlpm.b),FALSE))),"PASS","FAIL"))))</f>
        <v>0</v>
      </c>
      <c r="H308" t="inlineStr">
        <is>
          <t xml:space="preserve">B2:D6</t>
        </is>
      </c>
      <c r="I308">
        <v>-5.0</v>
      </c>
    </row>
    <row r="309">
      <c r="A309">
        <v>304</v>
      </c>
      <c r="B309" s="55" t="inlineStr">
        <is>
          <t xml:space="preserve">expand_rng</t>
        </is>
      </c>
      <c r="C309" t="inlineStr">
        <is>
          <t xml:space="preserve">expand_rng!H28</t>
        </is>
      </c>
      <c r="D309" s="51" t="inlineStr">
        <is>
          <t xml:space="preserve">textnum</t>
        </is>
      </c>
      <c r="E309" t="inlineStr">
        <is>
          <t xml:space="preserve">ERROR.TYPE(expand_rng("B2:D6","-5"))</t>
        </is>
      </c>
      <c r="F309" s="51" cm="1">
        <f t="array" ref="F309">_xlfn.LET(_xlpm.a,ERROR.TYPE(expand_rng("B2:D6",-5)),_xlpm.b,ERROR.TYPE(expand_rng("B2:D6","-5")),_xlpm.sa,IFERROR(ROWS(_xlpm.a)&amp;"x"&amp;COLUMNS(_xlpm.a),"err"),_xlpm.sb,IFERROR(ROWS(_xlpm.b)&amp;"x"&amp;COLUMNS(_xlpm.b),"err"),IF(_xlpm.sa&lt;&gt;_xlpm.sb,"FAIL",IF(_xlpm.sa="err",IF(ERROR.TYPE(_xlpm.a)=ERROR.TYPE(_xlpm.b),"PASS","FAIL"),IF(AND(IFERROR(_xlpm.a=_xlpm.b,IFERROR(ERROR.TYPE(_xlpm.a)=ERROR.TYPE(_xlpm.b),FALSE))),"PASS","FAIL"))))</f>
        <v>0</v>
      </c>
    </row>
    <row r="310">
      <c r="A310">
        <v>305</v>
      </c>
      <c r="B310" s="55" t="inlineStr">
        <is>
          <t xml:space="preserve">expand_rng</t>
        </is>
      </c>
      <c r="C310" t="inlineStr">
        <is>
          <t xml:space="preserve">expand_rng!H28</t>
        </is>
      </c>
      <c r="D310" s="51" t="inlineStr">
        <is>
          <t xml:space="preserve">blank</t>
        </is>
      </c>
      <c r="E310" t="inlineStr">
        <is>
          <t xml:space="preserve">ERROR.TYPE(expand_rng("B2:D6",-5,shape_tests!$Z$1,shape_tests!$Z$1,shape_tests!$Z$1))</t>
        </is>
      </c>
      <c r="F310" s="51" cm="1">
        <f t="array" ref="F310">_xlfn.LET(_xlpm.a,ERROR.TYPE(expand_rng("B2:D6",-5)),_xlpm.b,ERROR.TYPE(expand_rng("B2:D6",-5,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311">
      <c r="A311">
        <v>306</v>
      </c>
      <c r="B311" s="55" t="inlineStr">
        <is>
          <t xml:space="preserve">expand_rng</t>
        </is>
      </c>
      <c r="C311" t="inlineStr">
        <is>
          <t xml:space="preserve">expand_rng!H30</t>
        </is>
      </c>
      <c r="D311" s="51" t="inlineStr">
        <is>
          <t xml:space="preserve">tocol</t>
        </is>
      </c>
      <c r="E311" t="inlineStr">
        <is>
          <t xml:space="preserve">ERROR.TYPE(expand_rng(TOCOL("B2:D6"),TOCOL(0),TOCOL(0),TOCOL(0),TOCOL(-3)))</t>
        </is>
      </c>
      <c r="F311" s="51" cm="1">
        <f t="array" ref="F311">_xlfn.LET(_xlpm.a,ERROR.TYPE(expand_rng("B2:D6",0,0,0,-3)),_xlpm.b,ERROR.TYPE(expand_rng(_xlfn.TOCOL("B2:D6"),_xlfn.TOCOL(0),_xlfn.TOCOL(0),_xlfn.TOCOL(0),_xlfn.TOCOL(-3))),_xlpm.sa,IFERROR(ROWS(_xlpm.a)&amp;"x"&amp;COLUMNS(_xlpm.a),"err"),_xlpm.sb,IFERROR(ROWS(_xlpm.b)&amp;"x"&amp;COLUMNS(_xlpm.b),"err"),IF(_xlpm.sa&lt;&gt;_xlpm.sb,"FAIL",IF(_xlpm.sa="err",IF(ERROR.TYPE(_xlpm.a)=ERROR.TYPE(_xlpm.b),"PASS","FAIL"),IF(AND(IFERROR(_xlpm.a=_xlpm.b,IFERROR(ERROR.TYPE(_xlpm.a)=ERROR.TYPE(_xlpm.b),FALSE))),"PASS","FAIL"))))</f>
        <v>0</v>
      </c>
    </row>
    <row r="312">
      <c r="A312">
        <v>307</v>
      </c>
      <c r="B312" s="55" t="inlineStr">
        <is>
          <t xml:space="preserve">expand_rng</t>
        </is>
      </c>
      <c r="C312" t="inlineStr">
        <is>
          <t xml:space="preserve">expand_rng!H30</t>
        </is>
      </c>
      <c r="D312" s="51" t="inlineStr">
        <is>
          <t xml:space="preserve">cellref</t>
        </is>
      </c>
      <c r="E312" t="inlineStr">
        <is>
          <t xml:space="preserve">ERROR.TYPE(expand_rng(shape_tests!$H$312,shape_tests!$I$312,shape_tests!$J$312,shape_tests!$K$312,shape_tests!$L$312))</t>
        </is>
      </c>
      <c r="F312" s="51" cm="1">
        <f t="array" ref="F312">_xlfn.LET(_xlpm.a,ERROR.TYPE(expand_rng("B2:D6",0,0,0,-3)),_xlpm.b,ERROR.TYPE(expand_rng(shape_tests!$H$312,shape_tests!$I$312,shape_tests!$J$312,shape_tests!$K$312,shape_tests!$L$312)),_xlpm.sa,IFERROR(ROWS(_xlpm.a)&amp;"x"&amp;COLUMNS(_xlpm.a),"err"),_xlpm.sb,IFERROR(ROWS(_xlpm.b)&amp;"x"&amp;COLUMNS(_xlpm.b),"err"),IF(_xlpm.sa&lt;&gt;_xlpm.sb,"FAIL",IF(_xlpm.sa="err",IF(ERROR.TYPE(_xlpm.a)=ERROR.TYPE(_xlpm.b),"PASS","FAIL"),IF(AND(IFERROR(_xlpm.a=_xlpm.b,IFERROR(ERROR.TYPE(_xlpm.a)=ERROR.TYPE(_xlpm.b),FALSE))),"PASS","FAIL"))))</f>
        <v>0</v>
      </c>
      <c r="H312" t="inlineStr">
        <is>
          <t xml:space="preserve">B2:D6</t>
        </is>
      </c>
      <c r="I312">
        <v>0.0</v>
      </c>
      <c r="J312">
        <v>0.0</v>
      </c>
      <c r="K312">
        <v>0.0</v>
      </c>
      <c r="L312">
        <v>-3.0</v>
      </c>
    </row>
    <row r="313">
      <c r="A313">
        <v>308</v>
      </c>
      <c r="B313" s="55" t="inlineStr">
        <is>
          <t xml:space="preserve">expand_rng</t>
        </is>
      </c>
      <c r="C313" t="inlineStr">
        <is>
          <t xml:space="preserve">expand_rng!H30</t>
        </is>
      </c>
      <c r="D313" s="51" t="inlineStr">
        <is>
          <t xml:space="preserve">textnum</t>
        </is>
      </c>
      <c r="E313" t="inlineStr">
        <is>
          <t xml:space="preserve">ERROR.TYPE(expand_rng("B2:D6","0","0","0","-3"))</t>
        </is>
      </c>
      <c r="F313" s="51" cm="1">
        <f t="array" ref="F313">_xlfn.LET(_xlpm.a,ERROR.TYPE(expand_rng("B2:D6",0,0,0,-3)),_xlpm.b,ERROR.TYPE(expand_rng("B2:D6","0","0","0","-3")),_xlpm.sa,IFERROR(ROWS(_xlpm.a)&amp;"x"&amp;COLUMNS(_xlpm.a),"err"),_xlpm.sb,IFERROR(ROWS(_xlpm.b)&amp;"x"&amp;COLUMNS(_xlpm.b),"err"),IF(_xlpm.sa&lt;&gt;_xlpm.sb,"FAIL",IF(_xlpm.sa="err",IF(ERROR.TYPE(_xlpm.a)=ERROR.TYPE(_xlpm.b),"PASS","FAIL"),IF(AND(IFERROR(_xlpm.a=_xlpm.b,IFERROR(ERROR.TYPE(_xlpm.a)=ERROR.TYPE(_xlpm.b),FALSE))),"PASS","FAIL"))))</f>
        <v>0</v>
      </c>
    </row>
    <row r="314">
      <c r="A314">
        <v>309</v>
      </c>
      <c r="B314" s="55" t="inlineStr">
        <is>
          <t xml:space="preserve">expand_rng</t>
        </is>
      </c>
      <c r="C314" t="inlineStr">
        <is>
          <t xml:space="preserve">expand_rng!H32</t>
        </is>
      </c>
      <c r="D314" s="51" t="inlineStr">
        <is>
          <t xml:space="preserve">tocol</t>
        </is>
      </c>
      <c r="E314" t="inlineStr">
        <is>
          <t xml:space="preserve">expand_rng(TOCOL("B2:D6"),TOCOL(1),TOCOL(-1),TOCOL(-1),TOCOL(1))</t>
        </is>
      </c>
      <c r="F314" s="51" cm="1">
        <f t="array" ref="F314">_xlfn.LET(_xlpm.a,expand_rng("B2:D6",1,-1,-1,1),_xlpm.b,expand_rng(_xlfn.TOCOL("B2:D6"),_xlfn.TOCOL(1),_xlfn.TOCOL(-1),_xlfn.TOCOL(-1),_xlfn.TOCOL(1)),_xlpm.sa,IFERROR(ROWS(_xlpm.a)&amp;"x"&amp;COLUMNS(_xlpm.a),"err"),_xlpm.sb,IFERROR(ROWS(_xlpm.b)&amp;"x"&amp;COLUMNS(_xlpm.b),"err"),IF(_xlpm.sa&lt;&gt;_xlpm.sb,"FAIL",IF(_xlpm.sa="err",IF(ERROR.TYPE(_xlpm.a)=ERROR.TYPE(_xlpm.b),"PASS","FAIL"),IF(AND(IFERROR(_xlpm.a=_xlpm.b,IFERROR(ERROR.TYPE(_xlpm.a)=ERROR.TYPE(_xlpm.b),FALSE))),"PASS","FAIL"))))</f>
        <v>0</v>
      </c>
    </row>
    <row r="315">
      <c r="A315">
        <v>310</v>
      </c>
      <c r="B315" s="55" t="inlineStr">
        <is>
          <t xml:space="preserve">expand_rng</t>
        </is>
      </c>
      <c r="C315" t="inlineStr">
        <is>
          <t xml:space="preserve">expand_rng!H32</t>
        </is>
      </c>
      <c r="D315" s="51" t="inlineStr">
        <is>
          <t xml:space="preserve">cellref</t>
        </is>
      </c>
      <c r="E315" t="inlineStr">
        <is>
          <t xml:space="preserve">expand_rng(shape_tests!$H$315,shape_tests!$I$315,shape_tests!$J$315,shape_tests!$K$315,shape_tests!$L$315)</t>
        </is>
      </c>
      <c r="F315" s="51" cm="1">
        <f t="array" ref="F315">_xlfn.LET(_xlpm.a,expand_rng("B2:D6",1,-1,-1,1),_xlpm.b,expand_rng(shape_tests!$H$315,shape_tests!$I$315,shape_tests!$J$315,shape_tests!$K$315,shape_tests!$L$315),_xlpm.sa,IFERROR(ROWS(_xlpm.a)&amp;"x"&amp;COLUMNS(_xlpm.a),"err"),_xlpm.sb,IFERROR(ROWS(_xlpm.b)&amp;"x"&amp;COLUMNS(_xlpm.b),"err"),IF(_xlpm.sa&lt;&gt;_xlpm.sb,"FAIL",IF(_xlpm.sa="err",IF(ERROR.TYPE(_xlpm.a)=ERROR.TYPE(_xlpm.b),"PASS","FAIL"),IF(AND(IFERROR(_xlpm.a=_xlpm.b,IFERROR(ERROR.TYPE(_xlpm.a)=ERROR.TYPE(_xlpm.b),FALSE))),"PASS","FAIL"))))</f>
        <v>0</v>
      </c>
      <c r="H315" t="inlineStr">
        <is>
          <t xml:space="preserve">B2:D6</t>
        </is>
      </c>
      <c r="I315">
        <v>1.0</v>
      </c>
      <c r="J315">
        <v>-1.0</v>
      </c>
      <c r="K315">
        <v>-1.0</v>
      </c>
      <c r="L315">
        <v>1.0</v>
      </c>
    </row>
    <row r="316">
      <c r="A316">
        <v>311</v>
      </c>
      <c r="B316" s="55" t="inlineStr">
        <is>
          <t xml:space="preserve">expand_rng</t>
        </is>
      </c>
      <c r="C316" t="inlineStr">
        <is>
          <t xml:space="preserve">expand_rng!H32</t>
        </is>
      </c>
      <c r="D316" s="51" t="inlineStr">
        <is>
          <t xml:space="preserve">textnum</t>
        </is>
      </c>
      <c r="E316" t="inlineStr">
        <is>
          <t xml:space="preserve">expand_rng("B2:D6","1","-1","-1","1")</t>
        </is>
      </c>
      <c r="F316" s="51" cm="1">
        <f t="array" ref="F316">_xlfn.LET(_xlpm.a,expand_rng("B2:D6",1,-1,-1,1),_xlpm.b,expand_rng("B2:D6","1","-1","-1","1"),_xlpm.sa,IFERROR(ROWS(_xlpm.a)&amp;"x"&amp;COLUMNS(_xlpm.a),"err"),_xlpm.sb,IFERROR(ROWS(_xlpm.b)&amp;"x"&amp;COLUMNS(_xlpm.b),"err"),IF(_xlpm.sa&lt;&gt;_xlpm.sb,"FAIL",IF(_xlpm.sa="err",IF(ERROR.TYPE(_xlpm.a)=ERROR.TYPE(_xlpm.b),"PASS","FAIL"),IF(AND(IFERROR(_xlpm.a=_xlpm.b,IFERROR(ERROR.TYPE(_xlpm.a)=ERROR.TYPE(_xlpm.b),FALSE))),"PASS","FAIL"))))</f>
        <v>0</v>
      </c>
    </row>
    <row r="317">
      <c r="A317">
        <v>312</v>
      </c>
      <c r="B317" s="55" t="inlineStr">
        <is>
          <t xml:space="preserve">expand_rng</t>
        </is>
      </c>
      <c r="C317" t="inlineStr">
        <is>
          <t xml:space="preserve">expand_rng!H34</t>
        </is>
      </c>
      <c r="D317" s="51" t="inlineStr">
        <is>
          <t xml:space="preserve">tocol</t>
        </is>
      </c>
      <c r="E317" t="inlineStr">
        <is>
          <t xml:space="preserve">ERROR.TYPE(expand_rng(TOCOL("B3"),TOCOL(0.5)))</t>
        </is>
      </c>
      <c r="F317" s="51" cm="1">
        <f t="array" ref="F317">_xlfn.LET(_xlpm.a,ERROR.TYPE(expand_rng("B3",0.5)),_xlpm.b,ERROR.TYPE(expand_rng(_xlfn.TOCOL("B3"),_xlfn.TOCOL(0.5))),_xlpm.sa,IFERROR(ROWS(_xlpm.a)&amp;"x"&amp;COLUMNS(_xlpm.a),"err"),_xlpm.sb,IFERROR(ROWS(_xlpm.b)&amp;"x"&amp;COLUMNS(_xlpm.b),"err"),IF(_xlpm.sa&lt;&gt;_xlpm.sb,"FAIL",IF(_xlpm.sa="err",IF(ERROR.TYPE(_xlpm.a)=ERROR.TYPE(_xlpm.b),"PASS","FAIL"),IF(AND(IFERROR(_xlpm.a=_xlpm.b,IFERROR(ERROR.TYPE(_xlpm.a)=ERROR.TYPE(_xlpm.b),FALSE))),"PASS","FAIL"))))</f>
        <v>0</v>
      </c>
    </row>
    <row r="318">
      <c r="A318">
        <v>313</v>
      </c>
      <c r="B318" s="55" t="inlineStr">
        <is>
          <t xml:space="preserve">expand_rng</t>
        </is>
      </c>
      <c r="C318" t="inlineStr">
        <is>
          <t xml:space="preserve">expand_rng!H34</t>
        </is>
      </c>
      <c r="D318" s="51" t="inlineStr">
        <is>
          <t xml:space="preserve">cellref</t>
        </is>
      </c>
      <c r="E318" t="inlineStr">
        <is>
          <t xml:space="preserve">ERROR.TYPE(expand_rng(shape_tests!$H$318,shape_tests!$I$318))</t>
        </is>
      </c>
      <c r="F318" s="51" cm="1">
        <f t="array" ref="F318">_xlfn.LET(_xlpm.a,ERROR.TYPE(expand_rng("B3",0.5)),_xlpm.b,ERROR.TYPE(expand_rng(shape_tests!$H$318,shape_tests!$I$318)),_xlpm.sa,IFERROR(ROWS(_xlpm.a)&amp;"x"&amp;COLUMNS(_xlpm.a),"err"),_xlpm.sb,IFERROR(ROWS(_xlpm.b)&amp;"x"&amp;COLUMNS(_xlpm.b),"err"),IF(_xlpm.sa&lt;&gt;_xlpm.sb,"FAIL",IF(_xlpm.sa="err",IF(ERROR.TYPE(_xlpm.a)=ERROR.TYPE(_xlpm.b),"PASS","FAIL"),IF(AND(IFERROR(_xlpm.a=_xlpm.b,IFERROR(ERROR.TYPE(_xlpm.a)=ERROR.TYPE(_xlpm.b),FALSE))),"PASS","FAIL"))))</f>
        <v>0</v>
      </c>
      <c r="H318" t="inlineStr">
        <is>
          <t xml:space="preserve">B3</t>
        </is>
      </c>
      <c r="I318">
        <v>0.5</v>
      </c>
    </row>
    <row r="319">
      <c r="A319">
        <v>314</v>
      </c>
      <c r="B319" s="55" t="inlineStr">
        <is>
          <t xml:space="preserve">expand_rng</t>
        </is>
      </c>
      <c r="C319" t="inlineStr">
        <is>
          <t xml:space="preserve">expand_rng!H34</t>
        </is>
      </c>
      <c r="D319" s="51" t="inlineStr">
        <is>
          <t xml:space="preserve">textnum</t>
        </is>
      </c>
      <c r="E319" t="inlineStr">
        <is>
          <t xml:space="preserve">ERROR.TYPE(expand_rng("B3","0.5"))</t>
        </is>
      </c>
      <c r="F319" s="51" cm="1">
        <f t="array" ref="F319">_xlfn.LET(_xlpm.a,ERROR.TYPE(expand_rng("B3",0.5)),_xlpm.b,ERROR.TYPE(expand_rng("B3","0.5")),_xlpm.sa,IFERROR(ROWS(_xlpm.a)&amp;"x"&amp;COLUMNS(_xlpm.a),"err"),_xlpm.sb,IFERROR(ROWS(_xlpm.b)&amp;"x"&amp;COLUMNS(_xlpm.b),"err"),IF(_xlpm.sa&lt;&gt;_xlpm.sb,"FAIL",IF(_xlpm.sa="err",IF(ERROR.TYPE(_xlpm.a)=ERROR.TYPE(_xlpm.b),"PASS","FAIL"),IF(AND(IFERROR(_xlpm.a=_xlpm.b,IFERROR(ERROR.TYPE(_xlpm.a)=ERROR.TYPE(_xlpm.b),FALSE))),"PASS","FAIL"))))</f>
        <v>0</v>
      </c>
    </row>
    <row r="320">
      <c r="A320">
        <v>315</v>
      </c>
      <c r="B320" s="55" t="inlineStr">
        <is>
          <t xml:space="preserve">expand_rng</t>
        </is>
      </c>
      <c r="C320" t="inlineStr">
        <is>
          <t xml:space="preserve">expand_rng!H34</t>
        </is>
      </c>
      <c r="D320" s="51" t="inlineStr">
        <is>
          <t xml:space="preserve">blank</t>
        </is>
      </c>
      <c r="E320" t="inlineStr">
        <is>
          <t xml:space="preserve">ERROR.TYPE(expand_rng("B3",0.5,shape_tests!$Z$1,shape_tests!$Z$1,shape_tests!$Z$1))</t>
        </is>
      </c>
      <c r="F320" s="51" cm="1">
        <f t="array" ref="F320">_xlfn.LET(_xlpm.a,ERROR.TYPE(expand_rng("B3",0.5)),_xlpm.b,ERROR.TYPE(expand_rng("B3",0.5,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321">
      <c r="A321">
        <v>316</v>
      </c>
      <c r="B321" s="55" t="inlineStr">
        <is>
          <t xml:space="preserve">first_time</t>
        </is>
      </c>
      <c r="C321" t="inlineStr">
        <is>
          <t xml:space="preserve">first_time!L17</t>
        </is>
      </c>
      <c r="D321" s="51" t="inlineStr">
        <is>
          <t xml:space="preserve">array</t>
        </is>
      </c>
      <c r="E321" t="inlineStr">
        <is>
          <t xml:space="preserve">first_time(CHOOSEROWS(D17:D21,SEQUENCE(ROWS(D17:D21))))</t>
        </is>
      </c>
      <c r="F321" s="51" cm="1">
        <f t="array" ref="F321">_xlfn.LET(_xlpm.a,first_time('first_time'!D17:D21),_xlpm.b,first_time(_xlfn.CHOOSEROWS('first_time'!D17:D21,_xlfn.SEQUENCE(ROWS('first_time'!D17:D21)))),_xlpm.sa,IFERROR(ROWS(_xlpm.a)&amp;"x"&amp;COLUMNS(_xlpm.a),"err"),_xlpm.sb,IFERROR(ROWS(_xlpm.b)&amp;"x"&amp;COLUMNS(_xlpm.b),"err"),IF(_xlpm.sa&lt;&gt;_xlpm.sb,"FAIL",IF(_xlpm.sa="err",IF(ERROR.TYPE(_xlpm.a)=ERROR.TYPE(_xlpm.b),"PASS","FAIL"),IF(AND(IFERROR(_xlpm.a=_xlpm.b,IFERROR(ERROR.TYPE(_xlpm.a)=ERROR.TYPE(_xlpm.b),FALSE))),"PASS","FAIL"))))</f>
        <v>0</v>
      </c>
    </row>
    <row r="322">
      <c r="A322">
        <v>317</v>
      </c>
      <c r="B322" s="55" t="inlineStr">
        <is>
          <t xml:space="preserve">first_time</t>
        </is>
      </c>
      <c r="C322" t="inlineStr">
        <is>
          <t xml:space="preserve">first_time!L24</t>
        </is>
      </c>
      <c r="D322" s="51" t="inlineStr">
        <is>
          <t xml:space="preserve">array</t>
        </is>
      </c>
      <c r="E322" t="inlineStr">
        <is>
          <t xml:space="preserve">first_time(CHOOSEROWS(D24:D26,SEQUENCE(ROWS(D24:D26))))</t>
        </is>
      </c>
      <c r="F322" s="51" cm="1">
        <f t="array" ref="F322">_xlfn.LET(_xlpm.a,first_time('first_time'!D24:D26),_xlpm.b,first_time(_xlfn.CHOOSEROWS('first_time'!D24:D26,_xlfn.SEQUENCE(ROWS('first_time'!D24:D26)))),_xlpm.sa,IFERROR(ROWS(_xlpm.a)&amp;"x"&amp;COLUMNS(_xlpm.a),"err"),_xlpm.sb,IFERROR(ROWS(_xlpm.b)&amp;"x"&amp;COLUMNS(_xlpm.b),"err"),IF(_xlpm.sa&lt;&gt;_xlpm.sb,"FAIL",IF(_xlpm.sa="err",IF(ERROR.TYPE(_xlpm.a)=ERROR.TYPE(_xlpm.b),"PASS","FAIL"),IF(AND(IFERROR(_xlpm.a=_xlpm.b,IFERROR(ERROR.TYPE(_xlpm.a)=ERROR.TYPE(_xlpm.b),FALSE))),"PASS","FAIL"))))</f>
        <v>0</v>
      </c>
    </row>
    <row r="323">
      <c r="A323">
        <v>318</v>
      </c>
      <c r="B323" s="55" t="inlineStr">
        <is>
          <t xml:space="preserve">first_time</t>
        </is>
      </c>
      <c r="C323" t="inlineStr">
        <is>
          <t xml:space="preserve">first_time!L29</t>
        </is>
      </c>
      <c r="D323" s="51" t="inlineStr">
        <is>
          <t xml:space="preserve">array</t>
        </is>
      </c>
      <c r="E323" t="inlineStr">
        <is>
          <t xml:space="preserve">ROWS(first_time(CHOOSEROWS(D29:D31,SEQUENCE(ROWS(D29:D31)))))</t>
        </is>
      </c>
      <c r="F323" s="51" cm="1">
        <f t="array" ref="F323">_xlfn.LET(_xlpm.a,ROWS(first_time('first_time'!D29:D31)),_xlpm.b,ROWS(first_time(_xlfn.CHOOSEROWS('first_time'!D29:D31,_xlfn.SEQUENCE(ROWS('first_time'!D29:D31))))),_xlpm.sa,IFERROR(ROWS(_xlpm.a)&amp;"x"&amp;COLUMNS(_xlpm.a),"err"),_xlpm.sb,IFERROR(ROWS(_xlpm.b)&amp;"x"&amp;COLUMNS(_xlpm.b),"err"),IF(_xlpm.sa&lt;&gt;_xlpm.sb,"FAIL",IF(_xlpm.sa="err",IF(ERROR.TYPE(_xlpm.a)=ERROR.TYPE(_xlpm.b),"PASS","FAIL"),IF(AND(IFERROR(_xlpm.a=_xlpm.b,IFERROR(ERROR.TYPE(_xlpm.a)=ERROR.TYPE(_xlpm.b),FALSE))),"PASS","FAIL"))))</f>
        <v>0</v>
      </c>
    </row>
    <row r="324">
      <c r="A324">
        <v>319</v>
      </c>
      <c r="B324" s="55" t="inlineStr">
        <is>
          <t xml:space="preserve">freq_table</t>
        </is>
      </c>
      <c r="C324" t="inlineStr">
        <is>
          <t xml:space="preserve">freq_table!K6</t>
        </is>
      </c>
      <c r="D324" s="51" t="inlineStr">
        <is>
          <t xml:space="preserve">blank</t>
        </is>
      </c>
      <c r="E324" t="inlineStr">
        <is>
          <t xml:space="preserve">freq_table(D6:D8,shape_tests!$Z$1)</t>
        </is>
      </c>
      <c r="F324" s="51" cm="1">
        <f t="array" ref="F324">_xlfn.LET(_xlpm.a,freq_table('freq_table'!D6:D8),_xlpm.b,freq_table('freq_table'!D6:D8,shape_tests!$Z$1),_xlpm.sa,IFERROR(ROWS(_xlpm.a)&amp;"x"&amp;COLUMNS(_xlpm.a),"err"),_xlpm.sb,IFERROR(ROWS(_xlpm.b)&amp;"x"&amp;COLUMNS(_xlpm.b),"err"),IF(_xlpm.sa&lt;&gt;_xlpm.sb,"FAIL",IF(_xlpm.sa="err",IF(ERROR.TYPE(_xlpm.a)=ERROR.TYPE(_xlpm.b),"PASS","FAIL"),IF(AND(IFERROR(_xlpm.a=_xlpm.b,IFERROR(ERROR.TYPE(_xlpm.a)=ERROR.TYPE(_xlpm.b),FALSE))),"PASS","FAIL"))))</f>
        <v>0</v>
      </c>
    </row>
    <row r="325">
      <c r="A325">
        <v>320</v>
      </c>
      <c r="B325" s="55" t="inlineStr">
        <is>
          <t xml:space="preserve">freq_table</t>
        </is>
      </c>
      <c r="C325" t="inlineStr">
        <is>
          <t xml:space="preserve">freq_table!K10</t>
        </is>
      </c>
      <c r="D325" s="51" t="inlineStr">
        <is>
          <t xml:space="preserve">blank</t>
        </is>
      </c>
      <c r="E325" t="inlineStr">
        <is>
          <t xml:space="preserve">freq_table(D10:D15,shape_tests!$Z$1)</t>
        </is>
      </c>
      <c r="F325" s="51" cm="1">
        <f t="array" ref="F325">_xlfn.LET(_xlpm.a,freq_table('freq_table'!D10:D15),_xlpm.b,freq_table('freq_table'!D10:D15,shape_tests!$Z$1),_xlpm.sa,IFERROR(ROWS(_xlpm.a)&amp;"x"&amp;COLUMNS(_xlpm.a),"err"),_xlpm.sb,IFERROR(ROWS(_xlpm.b)&amp;"x"&amp;COLUMNS(_xlpm.b),"err"),IF(_xlpm.sa&lt;&gt;_xlpm.sb,"FAIL",IF(_xlpm.sa="err",IF(ERROR.TYPE(_xlpm.a)=ERROR.TYPE(_xlpm.b),"PASS","FAIL"),IF(AND(IFERROR(_xlpm.a=_xlpm.b,IFERROR(ERROR.TYPE(_xlpm.a)=ERROR.TYPE(_xlpm.b),FALSE))),"PASS","FAIL"))))</f>
        <v>0</v>
      </c>
    </row>
    <row r="326">
      <c r="A326">
        <v>321</v>
      </c>
      <c r="B326" s="55" t="inlineStr">
        <is>
          <t xml:space="preserve">freq_table</t>
        </is>
      </c>
      <c r="C326" t="inlineStr">
        <is>
          <t xml:space="preserve">freq_table!K17</t>
        </is>
      </c>
      <c r="D326" s="51" t="inlineStr">
        <is>
          <t xml:space="preserve">blank</t>
        </is>
      </c>
      <c r="E326" t="inlineStr">
        <is>
          <t xml:space="preserve">freq_table(D17:D20,shape_tests!$Z$1)</t>
        </is>
      </c>
      <c r="F326" s="51" cm="1">
        <f t="array" ref="F326">_xlfn.LET(_xlpm.a,freq_table('freq_table'!D17:D20),_xlpm.b,freq_table('freq_table'!D17:D20,shape_tests!$Z$1),_xlpm.sa,IFERROR(ROWS(_xlpm.a)&amp;"x"&amp;COLUMNS(_xlpm.a),"err"),_xlpm.sb,IFERROR(ROWS(_xlpm.b)&amp;"x"&amp;COLUMNS(_xlpm.b),"err"),IF(_xlpm.sa&lt;&gt;_xlpm.sb,"FAIL",IF(_xlpm.sa="err",IF(ERROR.TYPE(_xlpm.a)=ERROR.TYPE(_xlpm.b),"PASS","FAIL"),IF(AND(IFERROR(_xlpm.a=_xlpm.b,IFERROR(ERROR.TYPE(_xlpm.a)=ERROR.TYPE(_xlpm.b),FALSE))),"PASS","FAIL"))))</f>
        <v>0</v>
      </c>
    </row>
    <row r="327">
      <c r="A327">
        <v>322</v>
      </c>
      <c r="B327" s="55" t="inlineStr">
        <is>
          <t xml:space="preserve">freq_table</t>
        </is>
      </c>
      <c r="C327" t="inlineStr">
        <is>
          <t xml:space="preserve">freq_table!K22</t>
        </is>
      </c>
      <c r="D327" s="51" t="inlineStr">
        <is>
          <t xml:space="preserve">tocol</t>
        </is>
      </c>
      <c r="E327" t="inlineStr">
        <is>
          <t xml:space="preserve">freq_table(D22:D27,TOCOL(F22))</t>
        </is>
      </c>
      <c r="F327" s="51" cm="1">
        <f t="array" ref="F327">_xlfn.LET(_xlpm.a,freq_table('freq_table'!D22:D27,'freq_table'!F22),_xlpm.b,freq_table('freq_table'!D22:D27,_xlfn.TOCOL('freq_table'!F22)),_xlpm.sa,IFERROR(ROWS(_xlpm.a)&amp;"x"&amp;COLUMNS(_xlpm.a),"err"),_xlpm.sb,IFERROR(ROWS(_xlpm.b)&amp;"x"&amp;COLUMNS(_xlpm.b),"err"),IF(_xlpm.sa&lt;&gt;_xlpm.sb,"FAIL",IF(_xlpm.sa="err",IF(ERROR.TYPE(_xlpm.a)=ERROR.TYPE(_xlpm.b),"PASS","FAIL"),IF(AND(IFERROR(_xlpm.a=_xlpm.b,IFERROR(ERROR.TYPE(_xlpm.a)=ERROR.TYPE(_xlpm.b),FALSE))),"PASS","FAIL"))))</f>
        <v>0</v>
      </c>
    </row>
    <row r="328">
      <c r="A328">
        <v>323</v>
      </c>
      <c r="B328" s="55" t="inlineStr">
        <is>
          <t xml:space="preserve">freq_table</t>
        </is>
      </c>
      <c r="C328" t="inlineStr">
        <is>
          <t xml:space="preserve">freq_table!K22</t>
        </is>
      </c>
      <c r="D328" s="51" t="inlineStr">
        <is>
          <t xml:space="preserve">textnum</t>
        </is>
      </c>
      <c r="E328" t="inlineStr">
        <is>
          <t xml:space="preserve">freq_table(D22:D27,(F22&amp;""))</t>
        </is>
      </c>
      <c r="F328" s="51" cm="1">
        <f t="array" ref="F328">_xlfn.LET(_xlpm.a,freq_table('freq_table'!D22:D27,'freq_table'!F22),_xlpm.b,freq_table('freq_table'!D22:D27,('freq_table'!F22&amp;"")),_xlpm.sa,IFERROR(ROWS(_xlpm.a)&amp;"x"&amp;COLUMNS(_xlpm.a),"err"),_xlpm.sb,IFERROR(ROWS(_xlpm.b)&amp;"x"&amp;COLUMNS(_xlpm.b),"err"),IF(_xlpm.sa&lt;&gt;_xlpm.sb,"FAIL",IF(_xlpm.sa="err",IF(ERROR.TYPE(_xlpm.a)=ERROR.TYPE(_xlpm.b),"PASS","FAIL"),IF(AND(IFERROR(_xlpm.a=_xlpm.b,IFERROR(ERROR.TYPE(_xlpm.a)=ERROR.TYPE(_xlpm.b),FALSE))),"PASS","FAIL"))))</f>
        <v>0</v>
      </c>
    </row>
    <row r="329">
      <c r="A329">
        <v>324</v>
      </c>
      <c r="B329" s="55" t="inlineStr">
        <is>
          <t xml:space="preserve">freq_table</t>
        </is>
      </c>
      <c r="C329" t="inlineStr">
        <is>
          <t xml:space="preserve">freq_table!K29</t>
        </is>
      </c>
      <c r="D329" s="51" t="inlineStr">
        <is>
          <t xml:space="preserve">blank</t>
        </is>
      </c>
      <c r="E329" t="inlineStr">
        <is>
          <t xml:space="preserve">freq_table(D29:D31,shape_tests!$Z$1)</t>
        </is>
      </c>
      <c r="F329" s="51" cm="1">
        <f t="array" ref="F329">_xlfn.LET(_xlpm.a,freq_table('freq_table'!D29:D31),_xlpm.b,freq_table('freq_table'!D29:D31,shape_tests!$Z$1),_xlpm.sa,IFERROR(ROWS(_xlpm.a)&amp;"x"&amp;COLUMNS(_xlpm.a),"err"),_xlpm.sb,IFERROR(ROWS(_xlpm.b)&amp;"x"&amp;COLUMNS(_xlpm.b),"err"),IF(_xlpm.sa&lt;&gt;_xlpm.sb,"FAIL",IF(_xlpm.sa="err",IF(ERROR.TYPE(_xlpm.a)=ERROR.TYPE(_xlpm.b),"PASS","FAIL"),IF(AND(IFERROR(_xlpm.a=_xlpm.b,IFERROR(ERROR.TYPE(_xlpm.a)=ERROR.TYPE(_xlpm.b),FALSE))),"PASS","FAIL"))))</f>
        <v>0</v>
      </c>
    </row>
    <row r="330">
      <c r="A330">
        <v>325</v>
      </c>
      <c r="B330" s="55" t="inlineStr">
        <is>
          <t xml:space="preserve">freq_table</t>
        </is>
      </c>
      <c r="C330" t="inlineStr">
        <is>
          <t xml:space="preserve">freq_table!K33</t>
        </is>
      </c>
      <c r="D330" s="51" t="inlineStr">
        <is>
          <t xml:space="preserve">array</t>
        </is>
      </c>
      <c r="E330" t="inlineStr">
        <is>
          <t xml:space="preserve">freq_table(CHOOSEROWS(D33:D35,SEQUENCE(ROWS(D33:D35))))</t>
        </is>
      </c>
      <c r="F330" s="51" cm="1">
        <f t="array" ref="F330">_xlfn.LET(_xlpm.a,freq_table('freq_table'!D33:D35),_xlpm.b,freq_table(_xlfn.CHOOSEROWS('freq_table'!D33:D35,_xlfn.SEQUENCE(ROWS('freq_table'!D33:D35)))),_xlpm.sa,IFERROR(ROWS(_xlpm.a)&amp;"x"&amp;COLUMNS(_xlpm.a),"err"),_xlpm.sb,IFERROR(ROWS(_xlpm.b)&amp;"x"&amp;COLUMNS(_xlpm.b),"err"),IF(_xlpm.sa&lt;&gt;_xlpm.sb,"FAIL",IF(_xlpm.sa="err",IF(ERROR.TYPE(_xlpm.a)=ERROR.TYPE(_xlpm.b),"PASS","FAIL"),IF(AND(IFERROR(_xlpm.a=_xlpm.b,IFERROR(ERROR.TYPE(_xlpm.a)=ERROR.TYPE(_xlpm.b),FALSE))),"PASS","FAIL"))))</f>
        <v>0</v>
      </c>
    </row>
    <row r="331">
      <c r="A331">
        <v>326</v>
      </c>
      <c r="B331" s="55" t="inlineStr">
        <is>
          <t xml:space="preserve">freq_table</t>
        </is>
      </c>
      <c r="C331" t="inlineStr">
        <is>
          <t xml:space="preserve">freq_table!K33</t>
        </is>
      </c>
      <c r="D331" s="51" t="inlineStr">
        <is>
          <t xml:space="preserve">blank</t>
        </is>
      </c>
      <c r="E331" t="inlineStr">
        <is>
          <t xml:space="preserve">freq_table(D33:D35,shape_tests!$Z$1)</t>
        </is>
      </c>
      <c r="F331" s="51" cm="1">
        <f t="array" ref="F331">_xlfn.LET(_xlpm.a,freq_table('freq_table'!D33:D35),_xlpm.b,freq_table('freq_table'!D33:D35,shape_tests!$Z$1),_xlpm.sa,IFERROR(ROWS(_xlpm.a)&amp;"x"&amp;COLUMNS(_xlpm.a),"err"),_xlpm.sb,IFERROR(ROWS(_xlpm.b)&amp;"x"&amp;COLUMNS(_xlpm.b),"err"),IF(_xlpm.sa&lt;&gt;_xlpm.sb,"FAIL",IF(_xlpm.sa="err",IF(ERROR.TYPE(_xlpm.a)=ERROR.TYPE(_xlpm.b),"PASS","FAIL"),IF(AND(IFERROR(_xlpm.a=_xlpm.b,IFERROR(ERROR.TYPE(_xlpm.a)=ERROR.TYPE(_xlpm.b),FALSE))),"PASS","FAIL"))))</f>
        <v>0</v>
      </c>
    </row>
    <row r="332">
      <c r="A332">
        <v>327</v>
      </c>
      <c r="B332" s="55" t="inlineStr">
        <is>
          <t xml:space="preserve">ftd_maze_cost</t>
        </is>
      </c>
      <c r="C332" t="inlineStr">
        <is>
          <t xml:space="preserve">ftd_maze_cost!R6</t>
        </is>
      </c>
      <c r="D332" s="51" t="inlineStr">
        <is>
          <t xml:space="preserve">tocol</t>
        </is>
      </c>
      <c r="E332" t="inlineStr">
        <is>
          <t xml:space="preserve">ftd_maze_cost(D6:F8,{2,2},LAMBDA(f,t,d,XLOOKUP(d,{"↑","↓","←","→","↖","↗","↙","↘"},{3,3,4,4,5,5,5,5},NA())),TOCOL(8))</t>
        </is>
      </c>
      <c r="F332" s="51" cm="1">
        <f t="array" ref="F332">_xlfn.LET(_xlpm.a,ftd_maze_cost('ftd_maze_cost'!D6:F8,{2,2},_xlfn.LAMBDA(_xlpm.f,_xlpm.t,_xlpm.d,_xlfn.XLOOKUP(_xlpm.d,{"↑","↓","←","→","↖","↗","↙","↘"},{3,3,4,4,5,5,5,5},NA())),8),_xlpm.b,ftd_maze_cost('ftd_maze_cost'!D6:F8,{2,2},_xlfn.LAMBDA(_xlpm.f,_xlpm.t,_xlpm.d,_xlfn.XLOOKUP(_xlpm.d,{"↑","↓","←","→","↖","↗","↙","↘"},{3,3,4,4,5,5,5,5},NA())),_xlfn.TOCOL(8)),_xlpm.sa,IFERROR(ROWS(_xlpm.a)&amp;"x"&amp;COLUMNS(_xlpm.a),"err"),_xlpm.sb,IFERROR(ROWS(_xlpm.b)&amp;"x"&amp;COLUMNS(_xlpm.b),"err"),IF(_xlpm.sa&lt;&gt;_xlpm.sb,"FAIL",IF(_xlpm.sa="err",IF(ERROR.TYPE(_xlpm.a)=ERROR.TYPE(_xlpm.b),"PASS","FAIL"),IF(AND(IFERROR(_xlpm.a=_xlpm.b,IFERROR(ERROR.TYPE(_xlpm.a)=ERROR.TYPE(_xlpm.b),FALSE))),"PASS","FAIL"))))</f>
        <v>0</v>
      </c>
    </row>
    <row r="333">
      <c r="A333">
        <v>328</v>
      </c>
      <c r="B333" s="55" t="inlineStr">
        <is>
          <t xml:space="preserve">ftd_maze_cost</t>
        </is>
      </c>
      <c r="C333" t="inlineStr">
        <is>
          <t xml:space="preserve">ftd_maze_cost!R6</t>
        </is>
      </c>
      <c r="D333" s="51" t="inlineStr">
        <is>
          <t xml:space="preserve">cellref</t>
        </is>
      </c>
      <c r="E333" t="inlineStr">
        <is>
          <t xml:space="preserve">ftd_maze_cost(D6:F8,{2,2},LAMBDA(f,t,d,XLOOKUP(d,{"↑","↓","←","→","↖","↗","↙","↘"},{3,3,4,4,5,5,5,5},NA())),shape_tests!$H$333)</t>
        </is>
      </c>
      <c r="F333" s="51" cm="1">
        <f t="array" ref="F333">_xlfn.LET(_xlpm.a,ftd_maze_cost('ftd_maze_cost'!D6:F8,{2,2},_xlfn.LAMBDA(_xlpm.f,_xlpm.t,_xlpm.d,_xlfn.XLOOKUP(_xlpm.d,{"↑","↓","←","→","↖","↗","↙","↘"},{3,3,4,4,5,5,5,5},NA())),8),_xlpm.b,ftd_maze_cost('ftd_maze_cost'!D6:F8,{2,2},_xlfn.LAMBDA(_xlpm.f,_xlpm.t,_xlpm.d,_xlfn.XLOOKUP(_xlpm.d,{"↑","↓","←","→","↖","↗","↙","↘"},{3,3,4,4,5,5,5,5},NA())),shape_tests!$H$333),_xlpm.sa,IFERROR(ROWS(_xlpm.a)&amp;"x"&amp;COLUMNS(_xlpm.a),"err"),_xlpm.sb,IFERROR(ROWS(_xlpm.b)&amp;"x"&amp;COLUMNS(_xlpm.b),"err"),IF(_xlpm.sa&lt;&gt;_xlpm.sb,"FAIL",IF(_xlpm.sa="err",IF(ERROR.TYPE(_xlpm.a)=ERROR.TYPE(_xlpm.b),"PASS","FAIL"),IF(AND(IFERROR(_xlpm.a=_xlpm.b,IFERROR(ERROR.TYPE(_xlpm.a)=ERROR.TYPE(_xlpm.b),FALSE))),"PASS","FAIL"))))</f>
        <v>0</v>
      </c>
      <c r="H333">
        <v>8.0</v>
      </c>
    </row>
    <row r="334">
      <c r="A334">
        <v>329</v>
      </c>
      <c r="B334" s="55" t="inlineStr">
        <is>
          <t xml:space="preserve">ftd_maze_cost</t>
        </is>
      </c>
      <c r="C334" t="inlineStr">
        <is>
          <t xml:space="preserve">ftd_maze_cost!R6</t>
        </is>
      </c>
      <c r="D334" s="51" t="inlineStr">
        <is>
          <t xml:space="preserve">textnum</t>
        </is>
      </c>
      <c r="E334" t="inlineStr">
        <is>
          <t xml:space="preserve">ftd_maze_cost(D6:F8,{2,2},LAMBDA(f,t,d,XLOOKUP(d,{"↑","↓","←","→","↖","↗","↙","↘"},{3,3,4,4,5,5,5,5},NA())),"8")</t>
        </is>
      </c>
      <c r="F334" s="51" cm="1">
        <f t="array" ref="F334">_xlfn.LET(_xlpm.a,ftd_maze_cost('ftd_maze_cost'!D6:F8,{2,2},_xlfn.LAMBDA(_xlpm.f,_xlpm.t,_xlpm.d,_xlfn.XLOOKUP(_xlpm.d,{"↑","↓","←","→","↖","↗","↙","↘"},{3,3,4,4,5,5,5,5},NA())),8),_xlpm.b,ftd_maze_cost('ftd_maze_cost'!D6:F8,{2,2},_xlfn.LAMBDA(_xlpm.f,_xlpm.t,_xlpm.d,_xlfn.XLOOKUP(_xlpm.d,{"↑","↓","←","→","↖","↗","↙","↘"},{3,3,4,4,5,5,5,5},NA())),"8"),_xlpm.sa,IFERROR(ROWS(_xlpm.a)&amp;"x"&amp;COLUMNS(_xlpm.a),"err"),_xlpm.sb,IFERROR(ROWS(_xlpm.b)&amp;"x"&amp;COLUMNS(_xlpm.b),"err"),IF(_xlpm.sa&lt;&gt;_xlpm.sb,"FAIL",IF(_xlpm.sa="err",IF(ERROR.TYPE(_xlpm.a)=ERROR.TYPE(_xlpm.b),"PASS","FAIL"),IF(AND(IFERROR(_xlpm.a=_xlpm.b,IFERROR(ERROR.TYPE(_xlpm.a)=ERROR.TYPE(_xlpm.b),FALSE))),"PASS","FAIL"))))</f>
        <v>0</v>
      </c>
    </row>
    <row r="335">
      <c r="A335">
        <v>330</v>
      </c>
      <c r="B335" s="55" t="inlineStr">
        <is>
          <t xml:space="preserve">ftd_maze_cost</t>
        </is>
      </c>
      <c r="C335" t="inlineStr">
        <is>
          <t xml:space="preserve">ftd_maze_cost!R10</t>
        </is>
      </c>
      <c r="D335" s="51" t="inlineStr">
        <is>
          <t xml:space="preserve">tocol</t>
        </is>
      </c>
      <c r="E335" t="inlineStr">
        <is>
          <t xml:space="preserve">ftd_maze_cost(D10:F12,{1,1},LAMBDA(f,t,d,IF(t="#",NA(),1)),TOCOL(8))</t>
        </is>
      </c>
      <c r="F335" s="51" cm="1">
        <f t="array" ref="F335">_xlfn.LET(_xlpm.a,ftd_maze_cost('ftd_maze_cost'!D10:F12,{1,1},_xlfn.LAMBDA(_xlpm.f,_xlpm.t,_xlpm.d,IF(_xlpm.t="#",NA(),1)),8),_xlpm.b,ftd_maze_cost('ftd_maze_cost'!D10:F12,{1,1},_xlfn.LAMBDA(_xlpm.f,_xlpm.t,_xlpm.d,IF(_xlpm.t="#",NA(),1)),_xlfn.TOCOL(8)),_xlpm.sa,IFERROR(ROWS(_xlpm.a)&amp;"x"&amp;COLUMNS(_xlpm.a),"err"),_xlpm.sb,IFERROR(ROWS(_xlpm.b)&amp;"x"&amp;COLUMNS(_xlpm.b),"err"),IF(_xlpm.sa&lt;&gt;_xlpm.sb,"FAIL",IF(_xlpm.sa="err",IF(ERROR.TYPE(_xlpm.a)=ERROR.TYPE(_xlpm.b),"PASS","FAIL"),IF(AND(IFERROR(_xlpm.a=_xlpm.b,IFERROR(ERROR.TYPE(_xlpm.a)=ERROR.TYPE(_xlpm.b),FALSE))),"PASS","FAIL"))))</f>
        <v>0</v>
      </c>
    </row>
    <row r="336">
      <c r="A336">
        <v>331</v>
      </c>
      <c r="B336" s="55" t="inlineStr">
        <is>
          <t xml:space="preserve">ftd_maze_cost</t>
        </is>
      </c>
      <c r="C336" t="inlineStr">
        <is>
          <t xml:space="preserve">ftd_maze_cost!R10</t>
        </is>
      </c>
      <c r="D336" s="51" t="inlineStr">
        <is>
          <t xml:space="preserve">cellref</t>
        </is>
      </c>
      <c r="E336" t="inlineStr">
        <is>
          <t xml:space="preserve">ftd_maze_cost(D10:F12,{1,1},LAMBDA(f,t,d,IF(t="#",NA(),1)),shape_tests!$H$336)</t>
        </is>
      </c>
      <c r="F336" s="51" cm="1">
        <f t="array" ref="F336">_xlfn.LET(_xlpm.a,ftd_maze_cost('ftd_maze_cost'!D10:F12,{1,1},_xlfn.LAMBDA(_xlpm.f,_xlpm.t,_xlpm.d,IF(_xlpm.t="#",NA(),1)),8),_xlpm.b,ftd_maze_cost('ftd_maze_cost'!D10:F12,{1,1},_xlfn.LAMBDA(_xlpm.f,_xlpm.t,_xlpm.d,IF(_xlpm.t="#",NA(),1)),shape_tests!$H$336),_xlpm.sa,IFERROR(ROWS(_xlpm.a)&amp;"x"&amp;COLUMNS(_xlpm.a),"err"),_xlpm.sb,IFERROR(ROWS(_xlpm.b)&amp;"x"&amp;COLUMNS(_xlpm.b),"err"),IF(_xlpm.sa&lt;&gt;_xlpm.sb,"FAIL",IF(_xlpm.sa="err",IF(ERROR.TYPE(_xlpm.a)=ERROR.TYPE(_xlpm.b),"PASS","FAIL"),IF(AND(IFERROR(_xlpm.a=_xlpm.b,IFERROR(ERROR.TYPE(_xlpm.a)=ERROR.TYPE(_xlpm.b),FALSE))),"PASS","FAIL"))))</f>
        <v>0</v>
      </c>
      <c r="H336">
        <v>8.0</v>
      </c>
    </row>
    <row r="337">
      <c r="A337">
        <v>332</v>
      </c>
      <c r="B337" s="55" t="inlineStr">
        <is>
          <t xml:space="preserve">ftd_maze_cost</t>
        </is>
      </c>
      <c r="C337" t="inlineStr">
        <is>
          <t xml:space="preserve">ftd_maze_cost!R10</t>
        </is>
      </c>
      <c r="D337" s="51" t="inlineStr">
        <is>
          <t xml:space="preserve">textnum</t>
        </is>
      </c>
      <c r="E337" t="inlineStr">
        <is>
          <t xml:space="preserve">ftd_maze_cost(D10:F12,{1,1},LAMBDA(f,t,d,IF(t="#",NA(),1)),"8")</t>
        </is>
      </c>
      <c r="F337" s="51" cm="1">
        <f t="array" ref="F337">_xlfn.LET(_xlpm.a,ftd_maze_cost('ftd_maze_cost'!D10:F12,{1,1},_xlfn.LAMBDA(_xlpm.f,_xlpm.t,_xlpm.d,IF(_xlpm.t="#",NA(),1)),8),_xlpm.b,ftd_maze_cost('ftd_maze_cost'!D10:F12,{1,1},_xlfn.LAMBDA(_xlpm.f,_xlpm.t,_xlpm.d,IF(_xlpm.t="#",NA(),1)),"8"),_xlpm.sa,IFERROR(ROWS(_xlpm.a)&amp;"x"&amp;COLUMNS(_xlpm.a),"err"),_xlpm.sb,IFERROR(ROWS(_xlpm.b)&amp;"x"&amp;COLUMNS(_xlpm.b),"err"),IF(_xlpm.sa&lt;&gt;_xlpm.sb,"FAIL",IF(_xlpm.sa="err",IF(ERROR.TYPE(_xlpm.a)=ERROR.TYPE(_xlpm.b),"PASS","FAIL"),IF(AND(IFERROR(_xlpm.a=_xlpm.b,IFERROR(ERROR.TYPE(_xlpm.a)=ERROR.TYPE(_xlpm.b),FALSE))),"PASS","FAIL"))))</f>
        <v>0</v>
      </c>
    </row>
    <row r="338">
      <c r="A338">
        <v>333</v>
      </c>
      <c r="B338" s="55" t="inlineStr">
        <is>
          <t xml:space="preserve">ftd_maze_cost</t>
        </is>
      </c>
      <c r="C338" t="inlineStr">
        <is>
          <t xml:space="preserve">ftd_maze_cost!R14</t>
        </is>
      </c>
      <c r="D338" s="51" t="inlineStr">
        <is>
          <t xml:space="preserve">tocol</t>
        </is>
      </c>
      <c r="E338" t="inlineStr">
        <is>
          <t xml:space="preserve">ftd_maze_cost(D14:F16,{9,9},LAMBDA(f,t,d,XLOOKUP(d,{"↑","↓","←","→","↖","↗","↙","↘"},{3,3,4,4,5,5,5,5},NA())),TOCOL(8))</t>
        </is>
      </c>
      <c r="F338" s="51" cm="1">
        <f t="array" ref="F338">_xlfn.LET(_xlpm.a,ftd_maze_cost('ftd_maze_cost'!D14:F16,{9,9},_xlfn.LAMBDA(_xlpm.f,_xlpm.t,_xlpm.d,_xlfn.XLOOKUP(_xlpm.d,{"↑","↓","←","→","↖","↗","↙","↘"},{3,3,4,4,5,5,5,5},NA())),8),_xlpm.b,ftd_maze_cost('ftd_maze_cost'!D14:F16,{9,9},_xlfn.LAMBDA(_xlpm.f,_xlpm.t,_xlpm.d,_xlfn.XLOOKUP(_xlpm.d,{"↑","↓","←","→","↖","↗","↙","↘"},{3,3,4,4,5,5,5,5},NA())),_xlfn.TOCOL(8)),_xlpm.sa,IFERROR(ROWS(_xlpm.a)&amp;"x"&amp;COLUMNS(_xlpm.a),"err"),_xlpm.sb,IFERROR(ROWS(_xlpm.b)&amp;"x"&amp;COLUMNS(_xlpm.b),"err"),IF(_xlpm.sa&lt;&gt;_xlpm.sb,"FAIL",IF(_xlpm.sa="err",IF(ERROR.TYPE(_xlpm.a)=ERROR.TYPE(_xlpm.b),"PASS","FAIL"),IF(AND(IFERROR(_xlpm.a=_xlpm.b,IFERROR(ERROR.TYPE(_xlpm.a)=ERROR.TYPE(_xlpm.b),FALSE))),"PASS","FAIL"))))</f>
        <v>0</v>
      </c>
    </row>
    <row r="339">
      <c r="A339">
        <v>334</v>
      </c>
      <c r="B339" s="55" t="inlineStr">
        <is>
          <t xml:space="preserve">ftd_maze_cost</t>
        </is>
      </c>
      <c r="C339" t="inlineStr">
        <is>
          <t xml:space="preserve">ftd_maze_cost!R14</t>
        </is>
      </c>
      <c r="D339" s="51" t="inlineStr">
        <is>
          <t xml:space="preserve">cellref</t>
        </is>
      </c>
      <c r="E339" t="inlineStr">
        <is>
          <t xml:space="preserve">ftd_maze_cost(D14:F16,{9,9},LAMBDA(f,t,d,XLOOKUP(d,{"↑","↓","←","→","↖","↗","↙","↘"},{3,3,4,4,5,5,5,5},NA())),shape_tests!$H$339)</t>
        </is>
      </c>
      <c r="F339" s="51" cm="1">
        <f t="array" ref="F339">_xlfn.LET(_xlpm.a,ftd_maze_cost('ftd_maze_cost'!D14:F16,{9,9},_xlfn.LAMBDA(_xlpm.f,_xlpm.t,_xlpm.d,_xlfn.XLOOKUP(_xlpm.d,{"↑","↓","←","→","↖","↗","↙","↘"},{3,3,4,4,5,5,5,5},NA())),8),_xlpm.b,ftd_maze_cost('ftd_maze_cost'!D14:F16,{9,9},_xlfn.LAMBDA(_xlpm.f,_xlpm.t,_xlpm.d,_xlfn.XLOOKUP(_xlpm.d,{"↑","↓","←","→","↖","↗","↙","↘"},{3,3,4,4,5,5,5,5},NA())),shape_tests!$H$339),_xlpm.sa,IFERROR(ROWS(_xlpm.a)&amp;"x"&amp;COLUMNS(_xlpm.a),"err"),_xlpm.sb,IFERROR(ROWS(_xlpm.b)&amp;"x"&amp;COLUMNS(_xlpm.b),"err"),IF(_xlpm.sa&lt;&gt;_xlpm.sb,"FAIL",IF(_xlpm.sa="err",IF(ERROR.TYPE(_xlpm.a)=ERROR.TYPE(_xlpm.b),"PASS","FAIL"),IF(AND(IFERROR(_xlpm.a=_xlpm.b,IFERROR(ERROR.TYPE(_xlpm.a)=ERROR.TYPE(_xlpm.b),FALSE))),"PASS","FAIL"))))</f>
        <v>0</v>
      </c>
      <c r="H339">
        <v>8.0</v>
      </c>
    </row>
    <row r="340">
      <c r="A340">
        <v>335</v>
      </c>
      <c r="B340" s="55" t="inlineStr">
        <is>
          <t xml:space="preserve">ftd_maze_cost</t>
        </is>
      </c>
      <c r="C340" t="inlineStr">
        <is>
          <t xml:space="preserve">ftd_maze_cost!R14</t>
        </is>
      </c>
      <c r="D340" s="51" t="inlineStr">
        <is>
          <t xml:space="preserve">textnum</t>
        </is>
      </c>
      <c r="E340" t="inlineStr">
        <is>
          <t xml:space="preserve">ftd_maze_cost(D14:F16,{9,9},LAMBDA(f,t,d,XLOOKUP(d,{"↑","↓","←","→","↖","↗","↙","↘"},{3,3,4,4,5,5,5,5},NA())),"8")</t>
        </is>
      </c>
      <c r="F340" s="51" cm="1">
        <f t="array" ref="F340">_xlfn.LET(_xlpm.a,ftd_maze_cost('ftd_maze_cost'!D14:F16,{9,9},_xlfn.LAMBDA(_xlpm.f,_xlpm.t,_xlpm.d,_xlfn.XLOOKUP(_xlpm.d,{"↑","↓","←","→","↖","↗","↙","↘"},{3,3,4,4,5,5,5,5},NA())),8),_xlpm.b,ftd_maze_cost('ftd_maze_cost'!D14:F16,{9,9},_xlfn.LAMBDA(_xlpm.f,_xlpm.t,_xlpm.d,_xlfn.XLOOKUP(_xlpm.d,{"↑","↓","←","→","↖","↗","↙","↘"},{3,3,4,4,5,5,5,5},NA())),"8"),_xlpm.sa,IFERROR(ROWS(_xlpm.a)&amp;"x"&amp;COLUMNS(_xlpm.a),"err"),_xlpm.sb,IFERROR(ROWS(_xlpm.b)&amp;"x"&amp;COLUMNS(_xlpm.b),"err"),IF(_xlpm.sa&lt;&gt;_xlpm.sb,"FAIL",IF(_xlpm.sa="err",IF(ERROR.TYPE(_xlpm.a)=ERROR.TYPE(_xlpm.b),"PASS","FAIL"),IF(AND(IFERROR(_xlpm.a=_xlpm.b,IFERROR(ERROR.TYPE(_xlpm.a)=ERROR.TYPE(_xlpm.b),FALSE))),"PASS","FAIL"))))</f>
        <v>0</v>
      </c>
    </row>
    <row r="341">
      <c r="A341">
        <v>336</v>
      </c>
      <c r="B341" s="55" t="inlineStr">
        <is>
          <t xml:space="preserve">ftd_maze_cost</t>
        </is>
      </c>
      <c r="C341" t="inlineStr">
        <is>
          <t xml:space="preserve">ftd_maze_cost!R18</t>
        </is>
      </c>
      <c r="D341" s="51" t="inlineStr">
        <is>
          <t xml:space="preserve">tocol</t>
        </is>
      </c>
      <c r="E341" t="inlineStr">
        <is>
          <t xml:space="preserve">ROWS(ftd_maze_cost(D18:F20,{1,1},LAMBDA(f,t,d,1),TOCOL(8)))</t>
        </is>
      </c>
      <c r="F341" s="51" cm="1">
        <f t="array" ref="F341">_xlfn.LET(_xlpm.a,ROWS(ftd_maze_cost('ftd_maze_cost'!D18:F20,{1,1},_xlfn.LAMBDA(_xlpm.f,_xlpm.t,_xlpm.d,1),8)),_xlpm.b,ROWS(ftd_maze_cost('ftd_maze_cost'!D18:F20,{1,1},_xlfn.LAMBDA(_xlpm.f,_xlpm.t,_xlpm.d,1),_xlfn.TOCOL(8))),_xlpm.sa,IFERROR(ROWS(_xlpm.a)&amp;"x"&amp;COLUMNS(_xlpm.a),"err"),_xlpm.sb,IFERROR(ROWS(_xlpm.b)&amp;"x"&amp;COLUMNS(_xlpm.b),"err"),IF(_xlpm.sa&lt;&gt;_xlpm.sb,"FAIL",IF(_xlpm.sa="err",IF(ERROR.TYPE(_xlpm.a)=ERROR.TYPE(_xlpm.b),"PASS","FAIL"),IF(AND(IFERROR(_xlpm.a=_xlpm.b,IFERROR(ERROR.TYPE(_xlpm.a)=ERROR.TYPE(_xlpm.b),FALSE))),"PASS","FAIL"))))</f>
        <v>0</v>
      </c>
    </row>
    <row r="342">
      <c r="A342">
        <v>337</v>
      </c>
      <c r="B342" s="55" t="inlineStr">
        <is>
          <t xml:space="preserve">ftd_maze_cost</t>
        </is>
      </c>
      <c r="C342" t="inlineStr">
        <is>
          <t xml:space="preserve">ftd_maze_cost!R18</t>
        </is>
      </c>
      <c r="D342" s="51" t="inlineStr">
        <is>
          <t xml:space="preserve">cellref</t>
        </is>
      </c>
      <c r="E342" t="inlineStr">
        <is>
          <t xml:space="preserve">ROWS(ftd_maze_cost(D18:F20,{1,1},LAMBDA(f,t,d,1),shape_tests!$H$342))</t>
        </is>
      </c>
      <c r="F342" s="51" cm="1">
        <f t="array" ref="F342">_xlfn.LET(_xlpm.a,ROWS(ftd_maze_cost('ftd_maze_cost'!D18:F20,{1,1},_xlfn.LAMBDA(_xlpm.f,_xlpm.t,_xlpm.d,1),8)),_xlpm.b,ROWS(ftd_maze_cost('ftd_maze_cost'!D18:F20,{1,1},_xlfn.LAMBDA(_xlpm.f,_xlpm.t,_xlpm.d,1),shape_tests!$H$342)),_xlpm.sa,IFERROR(ROWS(_xlpm.a)&amp;"x"&amp;COLUMNS(_xlpm.a),"err"),_xlpm.sb,IFERROR(ROWS(_xlpm.b)&amp;"x"&amp;COLUMNS(_xlpm.b),"err"),IF(_xlpm.sa&lt;&gt;_xlpm.sb,"FAIL",IF(_xlpm.sa="err",IF(ERROR.TYPE(_xlpm.a)=ERROR.TYPE(_xlpm.b),"PASS","FAIL"),IF(AND(IFERROR(_xlpm.a=_xlpm.b,IFERROR(ERROR.TYPE(_xlpm.a)=ERROR.TYPE(_xlpm.b),FALSE))),"PASS","FAIL"))))</f>
        <v>0</v>
      </c>
      <c r="H342">
        <v>8.0</v>
      </c>
    </row>
    <row r="343">
      <c r="A343">
        <v>338</v>
      </c>
      <c r="B343" s="55" t="inlineStr">
        <is>
          <t xml:space="preserve">ftd_maze_cost</t>
        </is>
      </c>
      <c r="C343" t="inlineStr">
        <is>
          <t xml:space="preserve">ftd_maze_cost!R18</t>
        </is>
      </c>
      <c r="D343" s="51" t="inlineStr">
        <is>
          <t xml:space="preserve">textnum</t>
        </is>
      </c>
      <c r="E343" t="inlineStr">
        <is>
          <t xml:space="preserve">ROWS(ftd_maze_cost(D18:F20,{1,1},LAMBDA(f,t,d,1),"8"))</t>
        </is>
      </c>
      <c r="F343" s="51" cm="1">
        <f t="array" ref="F343">_xlfn.LET(_xlpm.a,ROWS(ftd_maze_cost('ftd_maze_cost'!D18:F20,{1,1},_xlfn.LAMBDA(_xlpm.f,_xlpm.t,_xlpm.d,1),8)),_xlpm.b,ROWS(ftd_maze_cost('ftd_maze_cost'!D18:F20,{1,1},_xlfn.LAMBDA(_xlpm.f,_xlpm.t,_xlpm.d,1),"8")),_xlpm.sa,IFERROR(ROWS(_xlpm.a)&amp;"x"&amp;COLUMNS(_xlpm.a),"err"),_xlpm.sb,IFERROR(ROWS(_xlpm.b)&amp;"x"&amp;COLUMNS(_xlpm.b),"err"),IF(_xlpm.sa&lt;&gt;_xlpm.sb,"FAIL",IF(_xlpm.sa="err",IF(ERROR.TYPE(_xlpm.a)=ERROR.TYPE(_xlpm.b),"PASS","FAIL"),IF(AND(IFERROR(_xlpm.a=_xlpm.b,IFERROR(ERROR.TYPE(_xlpm.a)=ERROR.TYPE(_xlpm.b),FALSE))),"PASS","FAIL"))))</f>
        <v>0</v>
      </c>
    </row>
    <row r="344">
      <c r="A344">
        <v>339</v>
      </c>
      <c r="B344" s="55" t="inlineStr">
        <is>
          <t xml:space="preserve">ftd_maze_cost</t>
        </is>
      </c>
      <c r="C344" t="inlineStr">
        <is>
          <t xml:space="preserve">ftd_maze_cost!R22</t>
        </is>
      </c>
      <c r="D344" s="51" t="inlineStr">
        <is>
          <t xml:space="preserve">tocol</t>
        </is>
      </c>
      <c r="E344" t="inlineStr">
        <is>
          <t xml:space="preserve">ftd_maze_cost(D22:F24,{1,1},LAMBDA(f,t,d,IF(t="#",NA(),1)),TOCOL(1))</t>
        </is>
      </c>
      <c r="F344" s="51" cm="1">
        <f t="array" ref="F344">_xlfn.LET(_xlpm.a,ftd_maze_cost('ftd_maze_cost'!D22:F24,{1,1},_xlfn.LAMBDA(_xlpm.f,_xlpm.t,_xlpm.d,IF(_xlpm.t="#",NA(),1)),1),_xlpm.b,ftd_maze_cost('ftd_maze_cost'!D22:F24,{1,1},_xlfn.LAMBDA(_xlpm.f,_xlpm.t,_xlpm.d,IF(_xlpm.t="#",NA(),1)),_xlfn.TOCOL(1)),_xlpm.sa,IFERROR(ROWS(_xlpm.a)&amp;"x"&amp;COLUMNS(_xlpm.a),"err"),_xlpm.sb,IFERROR(ROWS(_xlpm.b)&amp;"x"&amp;COLUMNS(_xlpm.b),"err"),IF(_xlpm.sa&lt;&gt;_xlpm.sb,"FAIL",IF(_xlpm.sa="err",IF(ERROR.TYPE(_xlpm.a)=ERROR.TYPE(_xlpm.b),"PASS","FAIL"),IF(AND(IFERROR(_xlpm.a=_xlpm.b,IFERROR(ERROR.TYPE(_xlpm.a)=ERROR.TYPE(_xlpm.b),FALSE))),"PASS","FAIL"))))</f>
        <v>0</v>
      </c>
    </row>
    <row r="345">
      <c r="A345">
        <v>340</v>
      </c>
      <c r="B345" s="55" t="inlineStr">
        <is>
          <t xml:space="preserve">ftd_maze_cost</t>
        </is>
      </c>
      <c r="C345" t="inlineStr">
        <is>
          <t xml:space="preserve">ftd_maze_cost!R22</t>
        </is>
      </c>
      <c r="D345" s="51" t="inlineStr">
        <is>
          <t xml:space="preserve">cellref</t>
        </is>
      </c>
      <c r="E345" t="inlineStr">
        <is>
          <t xml:space="preserve">ftd_maze_cost(D22:F24,{1,1},LAMBDA(f,t,d,IF(t="#",NA(),1)),shape_tests!$H$345)</t>
        </is>
      </c>
      <c r="F345" s="51" cm="1">
        <f t="array" ref="F345">_xlfn.LET(_xlpm.a,ftd_maze_cost('ftd_maze_cost'!D22:F24,{1,1},_xlfn.LAMBDA(_xlpm.f,_xlpm.t,_xlpm.d,IF(_xlpm.t="#",NA(),1)),1),_xlpm.b,ftd_maze_cost('ftd_maze_cost'!D22:F24,{1,1},_xlfn.LAMBDA(_xlpm.f,_xlpm.t,_xlpm.d,IF(_xlpm.t="#",NA(),1)),shape_tests!$H$345),_xlpm.sa,IFERROR(ROWS(_xlpm.a)&amp;"x"&amp;COLUMNS(_xlpm.a),"err"),_xlpm.sb,IFERROR(ROWS(_xlpm.b)&amp;"x"&amp;COLUMNS(_xlpm.b),"err"),IF(_xlpm.sa&lt;&gt;_xlpm.sb,"FAIL",IF(_xlpm.sa="err",IF(ERROR.TYPE(_xlpm.a)=ERROR.TYPE(_xlpm.b),"PASS","FAIL"),IF(AND(IFERROR(_xlpm.a=_xlpm.b,IFERROR(ERROR.TYPE(_xlpm.a)=ERROR.TYPE(_xlpm.b),FALSE))),"PASS","FAIL"))))</f>
        <v>0</v>
      </c>
      <c r="H345">
        <v>1.0</v>
      </c>
    </row>
    <row r="346">
      <c r="A346">
        <v>341</v>
      </c>
      <c r="B346" s="55" t="inlineStr">
        <is>
          <t xml:space="preserve">ftd_maze_cost</t>
        </is>
      </c>
      <c r="C346" t="inlineStr">
        <is>
          <t xml:space="preserve">ftd_maze_cost!R22</t>
        </is>
      </c>
      <c r="D346" s="51" t="inlineStr">
        <is>
          <t xml:space="preserve">textnum</t>
        </is>
      </c>
      <c r="E346" t="inlineStr">
        <is>
          <t xml:space="preserve">ftd_maze_cost(D22:F24,{1,1},LAMBDA(f,t,d,IF(t="#",NA(),1)),"1")</t>
        </is>
      </c>
      <c r="F346" s="51" cm="1">
        <f t="array" ref="F346">_xlfn.LET(_xlpm.a,ftd_maze_cost('ftd_maze_cost'!D22:F24,{1,1},_xlfn.LAMBDA(_xlpm.f,_xlpm.t,_xlpm.d,IF(_xlpm.t="#",NA(),1)),1),_xlpm.b,ftd_maze_cost('ftd_maze_cost'!D22:F24,{1,1},_xlfn.LAMBDA(_xlpm.f,_xlpm.t,_xlpm.d,IF(_xlpm.t="#",NA(),1)),"1"),_xlpm.sa,IFERROR(ROWS(_xlpm.a)&amp;"x"&amp;COLUMNS(_xlpm.a),"err"),_xlpm.sb,IFERROR(ROWS(_xlpm.b)&amp;"x"&amp;COLUMNS(_xlpm.b),"err"),IF(_xlpm.sa&lt;&gt;_xlpm.sb,"FAIL",IF(_xlpm.sa="err",IF(ERROR.TYPE(_xlpm.a)=ERROR.TYPE(_xlpm.b),"PASS","FAIL"),IF(AND(IFERROR(_xlpm.a=_xlpm.b,IFERROR(ERROR.TYPE(_xlpm.a)=ERROR.TYPE(_xlpm.b),FALSE))),"PASS","FAIL"))))</f>
        <v>0</v>
      </c>
    </row>
    <row r="347">
      <c r="A347">
        <v>342</v>
      </c>
      <c r="B347" s="55" t="inlineStr">
        <is>
          <t xml:space="preserve">knight_moves</t>
        </is>
      </c>
      <c r="C347" t="inlineStr">
        <is>
          <t xml:space="preserve">knight_moves!J6</t>
        </is>
      </c>
      <c r="D347" s="51" t="inlineStr">
        <is>
          <t xml:space="preserve">tocol</t>
        </is>
      </c>
      <c r="E347" t="inlineStr">
        <is>
          <t xml:space="preserve">knight_moves(TOCOL(D6),TOCOL(F6))</t>
        </is>
      </c>
      <c r="F347" s="51" cm="1">
        <f t="array" ref="F347">_xlfn.LET(_xlpm.a,knight_moves('knight_moves'!D6,'knight_moves'!F6),_xlpm.b,knight_moves(_xlfn.TOCOL('knight_moves'!D6),_xlfn.TOCOL('knight_moves'!F6)),_xlpm.sa,IFERROR(ROWS(_xlpm.a)&amp;"x"&amp;COLUMNS(_xlpm.a),"err"),_xlpm.sb,IFERROR(ROWS(_xlpm.b)&amp;"x"&amp;COLUMNS(_xlpm.b),"err"),IF(_xlpm.sa&lt;&gt;_xlpm.sb,"FAIL",IF(_xlpm.sa="err",IF(ERROR.TYPE(_xlpm.a)=ERROR.TYPE(_xlpm.b),"PASS","FAIL"),IF(AND(IFERROR(_xlpm.a=_xlpm.b,IFERROR(ERROR.TYPE(_xlpm.a)=ERROR.TYPE(_xlpm.b),FALSE))),"PASS","FAIL"))))</f>
        <v>0</v>
      </c>
    </row>
    <row r="348">
      <c r="A348">
        <v>343</v>
      </c>
      <c r="B348" s="55" t="inlineStr">
        <is>
          <t xml:space="preserve">knight_moves</t>
        </is>
      </c>
      <c r="C348" t="inlineStr">
        <is>
          <t xml:space="preserve">knight_moves!J8</t>
        </is>
      </c>
      <c r="D348" s="51" t="inlineStr">
        <is>
          <t xml:space="preserve">tocol</t>
        </is>
      </c>
      <c r="E348" t="inlineStr">
        <is>
          <t xml:space="preserve">knight_moves(TOCOL(D8),TOCOL(F8))</t>
        </is>
      </c>
      <c r="F348" s="51" cm="1">
        <f t="array" ref="F348">_xlfn.LET(_xlpm.a,knight_moves('knight_moves'!D8,'knight_moves'!F8),_xlpm.b,knight_moves(_xlfn.TOCOL('knight_moves'!D8),_xlfn.TOCOL('knight_moves'!F8)),_xlpm.sa,IFERROR(ROWS(_xlpm.a)&amp;"x"&amp;COLUMNS(_xlpm.a),"err"),_xlpm.sb,IFERROR(ROWS(_xlpm.b)&amp;"x"&amp;COLUMNS(_xlpm.b),"err"),IF(_xlpm.sa&lt;&gt;_xlpm.sb,"FAIL",IF(_xlpm.sa="err",IF(ERROR.TYPE(_xlpm.a)=ERROR.TYPE(_xlpm.b),"PASS","FAIL"),IF(AND(IFERROR(_xlpm.a=_xlpm.b,IFERROR(ERROR.TYPE(_xlpm.a)=ERROR.TYPE(_xlpm.b),FALSE))),"PASS","FAIL"))))</f>
        <v>0</v>
      </c>
    </row>
    <row r="349">
      <c r="A349">
        <v>344</v>
      </c>
      <c r="B349" s="55" t="inlineStr">
        <is>
          <t xml:space="preserve">knight_moves</t>
        </is>
      </c>
      <c r="C349" t="inlineStr">
        <is>
          <t xml:space="preserve">knight_moves!J10</t>
        </is>
      </c>
      <c r="D349" s="51" t="inlineStr">
        <is>
          <t xml:space="preserve">tocol</t>
        </is>
      </c>
      <c r="E349" t="inlineStr">
        <is>
          <t xml:space="preserve">knight_moves(TOCOL(D10),TOCOL(F10))</t>
        </is>
      </c>
      <c r="F349" s="51" cm="1">
        <f t="array" ref="F349">_xlfn.LET(_xlpm.a,knight_moves('knight_moves'!D10,'knight_moves'!F10),_xlpm.b,knight_moves(_xlfn.TOCOL('knight_moves'!D10),_xlfn.TOCOL('knight_moves'!F10)),_xlpm.sa,IFERROR(ROWS(_xlpm.a)&amp;"x"&amp;COLUMNS(_xlpm.a),"err"),_xlpm.sb,IFERROR(ROWS(_xlpm.b)&amp;"x"&amp;COLUMNS(_xlpm.b),"err"),IF(_xlpm.sa&lt;&gt;_xlpm.sb,"FAIL",IF(_xlpm.sa="err",IF(ERROR.TYPE(_xlpm.a)=ERROR.TYPE(_xlpm.b),"PASS","FAIL"),IF(AND(IFERROR(_xlpm.a=_xlpm.b,IFERROR(ERROR.TYPE(_xlpm.a)=ERROR.TYPE(_xlpm.b),FALSE))),"PASS","FAIL"))))</f>
        <v>0</v>
      </c>
    </row>
    <row r="350">
      <c r="A350">
        <v>345</v>
      </c>
      <c r="B350" s="55" t="inlineStr">
        <is>
          <t xml:space="preserve">knight_moves</t>
        </is>
      </c>
      <c r="C350" t="inlineStr">
        <is>
          <t xml:space="preserve">knight_moves!J12</t>
        </is>
      </c>
      <c r="D350" s="51" t="inlineStr">
        <is>
          <t xml:space="preserve">tocol</t>
        </is>
      </c>
      <c r="E350" t="inlineStr">
        <is>
          <t xml:space="preserve">knight_moves(TOCOL(D12),TOCOL(F12))</t>
        </is>
      </c>
      <c r="F350" s="51" cm="1">
        <f t="array" ref="F350">_xlfn.LET(_xlpm.a,knight_moves('knight_moves'!D12,'knight_moves'!F12),_xlpm.b,knight_moves(_xlfn.TOCOL('knight_moves'!D12),_xlfn.TOCOL('knight_moves'!F12)),_xlpm.sa,IFERROR(ROWS(_xlpm.a)&amp;"x"&amp;COLUMNS(_xlpm.a),"err"),_xlpm.sb,IFERROR(ROWS(_xlpm.b)&amp;"x"&amp;COLUMNS(_xlpm.b),"err"),IF(_xlpm.sa&lt;&gt;_xlpm.sb,"FAIL",IF(_xlpm.sa="err",IF(ERROR.TYPE(_xlpm.a)=ERROR.TYPE(_xlpm.b),"PASS","FAIL"),IF(AND(IFERROR(_xlpm.a=_xlpm.b,IFERROR(ERROR.TYPE(_xlpm.a)=ERROR.TYPE(_xlpm.b),FALSE))),"PASS","FAIL"))))</f>
        <v>0</v>
      </c>
    </row>
    <row r="351">
      <c r="A351">
        <v>346</v>
      </c>
      <c r="B351" s="55" t="inlineStr">
        <is>
          <t xml:space="preserve">knight_moves</t>
        </is>
      </c>
      <c r="C351" t="inlineStr">
        <is>
          <t xml:space="preserve">knight_moves!J14</t>
        </is>
      </c>
      <c r="D351" s="51" t="inlineStr">
        <is>
          <t xml:space="preserve">tocol</t>
        </is>
      </c>
      <c r="E351" t="inlineStr">
        <is>
          <t xml:space="preserve">knight_moves(TOCOL(D14),TOCOL(F14))</t>
        </is>
      </c>
      <c r="F351" s="51" cm="1">
        <f t="array" ref="F351">_xlfn.LET(_xlpm.a,knight_moves('knight_moves'!D14,'knight_moves'!F14),_xlpm.b,knight_moves(_xlfn.TOCOL('knight_moves'!D14),_xlfn.TOCOL('knight_moves'!F14)),_xlpm.sa,IFERROR(ROWS(_xlpm.a)&amp;"x"&amp;COLUMNS(_xlpm.a),"err"),_xlpm.sb,IFERROR(ROWS(_xlpm.b)&amp;"x"&amp;COLUMNS(_xlpm.b),"err"),IF(_xlpm.sa&lt;&gt;_xlpm.sb,"FAIL",IF(_xlpm.sa="err",IF(ERROR.TYPE(_xlpm.a)=ERROR.TYPE(_xlpm.b),"PASS","FAIL"),IF(AND(IFERROR(_xlpm.a=_xlpm.b,IFERROR(ERROR.TYPE(_xlpm.a)=ERROR.TYPE(_xlpm.b),FALSE))),"PASS","FAIL"))))</f>
        <v>0</v>
      </c>
    </row>
    <row r="352">
      <c r="A352">
        <v>347</v>
      </c>
      <c r="B352" s="55" t="inlineStr">
        <is>
          <t xml:space="preserve">knight_moves</t>
        </is>
      </c>
      <c r="C352" t="inlineStr">
        <is>
          <t xml:space="preserve">knight_moves!J16</t>
        </is>
      </c>
      <c r="D352" s="51" t="inlineStr">
        <is>
          <t xml:space="preserve">tocol</t>
        </is>
      </c>
      <c r="E352" t="inlineStr">
        <is>
          <t xml:space="preserve">knight_moves(TOCOL(D16),TOCOL(F16))</t>
        </is>
      </c>
      <c r="F352" s="51" cm="1">
        <f t="array" ref="F352">_xlfn.LET(_xlpm.a,knight_moves('knight_moves'!D16,'knight_moves'!F16),_xlpm.b,knight_moves(_xlfn.TOCOL('knight_moves'!D16),_xlfn.TOCOL('knight_moves'!F16)),_xlpm.sa,IFERROR(ROWS(_xlpm.a)&amp;"x"&amp;COLUMNS(_xlpm.a),"err"),_xlpm.sb,IFERROR(ROWS(_xlpm.b)&amp;"x"&amp;COLUMNS(_xlpm.b),"err"),IF(_xlpm.sa&lt;&gt;_xlpm.sb,"FAIL",IF(_xlpm.sa="err",IF(ERROR.TYPE(_xlpm.a)=ERROR.TYPE(_xlpm.b),"PASS","FAIL"),IF(AND(IFERROR(_xlpm.a=_xlpm.b,IFERROR(ERROR.TYPE(_xlpm.a)=ERROR.TYPE(_xlpm.b),FALSE))),"PASS","FAIL"))))</f>
        <v>0</v>
      </c>
    </row>
    <row r="353">
      <c r="A353">
        <v>348</v>
      </c>
      <c r="B353" s="55" t="inlineStr">
        <is>
          <t xml:space="preserve">knight_moves</t>
        </is>
      </c>
      <c r="C353" t="inlineStr">
        <is>
          <t xml:space="preserve">knight_moves!J16</t>
        </is>
      </c>
      <c r="D353" s="51" t="inlineStr">
        <is>
          <t xml:space="preserve">textnum</t>
        </is>
      </c>
      <c r="E353" t="inlineStr">
        <is>
          <t xml:space="preserve">knight_moves((D16&amp;""),(F16&amp;""))</t>
        </is>
      </c>
      <c r="F353" s="51" cm="1">
        <f t="array" ref="F353">_xlfn.LET(_xlpm.a,knight_moves('knight_moves'!D16,'knight_moves'!F16),_xlpm.b,knight_moves(('knight_moves'!D16&amp;""),('knight_moves'!F16&amp;"")),_xlpm.sa,IFERROR(ROWS(_xlpm.a)&amp;"x"&amp;COLUMNS(_xlpm.a),"err"),_xlpm.sb,IFERROR(ROWS(_xlpm.b)&amp;"x"&amp;COLUMNS(_xlpm.b),"err"),IF(_xlpm.sa&lt;&gt;_xlpm.sb,"FAIL",IF(_xlpm.sa="err",IF(ERROR.TYPE(_xlpm.a)=ERROR.TYPE(_xlpm.b),"PASS","FAIL"),IF(AND(IFERROR(_xlpm.a=_xlpm.b,IFERROR(ERROR.TYPE(_xlpm.a)=ERROR.TYPE(_xlpm.b),FALSE))),"PASS","FAIL"))))</f>
        <v>0</v>
      </c>
    </row>
    <row r="354">
      <c r="A354">
        <v>349</v>
      </c>
      <c r="B354" s="55" t="inlineStr">
        <is>
          <t xml:space="preserve">knight_moves</t>
        </is>
      </c>
      <c r="C354" t="inlineStr">
        <is>
          <t xml:space="preserve">knight_moves!J18</t>
        </is>
      </c>
      <c r="D354" s="51" t="inlineStr">
        <is>
          <t xml:space="preserve">tocol</t>
        </is>
      </c>
      <c r="E354" t="inlineStr">
        <is>
          <t xml:space="preserve">knight_moves(TOCOL(D18),TOCOL(F18))</t>
        </is>
      </c>
      <c r="F354" s="51" cm="1">
        <f t="array" ref="F354">_xlfn.LET(_xlpm.a,knight_moves('knight_moves'!D18,'knight_moves'!F18),_xlpm.b,knight_moves(_xlfn.TOCOL('knight_moves'!D18),_xlfn.TOCOL('knight_moves'!F18)),_xlpm.sa,IFERROR(ROWS(_xlpm.a)&amp;"x"&amp;COLUMNS(_xlpm.a),"err"),_xlpm.sb,IFERROR(ROWS(_xlpm.b)&amp;"x"&amp;COLUMNS(_xlpm.b),"err"),IF(_xlpm.sa&lt;&gt;_xlpm.sb,"FAIL",IF(_xlpm.sa="err",IF(ERROR.TYPE(_xlpm.a)=ERROR.TYPE(_xlpm.b),"PASS","FAIL"),IF(AND(IFERROR(_xlpm.a=_xlpm.b,IFERROR(ERROR.TYPE(_xlpm.a)=ERROR.TYPE(_xlpm.b),FALSE))),"PASS","FAIL"))))</f>
        <v>0</v>
      </c>
    </row>
    <row r="355">
      <c r="A355">
        <v>350</v>
      </c>
      <c r="B355" s="55" t="inlineStr">
        <is>
          <t xml:space="preserve">knight_moves</t>
        </is>
      </c>
      <c r="C355" t="inlineStr">
        <is>
          <t xml:space="preserve">knight_moves!J18</t>
        </is>
      </c>
      <c r="D355" s="51" t="inlineStr">
        <is>
          <t xml:space="preserve">textnum</t>
        </is>
      </c>
      <c r="E355" t="inlineStr">
        <is>
          <t xml:space="preserve">knight_moves((D18&amp;""),F18)</t>
        </is>
      </c>
      <c r="F355" s="51" cm="1">
        <f t="array" ref="F355">_xlfn.LET(_xlpm.a,knight_moves('knight_moves'!D18,'knight_moves'!F18),_xlpm.b,knight_moves(('knight_moves'!D18&amp;""),'knight_moves'!F18),_xlpm.sa,IFERROR(ROWS(_xlpm.a)&amp;"x"&amp;COLUMNS(_xlpm.a),"err"),_xlpm.sb,IFERROR(ROWS(_xlpm.b)&amp;"x"&amp;COLUMNS(_xlpm.b),"err"),IF(_xlpm.sa&lt;&gt;_xlpm.sb,"FAIL",IF(_xlpm.sa="err",IF(ERROR.TYPE(_xlpm.a)=ERROR.TYPE(_xlpm.b),"PASS","FAIL"),IF(AND(IFERROR(_xlpm.a=_xlpm.b,IFERROR(ERROR.TYPE(_xlpm.a)=ERROR.TYPE(_xlpm.b),FALSE))),"PASS","FAIL"))))</f>
        <v>0</v>
      </c>
    </row>
    <row r="356">
      <c r="A356">
        <v>351</v>
      </c>
      <c r="B356" s="55" t="inlineStr">
        <is>
          <t xml:space="preserve">label_lookup</t>
        </is>
      </c>
      <c r="C356" t="inlineStr">
        <is>
          <t xml:space="preserve">label_lookup!L11</t>
        </is>
      </c>
      <c r="D356" s="51" t="inlineStr">
        <is>
          <t xml:space="preserve">tocol</t>
        </is>
      </c>
      <c r="E356" t="inlineStr">
        <is>
          <t xml:space="preserve">label_lookup(D7:G9,TOCOL("B"),TOCOL("Tue"))</t>
        </is>
      </c>
      <c r="F356" s="51" cm="1">
        <f t="array" ref="F356">_xlfn.LET(_xlpm.a,label_lookup('label_lookup'!D7:G9,"B","Tue"),_xlpm.b,label_lookup('label_lookup'!D7:G9,_xlfn.TOCOL("B"),_xlfn.TOCOL("Tue")),_xlpm.sa,IFERROR(ROWS(_xlpm.a)&amp;"x"&amp;COLUMNS(_xlpm.a),"err"),_xlpm.sb,IFERROR(ROWS(_xlpm.b)&amp;"x"&amp;COLUMNS(_xlpm.b),"err"),IF(_xlpm.sa&lt;&gt;_xlpm.sb,"FAIL",IF(_xlpm.sa="err",IF(ERROR.TYPE(_xlpm.a)=ERROR.TYPE(_xlpm.b),"PASS","FAIL"),IF(AND(IFERROR(_xlpm.a=_xlpm.b,IFERROR(ERROR.TYPE(_xlpm.a)=ERROR.TYPE(_xlpm.b),FALSE))),"PASS","FAIL"))))</f>
        <v>0</v>
      </c>
    </row>
    <row r="357">
      <c r="A357">
        <v>352</v>
      </c>
      <c r="B357" s="55" t="inlineStr">
        <is>
          <t xml:space="preserve">label_lookup</t>
        </is>
      </c>
      <c r="C357" t="inlineStr">
        <is>
          <t xml:space="preserve">label_lookup!L11</t>
        </is>
      </c>
      <c r="D357" s="51" t="inlineStr">
        <is>
          <t xml:space="preserve">cellref</t>
        </is>
      </c>
      <c r="E357" t="inlineStr">
        <is>
          <t xml:space="preserve">label_lookup(D7:G9,shape_tests!$H$357,shape_tests!$I$357)</t>
        </is>
      </c>
      <c r="F357" s="51" cm="1">
        <f t="array" ref="F357">_xlfn.LET(_xlpm.a,label_lookup('label_lookup'!D7:G9,"B","Tue"),_xlpm.b,label_lookup('label_lookup'!D7:G9,shape_tests!$H$357,shape_tests!$I$357),_xlpm.sa,IFERROR(ROWS(_xlpm.a)&amp;"x"&amp;COLUMNS(_xlpm.a),"err"),_xlpm.sb,IFERROR(ROWS(_xlpm.b)&amp;"x"&amp;COLUMNS(_xlpm.b),"err"),IF(_xlpm.sa&lt;&gt;_xlpm.sb,"FAIL",IF(_xlpm.sa="err",IF(ERROR.TYPE(_xlpm.a)=ERROR.TYPE(_xlpm.b),"PASS","FAIL"),IF(AND(IFERROR(_xlpm.a=_xlpm.b,IFERROR(ERROR.TYPE(_xlpm.a)=ERROR.TYPE(_xlpm.b),FALSE))),"PASS","FAIL"))))</f>
        <v>0</v>
      </c>
      <c r="H357" t="inlineStr">
        <is>
          <t xml:space="preserve">B</t>
        </is>
      </c>
      <c r="I357" t="inlineStr">
        <is>
          <t xml:space="preserve">Tue</t>
        </is>
      </c>
    </row>
    <row r="358">
      <c r="A358">
        <v>353</v>
      </c>
      <c r="B358" s="55" t="inlineStr">
        <is>
          <t xml:space="preserve">label_lookup</t>
        </is>
      </c>
      <c r="C358" t="inlineStr">
        <is>
          <t xml:space="preserve">label_lookup!L13</t>
        </is>
      </c>
      <c r="D358" s="51" t="inlineStr">
        <is>
          <t xml:space="preserve">tocol</t>
        </is>
      </c>
      <c r="E358" t="inlineStr">
        <is>
          <t xml:space="preserve">label_lookup(D7:G9,TOCOL("A"),TOCOL("Wed"))</t>
        </is>
      </c>
      <c r="F358" s="51" cm="1">
        <f t="array" ref="F358">_xlfn.LET(_xlpm.a,label_lookup('label_lookup'!D7:G9,"A","Wed"),_xlpm.b,label_lookup('label_lookup'!D7:G9,_xlfn.TOCOL("A"),_xlfn.TOCOL("Wed")),_xlpm.sa,IFERROR(ROWS(_xlpm.a)&amp;"x"&amp;COLUMNS(_xlpm.a),"err"),_xlpm.sb,IFERROR(ROWS(_xlpm.b)&amp;"x"&amp;COLUMNS(_xlpm.b),"err"),IF(_xlpm.sa&lt;&gt;_xlpm.sb,"FAIL",IF(_xlpm.sa="err",IF(ERROR.TYPE(_xlpm.a)=ERROR.TYPE(_xlpm.b),"PASS","FAIL"),IF(AND(IFERROR(_xlpm.a=_xlpm.b,IFERROR(ERROR.TYPE(_xlpm.a)=ERROR.TYPE(_xlpm.b),FALSE))),"PASS","FAIL"))))</f>
        <v>0</v>
      </c>
    </row>
    <row r="359">
      <c r="A359">
        <v>354</v>
      </c>
      <c r="B359" s="55" t="inlineStr">
        <is>
          <t xml:space="preserve">label_lookup</t>
        </is>
      </c>
      <c r="C359" t="inlineStr">
        <is>
          <t xml:space="preserve">label_lookup!L13</t>
        </is>
      </c>
      <c r="D359" s="51" t="inlineStr">
        <is>
          <t xml:space="preserve">cellref</t>
        </is>
      </c>
      <c r="E359" t="inlineStr">
        <is>
          <t xml:space="preserve">label_lookup(D7:G9,shape_tests!$H$359,shape_tests!$I$359)</t>
        </is>
      </c>
      <c r="F359" s="51" cm="1">
        <f t="array" ref="F359">_xlfn.LET(_xlpm.a,label_lookup('label_lookup'!D7:G9,"A","Wed"),_xlpm.b,label_lookup('label_lookup'!D7:G9,shape_tests!$H$359,shape_tests!$I$359),_xlpm.sa,IFERROR(ROWS(_xlpm.a)&amp;"x"&amp;COLUMNS(_xlpm.a),"err"),_xlpm.sb,IFERROR(ROWS(_xlpm.b)&amp;"x"&amp;COLUMNS(_xlpm.b),"err"),IF(_xlpm.sa&lt;&gt;_xlpm.sb,"FAIL",IF(_xlpm.sa="err",IF(ERROR.TYPE(_xlpm.a)=ERROR.TYPE(_xlpm.b),"PASS","FAIL"),IF(AND(IFERROR(_xlpm.a=_xlpm.b,IFERROR(ERROR.TYPE(_xlpm.a)=ERROR.TYPE(_xlpm.b),FALSE))),"PASS","FAIL"))))</f>
        <v>0</v>
      </c>
      <c r="H359" t="inlineStr">
        <is>
          <t xml:space="preserve">A</t>
        </is>
      </c>
      <c r="I359" t="inlineStr">
        <is>
          <t xml:space="preserve">Wed</t>
        </is>
      </c>
    </row>
    <row r="360">
      <c r="A360">
        <v>355</v>
      </c>
      <c r="B360" s="55" t="inlineStr">
        <is>
          <t xml:space="preserve">label_lookup</t>
        </is>
      </c>
      <c r="C360" t="inlineStr">
        <is>
          <t xml:space="preserve">label_lookup!L15</t>
        </is>
      </c>
      <c r="D360" s="51" t="inlineStr">
        <is>
          <t xml:space="preserve">tocol</t>
        </is>
      </c>
      <c r="E360" t="inlineStr">
        <is>
          <t xml:space="preserve">label_lookup(D7:G9,TOCOL("B"),TOCOL("Mon"))</t>
        </is>
      </c>
      <c r="F360" s="51" cm="1">
        <f t="array" ref="F360">_xlfn.LET(_xlpm.a,label_lookup('label_lookup'!D7:G9,"B","Mon"),_xlpm.b,label_lookup('label_lookup'!D7:G9,_xlfn.TOCOL("B"),_xlfn.TOCOL("Mon")),_xlpm.sa,IFERROR(ROWS(_xlpm.a)&amp;"x"&amp;COLUMNS(_xlpm.a),"err"),_xlpm.sb,IFERROR(ROWS(_xlpm.b)&amp;"x"&amp;COLUMNS(_xlpm.b),"err"),IF(_xlpm.sa&lt;&gt;_xlpm.sb,"FAIL",IF(_xlpm.sa="err",IF(ERROR.TYPE(_xlpm.a)=ERROR.TYPE(_xlpm.b),"PASS","FAIL"),IF(AND(IFERROR(_xlpm.a=_xlpm.b,IFERROR(ERROR.TYPE(_xlpm.a)=ERROR.TYPE(_xlpm.b),FALSE))),"PASS","FAIL"))))</f>
        <v>0</v>
      </c>
    </row>
    <row r="361">
      <c r="A361">
        <v>356</v>
      </c>
      <c r="B361" s="55" t="inlineStr">
        <is>
          <t xml:space="preserve">label_lookup</t>
        </is>
      </c>
      <c r="C361" t="inlineStr">
        <is>
          <t xml:space="preserve">label_lookup!L15</t>
        </is>
      </c>
      <c r="D361" s="51" t="inlineStr">
        <is>
          <t xml:space="preserve">cellref</t>
        </is>
      </c>
      <c r="E361" t="inlineStr">
        <is>
          <t xml:space="preserve">label_lookup(D7:G9,shape_tests!$H$361,shape_tests!$I$361)</t>
        </is>
      </c>
      <c r="F361" s="51" cm="1">
        <f t="array" ref="F361">_xlfn.LET(_xlpm.a,label_lookup('label_lookup'!D7:G9,"B","Mon"),_xlpm.b,label_lookup('label_lookup'!D7:G9,shape_tests!$H$361,shape_tests!$I$361),_xlpm.sa,IFERROR(ROWS(_xlpm.a)&amp;"x"&amp;COLUMNS(_xlpm.a),"err"),_xlpm.sb,IFERROR(ROWS(_xlpm.b)&amp;"x"&amp;COLUMNS(_xlpm.b),"err"),IF(_xlpm.sa&lt;&gt;_xlpm.sb,"FAIL",IF(_xlpm.sa="err",IF(ERROR.TYPE(_xlpm.a)=ERROR.TYPE(_xlpm.b),"PASS","FAIL"),IF(AND(IFERROR(_xlpm.a=_xlpm.b,IFERROR(ERROR.TYPE(_xlpm.a)=ERROR.TYPE(_xlpm.b),FALSE))),"PASS","FAIL"))))</f>
        <v>0</v>
      </c>
      <c r="H361" t="inlineStr">
        <is>
          <t xml:space="preserve">B</t>
        </is>
      </c>
      <c r="I361" t="inlineStr">
        <is>
          <t xml:space="preserve">Mon</t>
        </is>
      </c>
    </row>
    <row r="362">
      <c r="A362">
        <v>357</v>
      </c>
      <c r="B362" s="55" t="inlineStr">
        <is>
          <t xml:space="preserve">label_lookup</t>
        </is>
      </c>
      <c r="C362" t="inlineStr">
        <is>
          <t xml:space="preserve">label_lookup!L17</t>
        </is>
      </c>
      <c r="D362" s="51" t="inlineStr">
        <is>
          <t xml:space="preserve">tocol</t>
        </is>
      </c>
      <c r="E362" t="inlineStr">
        <is>
          <t xml:space="preserve">label_lookup(D7:G9,TOCOL("ZZ"),TOCOL("Mon"))</t>
        </is>
      </c>
      <c r="F362" s="51" cm="1">
        <f t="array" ref="F362">_xlfn.LET(_xlpm.a,label_lookup('label_lookup'!D7:G9,"ZZ","Mon"),_xlpm.b,label_lookup('label_lookup'!D7:G9,_xlfn.TOCOL("ZZ"),_xlfn.TOCOL("Mon")),_xlpm.sa,IFERROR(ROWS(_xlpm.a)&amp;"x"&amp;COLUMNS(_xlpm.a),"err"),_xlpm.sb,IFERROR(ROWS(_xlpm.b)&amp;"x"&amp;COLUMNS(_xlpm.b),"err"),IF(_xlpm.sa&lt;&gt;_xlpm.sb,"FAIL",IF(_xlpm.sa="err",IF(ERROR.TYPE(_xlpm.a)=ERROR.TYPE(_xlpm.b),"PASS","FAIL"),IF(AND(IFERROR(_xlpm.a=_xlpm.b,IFERROR(ERROR.TYPE(_xlpm.a)=ERROR.TYPE(_xlpm.b),FALSE))),"PASS","FAIL"))))</f>
        <v>0</v>
      </c>
    </row>
    <row r="363">
      <c r="A363">
        <v>358</v>
      </c>
      <c r="B363" s="55" t="inlineStr">
        <is>
          <t xml:space="preserve">label_lookup</t>
        </is>
      </c>
      <c r="C363" t="inlineStr">
        <is>
          <t xml:space="preserve">label_lookup!L17</t>
        </is>
      </c>
      <c r="D363" s="51" t="inlineStr">
        <is>
          <t xml:space="preserve">cellref</t>
        </is>
      </c>
      <c r="E363" t="inlineStr">
        <is>
          <t xml:space="preserve">label_lookup(D7:G9,shape_tests!$H$363,shape_tests!$I$363)</t>
        </is>
      </c>
      <c r="F363" s="51" cm="1">
        <f t="array" ref="F363">_xlfn.LET(_xlpm.a,label_lookup('label_lookup'!D7:G9,"ZZ","Mon"),_xlpm.b,label_lookup('label_lookup'!D7:G9,shape_tests!$H$363,shape_tests!$I$363),_xlpm.sa,IFERROR(ROWS(_xlpm.a)&amp;"x"&amp;COLUMNS(_xlpm.a),"err"),_xlpm.sb,IFERROR(ROWS(_xlpm.b)&amp;"x"&amp;COLUMNS(_xlpm.b),"err"),IF(_xlpm.sa&lt;&gt;_xlpm.sb,"FAIL",IF(_xlpm.sa="err",IF(ERROR.TYPE(_xlpm.a)=ERROR.TYPE(_xlpm.b),"PASS","FAIL"),IF(AND(IFERROR(_xlpm.a=_xlpm.b,IFERROR(ERROR.TYPE(_xlpm.a)=ERROR.TYPE(_xlpm.b),FALSE))),"PASS","FAIL"))))</f>
        <v>0</v>
      </c>
      <c r="H363" t="inlineStr">
        <is>
          <t xml:space="preserve">ZZ</t>
        </is>
      </c>
      <c r="I363" t="inlineStr">
        <is>
          <t xml:space="preserve">Mon</t>
        </is>
      </c>
    </row>
    <row r="364">
      <c r="A364">
        <v>359</v>
      </c>
      <c r="B364" s="55" t="inlineStr">
        <is>
          <t xml:space="preserve">load_array</t>
        </is>
      </c>
      <c r="C364" t="inlineStr">
        <is>
          <t xml:space="preserve">load_array!M6</t>
        </is>
      </c>
      <c r="D364" s="51" t="inlineStr">
        <is>
          <t xml:space="preserve">tocol</t>
        </is>
      </c>
      <c r="E364" t="inlineStr">
        <is>
          <t xml:space="preserve">load_array(TOCOL(D6))</t>
        </is>
      </c>
      <c r="F364" s="51" cm="1">
        <f t="array" ref="F364">_xlfn.LET(_xlpm.a,load_array('load_array'!D6),_xlpm.b,load_array(_xlfn.TOCOL('load_array'!D6)),_xlpm.sa,IFERROR(ROWS(_xlpm.a)&amp;"x"&amp;COLUMNS(_xlpm.a),"err"),_xlpm.sb,IFERROR(ROWS(_xlpm.b)&amp;"x"&amp;COLUMNS(_xlpm.b),"err"),IF(_xlpm.sa&lt;&gt;_xlpm.sb,"FAIL",IF(_xlpm.sa="err",IF(ERROR.TYPE(_xlpm.a)=ERROR.TYPE(_xlpm.b),"PASS","FAIL"),IF(AND(IFERROR(_xlpm.a=_xlpm.b,IFERROR(ERROR.TYPE(_xlpm.a)=ERROR.TYPE(_xlpm.b),FALSE))),"PASS","FAIL"))))</f>
        <v>0</v>
      </c>
    </row>
    <row r="365">
      <c r="A365">
        <v>360</v>
      </c>
      <c r="B365" s="55" t="inlineStr">
        <is>
          <t xml:space="preserve">load_array</t>
        </is>
      </c>
      <c r="C365" t="inlineStr">
        <is>
          <t xml:space="preserve">load_array!M6</t>
        </is>
      </c>
      <c r="D365" s="51" t="inlineStr">
        <is>
          <t xml:space="preserve">blank</t>
        </is>
      </c>
      <c r="E365" t="inlineStr">
        <is>
          <t xml:space="preserve">load_array(D6,shape_tests!$Z$1,shape_tests!$Z$1)</t>
        </is>
      </c>
      <c r="F365" s="51" cm="1">
        <f t="array" ref="F365">_xlfn.LET(_xlpm.a,load_array('load_array'!D6),_xlpm.b,load_array('load_array'!D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366">
      <c r="A366">
        <v>361</v>
      </c>
      <c r="B366" s="55" t="inlineStr">
        <is>
          <t xml:space="preserve">load_array</t>
        </is>
      </c>
      <c r="C366" t="inlineStr">
        <is>
          <t xml:space="preserve">load_array!M9</t>
        </is>
      </c>
      <c r="D366" s="51" t="inlineStr">
        <is>
          <t xml:space="preserve">tocol</t>
        </is>
      </c>
      <c r="E366" t="inlineStr">
        <is>
          <t xml:space="preserve">load_array(TOCOL(D9))</t>
        </is>
      </c>
      <c r="F366" s="51" cm="1">
        <f t="array" ref="F366">_xlfn.LET(_xlpm.a,load_array('load_array'!D9),_xlpm.b,load_array(_xlfn.TOCOL('load_array'!D9)),_xlpm.sa,IFERROR(ROWS(_xlpm.a)&amp;"x"&amp;COLUMNS(_xlpm.a),"err"),_xlpm.sb,IFERROR(ROWS(_xlpm.b)&amp;"x"&amp;COLUMNS(_xlpm.b),"err"),IF(_xlpm.sa&lt;&gt;_xlpm.sb,"FAIL",IF(_xlpm.sa="err",IF(ERROR.TYPE(_xlpm.a)=ERROR.TYPE(_xlpm.b),"PASS","FAIL"),IF(AND(IFERROR(_xlpm.a=_xlpm.b,IFERROR(ERROR.TYPE(_xlpm.a)=ERROR.TYPE(_xlpm.b),FALSE))),"PASS","FAIL"))))</f>
        <v>0</v>
      </c>
    </row>
    <row r="367">
      <c r="A367">
        <v>362</v>
      </c>
      <c r="B367" s="55" t="inlineStr">
        <is>
          <t xml:space="preserve">load_array</t>
        </is>
      </c>
      <c r="C367" t="inlineStr">
        <is>
          <t xml:space="preserve">load_array!M9</t>
        </is>
      </c>
      <c r="D367" s="51" t="inlineStr">
        <is>
          <t xml:space="preserve">blank</t>
        </is>
      </c>
      <c r="E367" t="inlineStr">
        <is>
          <t xml:space="preserve">load_array(D9,shape_tests!$Z$1,shape_tests!$Z$1)</t>
        </is>
      </c>
      <c r="F367" s="51" cm="1">
        <f t="array" ref="F367">_xlfn.LET(_xlpm.a,load_array('load_array'!D9),_xlpm.b,load_array('load_array'!D9,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368">
      <c r="A368">
        <v>363</v>
      </c>
      <c r="B368" s="55" t="inlineStr">
        <is>
          <t xml:space="preserve">load_array</t>
        </is>
      </c>
      <c r="C368" t="inlineStr">
        <is>
          <t xml:space="preserve">load_array!M12</t>
        </is>
      </c>
      <c r="D368" s="51" t="inlineStr">
        <is>
          <t xml:space="preserve">tocol</t>
        </is>
      </c>
      <c r="E368" t="inlineStr">
        <is>
          <t xml:space="preserve">load_array(TOCOL(D12),TOCOL(F12),TOCOL(H12))</t>
        </is>
      </c>
      <c r="F368" s="51" cm="1">
        <f t="array" ref="F368">_xlfn.LET(_xlpm.a,load_array('load_array'!D12,'load_array'!F12,'load_array'!H12),_xlpm.b,load_array(_xlfn.TOCOL('load_array'!D12),_xlfn.TOCOL('load_array'!F12),_xlfn.TOCOL('load_array'!H12)),_xlpm.sa,IFERROR(ROWS(_xlpm.a)&amp;"x"&amp;COLUMNS(_xlpm.a),"err"),_xlpm.sb,IFERROR(ROWS(_xlpm.b)&amp;"x"&amp;COLUMNS(_xlpm.b),"err"),IF(_xlpm.sa&lt;&gt;_xlpm.sb,"FAIL",IF(_xlpm.sa="err",IF(ERROR.TYPE(_xlpm.a)=ERROR.TYPE(_xlpm.b),"PASS","FAIL"),IF(AND(IFERROR(_xlpm.a=_xlpm.b,IFERROR(ERROR.TYPE(_xlpm.a)=ERROR.TYPE(_xlpm.b),FALSE))),"PASS","FAIL"))))</f>
        <v>0</v>
      </c>
    </row>
    <row r="369">
      <c r="A369">
        <v>364</v>
      </c>
      <c r="B369" s="55" t="inlineStr">
        <is>
          <t xml:space="preserve">make_change</t>
        </is>
      </c>
      <c r="C369" t="inlineStr">
        <is>
          <t xml:space="preserve">make_change!L6</t>
        </is>
      </c>
      <c r="D369" s="51" t="inlineStr">
        <is>
          <t xml:space="preserve">tocol</t>
        </is>
      </c>
      <c r="E369" t="inlineStr">
        <is>
          <t xml:space="preserve">make_change(D6:D9,TOCOL(F6))</t>
        </is>
      </c>
      <c r="F369" s="51" cm="1">
        <f t="array" ref="F369">_xlfn.LET(_xlpm.a,make_change('make_change'!D6:D9,'make_change'!F6),_xlpm.b,make_change('make_change'!D6:D9,_xlfn.TOCOL('make_change'!F6)),_xlpm.sa,IFERROR(ROWS(_xlpm.a)&amp;"x"&amp;COLUMNS(_xlpm.a),"err"),_xlpm.sb,IFERROR(ROWS(_xlpm.b)&amp;"x"&amp;COLUMNS(_xlpm.b),"err"),IF(_xlpm.sa&lt;&gt;_xlpm.sb,"FAIL",IF(_xlpm.sa="err",IF(ERROR.TYPE(_xlpm.a)=ERROR.TYPE(_xlpm.b),"PASS","FAIL"),IF(AND(IFERROR(_xlpm.a=_xlpm.b,IFERROR(ERROR.TYPE(_xlpm.a)=ERROR.TYPE(_xlpm.b),FALSE))),"PASS","FAIL"))))</f>
        <v>0</v>
      </c>
    </row>
    <row r="370">
      <c r="A370">
        <v>365</v>
      </c>
      <c r="B370" s="55" t="inlineStr">
        <is>
          <t xml:space="preserve">make_change</t>
        </is>
      </c>
      <c r="C370" t="inlineStr">
        <is>
          <t xml:space="preserve">make_change!L6</t>
        </is>
      </c>
      <c r="D370" s="51" t="inlineStr">
        <is>
          <t xml:space="preserve">textnum</t>
        </is>
      </c>
      <c r="E370" t="inlineStr">
        <is>
          <t xml:space="preserve">make_change(D6:D9,(F6&amp;""))</t>
        </is>
      </c>
      <c r="F370" s="51" cm="1">
        <f t="array" ref="F370">_xlfn.LET(_xlpm.a,make_change('make_change'!D6:D9,'make_change'!F6),_xlpm.b,make_change('make_change'!D6:D9,('make_change'!F6&amp;"")),_xlpm.sa,IFERROR(ROWS(_xlpm.a)&amp;"x"&amp;COLUMNS(_xlpm.a),"err"),_xlpm.sb,IFERROR(ROWS(_xlpm.b)&amp;"x"&amp;COLUMNS(_xlpm.b),"err"),IF(_xlpm.sa&lt;&gt;_xlpm.sb,"FAIL",IF(_xlpm.sa="err",IF(ERROR.TYPE(_xlpm.a)=ERROR.TYPE(_xlpm.b),"PASS","FAIL"),IF(AND(IFERROR(_xlpm.a=_xlpm.b,IFERROR(ERROR.TYPE(_xlpm.a)=ERROR.TYPE(_xlpm.b),FALSE))),"PASS","FAIL"))))</f>
        <v>0</v>
      </c>
    </row>
    <row r="371">
      <c r="A371">
        <v>366</v>
      </c>
      <c r="B371" s="55" t="inlineStr">
        <is>
          <t xml:space="preserve">make_change</t>
        </is>
      </c>
      <c r="C371" t="inlineStr">
        <is>
          <t xml:space="preserve">make_change!L11</t>
        </is>
      </c>
      <c r="D371" s="51" t="inlineStr">
        <is>
          <t xml:space="preserve">tocol</t>
        </is>
      </c>
      <c r="E371" t="inlineStr">
        <is>
          <t xml:space="preserve">make_change(D11:D12,TOCOL(F11))</t>
        </is>
      </c>
      <c r="F371" s="51" cm="1">
        <f t="array" ref="F371">_xlfn.LET(_xlpm.a,make_change('make_change'!D11:D12,'make_change'!F11),_xlpm.b,make_change('make_change'!D11:D12,_xlfn.TOCOL('make_change'!F11)),_xlpm.sa,IFERROR(ROWS(_xlpm.a)&amp;"x"&amp;COLUMNS(_xlpm.a),"err"),_xlpm.sb,IFERROR(ROWS(_xlpm.b)&amp;"x"&amp;COLUMNS(_xlpm.b),"err"),IF(_xlpm.sa&lt;&gt;_xlpm.sb,"FAIL",IF(_xlpm.sa="err",IF(ERROR.TYPE(_xlpm.a)=ERROR.TYPE(_xlpm.b),"PASS","FAIL"),IF(AND(IFERROR(_xlpm.a=_xlpm.b,IFERROR(ERROR.TYPE(_xlpm.a)=ERROR.TYPE(_xlpm.b),FALSE))),"PASS","FAIL"))))</f>
        <v>0</v>
      </c>
    </row>
    <row r="372">
      <c r="A372">
        <v>367</v>
      </c>
      <c r="B372" s="55" t="inlineStr">
        <is>
          <t xml:space="preserve">make_change</t>
        </is>
      </c>
      <c r="C372" t="inlineStr">
        <is>
          <t xml:space="preserve">make_change!L11</t>
        </is>
      </c>
      <c r="D372" s="51" t="inlineStr">
        <is>
          <t xml:space="preserve">textnum</t>
        </is>
      </c>
      <c r="E372" t="inlineStr">
        <is>
          <t xml:space="preserve">make_change(D11:D12,(F11&amp;""))</t>
        </is>
      </c>
      <c r="F372" s="51" cm="1">
        <f t="array" ref="F372">_xlfn.LET(_xlpm.a,make_change('make_change'!D11:D12,'make_change'!F11),_xlpm.b,make_change('make_change'!D11:D12,('make_change'!F11&amp;"")),_xlpm.sa,IFERROR(ROWS(_xlpm.a)&amp;"x"&amp;COLUMNS(_xlpm.a),"err"),_xlpm.sb,IFERROR(ROWS(_xlpm.b)&amp;"x"&amp;COLUMNS(_xlpm.b),"err"),IF(_xlpm.sa&lt;&gt;_xlpm.sb,"FAIL",IF(_xlpm.sa="err",IF(ERROR.TYPE(_xlpm.a)=ERROR.TYPE(_xlpm.b),"PASS","FAIL"),IF(AND(IFERROR(_xlpm.a=_xlpm.b,IFERROR(ERROR.TYPE(_xlpm.a)=ERROR.TYPE(_xlpm.b),FALSE))),"PASS","FAIL"))))</f>
        <v>0</v>
      </c>
    </row>
    <row r="373">
      <c r="A373">
        <v>368</v>
      </c>
      <c r="B373" s="55" t="inlineStr">
        <is>
          <t xml:space="preserve">make_change</t>
        </is>
      </c>
      <c r="C373" t="inlineStr">
        <is>
          <t xml:space="preserve">make_change!L14</t>
        </is>
      </c>
      <c r="D373" s="51" t="inlineStr">
        <is>
          <t xml:space="preserve">tocol</t>
        </is>
      </c>
      <c r="E373" t="inlineStr">
        <is>
          <t xml:space="preserve">make_change(D14:D16,TOCOL(F14))</t>
        </is>
      </c>
      <c r="F373" s="51" cm="1">
        <f t="array" ref="F373">_xlfn.LET(_xlpm.a,make_change('make_change'!D14:D16,'make_change'!F14),_xlpm.b,make_change('make_change'!D14:D16,_xlfn.TOCOL('make_change'!F14)),_xlpm.sa,IFERROR(ROWS(_xlpm.a)&amp;"x"&amp;COLUMNS(_xlpm.a),"err"),_xlpm.sb,IFERROR(ROWS(_xlpm.b)&amp;"x"&amp;COLUMNS(_xlpm.b),"err"),IF(_xlpm.sa&lt;&gt;_xlpm.sb,"FAIL",IF(_xlpm.sa="err",IF(ERROR.TYPE(_xlpm.a)=ERROR.TYPE(_xlpm.b),"PASS","FAIL"),IF(AND(IFERROR(_xlpm.a=_xlpm.b,IFERROR(ERROR.TYPE(_xlpm.a)=ERROR.TYPE(_xlpm.b),FALSE))),"PASS","FAIL"))))</f>
        <v>0</v>
      </c>
    </row>
    <row r="374">
      <c r="A374">
        <v>369</v>
      </c>
      <c r="B374" s="55" t="inlineStr">
        <is>
          <t xml:space="preserve">make_change</t>
        </is>
      </c>
      <c r="C374" t="inlineStr">
        <is>
          <t xml:space="preserve">make_change!L14</t>
        </is>
      </c>
      <c r="D374" s="51" t="inlineStr">
        <is>
          <t xml:space="preserve">textnum</t>
        </is>
      </c>
      <c r="E374" t="inlineStr">
        <is>
          <t xml:space="preserve">make_change(D14:D16,(F14&amp;""))</t>
        </is>
      </c>
      <c r="F374" s="51" cm="1">
        <f t="array" ref="F374">_xlfn.LET(_xlpm.a,make_change('make_change'!D14:D16,'make_change'!F14),_xlpm.b,make_change('make_change'!D14:D16,('make_change'!F14&amp;"")),_xlpm.sa,IFERROR(ROWS(_xlpm.a)&amp;"x"&amp;COLUMNS(_xlpm.a),"err"),_xlpm.sb,IFERROR(ROWS(_xlpm.b)&amp;"x"&amp;COLUMNS(_xlpm.b),"err"),IF(_xlpm.sa&lt;&gt;_xlpm.sb,"FAIL",IF(_xlpm.sa="err",IF(ERROR.TYPE(_xlpm.a)=ERROR.TYPE(_xlpm.b),"PASS","FAIL"),IF(AND(IFERROR(_xlpm.a=_xlpm.b,IFERROR(ERROR.TYPE(_xlpm.a)=ERROR.TYPE(_xlpm.b),FALSE))),"PASS","FAIL"))))</f>
        <v>0</v>
      </c>
    </row>
    <row r="375">
      <c r="A375">
        <v>370</v>
      </c>
      <c r="B375" s="55" t="inlineStr">
        <is>
          <t xml:space="preserve">make_change</t>
        </is>
      </c>
      <c r="C375" t="inlineStr">
        <is>
          <t xml:space="preserve">make_change!L18</t>
        </is>
      </c>
      <c r="D375" s="51" t="inlineStr">
        <is>
          <t xml:space="preserve">tocol</t>
        </is>
      </c>
      <c r="E375" t="inlineStr">
        <is>
          <t xml:space="preserve">make_change(D18:D21,TOCOL(F18))</t>
        </is>
      </c>
      <c r="F375" s="51" cm="1">
        <f t="array" ref="F375">_xlfn.LET(_xlpm.a,make_change('make_change'!D18:D21,'make_change'!F18),_xlpm.b,make_change('make_change'!D18:D21,_xlfn.TOCOL('make_change'!F18)),_xlpm.sa,IFERROR(ROWS(_xlpm.a)&amp;"x"&amp;COLUMNS(_xlpm.a),"err"),_xlpm.sb,IFERROR(ROWS(_xlpm.b)&amp;"x"&amp;COLUMNS(_xlpm.b),"err"),IF(_xlpm.sa&lt;&gt;_xlpm.sb,"FAIL",IF(_xlpm.sa="err",IF(ERROR.TYPE(_xlpm.a)=ERROR.TYPE(_xlpm.b),"PASS","FAIL"),IF(AND(IFERROR(_xlpm.a=_xlpm.b,IFERROR(ERROR.TYPE(_xlpm.a)=ERROR.TYPE(_xlpm.b),FALSE))),"PASS","FAIL"))))</f>
        <v>0</v>
      </c>
    </row>
    <row r="376">
      <c r="A376">
        <v>371</v>
      </c>
      <c r="B376" s="55" t="inlineStr">
        <is>
          <t xml:space="preserve">make_change</t>
        </is>
      </c>
      <c r="C376" t="inlineStr">
        <is>
          <t xml:space="preserve">make_change!L18</t>
        </is>
      </c>
      <c r="D376" s="51" t="inlineStr">
        <is>
          <t xml:space="preserve">textnum</t>
        </is>
      </c>
      <c r="E376" t="inlineStr">
        <is>
          <t xml:space="preserve">make_change(D18:D21,(F18&amp;""))</t>
        </is>
      </c>
      <c r="F376" s="51" cm="1">
        <f t="array" ref="F376">_xlfn.LET(_xlpm.a,make_change('make_change'!D18:D21,'make_change'!F18),_xlpm.b,make_change('make_change'!D18:D21,('make_change'!F18&amp;"")),_xlpm.sa,IFERROR(ROWS(_xlpm.a)&amp;"x"&amp;COLUMNS(_xlpm.a),"err"),_xlpm.sb,IFERROR(ROWS(_xlpm.b)&amp;"x"&amp;COLUMNS(_xlpm.b),"err"),IF(_xlpm.sa&lt;&gt;_xlpm.sb,"FAIL",IF(_xlpm.sa="err",IF(ERROR.TYPE(_xlpm.a)=ERROR.TYPE(_xlpm.b),"PASS","FAIL"),IF(AND(IFERROR(_xlpm.a=_xlpm.b,IFERROR(ERROR.TYPE(_xlpm.a)=ERROR.TYPE(_xlpm.b),FALSE))),"PASS","FAIL"))))</f>
        <v>0</v>
      </c>
    </row>
    <row r="377">
      <c r="A377">
        <v>372</v>
      </c>
      <c r="B377" s="55" t="inlineStr">
        <is>
          <t xml:space="preserve">make_change</t>
        </is>
      </c>
      <c r="C377" t="inlineStr">
        <is>
          <t xml:space="preserve">make_change!L23</t>
        </is>
      </c>
      <c r="D377" s="51" t="inlineStr">
        <is>
          <t xml:space="preserve">tocol</t>
        </is>
      </c>
      <c r="E377" t="inlineStr">
        <is>
          <t xml:space="preserve">make_change(D23:D24,TOCOL(F23))</t>
        </is>
      </c>
      <c r="F377" s="51" cm="1">
        <f t="array" ref="F377">_xlfn.LET(_xlpm.a,make_change('make_change'!D23:D24,'make_change'!F23),_xlpm.b,make_change('make_change'!D23:D24,_xlfn.TOCOL('make_change'!F23)),_xlpm.sa,IFERROR(ROWS(_xlpm.a)&amp;"x"&amp;COLUMNS(_xlpm.a),"err"),_xlpm.sb,IFERROR(ROWS(_xlpm.b)&amp;"x"&amp;COLUMNS(_xlpm.b),"err"),IF(_xlpm.sa&lt;&gt;_xlpm.sb,"FAIL",IF(_xlpm.sa="err",IF(ERROR.TYPE(_xlpm.a)=ERROR.TYPE(_xlpm.b),"PASS","FAIL"),IF(AND(IFERROR(_xlpm.a=_xlpm.b,IFERROR(ERROR.TYPE(_xlpm.a)=ERROR.TYPE(_xlpm.b),FALSE))),"PASS","FAIL"))))</f>
        <v>0</v>
      </c>
    </row>
    <row r="378">
      <c r="A378">
        <v>373</v>
      </c>
      <c r="B378" s="55" t="inlineStr">
        <is>
          <t xml:space="preserve">make_change</t>
        </is>
      </c>
      <c r="C378" t="inlineStr">
        <is>
          <t xml:space="preserve">make_change!L23</t>
        </is>
      </c>
      <c r="D378" s="51" t="inlineStr">
        <is>
          <t xml:space="preserve">textnum</t>
        </is>
      </c>
      <c r="E378" t="inlineStr">
        <is>
          <t xml:space="preserve">make_change(D23:D24,(F23&amp;""))</t>
        </is>
      </c>
      <c r="F378" s="51" cm="1">
        <f t="array" ref="F378">_xlfn.LET(_xlpm.a,make_change('make_change'!D23:D24,'make_change'!F23),_xlpm.b,make_change('make_change'!D23:D24,('make_change'!F23&amp;"")),_xlpm.sa,IFERROR(ROWS(_xlpm.a)&amp;"x"&amp;COLUMNS(_xlpm.a),"err"),_xlpm.sb,IFERROR(ROWS(_xlpm.b)&amp;"x"&amp;COLUMNS(_xlpm.b),"err"),IF(_xlpm.sa&lt;&gt;_xlpm.sb,"FAIL",IF(_xlpm.sa="err",IF(ERROR.TYPE(_xlpm.a)=ERROR.TYPE(_xlpm.b),"PASS","FAIL"),IF(AND(IFERROR(_xlpm.a=_xlpm.b,IFERROR(ERROR.TYPE(_xlpm.a)=ERROR.TYPE(_xlpm.b),FALSE))),"PASS","FAIL"))))</f>
        <v>0</v>
      </c>
    </row>
    <row r="379">
      <c r="A379">
        <v>374</v>
      </c>
      <c r="B379" s="55" t="inlineStr">
        <is>
          <t xml:space="preserve">make_change</t>
        </is>
      </c>
      <c r="C379" t="inlineStr">
        <is>
          <t xml:space="preserve">make_change!L26</t>
        </is>
      </c>
      <c r="D379" s="51" t="inlineStr">
        <is>
          <t xml:space="preserve">tocol</t>
        </is>
      </c>
      <c r="E379" t="inlineStr">
        <is>
          <t xml:space="preserve">make_change(D26:D32,TOCOL(F26))</t>
        </is>
      </c>
      <c r="F379" s="51" cm="1">
        <f t="array" ref="F379">_xlfn.LET(_xlpm.a,make_change('make_change'!D26:D32,'make_change'!F26),_xlpm.b,make_change('make_change'!D26:D32,_xlfn.TOCOL('make_change'!F26)),_xlpm.sa,IFERROR(ROWS(_xlpm.a)&amp;"x"&amp;COLUMNS(_xlpm.a),"err"),_xlpm.sb,IFERROR(ROWS(_xlpm.b)&amp;"x"&amp;COLUMNS(_xlpm.b),"err"),IF(_xlpm.sa&lt;&gt;_xlpm.sb,"FAIL",IF(_xlpm.sa="err",IF(ERROR.TYPE(_xlpm.a)=ERROR.TYPE(_xlpm.b),"PASS","FAIL"),IF(AND(IFERROR(_xlpm.a=_xlpm.b,IFERROR(ERROR.TYPE(_xlpm.a)=ERROR.TYPE(_xlpm.b),FALSE))),"PASS","FAIL"))))</f>
        <v>0</v>
      </c>
    </row>
    <row r="380">
      <c r="A380">
        <v>375</v>
      </c>
      <c r="B380" s="55" t="inlineStr">
        <is>
          <t xml:space="preserve">make_change</t>
        </is>
      </c>
      <c r="C380" t="inlineStr">
        <is>
          <t xml:space="preserve">make_change!L26</t>
        </is>
      </c>
      <c r="D380" s="51" t="inlineStr">
        <is>
          <t xml:space="preserve">textnum</t>
        </is>
      </c>
      <c r="E380" t="inlineStr">
        <is>
          <t xml:space="preserve">make_change(D26:D32,(F26&amp;""))</t>
        </is>
      </c>
      <c r="F380" s="51" cm="1">
        <f t="array" ref="F380">_xlfn.LET(_xlpm.a,make_change('make_change'!D26:D32,'make_change'!F26),_xlpm.b,make_change('make_change'!D26:D32,('make_change'!F26&amp;"")),_xlpm.sa,IFERROR(ROWS(_xlpm.a)&amp;"x"&amp;COLUMNS(_xlpm.a),"err"),_xlpm.sb,IFERROR(ROWS(_xlpm.b)&amp;"x"&amp;COLUMNS(_xlpm.b),"err"),IF(_xlpm.sa&lt;&gt;_xlpm.sb,"FAIL",IF(_xlpm.sa="err",IF(ERROR.TYPE(_xlpm.a)=ERROR.TYPE(_xlpm.b),"PASS","FAIL"),IF(AND(IFERROR(_xlpm.a=_xlpm.b,IFERROR(ERROR.TYPE(_xlpm.a)=ERROR.TYPE(_xlpm.b),FALSE))),"PASS","FAIL"))))</f>
        <v>0</v>
      </c>
    </row>
    <row r="381">
      <c r="A381">
        <v>376</v>
      </c>
      <c r="B381" s="55" t="inlineStr">
        <is>
          <t xml:space="preserve">move_rng</t>
        </is>
      </c>
      <c r="C381" t="inlineStr">
        <is>
          <t xml:space="preserve">move_rng!H6</t>
        </is>
      </c>
      <c r="D381" s="51" t="inlineStr">
        <is>
          <t xml:space="preserve">tocol</t>
        </is>
      </c>
      <c r="E381" t="inlineStr">
        <is>
          <t xml:space="preserve">move_rng(TOCOL("B2:C10"),TOCOL("↖"))</t>
        </is>
      </c>
      <c r="F381" s="51" cm="1">
        <f t="array" ref="F381">_xlfn.LET(_xlpm.a,move_rng("B2:C10","↖"),_xlpm.b,move_rng(_xlfn.TOCOL("B2:C10"),_xlfn.TOCOL("↖")),_xlpm.sa,IFERROR(ROWS(_xlpm.a)&amp;"x"&amp;COLUMNS(_xlpm.a),"err"),_xlpm.sb,IFERROR(ROWS(_xlpm.b)&amp;"x"&amp;COLUMNS(_xlpm.b),"err"),IF(_xlpm.sa&lt;&gt;_xlpm.sb,"FAIL",IF(_xlpm.sa="err",IF(ERROR.TYPE(_xlpm.a)=ERROR.TYPE(_xlpm.b),"PASS","FAIL"),IF(AND(IFERROR(_xlpm.a=_xlpm.b,IFERROR(ERROR.TYPE(_xlpm.a)=ERROR.TYPE(_xlpm.b),FALSE))),"PASS","FAIL"))))</f>
        <v>0</v>
      </c>
    </row>
    <row r="382">
      <c r="A382">
        <v>377</v>
      </c>
      <c r="B382" s="55" t="inlineStr">
        <is>
          <t xml:space="preserve">move_rng</t>
        </is>
      </c>
      <c r="C382" t="inlineStr">
        <is>
          <t xml:space="preserve">move_rng!H6</t>
        </is>
      </c>
      <c r="D382" s="51" t="inlineStr">
        <is>
          <t xml:space="preserve">cellref</t>
        </is>
      </c>
      <c r="E382" t="inlineStr">
        <is>
          <t xml:space="preserve">move_rng(shape_tests!$H$382,shape_tests!$I$382)</t>
        </is>
      </c>
      <c r="F382" s="51" cm="1">
        <f t="array" ref="F382">_xlfn.LET(_xlpm.a,move_rng("B2:C10","↖"),_xlpm.b,move_rng(shape_tests!$H$382,shape_tests!$I$382),_xlpm.sa,IFERROR(ROWS(_xlpm.a)&amp;"x"&amp;COLUMNS(_xlpm.a),"err"),_xlpm.sb,IFERROR(ROWS(_xlpm.b)&amp;"x"&amp;COLUMNS(_xlpm.b),"err"),IF(_xlpm.sa&lt;&gt;_xlpm.sb,"FAIL",IF(_xlpm.sa="err",IF(ERROR.TYPE(_xlpm.a)=ERROR.TYPE(_xlpm.b),"PASS","FAIL"),IF(AND(IFERROR(_xlpm.a=_xlpm.b,IFERROR(ERROR.TYPE(_xlpm.a)=ERROR.TYPE(_xlpm.b),FALSE))),"PASS","FAIL"))))</f>
        <v>0</v>
      </c>
      <c r="H382" t="inlineStr">
        <is>
          <t xml:space="preserve">B2:C10</t>
        </is>
      </c>
      <c r="I382" t="inlineStr">
        <is>
          <t xml:space="preserve">↖</t>
        </is>
      </c>
    </row>
    <row r="383">
      <c r="A383">
        <v>378</v>
      </c>
      <c r="B383" s="55" t="inlineStr">
        <is>
          <t xml:space="preserve">move_rng</t>
        </is>
      </c>
      <c r="C383" t="inlineStr">
        <is>
          <t xml:space="preserve">move_rng!H6</t>
        </is>
      </c>
      <c r="D383" s="51" t="inlineStr">
        <is>
          <t xml:space="preserve">blank</t>
        </is>
      </c>
      <c r="E383" t="inlineStr">
        <is>
          <t xml:space="preserve">move_rng("B2:C10","↖",shape_tests!$Z$1)</t>
        </is>
      </c>
      <c r="F383" s="51" cm="1">
        <f t="array" ref="F383">_xlfn.LET(_xlpm.a,move_rng("B2:C10","↖"),_xlpm.b,move_rng("B2:C10","↖",shape_tests!$Z$1),_xlpm.sa,IFERROR(ROWS(_xlpm.a)&amp;"x"&amp;COLUMNS(_xlpm.a),"err"),_xlpm.sb,IFERROR(ROWS(_xlpm.b)&amp;"x"&amp;COLUMNS(_xlpm.b),"err"),IF(_xlpm.sa&lt;&gt;_xlpm.sb,"FAIL",IF(_xlpm.sa="err",IF(ERROR.TYPE(_xlpm.a)=ERROR.TYPE(_xlpm.b),"PASS","FAIL"),IF(AND(IFERROR(_xlpm.a=_xlpm.b,IFERROR(ERROR.TYPE(_xlpm.a)=ERROR.TYPE(_xlpm.b),FALSE))),"PASS","FAIL"))))</f>
        <v>0</v>
      </c>
    </row>
    <row r="384">
      <c r="A384">
        <v>379</v>
      </c>
      <c r="B384" s="55" t="inlineStr">
        <is>
          <t xml:space="preserve">move_rng</t>
        </is>
      </c>
      <c r="C384" t="inlineStr">
        <is>
          <t xml:space="preserve">move_rng!H8</t>
        </is>
      </c>
      <c r="D384" s="51" t="inlineStr">
        <is>
          <t xml:space="preserve">tocol</t>
        </is>
      </c>
      <c r="E384" t="inlineStr">
        <is>
          <t xml:space="preserve">move_rng(TOCOL("B2:C10"),TOCOL("↖"),TOCOL(2))</t>
        </is>
      </c>
      <c r="F384" s="51" cm="1">
        <f t="array" ref="F384">_xlfn.LET(_xlpm.a,move_rng("B2:C10","↖",2),_xlpm.b,move_rng(_xlfn.TOCOL("B2:C10"),_xlfn.TOCOL("↖"),_xlfn.TOCOL(2)),_xlpm.sa,IFERROR(ROWS(_xlpm.a)&amp;"x"&amp;COLUMNS(_xlpm.a),"err"),_xlpm.sb,IFERROR(ROWS(_xlpm.b)&amp;"x"&amp;COLUMNS(_xlpm.b),"err"),IF(_xlpm.sa&lt;&gt;_xlpm.sb,"FAIL",IF(_xlpm.sa="err",IF(ERROR.TYPE(_xlpm.a)=ERROR.TYPE(_xlpm.b),"PASS","FAIL"),IF(AND(IFERROR(_xlpm.a=_xlpm.b,IFERROR(ERROR.TYPE(_xlpm.a)=ERROR.TYPE(_xlpm.b),FALSE))),"PASS","FAIL"))))</f>
        <v>0</v>
      </c>
    </row>
    <row r="385">
      <c r="A385">
        <v>380</v>
      </c>
      <c r="B385" s="55" t="inlineStr">
        <is>
          <t xml:space="preserve">move_rng</t>
        </is>
      </c>
      <c r="C385" t="inlineStr">
        <is>
          <t xml:space="preserve">move_rng!H8</t>
        </is>
      </c>
      <c r="D385" s="51" t="inlineStr">
        <is>
          <t xml:space="preserve">cellref</t>
        </is>
      </c>
      <c r="E385" t="inlineStr">
        <is>
          <t xml:space="preserve">move_rng(shape_tests!$H$385,shape_tests!$I$385,shape_tests!$J$385)</t>
        </is>
      </c>
      <c r="F385" s="51" cm="1">
        <f t="array" ref="F385">_xlfn.LET(_xlpm.a,move_rng("B2:C10","↖",2),_xlpm.b,move_rng(shape_tests!$H$385,shape_tests!$I$385,shape_tests!$J$385),_xlpm.sa,IFERROR(ROWS(_xlpm.a)&amp;"x"&amp;COLUMNS(_xlpm.a),"err"),_xlpm.sb,IFERROR(ROWS(_xlpm.b)&amp;"x"&amp;COLUMNS(_xlpm.b),"err"),IF(_xlpm.sa&lt;&gt;_xlpm.sb,"FAIL",IF(_xlpm.sa="err",IF(ERROR.TYPE(_xlpm.a)=ERROR.TYPE(_xlpm.b),"PASS","FAIL"),IF(AND(IFERROR(_xlpm.a=_xlpm.b,IFERROR(ERROR.TYPE(_xlpm.a)=ERROR.TYPE(_xlpm.b),FALSE))),"PASS","FAIL"))))</f>
        <v>0</v>
      </c>
      <c r="H385" t="inlineStr">
        <is>
          <t xml:space="preserve">B2:C10</t>
        </is>
      </c>
      <c r="I385" t="inlineStr">
        <is>
          <t xml:space="preserve">↖</t>
        </is>
      </c>
      <c r="J385">
        <v>2.0</v>
      </c>
    </row>
    <row r="386">
      <c r="A386">
        <v>381</v>
      </c>
      <c r="B386" s="55" t="inlineStr">
        <is>
          <t xml:space="preserve">move_rng</t>
        </is>
      </c>
      <c r="C386" t="inlineStr">
        <is>
          <t xml:space="preserve">move_rng!H8</t>
        </is>
      </c>
      <c r="D386" s="51" t="inlineStr">
        <is>
          <t xml:space="preserve">textnum</t>
        </is>
      </c>
      <c r="E386" t="inlineStr">
        <is>
          <t xml:space="preserve">move_rng("B2:C10","↖","2")</t>
        </is>
      </c>
      <c r="F386" s="51" cm="1">
        <f t="array" ref="F386">_xlfn.LET(_xlpm.a,move_rng("B2:C10","↖",2),_xlpm.b,move_rng("B2:C10","↖","2"),_xlpm.sa,IFERROR(ROWS(_xlpm.a)&amp;"x"&amp;COLUMNS(_xlpm.a),"err"),_xlpm.sb,IFERROR(ROWS(_xlpm.b)&amp;"x"&amp;COLUMNS(_xlpm.b),"err"),IF(_xlpm.sa&lt;&gt;_xlpm.sb,"FAIL",IF(_xlpm.sa="err",IF(ERROR.TYPE(_xlpm.a)=ERROR.TYPE(_xlpm.b),"PASS","FAIL"),IF(AND(IFERROR(_xlpm.a=_xlpm.b,IFERROR(ERROR.TYPE(_xlpm.a)=ERROR.TYPE(_xlpm.b),FALSE))),"PASS","FAIL"))))</f>
        <v>0</v>
      </c>
    </row>
    <row r="387">
      <c r="A387">
        <v>382</v>
      </c>
      <c r="B387" s="55" t="inlineStr">
        <is>
          <t xml:space="preserve">move_rng</t>
        </is>
      </c>
      <c r="C387" t="inlineStr">
        <is>
          <t xml:space="preserve">move_rng!H10</t>
        </is>
      </c>
      <c r="D387" s="51" t="inlineStr">
        <is>
          <t xml:space="preserve">tocol</t>
        </is>
      </c>
      <c r="E387" t="inlineStr">
        <is>
          <t xml:space="preserve">move_rng(TOCOL("B2"),TOCOL("→"),TOCOL(3))</t>
        </is>
      </c>
      <c r="F387" s="51" cm="1">
        <f t="array" ref="F387">_xlfn.LET(_xlpm.a,move_rng("B2","→",3),_xlpm.b,move_rng(_xlfn.TOCOL("B2"),_xlfn.TOCOL("→"),_xlfn.TOCOL(3)),_xlpm.sa,IFERROR(ROWS(_xlpm.a)&amp;"x"&amp;COLUMNS(_xlpm.a),"err"),_xlpm.sb,IFERROR(ROWS(_xlpm.b)&amp;"x"&amp;COLUMNS(_xlpm.b),"err"),IF(_xlpm.sa&lt;&gt;_xlpm.sb,"FAIL",IF(_xlpm.sa="err",IF(ERROR.TYPE(_xlpm.a)=ERROR.TYPE(_xlpm.b),"PASS","FAIL"),IF(AND(IFERROR(_xlpm.a=_xlpm.b,IFERROR(ERROR.TYPE(_xlpm.a)=ERROR.TYPE(_xlpm.b),FALSE))),"PASS","FAIL"))))</f>
        <v>0</v>
      </c>
    </row>
    <row r="388">
      <c r="A388">
        <v>383</v>
      </c>
      <c r="B388" s="55" t="inlineStr">
        <is>
          <t xml:space="preserve">move_rng</t>
        </is>
      </c>
      <c r="C388" t="inlineStr">
        <is>
          <t xml:space="preserve">move_rng!H10</t>
        </is>
      </c>
      <c r="D388" s="51" t="inlineStr">
        <is>
          <t xml:space="preserve">cellref</t>
        </is>
      </c>
      <c r="E388" t="inlineStr">
        <is>
          <t xml:space="preserve">move_rng(shape_tests!$H$388,shape_tests!$I$388,shape_tests!$J$388)</t>
        </is>
      </c>
      <c r="F388" s="51" cm="1">
        <f t="array" ref="F388">_xlfn.LET(_xlpm.a,move_rng("B2","→",3),_xlpm.b,move_rng(shape_tests!$H$388,shape_tests!$I$388,shape_tests!$J$388),_xlpm.sa,IFERROR(ROWS(_xlpm.a)&amp;"x"&amp;COLUMNS(_xlpm.a),"err"),_xlpm.sb,IFERROR(ROWS(_xlpm.b)&amp;"x"&amp;COLUMNS(_xlpm.b),"err"),IF(_xlpm.sa&lt;&gt;_xlpm.sb,"FAIL",IF(_xlpm.sa="err",IF(ERROR.TYPE(_xlpm.a)=ERROR.TYPE(_xlpm.b),"PASS","FAIL"),IF(AND(IFERROR(_xlpm.a=_xlpm.b,IFERROR(ERROR.TYPE(_xlpm.a)=ERROR.TYPE(_xlpm.b),FALSE))),"PASS","FAIL"))))</f>
        <v>0</v>
      </c>
      <c r="H388" t="inlineStr">
        <is>
          <t xml:space="preserve">B2</t>
        </is>
      </c>
      <c r="I388" t="inlineStr">
        <is>
          <t xml:space="preserve">→</t>
        </is>
      </c>
      <c r="J388">
        <v>3.0</v>
      </c>
    </row>
    <row r="389">
      <c r="A389">
        <v>384</v>
      </c>
      <c r="B389" s="55" t="inlineStr">
        <is>
          <t xml:space="preserve">move_rng</t>
        </is>
      </c>
      <c r="C389" t="inlineStr">
        <is>
          <t xml:space="preserve">move_rng!H10</t>
        </is>
      </c>
      <c r="D389" s="51" t="inlineStr">
        <is>
          <t xml:space="preserve">textnum</t>
        </is>
      </c>
      <c r="E389" t="inlineStr">
        <is>
          <t xml:space="preserve">move_rng("B2","→","3")</t>
        </is>
      </c>
      <c r="F389" s="51" cm="1">
        <f t="array" ref="F389">_xlfn.LET(_xlpm.a,move_rng("B2","→",3),_xlpm.b,move_rng("B2","→","3"),_xlpm.sa,IFERROR(ROWS(_xlpm.a)&amp;"x"&amp;COLUMNS(_xlpm.a),"err"),_xlpm.sb,IFERROR(ROWS(_xlpm.b)&amp;"x"&amp;COLUMNS(_xlpm.b),"err"),IF(_xlpm.sa&lt;&gt;_xlpm.sb,"FAIL",IF(_xlpm.sa="err",IF(ERROR.TYPE(_xlpm.a)=ERROR.TYPE(_xlpm.b),"PASS","FAIL"),IF(AND(IFERROR(_xlpm.a=_xlpm.b,IFERROR(ERROR.TYPE(_xlpm.a)=ERROR.TYPE(_xlpm.b),FALSE))),"PASS","FAIL"))))</f>
        <v>0</v>
      </c>
    </row>
    <row r="390">
      <c r="A390">
        <v>385</v>
      </c>
      <c r="B390" s="55" t="inlineStr">
        <is>
          <t xml:space="preserve">move_rng</t>
        </is>
      </c>
      <c r="C390" t="inlineStr">
        <is>
          <t xml:space="preserve">move_rng!H12</t>
        </is>
      </c>
      <c r="D390" s="51" t="inlineStr">
        <is>
          <t xml:space="preserve">tocol</t>
        </is>
      </c>
      <c r="E390" t="inlineStr">
        <is>
          <t xml:space="preserve">move_rng(TOCOL("A1:B2"),TOCOL("←"))</t>
        </is>
      </c>
      <c r="F390" s="51" cm="1">
        <f t="array" ref="F390">_xlfn.LET(_xlpm.a,move_rng("A1:B2","←"),_xlpm.b,move_rng(_xlfn.TOCOL("A1:B2"),_xlfn.TOCOL("←")),_xlpm.sa,IFERROR(ROWS(_xlpm.a)&amp;"x"&amp;COLUMNS(_xlpm.a),"err"),_xlpm.sb,IFERROR(ROWS(_xlpm.b)&amp;"x"&amp;COLUMNS(_xlpm.b),"err"),IF(_xlpm.sa&lt;&gt;_xlpm.sb,"FAIL",IF(_xlpm.sa="err",IF(ERROR.TYPE(_xlpm.a)=ERROR.TYPE(_xlpm.b),"PASS","FAIL"),IF(AND(IFERROR(_xlpm.a=_xlpm.b,IFERROR(ERROR.TYPE(_xlpm.a)=ERROR.TYPE(_xlpm.b),FALSE))),"PASS","FAIL"))))</f>
        <v>0</v>
      </c>
    </row>
    <row r="391">
      <c r="A391">
        <v>386</v>
      </c>
      <c r="B391" s="55" t="inlineStr">
        <is>
          <t xml:space="preserve">move_rng</t>
        </is>
      </c>
      <c r="C391" t="inlineStr">
        <is>
          <t xml:space="preserve">move_rng!H12</t>
        </is>
      </c>
      <c r="D391" s="51" t="inlineStr">
        <is>
          <t xml:space="preserve">cellref</t>
        </is>
      </c>
      <c r="E391" t="inlineStr">
        <is>
          <t xml:space="preserve">move_rng(shape_tests!$H$391,shape_tests!$I$391)</t>
        </is>
      </c>
      <c r="F391" s="51" cm="1">
        <f t="array" ref="F391">_xlfn.LET(_xlpm.a,move_rng("A1:B2","←"),_xlpm.b,move_rng(shape_tests!$H$391,shape_tests!$I$391),_xlpm.sa,IFERROR(ROWS(_xlpm.a)&amp;"x"&amp;COLUMNS(_xlpm.a),"err"),_xlpm.sb,IFERROR(ROWS(_xlpm.b)&amp;"x"&amp;COLUMNS(_xlpm.b),"err"),IF(_xlpm.sa&lt;&gt;_xlpm.sb,"FAIL",IF(_xlpm.sa="err",IF(ERROR.TYPE(_xlpm.a)=ERROR.TYPE(_xlpm.b),"PASS","FAIL"),IF(AND(IFERROR(_xlpm.a=_xlpm.b,IFERROR(ERROR.TYPE(_xlpm.a)=ERROR.TYPE(_xlpm.b),FALSE))),"PASS","FAIL"))))</f>
        <v>0</v>
      </c>
      <c r="H391" t="inlineStr">
        <is>
          <t xml:space="preserve">A1:B2</t>
        </is>
      </c>
      <c r="I391" t="inlineStr">
        <is>
          <t xml:space="preserve">←</t>
        </is>
      </c>
    </row>
    <row r="392">
      <c r="A392">
        <v>387</v>
      </c>
      <c r="B392" s="55" t="inlineStr">
        <is>
          <t xml:space="preserve">move_rng</t>
        </is>
      </c>
      <c r="C392" t="inlineStr">
        <is>
          <t xml:space="preserve">move_rng!H12</t>
        </is>
      </c>
      <c r="D392" s="51" t="inlineStr">
        <is>
          <t xml:space="preserve">blank</t>
        </is>
      </c>
      <c r="E392" t="inlineStr">
        <is>
          <t xml:space="preserve">move_rng("A1:B2","←",shape_tests!$Z$1)</t>
        </is>
      </c>
      <c r="F392" s="51" cm="1">
        <f t="array" ref="F392">_xlfn.LET(_xlpm.a,move_rng("A1:B2","←"),_xlpm.b,move_rng("A1:B2","←",shape_tests!$Z$1),_xlpm.sa,IFERROR(ROWS(_xlpm.a)&amp;"x"&amp;COLUMNS(_xlpm.a),"err"),_xlpm.sb,IFERROR(ROWS(_xlpm.b)&amp;"x"&amp;COLUMNS(_xlpm.b),"err"),IF(_xlpm.sa&lt;&gt;_xlpm.sb,"FAIL",IF(_xlpm.sa="err",IF(ERROR.TYPE(_xlpm.a)=ERROR.TYPE(_xlpm.b),"PASS","FAIL"),IF(AND(IFERROR(_xlpm.a=_xlpm.b,IFERROR(ERROR.TYPE(_xlpm.a)=ERROR.TYPE(_xlpm.b),FALSE))),"PASS","FAIL"))))</f>
        <v>0</v>
      </c>
    </row>
    <row r="393">
      <c r="A393">
        <v>388</v>
      </c>
      <c r="B393" s="55" t="inlineStr">
        <is>
          <t xml:space="preserve">move_rng</t>
        </is>
      </c>
      <c r="C393" t="inlineStr">
        <is>
          <t xml:space="preserve">move_rng!H14</t>
        </is>
      </c>
      <c r="D393" s="51" t="inlineStr">
        <is>
          <t xml:space="preserve">tocol</t>
        </is>
      </c>
      <c r="E393" t="inlineStr">
        <is>
          <t xml:space="preserve">move_rng(TOCOL("A1"),TOCOL("↑"))</t>
        </is>
      </c>
      <c r="F393" s="51" cm="1">
        <f t="array" ref="F393">_xlfn.LET(_xlpm.a,move_rng("A1","↑"),_xlpm.b,move_rng(_xlfn.TOCOL("A1"),_xlfn.TOCOL("↑")),_xlpm.sa,IFERROR(ROWS(_xlpm.a)&amp;"x"&amp;COLUMNS(_xlpm.a),"err"),_xlpm.sb,IFERROR(ROWS(_xlpm.b)&amp;"x"&amp;COLUMNS(_xlpm.b),"err"),IF(_xlpm.sa&lt;&gt;_xlpm.sb,"FAIL",IF(_xlpm.sa="err",IF(ERROR.TYPE(_xlpm.a)=ERROR.TYPE(_xlpm.b),"PASS","FAIL"),IF(AND(IFERROR(_xlpm.a=_xlpm.b,IFERROR(ERROR.TYPE(_xlpm.a)=ERROR.TYPE(_xlpm.b),FALSE))),"PASS","FAIL"))))</f>
        <v>0</v>
      </c>
    </row>
    <row r="394">
      <c r="A394">
        <v>389</v>
      </c>
      <c r="B394" s="55" t="inlineStr">
        <is>
          <t xml:space="preserve">move_rng</t>
        </is>
      </c>
      <c r="C394" t="inlineStr">
        <is>
          <t xml:space="preserve">move_rng!H14</t>
        </is>
      </c>
      <c r="D394" s="51" t="inlineStr">
        <is>
          <t xml:space="preserve">cellref</t>
        </is>
      </c>
      <c r="E394" t="inlineStr">
        <is>
          <t xml:space="preserve">move_rng(shape_tests!$H$394,shape_tests!$I$394)</t>
        </is>
      </c>
      <c r="F394" s="51" cm="1">
        <f t="array" ref="F394">_xlfn.LET(_xlpm.a,move_rng("A1","↑"),_xlpm.b,move_rng(shape_tests!$H$394,shape_tests!$I$394),_xlpm.sa,IFERROR(ROWS(_xlpm.a)&amp;"x"&amp;COLUMNS(_xlpm.a),"err"),_xlpm.sb,IFERROR(ROWS(_xlpm.b)&amp;"x"&amp;COLUMNS(_xlpm.b),"err"),IF(_xlpm.sa&lt;&gt;_xlpm.sb,"FAIL",IF(_xlpm.sa="err",IF(ERROR.TYPE(_xlpm.a)=ERROR.TYPE(_xlpm.b),"PASS","FAIL"),IF(AND(IFERROR(_xlpm.a=_xlpm.b,IFERROR(ERROR.TYPE(_xlpm.a)=ERROR.TYPE(_xlpm.b),FALSE))),"PASS","FAIL"))))</f>
        <v>0</v>
      </c>
      <c r="H394" t="inlineStr">
        <is>
          <t xml:space="preserve">A1</t>
        </is>
      </c>
      <c r="I394" t="inlineStr">
        <is>
          <t xml:space="preserve">↑</t>
        </is>
      </c>
    </row>
    <row r="395">
      <c r="A395">
        <v>390</v>
      </c>
      <c r="B395" s="55" t="inlineStr">
        <is>
          <t xml:space="preserve">move_rng</t>
        </is>
      </c>
      <c r="C395" t="inlineStr">
        <is>
          <t xml:space="preserve">move_rng!H14</t>
        </is>
      </c>
      <c r="D395" s="51" t="inlineStr">
        <is>
          <t xml:space="preserve">blank</t>
        </is>
      </c>
      <c r="E395" t="inlineStr">
        <is>
          <t xml:space="preserve">move_rng("A1","↑",shape_tests!$Z$1)</t>
        </is>
      </c>
      <c r="F395" s="51" cm="1">
        <f t="array" ref="F395">_xlfn.LET(_xlpm.a,move_rng("A1","↑"),_xlpm.b,move_rng("A1","↑",shape_tests!$Z$1),_xlpm.sa,IFERROR(ROWS(_xlpm.a)&amp;"x"&amp;COLUMNS(_xlpm.a),"err"),_xlpm.sb,IFERROR(ROWS(_xlpm.b)&amp;"x"&amp;COLUMNS(_xlpm.b),"err"),IF(_xlpm.sa&lt;&gt;_xlpm.sb,"FAIL",IF(_xlpm.sa="err",IF(ERROR.TYPE(_xlpm.a)=ERROR.TYPE(_xlpm.b),"PASS","FAIL"),IF(AND(IFERROR(_xlpm.a=_xlpm.b,IFERROR(ERROR.TYPE(_xlpm.a)=ERROR.TYPE(_xlpm.b),FALSE))),"PASS","FAIL"))))</f>
        <v>0</v>
      </c>
    </row>
    <row r="396">
      <c r="A396">
        <v>391</v>
      </c>
      <c r="B396" s="55" t="inlineStr">
        <is>
          <t xml:space="preserve">move_rng</t>
        </is>
      </c>
      <c r="C396" t="inlineStr">
        <is>
          <t xml:space="preserve">move_rng!H16</t>
        </is>
      </c>
      <c r="D396" s="51" t="inlineStr">
        <is>
          <t xml:space="preserve">tocol</t>
        </is>
      </c>
      <c r="E396" t="inlineStr">
        <is>
          <t xml:space="preserve">move_rng(TOCOL("B2:C10"),TOCOL("↓"),TOCOL(1048570))</t>
        </is>
      </c>
      <c r="F396" s="51" cm="1">
        <f t="array" ref="F396">_xlfn.LET(_xlpm.a,move_rng("B2:C10","↓",1048570),_xlpm.b,move_rng(_xlfn.TOCOL("B2:C10"),_xlfn.TOCOL("↓"),_xlfn.TOCOL(1048570)),_xlpm.sa,IFERROR(ROWS(_xlpm.a)&amp;"x"&amp;COLUMNS(_xlpm.a),"err"),_xlpm.sb,IFERROR(ROWS(_xlpm.b)&amp;"x"&amp;COLUMNS(_xlpm.b),"err"),IF(_xlpm.sa&lt;&gt;_xlpm.sb,"FAIL",IF(_xlpm.sa="err",IF(ERROR.TYPE(_xlpm.a)=ERROR.TYPE(_xlpm.b),"PASS","FAIL"),IF(AND(IFERROR(_xlpm.a=_xlpm.b,IFERROR(ERROR.TYPE(_xlpm.a)=ERROR.TYPE(_xlpm.b),FALSE))),"PASS","FAIL"))))</f>
        <v>0</v>
      </c>
    </row>
    <row r="397">
      <c r="A397">
        <v>392</v>
      </c>
      <c r="B397" s="55" t="inlineStr">
        <is>
          <t xml:space="preserve">move_rng</t>
        </is>
      </c>
      <c r="C397" t="inlineStr">
        <is>
          <t xml:space="preserve">move_rng!H16</t>
        </is>
      </c>
      <c r="D397" s="51" t="inlineStr">
        <is>
          <t xml:space="preserve">cellref</t>
        </is>
      </c>
      <c r="E397" t="inlineStr">
        <is>
          <t xml:space="preserve">move_rng(shape_tests!$H$397,shape_tests!$I$397,shape_tests!$J$397)</t>
        </is>
      </c>
      <c r="F397" s="51" cm="1">
        <f t="array" ref="F397">_xlfn.LET(_xlpm.a,move_rng("B2:C10","↓",1048570),_xlpm.b,move_rng(shape_tests!$H$397,shape_tests!$I$397,shape_tests!$J$397),_xlpm.sa,IFERROR(ROWS(_xlpm.a)&amp;"x"&amp;COLUMNS(_xlpm.a),"err"),_xlpm.sb,IFERROR(ROWS(_xlpm.b)&amp;"x"&amp;COLUMNS(_xlpm.b),"err"),IF(_xlpm.sa&lt;&gt;_xlpm.sb,"FAIL",IF(_xlpm.sa="err",IF(ERROR.TYPE(_xlpm.a)=ERROR.TYPE(_xlpm.b),"PASS","FAIL"),IF(AND(IFERROR(_xlpm.a=_xlpm.b,IFERROR(ERROR.TYPE(_xlpm.a)=ERROR.TYPE(_xlpm.b),FALSE))),"PASS","FAIL"))))</f>
        <v>0</v>
      </c>
      <c r="H397" t="inlineStr">
        <is>
          <t xml:space="preserve">B2:C10</t>
        </is>
      </c>
      <c r="I397" t="inlineStr">
        <is>
          <t xml:space="preserve">↓</t>
        </is>
      </c>
      <c r="J397">
        <v>1048570.0</v>
      </c>
    </row>
    <row r="398">
      <c r="A398">
        <v>393</v>
      </c>
      <c r="B398" s="55" t="inlineStr">
        <is>
          <t xml:space="preserve">move_rng</t>
        </is>
      </c>
      <c r="C398" t="inlineStr">
        <is>
          <t xml:space="preserve">move_rng!H16</t>
        </is>
      </c>
      <c r="D398" s="51" t="inlineStr">
        <is>
          <t xml:space="preserve">textnum</t>
        </is>
      </c>
      <c r="E398" t="inlineStr">
        <is>
          <t xml:space="preserve">move_rng("B2:C10","↓","1048570")</t>
        </is>
      </c>
      <c r="F398" s="51" cm="1">
        <f t="array" ref="F398">_xlfn.LET(_xlpm.a,move_rng("B2:C10","↓",1048570),_xlpm.b,move_rng("B2:C10","↓","1048570"),_xlpm.sa,IFERROR(ROWS(_xlpm.a)&amp;"x"&amp;COLUMNS(_xlpm.a),"err"),_xlpm.sb,IFERROR(ROWS(_xlpm.b)&amp;"x"&amp;COLUMNS(_xlpm.b),"err"),IF(_xlpm.sa&lt;&gt;_xlpm.sb,"FAIL",IF(_xlpm.sa="err",IF(ERROR.TYPE(_xlpm.a)=ERROR.TYPE(_xlpm.b),"PASS","FAIL"),IF(AND(IFERROR(_xlpm.a=_xlpm.b,IFERROR(ERROR.TYPE(_xlpm.a)=ERROR.TYPE(_xlpm.b),FALSE))),"PASS","FAIL"))))</f>
        <v>0</v>
      </c>
    </row>
    <row r="399">
      <c r="A399">
        <v>394</v>
      </c>
      <c r="B399" s="55" t="inlineStr">
        <is>
          <t xml:space="preserve">move_rng</t>
        </is>
      </c>
      <c r="C399" t="inlineStr">
        <is>
          <t xml:space="preserve">move_rng!H18</t>
        </is>
      </c>
      <c r="D399" s="51" t="inlineStr">
        <is>
          <t xml:space="preserve">tocol</t>
        </is>
      </c>
      <c r="E399" t="inlineStr">
        <is>
          <t xml:space="preserve">move_rng(TOCOL("2000002:10000003"),TOCOL("↖"))</t>
        </is>
      </c>
      <c r="F399" s="51" cm="1">
        <f t="array" ref="F399">_xlfn.LET(_xlpm.a,move_rng("2000002:10000003","↖"),_xlpm.b,move_rng(_xlfn.TOCOL("2000002:10000003"),_xlfn.TOCOL("↖")),_xlpm.sa,IFERROR(ROWS(_xlpm.a)&amp;"x"&amp;COLUMNS(_xlpm.a),"err"),_xlpm.sb,IFERROR(ROWS(_xlpm.b)&amp;"x"&amp;COLUMNS(_xlpm.b),"err"),IF(_xlpm.sa&lt;&gt;_xlpm.sb,"FAIL",IF(_xlpm.sa="err",IF(ERROR.TYPE(_xlpm.a)=ERROR.TYPE(_xlpm.b),"PASS","FAIL"),IF(AND(IFERROR(_xlpm.a=_xlpm.b,IFERROR(ERROR.TYPE(_xlpm.a)=ERROR.TYPE(_xlpm.b),FALSE))),"PASS","FAIL"))))</f>
        <v>0</v>
      </c>
    </row>
    <row r="400">
      <c r="A400">
        <v>395</v>
      </c>
      <c r="B400" s="55" t="inlineStr">
        <is>
          <t xml:space="preserve">move_rng</t>
        </is>
      </c>
      <c r="C400" t="inlineStr">
        <is>
          <t xml:space="preserve">move_rng!H18</t>
        </is>
      </c>
      <c r="D400" s="51" t="inlineStr">
        <is>
          <t xml:space="preserve">cellref</t>
        </is>
      </c>
      <c r="E400" t="inlineStr">
        <is>
          <t xml:space="preserve">move_rng(shape_tests!$H$400,shape_tests!$I$400)</t>
        </is>
      </c>
      <c r="F400" s="51" cm="1">
        <f t="array" ref="F400">_xlfn.LET(_xlpm.a,move_rng("2000002:10000003","↖"),_xlpm.b,move_rng(shape_tests!$H$400,shape_tests!$I$400),_xlpm.sa,IFERROR(ROWS(_xlpm.a)&amp;"x"&amp;COLUMNS(_xlpm.a),"err"),_xlpm.sb,IFERROR(ROWS(_xlpm.b)&amp;"x"&amp;COLUMNS(_xlpm.b),"err"),IF(_xlpm.sa&lt;&gt;_xlpm.sb,"FAIL",IF(_xlpm.sa="err",IF(ERROR.TYPE(_xlpm.a)=ERROR.TYPE(_xlpm.b),"PASS","FAIL"),IF(AND(IFERROR(_xlpm.a=_xlpm.b,IFERROR(ERROR.TYPE(_xlpm.a)=ERROR.TYPE(_xlpm.b),FALSE))),"PASS","FAIL"))))</f>
        <v>0</v>
      </c>
      <c r="H400" t="inlineStr">
        <is>
          <t xml:space="preserve">2000002:10000003</t>
        </is>
      </c>
      <c r="I400" t="inlineStr">
        <is>
          <t xml:space="preserve">↖</t>
        </is>
      </c>
    </row>
    <row r="401">
      <c r="A401">
        <v>396</v>
      </c>
      <c r="B401" s="55" t="inlineStr">
        <is>
          <t xml:space="preserve">move_rng</t>
        </is>
      </c>
      <c r="C401" t="inlineStr">
        <is>
          <t xml:space="preserve">move_rng!H18</t>
        </is>
      </c>
      <c r="D401" s="51" t="inlineStr">
        <is>
          <t xml:space="preserve">blank</t>
        </is>
      </c>
      <c r="E401" t="inlineStr">
        <is>
          <t xml:space="preserve">move_rng("2000002:10000003","↖",shape_tests!$Z$1)</t>
        </is>
      </c>
      <c r="F401" s="51" cm="1">
        <f t="array" ref="F401">_xlfn.LET(_xlpm.a,move_rng("2000002:10000003","↖"),_xlpm.b,move_rng("2000002:10000003","↖",shape_tests!$Z$1),_xlpm.sa,IFERROR(ROWS(_xlpm.a)&amp;"x"&amp;COLUMNS(_xlpm.a),"err"),_xlpm.sb,IFERROR(ROWS(_xlpm.b)&amp;"x"&amp;COLUMNS(_xlpm.b),"err"),IF(_xlpm.sa&lt;&gt;_xlpm.sb,"FAIL",IF(_xlpm.sa="err",IF(ERROR.TYPE(_xlpm.a)=ERROR.TYPE(_xlpm.b),"PASS","FAIL"),IF(AND(IFERROR(_xlpm.a=_xlpm.b,IFERROR(ERROR.TYPE(_xlpm.a)=ERROR.TYPE(_xlpm.b),FALSE))),"PASS","FAIL"))))</f>
        <v>0</v>
      </c>
    </row>
    <row r="402">
      <c r="A402">
        <v>397</v>
      </c>
      <c r="B402" s="55" t="inlineStr">
        <is>
          <t xml:space="preserve">move_rng</t>
        </is>
      </c>
      <c r="C402" t="inlineStr">
        <is>
          <t xml:space="preserve">move_rng!H20</t>
        </is>
      </c>
      <c r="D402" s="51" t="inlineStr">
        <is>
          <t xml:space="preserve">tocol</t>
        </is>
      </c>
      <c r="E402" t="inlineStr">
        <is>
          <t xml:space="preserve">move_rng(TOCOL(2000002),TOCOL("↘"))</t>
        </is>
      </c>
      <c r="F402" s="51" cm="1">
        <f t="array" ref="F402">_xlfn.LET(_xlpm.a,move_rng(2000002,"↘"),_xlpm.b,move_rng(_xlfn.TOCOL(2000002),_xlfn.TOCOL("↘")),_xlpm.sa,IFERROR(ROWS(_xlpm.a)&amp;"x"&amp;COLUMNS(_xlpm.a),"err"),_xlpm.sb,IFERROR(ROWS(_xlpm.b)&amp;"x"&amp;COLUMNS(_xlpm.b),"err"),IF(_xlpm.sa&lt;&gt;_xlpm.sb,"FAIL",IF(_xlpm.sa="err",IF(ERROR.TYPE(_xlpm.a)=ERROR.TYPE(_xlpm.b),"PASS","FAIL"),IF(AND(IFERROR(_xlpm.a=_xlpm.b,IFERROR(ERROR.TYPE(_xlpm.a)=ERROR.TYPE(_xlpm.b),FALSE))),"PASS","FAIL"))))</f>
        <v>0</v>
      </c>
    </row>
    <row r="403">
      <c r="A403">
        <v>398</v>
      </c>
      <c r="B403" s="55" t="inlineStr">
        <is>
          <t xml:space="preserve">move_rng</t>
        </is>
      </c>
      <c r="C403" t="inlineStr">
        <is>
          <t xml:space="preserve">move_rng!H20</t>
        </is>
      </c>
      <c r="D403" s="51" t="inlineStr">
        <is>
          <t xml:space="preserve">cellref</t>
        </is>
      </c>
      <c r="E403" t="inlineStr">
        <is>
          <t xml:space="preserve">move_rng(shape_tests!$H$403,shape_tests!$I$403)</t>
        </is>
      </c>
      <c r="F403" s="51" cm="1">
        <f t="array" ref="F403">_xlfn.LET(_xlpm.a,move_rng(2000002,"↘"),_xlpm.b,move_rng(shape_tests!$H$403,shape_tests!$I$403),_xlpm.sa,IFERROR(ROWS(_xlpm.a)&amp;"x"&amp;COLUMNS(_xlpm.a),"err"),_xlpm.sb,IFERROR(ROWS(_xlpm.b)&amp;"x"&amp;COLUMNS(_xlpm.b),"err"),IF(_xlpm.sa&lt;&gt;_xlpm.sb,"FAIL",IF(_xlpm.sa="err",IF(ERROR.TYPE(_xlpm.a)=ERROR.TYPE(_xlpm.b),"PASS","FAIL"),IF(AND(IFERROR(_xlpm.a=_xlpm.b,IFERROR(ERROR.TYPE(_xlpm.a)=ERROR.TYPE(_xlpm.b),FALSE))),"PASS","FAIL"))))</f>
        <v>0</v>
      </c>
      <c r="H403">
        <v>2000002.0</v>
      </c>
      <c r="I403" t="inlineStr">
        <is>
          <t xml:space="preserve">↘</t>
        </is>
      </c>
    </row>
    <row r="404">
      <c r="A404">
        <v>399</v>
      </c>
      <c r="B404" s="55" t="inlineStr">
        <is>
          <t xml:space="preserve">move_rng</t>
        </is>
      </c>
      <c r="C404" t="inlineStr">
        <is>
          <t xml:space="preserve">move_rng!H20</t>
        </is>
      </c>
      <c r="D404" s="51" t="inlineStr">
        <is>
          <t xml:space="preserve">textnum</t>
        </is>
      </c>
      <c r="E404" t="inlineStr">
        <is>
          <t xml:space="preserve">move_rng("2000002","↘")</t>
        </is>
      </c>
      <c r="F404" s="51" cm="1">
        <f t="array" ref="F404">_xlfn.LET(_xlpm.a,move_rng(2000002,"↘"),_xlpm.b,move_rng("2000002","↘"),_xlpm.sa,IFERROR(ROWS(_xlpm.a)&amp;"x"&amp;COLUMNS(_xlpm.a),"err"),_xlpm.sb,IFERROR(ROWS(_xlpm.b)&amp;"x"&amp;COLUMNS(_xlpm.b),"err"),IF(_xlpm.sa&lt;&gt;_xlpm.sb,"FAIL",IF(_xlpm.sa="err",IF(ERROR.TYPE(_xlpm.a)=ERROR.TYPE(_xlpm.b),"PASS","FAIL"),IF(AND(IFERROR(_xlpm.a=_xlpm.b,IFERROR(ERROR.TYPE(_xlpm.a)=ERROR.TYPE(_xlpm.b),FALSE))),"PASS","FAIL"))))</f>
        <v>0</v>
      </c>
    </row>
    <row r="405">
      <c r="A405">
        <v>400</v>
      </c>
      <c r="B405" s="55" t="inlineStr">
        <is>
          <t xml:space="preserve">move_rng</t>
        </is>
      </c>
      <c r="C405" t="inlineStr">
        <is>
          <t xml:space="preserve">move_rng!H20</t>
        </is>
      </c>
      <c r="D405" s="51" t="inlineStr">
        <is>
          <t xml:space="preserve">blank</t>
        </is>
      </c>
      <c r="E405" t="inlineStr">
        <is>
          <t xml:space="preserve">move_rng(2000002,"↘",shape_tests!$Z$1)</t>
        </is>
      </c>
      <c r="F405" s="51" cm="1">
        <f t="array" ref="F405">_xlfn.LET(_xlpm.a,move_rng(2000002,"↘"),_xlpm.b,move_rng(2000002,"↘",shape_tests!$Z$1),_xlpm.sa,IFERROR(ROWS(_xlpm.a)&amp;"x"&amp;COLUMNS(_xlpm.a),"err"),_xlpm.sb,IFERROR(ROWS(_xlpm.b)&amp;"x"&amp;COLUMNS(_xlpm.b),"err"),IF(_xlpm.sa&lt;&gt;_xlpm.sb,"FAIL",IF(_xlpm.sa="err",IF(ERROR.TYPE(_xlpm.a)=ERROR.TYPE(_xlpm.b),"PASS","FAIL"),IF(AND(IFERROR(_xlpm.a=_xlpm.b,IFERROR(ERROR.TYPE(_xlpm.a)=ERROR.TYPE(_xlpm.b),FALSE))),"PASS","FAIL"))))</f>
        <v>0</v>
      </c>
    </row>
    <row r="406">
      <c r="A406">
        <v>401</v>
      </c>
      <c r="B406" s="55" t="inlineStr">
        <is>
          <t xml:space="preserve">move_rng</t>
        </is>
      </c>
      <c r="C406" t="inlineStr">
        <is>
          <t xml:space="preserve">move_rng!H22</t>
        </is>
      </c>
      <c r="D406" s="51" t="inlineStr">
        <is>
          <t xml:space="preserve">tocol</t>
        </is>
      </c>
      <c r="E406" t="inlineStr">
        <is>
          <t xml:space="preserve">move_rng(TOCOL("D4"),TOCOL("UL"),TOCOL(2))</t>
        </is>
      </c>
      <c r="F406" s="51" cm="1">
        <f t="array" ref="F406">_xlfn.LET(_xlpm.a,move_rng("D4","UL",2),_xlpm.b,move_rng(_xlfn.TOCOL("D4"),_xlfn.TOCOL("UL"),_xlfn.TOCOL(2)),_xlpm.sa,IFERROR(ROWS(_xlpm.a)&amp;"x"&amp;COLUMNS(_xlpm.a),"err"),_xlpm.sb,IFERROR(ROWS(_xlpm.b)&amp;"x"&amp;COLUMNS(_xlpm.b),"err"),IF(_xlpm.sa&lt;&gt;_xlpm.sb,"FAIL",IF(_xlpm.sa="err",IF(ERROR.TYPE(_xlpm.a)=ERROR.TYPE(_xlpm.b),"PASS","FAIL"),IF(AND(IFERROR(_xlpm.a=_xlpm.b,IFERROR(ERROR.TYPE(_xlpm.a)=ERROR.TYPE(_xlpm.b),FALSE))),"PASS","FAIL"))))</f>
        <v>0</v>
      </c>
    </row>
    <row r="407">
      <c r="A407">
        <v>402</v>
      </c>
      <c r="B407" s="55" t="inlineStr">
        <is>
          <t xml:space="preserve">move_rng</t>
        </is>
      </c>
      <c r="C407" t="inlineStr">
        <is>
          <t xml:space="preserve">move_rng!H22</t>
        </is>
      </c>
      <c r="D407" s="51" t="inlineStr">
        <is>
          <t xml:space="preserve">cellref</t>
        </is>
      </c>
      <c r="E407" t="inlineStr">
        <is>
          <t xml:space="preserve">move_rng(shape_tests!$H$407,shape_tests!$I$407,shape_tests!$J$407)</t>
        </is>
      </c>
      <c r="F407" s="51" cm="1">
        <f t="array" ref="F407">_xlfn.LET(_xlpm.a,move_rng("D4","UL",2),_xlpm.b,move_rng(shape_tests!$H$407,shape_tests!$I$407,shape_tests!$J$407),_xlpm.sa,IFERROR(ROWS(_xlpm.a)&amp;"x"&amp;COLUMNS(_xlpm.a),"err"),_xlpm.sb,IFERROR(ROWS(_xlpm.b)&amp;"x"&amp;COLUMNS(_xlpm.b),"err"),IF(_xlpm.sa&lt;&gt;_xlpm.sb,"FAIL",IF(_xlpm.sa="err",IF(ERROR.TYPE(_xlpm.a)=ERROR.TYPE(_xlpm.b),"PASS","FAIL"),IF(AND(IFERROR(_xlpm.a=_xlpm.b,IFERROR(ERROR.TYPE(_xlpm.a)=ERROR.TYPE(_xlpm.b),FALSE))),"PASS","FAIL"))))</f>
        <v>0</v>
      </c>
      <c r="H407" t="inlineStr">
        <is>
          <t xml:space="preserve">D4</t>
        </is>
      </c>
      <c r="I407" t="inlineStr">
        <is>
          <t xml:space="preserve">UL</t>
        </is>
      </c>
      <c r="J407">
        <v>2.0</v>
      </c>
    </row>
    <row r="408">
      <c r="A408">
        <v>403</v>
      </c>
      <c r="B408" s="55" t="inlineStr">
        <is>
          <t xml:space="preserve">move_rng</t>
        </is>
      </c>
      <c r="C408" t="inlineStr">
        <is>
          <t xml:space="preserve">move_rng!H22</t>
        </is>
      </c>
      <c r="D408" s="51" t="inlineStr">
        <is>
          <t xml:space="preserve">textnum</t>
        </is>
      </c>
      <c r="E408" t="inlineStr">
        <is>
          <t xml:space="preserve">move_rng("D4","UL","2")</t>
        </is>
      </c>
      <c r="F408" s="51" cm="1">
        <f t="array" ref="F408">_xlfn.LET(_xlpm.a,move_rng("D4","UL",2),_xlpm.b,move_rng("D4","UL","2"),_xlpm.sa,IFERROR(ROWS(_xlpm.a)&amp;"x"&amp;COLUMNS(_xlpm.a),"err"),_xlpm.sb,IFERROR(ROWS(_xlpm.b)&amp;"x"&amp;COLUMNS(_xlpm.b),"err"),IF(_xlpm.sa&lt;&gt;_xlpm.sb,"FAIL",IF(_xlpm.sa="err",IF(ERROR.TYPE(_xlpm.a)=ERROR.TYPE(_xlpm.b),"PASS","FAIL"),IF(AND(IFERROR(_xlpm.a=_xlpm.b,IFERROR(ERROR.TYPE(_xlpm.a)=ERROR.TYPE(_xlpm.b),FALSE))),"PASS","FAIL"))))</f>
        <v>0</v>
      </c>
    </row>
    <row r="409">
      <c r="A409">
        <v>404</v>
      </c>
      <c r="B409" s="55" t="inlineStr">
        <is>
          <t xml:space="preserve">move_rng</t>
        </is>
      </c>
      <c r="C409" t="inlineStr">
        <is>
          <t xml:space="preserve">move_rng!H24</t>
        </is>
      </c>
      <c r="D409" s="51" t="inlineStr">
        <is>
          <t xml:space="preserve">tocol</t>
        </is>
      </c>
      <c r="E409" t="inlineStr">
        <is>
          <t xml:space="preserve">move_rng(TOCOL("B2"),TOCOL("→"),TOCOL(-1))</t>
        </is>
      </c>
      <c r="F409" s="51" cm="1">
        <f t="array" ref="F409">_xlfn.LET(_xlpm.a,move_rng("B2","→",-1),_xlpm.b,move_rng(_xlfn.TOCOL("B2"),_xlfn.TOCOL("→"),_xlfn.TOCOL(-1)),_xlpm.sa,IFERROR(ROWS(_xlpm.a)&amp;"x"&amp;COLUMNS(_xlpm.a),"err"),_xlpm.sb,IFERROR(ROWS(_xlpm.b)&amp;"x"&amp;COLUMNS(_xlpm.b),"err"),IF(_xlpm.sa&lt;&gt;_xlpm.sb,"FAIL",IF(_xlpm.sa="err",IF(ERROR.TYPE(_xlpm.a)=ERROR.TYPE(_xlpm.b),"PASS","FAIL"),IF(AND(IFERROR(_xlpm.a=_xlpm.b,IFERROR(ERROR.TYPE(_xlpm.a)=ERROR.TYPE(_xlpm.b),FALSE))),"PASS","FAIL"))))</f>
        <v>0</v>
      </c>
    </row>
    <row r="410">
      <c r="A410">
        <v>405</v>
      </c>
      <c r="B410" s="55" t="inlineStr">
        <is>
          <t xml:space="preserve">move_rng</t>
        </is>
      </c>
      <c r="C410" t="inlineStr">
        <is>
          <t xml:space="preserve">move_rng!H24</t>
        </is>
      </c>
      <c r="D410" s="51" t="inlineStr">
        <is>
          <t xml:space="preserve">cellref</t>
        </is>
      </c>
      <c r="E410" t="inlineStr">
        <is>
          <t xml:space="preserve">move_rng(shape_tests!$H$410,shape_tests!$I$410,shape_tests!$J$410)</t>
        </is>
      </c>
      <c r="F410" s="51" cm="1">
        <f t="array" ref="F410">_xlfn.LET(_xlpm.a,move_rng("B2","→",-1),_xlpm.b,move_rng(shape_tests!$H$410,shape_tests!$I$410,shape_tests!$J$410),_xlpm.sa,IFERROR(ROWS(_xlpm.a)&amp;"x"&amp;COLUMNS(_xlpm.a),"err"),_xlpm.sb,IFERROR(ROWS(_xlpm.b)&amp;"x"&amp;COLUMNS(_xlpm.b),"err"),IF(_xlpm.sa&lt;&gt;_xlpm.sb,"FAIL",IF(_xlpm.sa="err",IF(ERROR.TYPE(_xlpm.a)=ERROR.TYPE(_xlpm.b),"PASS","FAIL"),IF(AND(IFERROR(_xlpm.a=_xlpm.b,IFERROR(ERROR.TYPE(_xlpm.a)=ERROR.TYPE(_xlpm.b),FALSE))),"PASS","FAIL"))))</f>
        <v>0</v>
      </c>
      <c r="H410" t="inlineStr">
        <is>
          <t xml:space="preserve">B2</t>
        </is>
      </c>
      <c r="I410" t="inlineStr">
        <is>
          <t xml:space="preserve">→</t>
        </is>
      </c>
      <c r="J410">
        <v>-1.0</v>
      </c>
    </row>
    <row r="411">
      <c r="A411">
        <v>406</v>
      </c>
      <c r="B411" s="55" t="inlineStr">
        <is>
          <t xml:space="preserve">move_rng</t>
        </is>
      </c>
      <c r="C411" t="inlineStr">
        <is>
          <t xml:space="preserve">move_rng!H24</t>
        </is>
      </c>
      <c r="D411" s="51" t="inlineStr">
        <is>
          <t xml:space="preserve">textnum</t>
        </is>
      </c>
      <c r="E411" t="inlineStr">
        <is>
          <t xml:space="preserve">move_rng("B2","→","-1")</t>
        </is>
      </c>
      <c r="F411" s="51" cm="1">
        <f t="array" ref="F411">_xlfn.LET(_xlpm.a,move_rng("B2","→",-1),_xlpm.b,move_rng("B2","→","-1"),_xlpm.sa,IFERROR(ROWS(_xlpm.a)&amp;"x"&amp;COLUMNS(_xlpm.a),"err"),_xlpm.sb,IFERROR(ROWS(_xlpm.b)&amp;"x"&amp;COLUMNS(_xlpm.b),"err"),IF(_xlpm.sa&lt;&gt;_xlpm.sb,"FAIL",IF(_xlpm.sa="err",IF(ERROR.TYPE(_xlpm.a)=ERROR.TYPE(_xlpm.b),"PASS","FAIL"),IF(AND(IFERROR(_xlpm.a=_xlpm.b,IFERROR(ERROR.TYPE(_xlpm.a)=ERROR.TYPE(_xlpm.b),FALSE))),"PASS","FAIL"))))</f>
        <v>0</v>
      </c>
    </row>
    <row r="412">
      <c r="A412">
        <v>407</v>
      </c>
      <c r="B412" s="55" t="inlineStr">
        <is>
          <t xml:space="preserve">move_rng</t>
        </is>
      </c>
      <c r="C412" t="inlineStr">
        <is>
          <t xml:space="preserve">move_rng!H26</t>
        </is>
      </c>
      <c r="D412" s="51" t="inlineStr">
        <is>
          <t xml:space="preserve">tocol</t>
        </is>
      </c>
      <c r="E412" t="inlineStr">
        <is>
          <t xml:space="preserve">move_rng(D26,TOCOL("↖"))</t>
        </is>
      </c>
      <c r="F412" s="51" cm="1">
        <f t="array" ref="F412">_xlfn.LET(_xlpm.a,move_rng('move_rng'!D26,"↖"),_xlpm.b,move_rng('move_rng'!D26,_xlfn.TOCOL("↖")),_xlpm.sa,IFERROR(ROWS(_xlpm.a)&amp;"x"&amp;COLUMNS(_xlpm.a),"err"),_xlpm.sb,IFERROR(ROWS(_xlpm.b)&amp;"x"&amp;COLUMNS(_xlpm.b),"err"),IF(_xlpm.sa&lt;&gt;_xlpm.sb,"FAIL",IF(_xlpm.sa="err",IF(ERROR.TYPE(_xlpm.a)=ERROR.TYPE(_xlpm.b),"PASS","FAIL"),IF(AND(IFERROR(_xlpm.a=_xlpm.b,IFERROR(ERROR.TYPE(_xlpm.a)=ERROR.TYPE(_xlpm.b),FALSE))),"PASS","FAIL"))))</f>
        <v>0</v>
      </c>
    </row>
    <row r="413">
      <c r="A413">
        <v>408</v>
      </c>
      <c r="B413" s="55" t="inlineStr">
        <is>
          <t xml:space="preserve">move_rng</t>
        </is>
      </c>
      <c r="C413" t="inlineStr">
        <is>
          <t xml:space="preserve">move_rng!H26</t>
        </is>
      </c>
      <c r="D413" s="51" t="inlineStr">
        <is>
          <t xml:space="preserve">cellref</t>
        </is>
      </c>
      <c r="E413" t="inlineStr">
        <is>
          <t xml:space="preserve">move_rng(D26,shape_tests!$H$413)</t>
        </is>
      </c>
      <c r="F413" s="51" cm="1">
        <f t="array" ref="F413">_xlfn.LET(_xlpm.a,move_rng('move_rng'!D26,"↖"),_xlpm.b,move_rng('move_rng'!D26,shape_tests!$H$413),_xlpm.sa,IFERROR(ROWS(_xlpm.a)&amp;"x"&amp;COLUMNS(_xlpm.a),"err"),_xlpm.sb,IFERROR(ROWS(_xlpm.b)&amp;"x"&amp;COLUMNS(_xlpm.b),"err"),IF(_xlpm.sa&lt;&gt;_xlpm.sb,"FAIL",IF(_xlpm.sa="err",IF(ERROR.TYPE(_xlpm.a)=ERROR.TYPE(_xlpm.b),"PASS","FAIL"),IF(AND(IFERROR(_xlpm.a=_xlpm.b,IFERROR(ERROR.TYPE(_xlpm.a)=ERROR.TYPE(_xlpm.b),FALSE))),"PASS","FAIL"))))</f>
        <v>0</v>
      </c>
      <c r="H413" t="inlineStr">
        <is>
          <t xml:space="preserve">↖</t>
        </is>
      </c>
    </row>
    <row r="414">
      <c r="A414">
        <v>409</v>
      </c>
      <c r="B414" s="55" t="inlineStr">
        <is>
          <t xml:space="preserve">move_rng</t>
        </is>
      </c>
      <c r="C414" t="inlineStr">
        <is>
          <t xml:space="preserve">move_rng!H26</t>
        </is>
      </c>
      <c r="D414" s="51" t="inlineStr">
        <is>
          <t xml:space="preserve">blank</t>
        </is>
      </c>
      <c r="E414" t="inlineStr">
        <is>
          <t xml:space="preserve">move_rng(D26,"↖",shape_tests!$Z$1)</t>
        </is>
      </c>
      <c r="F414" s="51" cm="1">
        <f t="array" ref="F414">_xlfn.LET(_xlpm.a,move_rng('move_rng'!D26,"↖"),_xlpm.b,move_rng('move_rng'!D26,"↖",shape_tests!$Z$1),_xlpm.sa,IFERROR(ROWS(_xlpm.a)&amp;"x"&amp;COLUMNS(_xlpm.a),"err"),_xlpm.sb,IFERROR(ROWS(_xlpm.b)&amp;"x"&amp;COLUMNS(_xlpm.b),"err"),IF(_xlpm.sa&lt;&gt;_xlpm.sb,"FAIL",IF(_xlpm.sa="err",IF(ERROR.TYPE(_xlpm.a)=ERROR.TYPE(_xlpm.b),"PASS","FAIL"),IF(AND(IFERROR(_xlpm.a=_xlpm.b,IFERROR(ERROR.TYPE(_xlpm.a)=ERROR.TYPE(_xlpm.b),FALSE))),"PASS","FAIL"))))</f>
        <v>0</v>
      </c>
    </row>
    <row r="415">
      <c r="A415">
        <v>410</v>
      </c>
      <c r="B415" s="55" t="inlineStr">
        <is>
          <t xml:space="preserve">move_rng</t>
        </is>
      </c>
      <c r="C415" t="inlineStr">
        <is>
          <t xml:space="preserve">move_rng!H28</t>
        </is>
      </c>
      <c r="D415" s="51" t="inlineStr">
        <is>
          <t xml:space="preserve">tocol</t>
        </is>
      </c>
      <c r="E415" t="inlineStr">
        <is>
          <t xml:space="preserve">ERROR.TYPE(move_rng(TOCOL("B2"),TOCOL("x")))</t>
        </is>
      </c>
      <c r="F415" s="51" cm="1">
        <f t="array" ref="F415">_xlfn.LET(_xlpm.a,ERROR.TYPE(move_rng("B2","x")),_xlpm.b,ERROR.TYPE(move_rng(_xlfn.TOCOL("B2"),_xlfn.TOCOL("x"))),_xlpm.sa,IFERROR(ROWS(_xlpm.a)&amp;"x"&amp;COLUMNS(_xlpm.a),"err"),_xlpm.sb,IFERROR(ROWS(_xlpm.b)&amp;"x"&amp;COLUMNS(_xlpm.b),"err"),IF(_xlpm.sa&lt;&gt;_xlpm.sb,"FAIL",IF(_xlpm.sa="err",IF(ERROR.TYPE(_xlpm.a)=ERROR.TYPE(_xlpm.b),"PASS","FAIL"),IF(AND(IFERROR(_xlpm.a=_xlpm.b,IFERROR(ERROR.TYPE(_xlpm.a)=ERROR.TYPE(_xlpm.b),FALSE))),"PASS","FAIL"))))</f>
        <v>0</v>
      </c>
    </row>
    <row r="416">
      <c r="A416">
        <v>411</v>
      </c>
      <c r="B416" s="55" t="inlineStr">
        <is>
          <t xml:space="preserve">move_rng</t>
        </is>
      </c>
      <c r="C416" t="inlineStr">
        <is>
          <t xml:space="preserve">move_rng!H28</t>
        </is>
      </c>
      <c r="D416" s="51" t="inlineStr">
        <is>
          <t xml:space="preserve">cellref</t>
        </is>
      </c>
      <c r="E416" t="inlineStr">
        <is>
          <t xml:space="preserve">ERROR.TYPE(move_rng(shape_tests!$H$416,shape_tests!$I$416))</t>
        </is>
      </c>
      <c r="F416" s="51" cm="1">
        <f t="array" ref="F416">_xlfn.LET(_xlpm.a,ERROR.TYPE(move_rng("B2","x")),_xlpm.b,ERROR.TYPE(move_rng(shape_tests!$H$416,shape_tests!$I$416)),_xlpm.sa,IFERROR(ROWS(_xlpm.a)&amp;"x"&amp;COLUMNS(_xlpm.a),"err"),_xlpm.sb,IFERROR(ROWS(_xlpm.b)&amp;"x"&amp;COLUMNS(_xlpm.b),"err"),IF(_xlpm.sa&lt;&gt;_xlpm.sb,"FAIL",IF(_xlpm.sa="err",IF(ERROR.TYPE(_xlpm.a)=ERROR.TYPE(_xlpm.b),"PASS","FAIL"),IF(AND(IFERROR(_xlpm.a=_xlpm.b,IFERROR(ERROR.TYPE(_xlpm.a)=ERROR.TYPE(_xlpm.b),FALSE))),"PASS","FAIL"))))</f>
        <v>0</v>
      </c>
      <c r="H416" t="inlineStr">
        <is>
          <t xml:space="preserve">B2</t>
        </is>
      </c>
      <c r="I416" t="inlineStr">
        <is>
          <t xml:space="preserve">x</t>
        </is>
      </c>
    </row>
    <row r="417">
      <c r="A417">
        <v>412</v>
      </c>
      <c r="B417" s="55" t="inlineStr">
        <is>
          <t xml:space="preserve">move_rng</t>
        </is>
      </c>
      <c r="C417" t="inlineStr">
        <is>
          <t xml:space="preserve">move_rng!H28</t>
        </is>
      </c>
      <c r="D417" s="51" t="inlineStr">
        <is>
          <t xml:space="preserve">blank</t>
        </is>
      </c>
      <c r="E417" t="inlineStr">
        <is>
          <t xml:space="preserve">ERROR.TYPE(move_rng("B2","x",shape_tests!$Z$1))</t>
        </is>
      </c>
      <c r="F417" s="51" cm="1">
        <f t="array" ref="F417">_xlfn.LET(_xlpm.a,ERROR.TYPE(move_rng("B2","x")),_xlpm.b,ERROR.TYPE(move_rng("B2","x",shape_tests!$Z$1)),_xlpm.sa,IFERROR(ROWS(_xlpm.a)&amp;"x"&amp;COLUMNS(_xlpm.a),"err"),_xlpm.sb,IFERROR(ROWS(_xlpm.b)&amp;"x"&amp;COLUMNS(_xlpm.b),"err"),IF(_xlpm.sa&lt;&gt;_xlpm.sb,"FAIL",IF(_xlpm.sa="err",IF(ERROR.TYPE(_xlpm.a)=ERROR.TYPE(_xlpm.b),"PASS","FAIL"),IF(AND(IFERROR(_xlpm.a=_xlpm.b,IFERROR(ERROR.TYPE(_xlpm.a)=ERROR.TYPE(_xlpm.b),FALSE))),"PASS","FAIL"))))</f>
        <v>0</v>
      </c>
    </row>
    <row r="418">
      <c r="A418">
        <v>413</v>
      </c>
      <c r="B418" s="55" t="inlineStr">
        <is>
          <t xml:space="preserve">move_rng</t>
        </is>
      </c>
      <c r="C418" t="inlineStr">
        <is>
          <t xml:space="preserve">move_rng!H30</t>
        </is>
      </c>
      <c r="D418" s="51" t="inlineStr">
        <is>
          <t xml:space="preserve">tocol</t>
        </is>
      </c>
      <c r="E418" t="inlineStr">
        <is>
          <t xml:space="preserve">ERROR.TYPE(move_rng(TOCOL("B2"),TOCOL("→"),TOCOL(1.5)))</t>
        </is>
      </c>
      <c r="F418" s="51" cm="1">
        <f t="array" ref="F418">_xlfn.LET(_xlpm.a,ERROR.TYPE(move_rng("B2","→",1.5)),_xlpm.b,ERROR.TYPE(move_rng(_xlfn.TOCOL("B2"),_xlfn.TOCOL("→"),_xlfn.TOCOL(1.5))),_xlpm.sa,IFERROR(ROWS(_xlpm.a)&amp;"x"&amp;COLUMNS(_xlpm.a),"err"),_xlpm.sb,IFERROR(ROWS(_xlpm.b)&amp;"x"&amp;COLUMNS(_xlpm.b),"err"),IF(_xlpm.sa&lt;&gt;_xlpm.sb,"FAIL",IF(_xlpm.sa="err",IF(ERROR.TYPE(_xlpm.a)=ERROR.TYPE(_xlpm.b),"PASS","FAIL"),IF(AND(IFERROR(_xlpm.a=_xlpm.b,IFERROR(ERROR.TYPE(_xlpm.a)=ERROR.TYPE(_xlpm.b),FALSE))),"PASS","FAIL"))))</f>
        <v>0</v>
      </c>
    </row>
    <row r="419">
      <c r="A419">
        <v>414</v>
      </c>
      <c r="B419" s="55" t="inlineStr">
        <is>
          <t xml:space="preserve">move_rng</t>
        </is>
      </c>
      <c r="C419" t="inlineStr">
        <is>
          <t xml:space="preserve">move_rng!H30</t>
        </is>
      </c>
      <c r="D419" s="51" t="inlineStr">
        <is>
          <t xml:space="preserve">cellref</t>
        </is>
      </c>
      <c r="E419" t="inlineStr">
        <is>
          <t xml:space="preserve">ERROR.TYPE(move_rng(shape_tests!$H$419,shape_tests!$I$419,shape_tests!$J$419))</t>
        </is>
      </c>
      <c r="F419" s="51" cm="1">
        <f t="array" ref="F419">_xlfn.LET(_xlpm.a,ERROR.TYPE(move_rng("B2","→",1.5)),_xlpm.b,ERROR.TYPE(move_rng(shape_tests!$H$419,shape_tests!$I$419,shape_tests!$J$419)),_xlpm.sa,IFERROR(ROWS(_xlpm.a)&amp;"x"&amp;COLUMNS(_xlpm.a),"err"),_xlpm.sb,IFERROR(ROWS(_xlpm.b)&amp;"x"&amp;COLUMNS(_xlpm.b),"err"),IF(_xlpm.sa&lt;&gt;_xlpm.sb,"FAIL",IF(_xlpm.sa="err",IF(ERROR.TYPE(_xlpm.a)=ERROR.TYPE(_xlpm.b),"PASS","FAIL"),IF(AND(IFERROR(_xlpm.a=_xlpm.b,IFERROR(ERROR.TYPE(_xlpm.a)=ERROR.TYPE(_xlpm.b),FALSE))),"PASS","FAIL"))))</f>
        <v>0</v>
      </c>
      <c r="H419" t="inlineStr">
        <is>
          <t xml:space="preserve">B2</t>
        </is>
      </c>
      <c r="I419" t="inlineStr">
        <is>
          <t xml:space="preserve">→</t>
        </is>
      </c>
      <c r="J419">
        <v>1.5</v>
      </c>
    </row>
    <row r="420">
      <c r="A420">
        <v>415</v>
      </c>
      <c r="B420" s="55" t="inlineStr">
        <is>
          <t xml:space="preserve">move_rng</t>
        </is>
      </c>
      <c r="C420" t="inlineStr">
        <is>
          <t xml:space="preserve">move_rng!H30</t>
        </is>
      </c>
      <c r="D420" s="51" t="inlineStr">
        <is>
          <t xml:space="preserve">textnum</t>
        </is>
      </c>
      <c r="E420" t="inlineStr">
        <is>
          <t xml:space="preserve">ERROR.TYPE(move_rng("B2","→","1.5"))</t>
        </is>
      </c>
      <c r="F420" s="51" cm="1">
        <f t="array" ref="F420">_xlfn.LET(_xlpm.a,ERROR.TYPE(move_rng("B2","→",1.5)),_xlpm.b,ERROR.TYPE(move_rng("B2","→","1.5")),_xlpm.sa,IFERROR(ROWS(_xlpm.a)&amp;"x"&amp;COLUMNS(_xlpm.a),"err"),_xlpm.sb,IFERROR(ROWS(_xlpm.b)&amp;"x"&amp;COLUMNS(_xlpm.b),"err"),IF(_xlpm.sa&lt;&gt;_xlpm.sb,"FAIL",IF(_xlpm.sa="err",IF(ERROR.TYPE(_xlpm.a)=ERROR.TYPE(_xlpm.b),"PASS","FAIL"),IF(AND(IFERROR(_xlpm.a=_xlpm.b,IFERROR(ERROR.TYPE(_xlpm.a)=ERROR.TYPE(_xlpm.b),FALSE))),"PASS","FAIL"))))</f>
        <v>0</v>
      </c>
    </row>
    <row r="421">
      <c r="A421">
        <v>416</v>
      </c>
      <c r="B421" s="55" t="inlineStr">
        <is>
          <t xml:space="preserve">move_rng</t>
        </is>
      </c>
      <c r="C421" t="inlineStr">
        <is>
          <t xml:space="preserve">move_rng!H32</t>
        </is>
      </c>
      <c r="D421" s="51" t="inlineStr">
        <is>
          <t xml:space="preserve">tocol</t>
        </is>
      </c>
      <c r="E421" t="inlineStr">
        <is>
          <t xml:space="preserve">move_rng(Q33:R34,TOCOL("↖"))</t>
        </is>
      </c>
      <c r="F421" s="51" cm="1">
        <f t="array" ref="F421">_xlfn.LET(_xlpm.a,move_rng('move_rng'!Q33:R34,"↖"),_xlpm.b,move_rng('move_rng'!Q33:R34,_xlfn.TOCOL("↖")),_xlpm.sa,IFERROR(ROWS(_xlpm.a)&amp;"x"&amp;COLUMNS(_xlpm.a),"err"),_xlpm.sb,IFERROR(ROWS(_xlpm.b)&amp;"x"&amp;COLUMNS(_xlpm.b),"err"),IF(_xlpm.sa&lt;&gt;_xlpm.sb,"FAIL",IF(_xlpm.sa="err",IF(ERROR.TYPE(_xlpm.a)=ERROR.TYPE(_xlpm.b),"PASS","FAIL"),IF(AND(IFERROR(_xlpm.a=_xlpm.b,IFERROR(ERROR.TYPE(_xlpm.a)=ERROR.TYPE(_xlpm.b),FALSE))),"PASS","FAIL"))))</f>
        <v>0</v>
      </c>
    </row>
    <row r="422">
      <c r="A422">
        <v>417</v>
      </c>
      <c r="B422" s="55" t="inlineStr">
        <is>
          <t xml:space="preserve">move_rng</t>
        </is>
      </c>
      <c r="C422" t="inlineStr">
        <is>
          <t xml:space="preserve">move_rng!H32</t>
        </is>
      </c>
      <c r="D422" s="51" t="inlineStr">
        <is>
          <t xml:space="preserve">cellref</t>
        </is>
      </c>
      <c r="E422" t="inlineStr">
        <is>
          <t xml:space="preserve">move_rng(Q33:R34,shape_tests!$H$422)</t>
        </is>
      </c>
      <c r="F422" s="51" cm="1">
        <f t="array" ref="F422">_xlfn.LET(_xlpm.a,move_rng('move_rng'!Q33:R34,"↖"),_xlpm.b,move_rng('move_rng'!Q33:R34,shape_tests!$H$422),_xlpm.sa,IFERROR(ROWS(_xlpm.a)&amp;"x"&amp;COLUMNS(_xlpm.a),"err"),_xlpm.sb,IFERROR(ROWS(_xlpm.b)&amp;"x"&amp;COLUMNS(_xlpm.b),"err"),IF(_xlpm.sa&lt;&gt;_xlpm.sb,"FAIL",IF(_xlpm.sa="err",IF(ERROR.TYPE(_xlpm.a)=ERROR.TYPE(_xlpm.b),"PASS","FAIL"),IF(AND(IFERROR(_xlpm.a=_xlpm.b,IFERROR(ERROR.TYPE(_xlpm.a)=ERROR.TYPE(_xlpm.b),FALSE))),"PASS","FAIL"))))</f>
        <v>0</v>
      </c>
      <c r="H422" t="inlineStr">
        <is>
          <t xml:space="preserve">↖</t>
        </is>
      </c>
    </row>
    <row r="423">
      <c r="A423">
        <v>418</v>
      </c>
      <c r="B423" s="55" t="inlineStr">
        <is>
          <t xml:space="preserve">move_rng</t>
        </is>
      </c>
      <c r="C423" t="inlineStr">
        <is>
          <t xml:space="preserve">move_rng!H32</t>
        </is>
      </c>
      <c r="D423" s="51" t="inlineStr">
        <is>
          <t xml:space="preserve">blank</t>
        </is>
      </c>
      <c r="E423" t="inlineStr">
        <is>
          <t xml:space="preserve">move_rng(Q33:R34,"↖",shape_tests!$Z$1)</t>
        </is>
      </c>
      <c r="F423" s="51" cm="1">
        <f t="array" ref="F423">_xlfn.LET(_xlpm.a,move_rng('move_rng'!Q33:R34,"↖"),_xlpm.b,move_rng('move_rng'!Q33:R34,"↖",shape_tests!$Z$1),_xlpm.sa,IFERROR(ROWS(_xlpm.a)&amp;"x"&amp;COLUMNS(_xlpm.a),"err"),_xlpm.sb,IFERROR(ROWS(_xlpm.b)&amp;"x"&amp;COLUMNS(_xlpm.b),"err"),IF(_xlpm.sa&lt;&gt;_xlpm.sb,"FAIL",IF(_xlpm.sa="err",IF(ERROR.TYPE(_xlpm.a)=ERROR.TYPE(_xlpm.b),"PASS","FAIL"),IF(AND(IFERROR(_xlpm.a=_xlpm.b,IFERROR(ERROR.TYPE(_xlpm.a)=ERROR.TYPE(_xlpm.b),FALSE))),"PASS","FAIL"))))</f>
        <v>0</v>
      </c>
    </row>
    <row r="424">
      <c r="A424">
        <v>419</v>
      </c>
      <c r="B424" s="55" t="inlineStr">
        <is>
          <t xml:space="preserve">move_rng</t>
        </is>
      </c>
      <c r="C424" t="inlineStr">
        <is>
          <t xml:space="preserve">move_rng!H35</t>
        </is>
      </c>
      <c r="D424" s="51" t="inlineStr">
        <is>
          <t xml:space="preserve">tocol</t>
        </is>
      </c>
      <c r="E424" t="inlineStr">
        <is>
          <t xml:space="preserve">move_rng(A1,TOCOL("↑"))</t>
        </is>
      </c>
      <c r="F424" s="51" cm="1">
        <f t="array" ref="F424">_xlfn.LET(_xlpm.a,move_rng('move_rng'!A1,"↑"),_xlpm.b,move_rng('move_rng'!A1,_xlfn.TOCOL("↑")),_xlpm.sa,IFERROR(ROWS(_xlpm.a)&amp;"x"&amp;COLUMNS(_xlpm.a),"err"),_xlpm.sb,IFERROR(ROWS(_xlpm.b)&amp;"x"&amp;COLUMNS(_xlpm.b),"err"),IF(_xlpm.sa&lt;&gt;_xlpm.sb,"FAIL",IF(_xlpm.sa="err",IF(ERROR.TYPE(_xlpm.a)=ERROR.TYPE(_xlpm.b),"PASS","FAIL"),IF(AND(IFERROR(_xlpm.a=_xlpm.b,IFERROR(ERROR.TYPE(_xlpm.a)=ERROR.TYPE(_xlpm.b),FALSE))),"PASS","FAIL"))))</f>
        <v>0</v>
      </c>
    </row>
    <row r="425">
      <c r="A425">
        <v>420</v>
      </c>
      <c r="B425" s="55" t="inlineStr">
        <is>
          <t xml:space="preserve">move_rng</t>
        </is>
      </c>
      <c r="C425" t="inlineStr">
        <is>
          <t xml:space="preserve">move_rng!H35</t>
        </is>
      </c>
      <c r="D425" s="51" t="inlineStr">
        <is>
          <t xml:space="preserve">cellref</t>
        </is>
      </c>
      <c r="E425" t="inlineStr">
        <is>
          <t xml:space="preserve">move_rng(A1,shape_tests!$H$425)</t>
        </is>
      </c>
      <c r="F425" s="51" cm="1">
        <f t="array" ref="F425">_xlfn.LET(_xlpm.a,move_rng('move_rng'!A1,"↑"),_xlpm.b,move_rng('move_rng'!A1,shape_tests!$H$425),_xlpm.sa,IFERROR(ROWS(_xlpm.a)&amp;"x"&amp;COLUMNS(_xlpm.a),"err"),_xlpm.sb,IFERROR(ROWS(_xlpm.b)&amp;"x"&amp;COLUMNS(_xlpm.b),"err"),IF(_xlpm.sa&lt;&gt;_xlpm.sb,"FAIL",IF(_xlpm.sa="err",IF(ERROR.TYPE(_xlpm.a)=ERROR.TYPE(_xlpm.b),"PASS","FAIL"),IF(AND(IFERROR(_xlpm.a=_xlpm.b,IFERROR(ERROR.TYPE(_xlpm.a)=ERROR.TYPE(_xlpm.b),FALSE))),"PASS","FAIL"))))</f>
        <v>0</v>
      </c>
      <c r="H425" t="inlineStr">
        <is>
          <t xml:space="preserve">↑</t>
        </is>
      </c>
    </row>
    <row r="426">
      <c r="A426">
        <v>421</v>
      </c>
      <c r="B426" s="55" t="inlineStr">
        <is>
          <t xml:space="preserve">move_rng</t>
        </is>
      </c>
      <c r="C426" t="inlineStr">
        <is>
          <t xml:space="preserve">move_rng!H35</t>
        </is>
      </c>
      <c r="D426" s="51" t="inlineStr">
        <is>
          <t xml:space="preserve">blank</t>
        </is>
      </c>
      <c r="E426" t="inlineStr">
        <is>
          <t xml:space="preserve">move_rng(A1,"↑",shape_tests!$Z$1)</t>
        </is>
      </c>
      <c r="F426" s="51" cm="1">
        <f t="array" ref="F426">_xlfn.LET(_xlpm.a,move_rng('move_rng'!A1,"↑"),_xlpm.b,move_rng('move_rng'!A1,"↑",shape_tests!$Z$1),_xlpm.sa,IFERROR(ROWS(_xlpm.a)&amp;"x"&amp;COLUMNS(_xlpm.a),"err"),_xlpm.sb,IFERROR(ROWS(_xlpm.b)&amp;"x"&amp;COLUMNS(_xlpm.b),"err"),IF(_xlpm.sa&lt;&gt;_xlpm.sb,"FAIL",IF(_xlpm.sa="err",IF(ERROR.TYPE(_xlpm.a)=ERROR.TYPE(_xlpm.b),"PASS","FAIL"),IF(AND(IFERROR(_xlpm.a=_xlpm.b,IFERROR(ERROR.TYPE(_xlpm.a)=ERROR.TYPE(_xlpm.b),FALSE))),"PASS","FAIL"))))</f>
        <v>0</v>
      </c>
    </row>
    <row r="427">
      <c r="A427">
        <v>422</v>
      </c>
      <c r="B427" s="55" t="inlineStr">
        <is>
          <t xml:space="preserve">neighbors_count</t>
        </is>
      </c>
      <c r="C427" t="inlineStr">
        <is>
          <t xml:space="preserve">neighbors_count!M7</t>
        </is>
      </c>
      <c r="D427" s="51" t="inlineStr">
        <is>
          <t xml:space="preserve">tocol</t>
        </is>
      </c>
      <c r="E427" t="inlineStr">
        <is>
          <t xml:space="preserve">neighbors_count(D7:F9,TOCOL(1),TOCOL(1))</t>
        </is>
      </c>
      <c r="F427" s="51" cm="1">
        <f t="array" ref="F427">_xlfn.LET(_xlpm.a,neighbors_count('neighbors_count'!D7:F9,1,1),_xlpm.b,neighbors_count('neighbors_count'!D7:F9,_xlfn.TOCOL(1),_xlfn.TOCOL(1)),_xlpm.sa,IFERROR(ROWS(_xlpm.a)&amp;"x"&amp;COLUMNS(_xlpm.a),"err"),_xlpm.sb,IFERROR(ROWS(_xlpm.b)&amp;"x"&amp;COLUMNS(_xlpm.b),"err"),IF(_xlpm.sa&lt;&gt;_xlpm.sb,"FAIL",IF(_xlpm.sa="err",IF(ERROR.TYPE(_xlpm.a)=ERROR.TYPE(_xlpm.b),"PASS","FAIL"),IF(AND(IFERROR(_xlpm.a=_xlpm.b,IFERROR(ERROR.TYPE(_xlpm.a)=ERROR.TYPE(_xlpm.b),FALSE))),"PASS","FAIL"))))</f>
        <v>0</v>
      </c>
    </row>
    <row r="428">
      <c r="A428">
        <v>423</v>
      </c>
      <c r="B428" s="55" t="inlineStr">
        <is>
          <t xml:space="preserve">neighbors_count</t>
        </is>
      </c>
      <c r="C428" t="inlineStr">
        <is>
          <t xml:space="preserve">neighbors_count!M7</t>
        </is>
      </c>
      <c r="D428" s="51" t="inlineStr">
        <is>
          <t xml:space="preserve">cellref</t>
        </is>
      </c>
      <c r="E428" t="inlineStr">
        <is>
          <t xml:space="preserve">neighbors_count(D7:F9,shape_tests!$H$428,shape_tests!$I$428)</t>
        </is>
      </c>
      <c r="F428" s="51" cm="1">
        <f t="array" ref="F428">_xlfn.LET(_xlpm.a,neighbors_count('neighbors_count'!D7:F9,1,1),_xlpm.b,neighbors_count('neighbors_count'!D7:F9,shape_tests!$H$428,shape_tests!$I$428),_xlpm.sa,IFERROR(ROWS(_xlpm.a)&amp;"x"&amp;COLUMNS(_xlpm.a),"err"),_xlpm.sb,IFERROR(ROWS(_xlpm.b)&amp;"x"&amp;COLUMNS(_xlpm.b),"err"),IF(_xlpm.sa&lt;&gt;_xlpm.sb,"FAIL",IF(_xlpm.sa="err",IF(ERROR.TYPE(_xlpm.a)=ERROR.TYPE(_xlpm.b),"PASS","FAIL"),IF(AND(IFERROR(_xlpm.a=_xlpm.b,IFERROR(ERROR.TYPE(_xlpm.a)=ERROR.TYPE(_xlpm.b),FALSE))),"PASS","FAIL"))))</f>
        <v>0</v>
      </c>
      <c r="H428">
        <v>1.0</v>
      </c>
      <c r="I428">
        <v>1.0</v>
      </c>
    </row>
    <row r="429">
      <c r="A429">
        <v>424</v>
      </c>
      <c r="B429" s="55" t="inlineStr">
        <is>
          <t xml:space="preserve">neighbors_count</t>
        </is>
      </c>
      <c r="C429" t="inlineStr">
        <is>
          <t xml:space="preserve">neighbors_count!M7</t>
        </is>
      </c>
      <c r="D429" s="51" t="inlineStr">
        <is>
          <t xml:space="preserve">textnum</t>
        </is>
      </c>
      <c r="E429" t="inlineStr">
        <is>
          <t xml:space="preserve">neighbors_count(D7:F9,1,"1")</t>
        </is>
      </c>
      <c r="F429" s="51" cm="1">
        <f t="array" ref="F429">_xlfn.LET(_xlpm.a,neighbors_count('neighbors_count'!D7:F9,1,1),_xlpm.b,neighbors_count('neighbors_count'!D7:F9,1,"1"),_xlpm.sa,IFERROR(ROWS(_xlpm.a)&amp;"x"&amp;COLUMNS(_xlpm.a),"err"),_xlpm.sb,IFERROR(ROWS(_xlpm.b)&amp;"x"&amp;COLUMNS(_xlpm.b),"err"),IF(_xlpm.sa&lt;&gt;_xlpm.sb,"FAIL",IF(_xlpm.sa="err",IF(ERROR.TYPE(_xlpm.a)=ERROR.TYPE(_xlpm.b),"PASS","FAIL"),IF(AND(IFERROR(_xlpm.a=_xlpm.b,IFERROR(ERROR.TYPE(_xlpm.a)=ERROR.TYPE(_xlpm.b),FALSE))),"PASS","FAIL"))))</f>
        <v>0</v>
      </c>
    </row>
    <row r="430">
      <c r="A430">
        <v>425</v>
      </c>
      <c r="B430" s="55" t="inlineStr">
        <is>
          <t xml:space="preserve">neighbors_count</t>
        </is>
      </c>
      <c r="C430" t="inlineStr">
        <is>
          <t xml:space="preserve">neighbors_count!M7</t>
        </is>
      </c>
      <c r="D430" s="51" t="inlineStr">
        <is>
          <t xml:space="preserve">array</t>
        </is>
      </c>
      <c r="E430" t="inlineStr">
        <is>
          <t xml:space="preserve">neighbors_count(CHOOSEROWS(D7:F9,SEQUENCE(ROWS(D7:F9))),1,1)</t>
        </is>
      </c>
      <c r="F430" s="51" cm="1">
        <f t="array" ref="F430">_xlfn.LET(_xlpm.a,neighbors_count('neighbors_count'!D7:F9,1,1),_xlpm.b,neighbors_count(_xlfn.CHOOSEROWS('neighbors_count'!D7:F9,_xlfn.SEQUENCE(ROWS('neighbors_count'!D7:F9))),1,1),_xlpm.sa,IFERROR(ROWS(_xlpm.a)&amp;"x"&amp;COLUMNS(_xlpm.a),"err"),_xlpm.sb,IFERROR(ROWS(_xlpm.b)&amp;"x"&amp;COLUMNS(_xlpm.b),"err"),IF(_xlpm.sa&lt;&gt;_xlpm.sb,"FAIL",IF(_xlpm.sa="err",IF(ERROR.TYPE(_xlpm.a)=ERROR.TYPE(_xlpm.b),"PASS","FAIL"),IF(AND(IFERROR(_xlpm.a=_xlpm.b,IFERROR(ERROR.TYPE(_xlpm.a)=ERROR.TYPE(_xlpm.b),FALSE))),"PASS","FAIL"))))</f>
        <v>0</v>
      </c>
    </row>
    <row r="431">
      <c r="A431">
        <v>426</v>
      </c>
      <c r="B431" s="55" t="inlineStr">
        <is>
          <t xml:space="preserve">neighbors_count</t>
        </is>
      </c>
      <c r="C431" t="inlineStr">
        <is>
          <t xml:space="preserve">neighbors_count!M7</t>
        </is>
      </c>
      <c r="D431" s="51" t="inlineStr">
        <is>
          <t xml:space="preserve">blank</t>
        </is>
      </c>
      <c r="E431" t="inlineStr">
        <is>
          <t xml:space="preserve">neighbors_count(D7:F9,1,1,shape_tests!$Z$1,shape_tests!$Z$1)</t>
        </is>
      </c>
      <c r="F431" s="51" cm="1">
        <f t="array" ref="F431">_xlfn.LET(_xlpm.a,neighbors_count('neighbors_count'!D7:F9,1,1),_xlpm.b,neighbors_count('neighbors_count'!D7:F9,1,1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432">
      <c r="A432">
        <v>427</v>
      </c>
      <c r="B432" s="55" t="inlineStr">
        <is>
          <t xml:space="preserve">neighbors_count</t>
        </is>
      </c>
      <c r="C432" t="inlineStr">
        <is>
          <t xml:space="preserve">neighbors_count!M11</t>
        </is>
      </c>
      <c r="D432" s="51" t="inlineStr">
        <is>
          <t xml:space="preserve">tocol</t>
        </is>
      </c>
      <c r="E432" t="inlineStr">
        <is>
          <t xml:space="preserve">neighbors_count(D7:F9,TOCOL(1),TOCOL(1),,TOCOL(0))</t>
        </is>
      </c>
      <c r="F432" s="51" cm="1">
        <f t="array" ref="F432">_xlfn.LET(_xlpm.a,neighbors_count('neighbors_count'!D7:F9,1,1,,0),_xlpm.b,neighbors_count('neighbors_count'!D7:F9,_xlfn.TOCOL(1),_xlfn.TOCOL(1),,_xlfn.TOCOL(0)),_xlpm.sa,IFERROR(ROWS(_xlpm.a)&amp;"x"&amp;COLUMNS(_xlpm.a),"err"),_xlpm.sb,IFERROR(ROWS(_xlpm.b)&amp;"x"&amp;COLUMNS(_xlpm.b),"err"),IF(_xlpm.sa&lt;&gt;_xlpm.sb,"FAIL",IF(_xlpm.sa="err",IF(ERROR.TYPE(_xlpm.a)=ERROR.TYPE(_xlpm.b),"PASS","FAIL"),IF(AND(IFERROR(_xlpm.a=_xlpm.b,IFERROR(ERROR.TYPE(_xlpm.a)=ERROR.TYPE(_xlpm.b),FALSE))),"PASS","FAIL"))))</f>
        <v>0</v>
      </c>
    </row>
    <row r="433">
      <c r="A433">
        <v>428</v>
      </c>
      <c r="B433" s="55" t="inlineStr">
        <is>
          <t xml:space="preserve">neighbors_count</t>
        </is>
      </c>
      <c r="C433" t="inlineStr">
        <is>
          <t xml:space="preserve">neighbors_count!M11</t>
        </is>
      </c>
      <c r="D433" s="51" t="inlineStr">
        <is>
          <t xml:space="preserve">cellref</t>
        </is>
      </c>
      <c r="E433" t="inlineStr">
        <is>
          <t xml:space="preserve">neighbors_count(D7:F9,shape_tests!$H$433,shape_tests!$I$433,,shape_tests!$J$433)</t>
        </is>
      </c>
      <c r="F433" s="51" cm="1">
        <f t="array" ref="F433">_xlfn.LET(_xlpm.a,neighbors_count('neighbors_count'!D7:F9,1,1,,0),_xlpm.b,neighbors_count('neighbors_count'!D7:F9,shape_tests!$H$433,shape_tests!$I$433,,shape_tests!$J$433),_xlpm.sa,IFERROR(ROWS(_xlpm.a)&amp;"x"&amp;COLUMNS(_xlpm.a),"err"),_xlpm.sb,IFERROR(ROWS(_xlpm.b)&amp;"x"&amp;COLUMNS(_xlpm.b),"err"),IF(_xlpm.sa&lt;&gt;_xlpm.sb,"FAIL",IF(_xlpm.sa="err",IF(ERROR.TYPE(_xlpm.a)=ERROR.TYPE(_xlpm.b),"PASS","FAIL"),IF(AND(IFERROR(_xlpm.a=_xlpm.b,IFERROR(ERROR.TYPE(_xlpm.a)=ERROR.TYPE(_xlpm.b),FALSE))),"PASS","FAIL"))))</f>
        <v>0</v>
      </c>
      <c r="H433">
        <v>1.0</v>
      </c>
      <c r="I433">
        <v>1.0</v>
      </c>
      <c r="J433">
        <v>0.0</v>
      </c>
    </row>
    <row r="434">
      <c r="A434">
        <v>429</v>
      </c>
      <c r="B434" s="55" t="inlineStr">
        <is>
          <t xml:space="preserve">neighbors_count</t>
        </is>
      </c>
      <c r="C434" t="inlineStr">
        <is>
          <t xml:space="preserve">neighbors_count!M11</t>
        </is>
      </c>
      <c r="D434" s="51" t="inlineStr">
        <is>
          <t xml:space="preserve">textnum</t>
        </is>
      </c>
      <c r="E434" t="inlineStr">
        <is>
          <t xml:space="preserve">neighbors_count(D7:F9,1,"1",,"0")</t>
        </is>
      </c>
      <c r="F434" s="51" cm="1">
        <f t="array" ref="F434">_xlfn.LET(_xlpm.a,neighbors_count('neighbors_count'!D7:F9,1,1,,0),_xlpm.b,neighbors_count('neighbors_count'!D7:F9,1,"1",,"0"),_xlpm.sa,IFERROR(ROWS(_xlpm.a)&amp;"x"&amp;COLUMNS(_xlpm.a),"err"),_xlpm.sb,IFERROR(ROWS(_xlpm.b)&amp;"x"&amp;COLUMNS(_xlpm.b),"err"),IF(_xlpm.sa&lt;&gt;_xlpm.sb,"FAIL",IF(_xlpm.sa="err",IF(ERROR.TYPE(_xlpm.a)=ERROR.TYPE(_xlpm.b),"PASS","FAIL"),IF(AND(IFERROR(_xlpm.a=_xlpm.b,IFERROR(ERROR.TYPE(_xlpm.a)=ERROR.TYPE(_xlpm.b),FALSE))),"PASS","FAIL"))))</f>
        <v>0</v>
      </c>
    </row>
    <row r="435">
      <c r="A435">
        <v>430</v>
      </c>
      <c r="B435" s="55" t="inlineStr">
        <is>
          <t xml:space="preserve">neighbors_count</t>
        </is>
      </c>
      <c r="C435" t="inlineStr">
        <is>
          <t xml:space="preserve">neighbors_count!M11</t>
        </is>
      </c>
      <c r="D435" s="51" t="inlineStr">
        <is>
          <t xml:space="preserve">array</t>
        </is>
      </c>
      <c r="E435" t="inlineStr">
        <is>
          <t xml:space="preserve">neighbors_count(CHOOSEROWS(D7:F9,SEQUENCE(ROWS(D7:F9))),1,1,,0)</t>
        </is>
      </c>
      <c r="F435" s="51" cm="1">
        <f t="array" ref="F435">_xlfn.LET(_xlpm.a,neighbors_count('neighbors_count'!D7:F9,1,1,,0),_xlpm.b,neighbors_count(_xlfn.CHOOSEROWS('neighbors_count'!D7:F9,_xlfn.SEQUENCE(ROWS('neighbors_count'!D7:F9))),1,1,,0),_xlpm.sa,IFERROR(ROWS(_xlpm.a)&amp;"x"&amp;COLUMNS(_xlpm.a),"err"),_xlpm.sb,IFERROR(ROWS(_xlpm.b)&amp;"x"&amp;COLUMNS(_xlpm.b),"err"),IF(_xlpm.sa&lt;&gt;_xlpm.sb,"FAIL",IF(_xlpm.sa="err",IF(ERROR.TYPE(_xlpm.a)=ERROR.TYPE(_xlpm.b),"PASS","FAIL"),IF(AND(IFERROR(_xlpm.a=_xlpm.b,IFERROR(ERROR.TYPE(_xlpm.a)=ERROR.TYPE(_xlpm.b),FALSE))),"PASS","FAIL"))))</f>
        <v>0</v>
      </c>
    </row>
    <row r="436">
      <c r="A436">
        <v>431</v>
      </c>
      <c r="B436" s="55" t="inlineStr">
        <is>
          <t xml:space="preserve">neighbors_count</t>
        </is>
      </c>
      <c r="C436" t="inlineStr">
        <is>
          <t xml:space="preserve">neighbors_count!M11</t>
        </is>
      </c>
      <c r="D436" s="51" t="inlineStr">
        <is>
          <t xml:space="preserve">blank</t>
        </is>
      </c>
      <c r="E436" t="inlineStr">
        <is>
          <t xml:space="preserve">neighbors_count(D7:F9,1,1,shape_tests!$Z$1,0)</t>
        </is>
      </c>
      <c r="F436" s="51" cm="1">
        <f t="array" ref="F436">_xlfn.LET(_xlpm.a,neighbors_count('neighbors_count'!D7:F9,1,1,,0),_xlpm.b,neighbors_count('neighbors_count'!D7:F9,1,1,shape_tests!$Z$1,0),_xlpm.sa,IFERROR(ROWS(_xlpm.a)&amp;"x"&amp;COLUMNS(_xlpm.a),"err"),_xlpm.sb,IFERROR(ROWS(_xlpm.b)&amp;"x"&amp;COLUMNS(_xlpm.b),"err"),IF(_xlpm.sa&lt;&gt;_xlpm.sb,"FAIL",IF(_xlpm.sa="err",IF(ERROR.TYPE(_xlpm.a)=ERROR.TYPE(_xlpm.b),"PASS","FAIL"),IF(AND(IFERROR(_xlpm.a=_xlpm.b,IFERROR(ERROR.TYPE(_xlpm.a)=ERROR.TYPE(_xlpm.b),FALSE))),"PASS","FAIL"))))</f>
        <v>0</v>
      </c>
    </row>
    <row r="437">
      <c r="A437">
        <v>432</v>
      </c>
      <c r="B437" s="55" t="inlineStr">
        <is>
          <t xml:space="preserve">neighbors_count</t>
        </is>
      </c>
      <c r="C437" t="inlineStr">
        <is>
          <t xml:space="preserve">neighbors_count!M15</t>
        </is>
      </c>
      <c r="D437" s="51" t="inlineStr">
        <is>
          <t xml:space="preserve">tocol</t>
        </is>
      </c>
      <c r="E437" t="inlineStr">
        <is>
          <t xml:space="preserve">neighbors_count(D7:F9,TOCOL(1),TOCOL(1),TOCOL(0))</t>
        </is>
      </c>
      <c r="F437" s="51" cm="1">
        <f t="array" ref="F437">_xlfn.LET(_xlpm.a,neighbors_count('neighbors_count'!D7:F9,1,1,0),_xlpm.b,neighbors_count('neighbors_count'!D7:F9,_xlfn.TOCOL(1),_xlfn.TOCOL(1),_xlfn.TOCOL(0)),_xlpm.sa,IFERROR(ROWS(_xlpm.a)&amp;"x"&amp;COLUMNS(_xlpm.a),"err"),_xlpm.sb,IFERROR(ROWS(_xlpm.b)&amp;"x"&amp;COLUMNS(_xlpm.b),"err"),IF(_xlpm.sa&lt;&gt;_xlpm.sb,"FAIL",IF(_xlpm.sa="err",IF(ERROR.TYPE(_xlpm.a)=ERROR.TYPE(_xlpm.b),"PASS","FAIL"),IF(AND(IFERROR(_xlpm.a=_xlpm.b,IFERROR(ERROR.TYPE(_xlpm.a)=ERROR.TYPE(_xlpm.b),FALSE))),"PASS","FAIL"))))</f>
        <v>0</v>
      </c>
    </row>
    <row r="438">
      <c r="A438">
        <v>433</v>
      </c>
      <c r="B438" s="55" t="inlineStr">
        <is>
          <t xml:space="preserve">neighbors_count</t>
        </is>
      </c>
      <c r="C438" t="inlineStr">
        <is>
          <t xml:space="preserve">neighbors_count!M15</t>
        </is>
      </c>
      <c r="D438" s="51" t="inlineStr">
        <is>
          <t xml:space="preserve">cellref</t>
        </is>
      </c>
      <c r="E438" t="inlineStr">
        <is>
          <t xml:space="preserve">neighbors_count(D7:F9,shape_tests!$H$438,shape_tests!$I$438,shape_tests!$J$438)</t>
        </is>
      </c>
      <c r="F438" s="51" cm="1">
        <f t="array" ref="F438">_xlfn.LET(_xlpm.a,neighbors_count('neighbors_count'!D7:F9,1,1,0),_xlpm.b,neighbors_count('neighbors_count'!D7:F9,shape_tests!$H$438,shape_tests!$I$438,shape_tests!$J$438),_xlpm.sa,IFERROR(ROWS(_xlpm.a)&amp;"x"&amp;COLUMNS(_xlpm.a),"err"),_xlpm.sb,IFERROR(ROWS(_xlpm.b)&amp;"x"&amp;COLUMNS(_xlpm.b),"err"),IF(_xlpm.sa&lt;&gt;_xlpm.sb,"FAIL",IF(_xlpm.sa="err",IF(ERROR.TYPE(_xlpm.a)=ERROR.TYPE(_xlpm.b),"PASS","FAIL"),IF(AND(IFERROR(_xlpm.a=_xlpm.b,IFERROR(ERROR.TYPE(_xlpm.a)=ERROR.TYPE(_xlpm.b),FALSE))),"PASS","FAIL"))))</f>
        <v>0</v>
      </c>
      <c r="H438">
        <v>1.0</v>
      </c>
      <c r="I438">
        <v>1.0</v>
      </c>
      <c r="J438">
        <v>0.0</v>
      </c>
    </row>
    <row r="439">
      <c r="A439">
        <v>434</v>
      </c>
      <c r="B439" s="55" t="inlineStr">
        <is>
          <t xml:space="preserve">neighbors_count</t>
        </is>
      </c>
      <c r="C439" t="inlineStr">
        <is>
          <t xml:space="preserve">neighbors_count!M15</t>
        </is>
      </c>
      <c r="D439" s="51" t="inlineStr">
        <is>
          <t xml:space="preserve">textnum</t>
        </is>
      </c>
      <c r="E439" t="inlineStr">
        <is>
          <t xml:space="preserve">neighbors_count(D7:F9,1,"1","0")</t>
        </is>
      </c>
      <c r="F439" s="51" cm="1">
        <f t="array" ref="F439">_xlfn.LET(_xlpm.a,neighbors_count('neighbors_count'!D7:F9,1,1,0),_xlpm.b,neighbors_count('neighbors_count'!D7:F9,1,"1","0"),_xlpm.sa,IFERROR(ROWS(_xlpm.a)&amp;"x"&amp;COLUMNS(_xlpm.a),"err"),_xlpm.sb,IFERROR(ROWS(_xlpm.b)&amp;"x"&amp;COLUMNS(_xlpm.b),"err"),IF(_xlpm.sa&lt;&gt;_xlpm.sb,"FAIL",IF(_xlpm.sa="err",IF(ERROR.TYPE(_xlpm.a)=ERROR.TYPE(_xlpm.b),"PASS","FAIL"),IF(AND(IFERROR(_xlpm.a=_xlpm.b,IFERROR(ERROR.TYPE(_xlpm.a)=ERROR.TYPE(_xlpm.b),FALSE))),"PASS","FAIL"))))</f>
        <v>0</v>
      </c>
    </row>
    <row r="440">
      <c r="A440">
        <v>435</v>
      </c>
      <c r="B440" s="55" t="inlineStr">
        <is>
          <t xml:space="preserve">neighbors_count</t>
        </is>
      </c>
      <c r="C440" t="inlineStr">
        <is>
          <t xml:space="preserve">neighbors_count!M15</t>
        </is>
      </c>
      <c r="D440" s="51" t="inlineStr">
        <is>
          <t xml:space="preserve">array</t>
        </is>
      </c>
      <c r="E440" t="inlineStr">
        <is>
          <t xml:space="preserve">neighbors_count(CHOOSEROWS(D7:F9,SEQUENCE(ROWS(D7:F9))),1,1,0)</t>
        </is>
      </c>
      <c r="F440" s="51" cm="1">
        <f t="array" ref="F440">_xlfn.LET(_xlpm.a,neighbors_count('neighbors_count'!D7:F9,1,1,0),_xlpm.b,neighbors_count(_xlfn.CHOOSEROWS('neighbors_count'!D7:F9,_xlfn.SEQUENCE(ROWS('neighbors_count'!D7:F9))),1,1,0),_xlpm.sa,IFERROR(ROWS(_xlpm.a)&amp;"x"&amp;COLUMNS(_xlpm.a),"err"),_xlpm.sb,IFERROR(ROWS(_xlpm.b)&amp;"x"&amp;COLUMNS(_xlpm.b),"err"),IF(_xlpm.sa&lt;&gt;_xlpm.sb,"FAIL",IF(_xlpm.sa="err",IF(ERROR.TYPE(_xlpm.a)=ERROR.TYPE(_xlpm.b),"PASS","FAIL"),IF(AND(IFERROR(_xlpm.a=_xlpm.b,IFERROR(ERROR.TYPE(_xlpm.a)=ERROR.TYPE(_xlpm.b),FALSE))),"PASS","FAIL"))))</f>
        <v>0</v>
      </c>
    </row>
    <row r="441">
      <c r="A441">
        <v>436</v>
      </c>
      <c r="B441" s="55" t="inlineStr">
        <is>
          <t xml:space="preserve">neighbors_count</t>
        </is>
      </c>
      <c r="C441" t="inlineStr">
        <is>
          <t xml:space="preserve">neighbors_count!M15</t>
        </is>
      </c>
      <c r="D441" s="51" t="inlineStr">
        <is>
          <t xml:space="preserve">blank</t>
        </is>
      </c>
      <c r="E441" t="inlineStr">
        <is>
          <t xml:space="preserve">neighbors_count(D7:F9,1,1,0,shape_tests!$Z$1)</t>
        </is>
      </c>
      <c r="F441" s="51" cm="1">
        <f t="array" ref="F441">_xlfn.LET(_xlpm.a,neighbors_count('neighbors_count'!D7:F9,1,1,0),_xlpm.b,neighbors_count('neighbors_count'!D7:F9,1,1,0,shape_tests!$Z$1),_xlpm.sa,IFERROR(ROWS(_xlpm.a)&amp;"x"&amp;COLUMNS(_xlpm.a),"err"),_xlpm.sb,IFERROR(ROWS(_xlpm.b)&amp;"x"&amp;COLUMNS(_xlpm.b),"err"),IF(_xlpm.sa&lt;&gt;_xlpm.sb,"FAIL",IF(_xlpm.sa="err",IF(ERROR.TYPE(_xlpm.a)=ERROR.TYPE(_xlpm.b),"PASS","FAIL"),IF(AND(IFERROR(_xlpm.a=_xlpm.b,IFERROR(ERROR.TYPE(_xlpm.a)=ERROR.TYPE(_xlpm.b),FALSE))),"PASS","FAIL"))))</f>
        <v>0</v>
      </c>
    </row>
    <row r="442">
      <c r="A442">
        <v>437</v>
      </c>
      <c r="B442" s="55" t="inlineStr">
        <is>
          <t xml:space="preserve">neighbors_list</t>
        </is>
      </c>
      <c r="C442" t="inlineStr">
        <is>
          <t xml:space="preserve">neighbors_list!J6</t>
        </is>
      </c>
      <c r="D442" s="51" t="inlineStr">
        <is>
          <t xml:space="preserve">tocol</t>
        </is>
      </c>
      <c r="E442" t="inlineStr">
        <is>
          <t xml:space="preserve">neighbors_list(TOCOL(D6),,,TOCOL(F6))</t>
        </is>
      </c>
      <c r="F442" s="51" cm="1">
        <f t="array" ref="F442">_xlfn.LET(_xlpm.a,neighbors_list('neighbors_list'!D6,,,'neighbors_list'!F6),_xlpm.b,neighbors_list(_xlfn.TOCOL('neighbors_list'!D6),,,_xlfn.TOCOL('neighbors_list'!F6)),_xlpm.sa,IFERROR(ROWS(_xlpm.a)&amp;"x"&amp;COLUMNS(_xlpm.a),"err"),_xlpm.sb,IFERROR(ROWS(_xlpm.b)&amp;"x"&amp;COLUMNS(_xlpm.b),"err"),IF(_xlpm.sa&lt;&gt;_xlpm.sb,"FAIL",IF(_xlpm.sa="err",IF(ERROR.TYPE(_xlpm.a)=ERROR.TYPE(_xlpm.b),"PASS","FAIL"),IF(AND(IFERROR(_xlpm.a=_xlpm.b,IFERROR(ERROR.TYPE(_xlpm.a)=ERROR.TYPE(_xlpm.b),FALSE))),"PASS","FAIL"))))</f>
        <v>0</v>
      </c>
    </row>
    <row r="443">
      <c r="A443">
        <v>438</v>
      </c>
      <c r="B443" s="55" t="inlineStr">
        <is>
          <t xml:space="preserve">neighbors_list</t>
        </is>
      </c>
      <c r="C443" t="inlineStr">
        <is>
          <t xml:space="preserve">neighbors_list!J6</t>
        </is>
      </c>
      <c r="D443" s="51" t="inlineStr">
        <is>
          <t xml:space="preserve">textnum</t>
        </is>
      </c>
      <c r="E443" t="inlineStr">
        <is>
          <t xml:space="preserve">neighbors_list(D6,,,(F6&amp;""))</t>
        </is>
      </c>
      <c r="F443" s="51" cm="1">
        <f t="array" ref="F443">_xlfn.LET(_xlpm.a,neighbors_list('neighbors_list'!D6,,,'neighbors_list'!F6),_xlpm.b,neighbors_list('neighbors_list'!D6,,,('neighbors_list'!F6&amp;"")),_xlpm.sa,IFERROR(ROWS(_xlpm.a)&amp;"x"&amp;COLUMNS(_xlpm.a),"err"),_xlpm.sb,IFERROR(ROWS(_xlpm.b)&amp;"x"&amp;COLUMNS(_xlpm.b),"err"),IF(_xlpm.sa&lt;&gt;_xlpm.sb,"FAIL",IF(_xlpm.sa="err",IF(ERROR.TYPE(_xlpm.a)=ERROR.TYPE(_xlpm.b),"PASS","FAIL"),IF(AND(IFERROR(_xlpm.a=_xlpm.b,IFERROR(ERROR.TYPE(_xlpm.a)=ERROR.TYPE(_xlpm.b),FALSE))),"PASS","FAIL"))))</f>
        <v>0</v>
      </c>
    </row>
    <row r="444">
      <c r="A444">
        <v>439</v>
      </c>
      <c r="B444" s="55" t="inlineStr">
        <is>
          <t xml:space="preserve">neighbors_list</t>
        </is>
      </c>
      <c r="C444" t="inlineStr">
        <is>
          <t xml:space="preserve">neighbors_list!J6</t>
        </is>
      </c>
      <c r="D444" s="51" t="inlineStr">
        <is>
          <t xml:space="preserve">blank</t>
        </is>
      </c>
      <c r="E444" t="inlineStr">
        <is>
          <t xml:space="preserve">neighbors_list(D6,shape_tests!$Z$1,shape_tests!$Z$1,F6)</t>
        </is>
      </c>
      <c r="F444" s="51" cm="1">
        <f t="array" ref="F444">_xlfn.LET(_xlpm.a,neighbors_list('neighbors_list'!D6,,,'neighbors_list'!F6),_xlpm.b,neighbors_list('neighbors_list'!D6,shape_tests!$Z$1,shape_tests!$Z$1,'neighbors_list'!F6),_xlpm.sa,IFERROR(ROWS(_xlpm.a)&amp;"x"&amp;COLUMNS(_xlpm.a),"err"),_xlpm.sb,IFERROR(ROWS(_xlpm.b)&amp;"x"&amp;COLUMNS(_xlpm.b),"err"),IF(_xlpm.sa&lt;&gt;_xlpm.sb,"FAIL",IF(_xlpm.sa="err",IF(ERROR.TYPE(_xlpm.a)=ERROR.TYPE(_xlpm.b),"PASS","FAIL"),IF(AND(IFERROR(_xlpm.a=_xlpm.b,IFERROR(ERROR.TYPE(_xlpm.a)=ERROR.TYPE(_xlpm.b),FALSE))),"PASS","FAIL"))))</f>
        <v>0</v>
      </c>
    </row>
    <row r="445">
      <c r="A445">
        <v>440</v>
      </c>
      <c r="B445" s="55" t="inlineStr">
        <is>
          <t xml:space="preserve">neighbors_list</t>
        </is>
      </c>
      <c r="C445" t="inlineStr">
        <is>
          <t xml:space="preserve">neighbors_list!J11</t>
        </is>
      </c>
      <c r="D445" s="51" t="inlineStr">
        <is>
          <t xml:space="preserve">tocol</t>
        </is>
      </c>
      <c r="E445" t="inlineStr">
        <is>
          <t xml:space="preserve">neighbors_list(TOCOL(D11))</t>
        </is>
      </c>
      <c r="F445" s="51" cm="1">
        <f t="array" ref="F445">_xlfn.LET(_xlpm.a,neighbors_list('neighbors_list'!D11),_xlpm.b,neighbors_list(_xlfn.TOCOL('neighbors_list'!D11)),_xlpm.sa,IFERROR(ROWS(_xlpm.a)&amp;"x"&amp;COLUMNS(_xlpm.a),"err"),_xlpm.sb,IFERROR(ROWS(_xlpm.b)&amp;"x"&amp;COLUMNS(_xlpm.b),"err"),IF(_xlpm.sa&lt;&gt;_xlpm.sb,"FAIL",IF(_xlpm.sa="err",IF(ERROR.TYPE(_xlpm.a)=ERROR.TYPE(_xlpm.b),"PASS","FAIL"),IF(AND(IFERROR(_xlpm.a=_xlpm.b,IFERROR(ERROR.TYPE(_xlpm.a)=ERROR.TYPE(_xlpm.b),FALSE))),"PASS","FAIL"))))</f>
        <v>0</v>
      </c>
    </row>
    <row r="446">
      <c r="A446">
        <v>441</v>
      </c>
      <c r="B446" s="55" t="inlineStr">
        <is>
          <t xml:space="preserve">neighbors_list</t>
        </is>
      </c>
      <c r="C446" t="inlineStr">
        <is>
          <t xml:space="preserve">neighbors_list!J11</t>
        </is>
      </c>
      <c r="D446" s="51" t="inlineStr">
        <is>
          <t xml:space="preserve">blank</t>
        </is>
      </c>
      <c r="E446" t="inlineStr">
        <is>
          <t xml:space="preserve">neighbors_list(D11,shape_tests!$Z$1,shape_tests!$Z$1,shape_tests!$Z$1)</t>
        </is>
      </c>
      <c r="F446" s="51" cm="1">
        <f t="array" ref="F446">_xlfn.LET(_xlpm.a,neighbors_list('neighbors_list'!D11),_xlpm.b,neighbors_list('neighbors_list'!D11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447">
      <c r="A447">
        <v>442</v>
      </c>
      <c r="B447" s="55" t="inlineStr">
        <is>
          <t xml:space="preserve">neighbors_list</t>
        </is>
      </c>
      <c r="C447" t="inlineStr">
        <is>
          <t xml:space="preserve">neighbors_list!J20</t>
        </is>
      </c>
      <c r="D447" s="51" t="inlineStr">
        <is>
          <t xml:space="preserve">tocol</t>
        </is>
      </c>
      <c r="E447" t="inlineStr">
        <is>
          <t xml:space="preserve">neighbors_list(TOCOL(D20))</t>
        </is>
      </c>
      <c r="F447" s="51" cm="1">
        <f t="array" ref="F447">_xlfn.LET(_xlpm.a,neighbors_list('neighbors_list'!D20),_xlpm.b,neighbors_list(_xlfn.TOCOL('neighbors_list'!D20)),_xlpm.sa,IFERROR(ROWS(_xlpm.a)&amp;"x"&amp;COLUMNS(_xlpm.a),"err"),_xlpm.sb,IFERROR(ROWS(_xlpm.b)&amp;"x"&amp;COLUMNS(_xlpm.b),"err"),IF(_xlpm.sa&lt;&gt;_xlpm.sb,"FAIL",IF(_xlpm.sa="err",IF(ERROR.TYPE(_xlpm.a)=ERROR.TYPE(_xlpm.b),"PASS","FAIL"),IF(AND(IFERROR(_xlpm.a=_xlpm.b,IFERROR(ERROR.TYPE(_xlpm.a)=ERROR.TYPE(_xlpm.b),FALSE))),"PASS","FAIL"))))</f>
        <v>0</v>
      </c>
    </row>
    <row r="448">
      <c r="A448">
        <v>443</v>
      </c>
      <c r="B448" s="55" t="inlineStr">
        <is>
          <t xml:space="preserve">neighbors_list</t>
        </is>
      </c>
      <c r="C448" t="inlineStr">
        <is>
          <t xml:space="preserve">neighbors_list!J20</t>
        </is>
      </c>
      <c r="D448" s="51" t="inlineStr">
        <is>
          <t xml:space="preserve">textnum</t>
        </is>
      </c>
      <c r="E448" t="inlineStr">
        <is>
          <t xml:space="preserve">neighbors_list((D20&amp;""))</t>
        </is>
      </c>
      <c r="F448" s="51" cm="1">
        <f t="array" ref="F448">_xlfn.LET(_xlpm.a,neighbors_list('neighbors_list'!D20),_xlpm.b,neighbors_list(('neighbors_list'!D20&amp;"")),_xlpm.sa,IFERROR(ROWS(_xlpm.a)&amp;"x"&amp;COLUMNS(_xlpm.a),"err"),_xlpm.sb,IFERROR(ROWS(_xlpm.b)&amp;"x"&amp;COLUMNS(_xlpm.b),"err"),IF(_xlpm.sa&lt;&gt;_xlpm.sb,"FAIL",IF(_xlpm.sa="err",IF(ERROR.TYPE(_xlpm.a)=ERROR.TYPE(_xlpm.b),"PASS","FAIL"),IF(AND(IFERROR(_xlpm.a=_xlpm.b,IFERROR(ERROR.TYPE(_xlpm.a)=ERROR.TYPE(_xlpm.b),FALSE))),"PASS","FAIL"))))</f>
        <v>0</v>
      </c>
    </row>
    <row r="449">
      <c r="A449">
        <v>444</v>
      </c>
      <c r="B449" s="55" t="inlineStr">
        <is>
          <t xml:space="preserve">neighbors_list</t>
        </is>
      </c>
      <c r="C449" t="inlineStr">
        <is>
          <t xml:space="preserve">neighbors_list!J20</t>
        </is>
      </c>
      <c r="D449" s="51" t="inlineStr">
        <is>
          <t xml:space="preserve">blank</t>
        </is>
      </c>
      <c r="E449" t="inlineStr">
        <is>
          <t xml:space="preserve">neighbors_list(D20,shape_tests!$Z$1,shape_tests!$Z$1,shape_tests!$Z$1)</t>
        </is>
      </c>
      <c r="F449" s="51" cm="1">
        <f t="array" ref="F449">_xlfn.LET(_xlpm.a,neighbors_list('neighbors_list'!D20),_xlpm.b,neighbors_list('neighbors_list'!D20,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450">
      <c r="A450">
        <v>445</v>
      </c>
      <c r="B450" s="55" t="inlineStr">
        <is>
          <t xml:space="preserve">neighbors_list</t>
        </is>
      </c>
      <c r="C450" t="inlineStr">
        <is>
          <t xml:space="preserve">neighbors_list!J29</t>
        </is>
      </c>
      <c r="D450" s="51" t="inlineStr">
        <is>
          <t xml:space="preserve">tocol</t>
        </is>
      </c>
      <c r="E450" t="inlineStr">
        <is>
          <t xml:space="preserve">neighbors_list(TOCOL(D29),,,TOCOL(F29))</t>
        </is>
      </c>
      <c r="F450" s="51" cm="1">
        <f t="array" ref="F450">_xlfn.LET(_xlpm.a,neighbors_list('neighbors_list'!D29,,,'neighbors_list'!F29),_xlpm.b,neighbors_list(_xlfn.TOCOL('neighbors_list'!D29),,,_xlfn.TOCOL('neighbors_list'!F29)),_xlpm.sa,IFERROR(ROWS(_xlpm.a)&amp;"x"&amp;COLUMNS(_xlpm.a),"err"),_xlpm.sb,IFERROR(ROWS(_xlpm.b)&amp;"x"&amp;COLUMNS(_xlpm.b),"err"),IF(_xlpm.sa&lt;&gt;_xlpm.sb,"FAIL",IF(_xlpm.sa="err",IF(ERROR.TYPE(_xlpm.a)=ERROR.TYPE(_xlpm.b),"PASS","FAIL"),IF(AND(IFERROR(_xlpm.a=_xlpm.b,IFERROR(ERROR.TYPE(_xlpm.a)=ERROR.TYPE(_xlpm.b),FALSE))),"PASS","FAIL"))))</f>
        <v>0</v>
      </c>
    </row>
    <row r="451">
      <c r="A451">
        <v>446</v>
      </c>
      <c r="B451" s="55" t="inlineStr">
        <is>
          <t xml:space="preserve">neighbors_list</t>
        </is>
      </c>
      <c r="C451" t="inlineStr">
        <is>
          <t xml:space="preserve">neighbors_list!J29</t>
        </is>
      </c>
      <c r="D451" s="51" t="inlineStr">
        <is>
          <t xml:space="preserve">textnum</t>
        </is>
      </c>
      <c r="E451" t="inlineStr">
        <is>
          <t xml:space="preserve">neighbors_list((D29&amp;""),,,(F29&amp;""))</t>
        </is>
      </c>
      <c r="F451" s="51" cm="1">
        <f t="array" ref="F451">_xlfn.LET(_xlpm.a,neighbors_list('neighbors_list'!D29,,,'neighbors_list'!F29),_xlpm.b,neighbors_list(('neighbors_list'!D29&amp;""),,,('neighbors_list'!F29&amp;"")),_xlpm.sa,IFERROR(ROWS(_xlpm.a)&amp;"x"&amp;COLUMNS(_xlpm.a),"err"),_xlpm.sb,IFERROR(ROWS(_xlpm.b)&amp;"x"&amp;COLUMNS(_xlpm.b),"err"),IF(_xlpm.sa&lt;&gt;_xlpm.sb,"FAIL",IF(_xlpm.sa="err",IF(ERROR.TYPE(_xlpm.a)=ERROR.TYPE(_xlpm.b),"PASS","FAIL"),IF(AND(IFERROR(_xlpm.a=_xlpm.b,IFERROR(ERROR.TYPE(_xlpm.a)=ERROR.TYPE(_xlpm.b),FALSE))),"PASS","FAIL"))))</f>
        <v>0</v>
      </c>
    </row>
    <row r="452">
      <c r="A452">
        <v>447</v>
      </c>
      <c r="B452" s="55" t="inlineStr">
        <is>
          <t xml:space="preserve">neighbors_list</t>
        </is>
      </c>
      <c r="C452" t="inlineStr">
        <is>
          <t xml:space="preserve">neighbors_list!J29</t>
        </is>
      </c>
      <c r="D452" s="51" t="inlineStr">
        <is>
          <t xml:space="preserve">blank</t>
        </is>
      </c>
      <c r="E452" t="inlineStr">
        <is>
          <t xml:space="preserve">neighbors_list(D29,shape_tests!$Z$1,shape_tests!$Z$1,F29)</t>
        </is>
      </c>
      <c r="F452" s="51" cm="1">
        <f t="array" ref="F452">_xlfn.LET(_xlpm.a,neighbors_list('neighbors_list'!D29,,,'neighbors_list'!F29),_xlpm.b,neighbors_list('neighbors_list'!D29,shape_tests!$Z$1,shape_tests!$Z$1,'neighbors_list'!F29),_xlpm.sa,IFERROR(ROWS(_xlpm.a)&amp;"x"&amp;COLUMNS(_xlpm.a),"err"),_xlpm.sb,IFERROR(ROWS(_xlpm.b)&amp;"x"&amp;COLUMNS(_xlpm.b),"err"),IF(_xlpm.sa&lt;&gt;_xlpm.sb,"FAIL",IF(_xlpm.sa="err",IF(ERROR.TYPE(_xlpm.a)=ERROR.TYPE(_xlpm.b),"PASS","FAIL"),IF(AND(IFERROR(_xlpm.a=_xlpm.b,IFERROR(ERROR.TYPE(_xlpm.a)=ERROR.TYPE(_xlpm.b),FALSE))),"PASS","FAIL"))))</f>
        <v>0</v>
      </c>
    </row>
    <row r="453">
      <c r="A453">
        <v>448</v>
      </c>
      <c r="B453" s="55" t="inlineStr">
        <is>
          <t xml:space="preserve">neighbors_list</t>
        </is>
      </c>
      <c r="C453" t="inlineStr">
        <is>
          <t xml:space="preserve">neighbors_list!J34</t>
        </is>
      </c>
      <c r="D453" s="51" t="inlineStr">
        <is>
          <t xml:space="preserve">tocol</t>
        </is>
      </c>
      <c r="E453" t="inlineStr">
        <is>
          <t xml:space="preserve">neighbors_list(TOCOL(D34))</t>
        </is>
      </c>
      <c r="F453" s="51" cm="1">
        <f t="array" ref="F453">_xlfn.LET(_xlpm.a,neighbors_list('neighbors_list'!D34),_xlpm.b,neighbors_list(_xlfn.TOCOL('neighbors_list'!D34)),_xlpm.sa,IFERROR(ROWS(_xlpm.a)&amp;"x"&amp;COLUMNS(_xlpm.a),"err"),_xlpm.sb,IFERROR(ROWS(_xlpm.b)&amp;"x"&amp;COLUMNS(_xlpm.b),"err"),IF(_xlpm.sa&lt;&gt;_xlpm.sb,"FAIL",IF(_xlpm.sa="err",IF(ERROR.TYPE(_xlpm.a)=ERROR.TYPE(_xlpm.b),"PASS","FAIL"),IF(AND(IFERROR(_xlpm.a=_xlpm.b,IFERROR(ERROR.TYPE(_xlpm.a)=ERROR.TYPE(_xlpm.b),FALSE))),"PASS","FAIL"))))</f>
        <v>0</v>
      </c>
    </row>
    <row r="454">
      <c r="A454">
        <v>449</v>
      </c>
      <c r="B454" s="55" t="inlineStr">
        <is>
          <t xml:space="preserve">neighbors_list</t>
        </is>
      </c>
      <c r="C454" t="inlineStr">
        <is>
          <t xml:space="preserve">neighbors_list!J34</t>
        </is>
      </c>
      <c r="D454" s="51" t="inlineStr">
        <is>
          <t xml:space="preserve">textnum</t>
        </is>
      </c>
      <c r="E454" t="inlineStr">
        <is>
          <t xml:space="preserve">neighbors_list((D34&amp;""))</t>
        </is>
      </c>
      <c r="F454" s="51" cm="1">
        <f t="array" ref="F454">_xlfn.LET(_xlpm.a,neighbors_list('neighbors_list'!D34),_xlpm.b,neighbors_list(('neighbors_list'!D34&amp;"")),_xlpm.sa,IFERROR(ROWS(_xlpm.a)&amp;"x"&amp;COLUMNS(_xlpm.a),"err"),_xlpm.sb,IFERROR(ROWS(_xlpm.b)&amp;"x"&amp;COLUMNS(_xlpm.b),"err"),IF(_xlpm.sa&lt;&gt;_xlpm.sb,"FAIL",IF(_xlpm.sa="err",IF(ERROR.TYPE(_xlpm.a)=ERROR.TYPE(_xlpm.b),"PASS","FAIL"),IF(AND(IFERROR(_xlpm.a=_xlpm.b,IFERROR(ERROR.TYPE(_xlpm.a)=ERROR.TYPE(_xlpm.b),FALSE))),"PASS","FAIL"))))</f>
        <v>0</v>
      </c>
    </row>
    <row r="455">
      <c r="A455">
        <v>450</v>
      </c>
      <c r="B455" s="55" t="inlineStr">
        <is>
          <t xml:space="preserve">neighbors_list</t>
        </is>
      </c>
      <c r="C455" t="inlineStr">
        <is>
          <t xml:space="preserve">neighbors_list!J34</t>
        </is>
      </c>
      <c r="D455" s="51" t="inlineStr">
        <is>
          <t xml:space="preserve">blank</t>
        </is>
      </c>
      <c r="E455" t="inlineStr">
        <is>
          <t xml:space="preserve">neighbors_list(D34,shape_tests!$Z$1,shape_tests!$Z$1,shape_tests!$Z$1)</t>
        </is>
      </c>
      <c r="F455" s="51" cm="1">
        <f t="array" ref="F455">_xlfn.LET(_xlpm.a,neighbors_list('neighbors_list'!D34),_xlpm.b,neighbors_list('neighbors_list'!D34,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456">
      <c r="A456">
        <v>451</v>
      </c>
      <c r="B456" s="55" t="inlineStr">
        <is>
          <t xml:space="preserve">neighbors_list</t>
        </is>
      </c>
      <c r="C456" t="inlineStr">
        <is>
          <t xml:space="preserve">neighbors_list!J43</t>
        </is>
      </c>
      <c r="D456" s="51" t="inlineStr">
        <is>
          <t xml:space="preserve">tocol</t>
        </is>
      </c>
      <c r="E456" t="inlineStr">
        <is>
          <t xml:space="preserve">neighbors_list(TOCOL(D43),TOCOL(1),$A$1:$B$2)</t>
        </is>
      </c>
      <c r="F456" s="51" cm="1">
        <f t="array" ref="F456">_xlfn.LET(_xlpm.a,neighbors_list('neighbors_list'!D43,1,'neighbors_list'!$A$1:$B$2),_xlpm.b,neighbors_list(_xlfn.TOCOL('neighbors_list'!D43),_xlfn.TOCOL(1),'neighbors_list'!$A$1:$B$2),_xlpm.sa,IFERROR(ROWS(_xlpm.a)&amp;"x"&amp;COLUMNS(_xlpm.a),"err"),_xlpm.sb,IFERROR(ROWS(_xlpm.b)&amp;"x"&amp;COLUMNS(_xlpm.b),"err"),IF(_xlpm.sa&lt;&gt;_xlpm.sb,"FAIL",IF(_xlpm.sa="err",IF(ERROR.TYPE(_xlpm.a)=ERROR.TYPE(_xlpm.b),"PASS","FAIL"),IF(AND(IFERROR(_xlpm.a=_xlpm.b,IFERROR(ERROR.TYPE(_xlpm.a)=ERROR.TYPE(_xlpm.b),FALSE))),"PASS","FAIL"))))</f>
        <v>0</v>
      </c>
    </row>
    <row r="457">
      <c r="A457">
        <v>452</v>
      </c>
      <c r="B457" s="55" t="inlineStr">
        <is>
          <t xml:space="preserve">neighbors_list</t>
        </is>
      </c>
      <c r="C457" t="inlineStr">
        <is>
          <t xml:space="preserve">neighbors_list!J43</t>
        </is>
      </c>
      <c r="D457" s="51" t="inlineStr">
        <is>
          <t xml:space="preserve">cellref</t>
        </is>
      </c>
      <c r="E457" t="inlineStr">
        <is>
          <t xml:space="preserve">neighbors_list(D43,shape_tests!$H$457,$A$1:$B$2)</t>
        </is>
      </c>
      <c r="F457" s="51" cm="1">
        <f t="array" ref="F457">_xlfn.LET(_xlpm.a,neighbors_list('neighbors_list'!D43,1,'neighbors_list'!$A$1:$B$2),_xlpm.b,neighbors_list('neighbors_list'!D43,shape_tests!$H$457,'neighbors_list'!$A$1:$B$2),_xlpm.sa,IFERROR(ROWS(_xlpm.a)&amp;"x"&amp;COLUMNS(_xlpm.a),"err"),_xlpm.sb,IFERROR(ROWS(_xlpm.b)&amp;"x"&amp;COLUMNS(_xlpm.b),"err"),IF(_xlpm.sa&lt;&gt;_xlpm.sb,"FAIL",IF(_xlpm.sa="err",IF(ERROR.TYPE(_xlpm.a)=ERROR.TYPE(_xlpm.b),"PASS","FAIL"),IF(AND(IFERROR(_xlpm.a=_xlpm.b,IFERROR(ERROR.TYPE(_xlpm.a)=ERROR.TYPE(_xlpm.b),FALSE))),"PASS","FAIL"))))</f>
        <v>0</v>
      </c>
      <c r="H457">
        <v>1.0</v>
      </c>
    </row>
    <row r="458">
      <c r="A458">
        <v>453</v>
      </c>
      <c r="B458" s="55" t="inlineStr">
        <is>
          <t xml:space="preserve">neighbors_list</t>
        </is>
      </c>
      <c r="C458" t="inlineStr">
        <is>
          <t xml:space="preserve">neighbors_list!J43</t>
        </is>
      </c>
      <c r="D458" s="51" t="inlineStr">
        <is>
          <t xml:space="preserve">textnum</t>
        </is>
      </c>
      <c r="E458" t="inlineStr">
        <is>
          <t xml:space="preserve">neighbors_list(D43,"1",$A$1:$B$2)</t>
        </is>
      </c>
      <c r="F458" s="51" cm="1">
        <f t="array" ref="F458">_xlfn.LET(_xlpm.a,neighbors_list('neighbors_list'!D43,1,'neighbors_list'!$A$1:$B$2),_xlpm.b,neighbors_list('neighbors_list'!D43,"1",'neighbors_list'!$A$1:$B$2),_xlpm.sa,IFERROR(ROWS(_xlpm.a)&amp;"x"&amp;COLUMNS(_xlpm.a),"err"),_xlpm.sb,IFERROR(ROWS(_xlpm.b)&amp;"x"&amp;COLUMNS(_xlpm.b),"err"),IF(_xlpm.sa&lt;&gt;_xlpm.sb,"FAIL",IF(_xlpm.sa="err",IF(ERROR.TYPE(_xlpm.a)=ERROR.TYPE(_xlpm.b),"PASS","FAIL"),IF(AND(IFERROR(_xlpm.a=_xlpm.b,IFERROR(ERROR.TYPE(_xlpm.a)=ERROR.TYPE(_xlpm.b),FALSE))),"PASS","FAIL"))))</f>
        <v>0</v>
      </c>
    </row>
    <row r="459">
      <c r="A459">
        <v>454</v>
      </c>
      <c r="B459" s="55" t="inlineStr">
        <is>
          <t xml:space="preserve">neighbors_list</t>
        </is>
      </c>
      <c r="C459" t="inlineStr">
        <is>
          <t xml:space="preserve">neighbors_list!J43</t>
        </is>
      </c>
      <c r="D459" s="51" t="inlineStr">
        <is>
          <t xml:space="preserve">blank</t>
        </is>
      </c>
      <c r="E459" t="inlineStr">
        <is>
          <t xml:space="preserve">neighbors_list(D43,1,$A$1:$B$2,shape_tests!$Z$1)</t>
        </is>
      </c>
      <c r="F459" s="51" cm="1">
        <f t="array" ref="F459">_xlfn.LET(_xlpm.a,neighbors_list('neighbors_list'!D43,1,'neighbors_list'!$A$1:$B$2),_xlpm.b,neighbors_list('neighbors_list'!D43,1,'neighbors_list'!$A$1:$B$2,shape_tests!$Z$1),_xlpm.sa,IFERROR(ROWS(_xlpm.a)&amp;"x"&amp;COLUMNS(_xlpm.a),"err"),_xlpm.sb,IFERROR(ROWS(_xlpm.b)&amp;"x"&amp;COLUMNS(_xlpm.b),"err"),IF(_xlpm.sa&lt;&gt;_xlpm.sb,"FAIL",IF(_xlpm.sa="err",IF(ERROR.TYPE(_xlpm.a)=ERROR.TYPE(_xlpm.b),"PASS","FAIL"),IF(AND(IFERROR(_xlpm.a=_xlpm.b,IFERROR(ERROR.TYPE(_xlpm.a)=ERROR.TYPE(_xlpm.b),FALSE))),"PASS","FAIL"))))</f>
        <v>0</v>
      </c>
    </row>
    <row r="460">
      <c r="A460">
        <v>455</v>
      </c>
      <c r="B460" s="55" t="inlineStr">
        <is>
          <t xml:space="preserve">neighbors_list</t>
        </is>
      </c>
      <c r="C460" t="inlineStr">
        <is>
          <t xml:space="preserve">neighbors_list!J47</t>
        </is>
      </c>
      <c r="D460" s="51" t="inlineStr">
        <is>
          <t xml:space="preserve">tocol</t>
        </is>
      </c>
      <c r="E460" t="inlineStr">
        <is>
          <t xml:space="preserve">neighbors_list(TOCOL(D47),TOCOL(1),"A1:B2")</t>
        </is>
      </c>
      <c r="F460" s="51" cm="1">
        <f t="array" ref="F460">_xlfn.LET(_xlpm.a,neighbors_list('neighbors_list'!D47,1,"A1:B2"),_xlpm.b,neighbors_list(_xlfn.TOCOL('neighbors_list'!D47),_xlfn.TOCOL(1),"A1:B2"),_xlpm.sa,IFERROR(ROWS(_xlpm.a)&amp;"x"&amp;COLUMNS(_xlpm.a),"err"),_xlpm.sb,IFERROR(ROWS(_xlpm.b)&amp;"x"&amp;COLUMNS(_xlpm.b),"err"),IF(_xlpm.sa&lt;&gt;_xlpm.sb,"FAIL",IF(_xlpm.sa="err",IF(ERROR.TYPE(_xlpm.a)=ERROR.TYPE(_xlpm.b),"PASS","FAIL"),IF(AND(IFERROR(_xlpm.a=_xlpm.b,IFERROR(ERROR.TYPE(_xlpm.a)=ERROR.TYPE(_xlpm.b),FALSE))),"PASS","FAIL"))))</f>
        <v>0</v>
      </c>
    </row>
    <row r="461">
      <c r="A461">
        <v>456</v>
      </c>
      <c r="B461" s="55" t="inlineStr">
        <is>
          <t xml:space="preserve">neighbors_list</t>
        </is>
      </c>
      <c r="C461" t="inlineStr">
        <is>
          <t xml:space="preserve">neighbors_list!J47</t>
        </is>
      </c>
      <c r="D461" s="51" t="inlineStr">
        <is>
          <t xml:space="preserve">cellref</t>
        </is>
      </c>
      <c r="E461" t="inlineStr">
        <is>
          <t xml:space="preserve">neighbors_list(D47,shape_tests!$H$461,"A1:B2")</t>
        </is>
      </c>
      <c r="F461" s="51" cm="1">
        <f t="array" ref="F461">_xlfn.LET(_xlpm.a,neighbors_list('neighbors_list'!D47,1,"A1:B2"),_xlpm.b,neighbors_list('neighbors_list'!D47,shape_tests!$H$461,"A1:B2"),_xlpm.sa,IFERROR(ROWS(_xlpm.a)&amp;"x"&amp;COLUMNS(_xlpm.a),"err"),_xlpm.sb,IFERROR(ROWS(_xlpm.b)&amp;"x"&amp;COLUMNS(_xlpm.b),"err"),IF(_xlpm.sa&lt;&gt;_xlpm.sb,"FAIL",IF(_xlpm.sa="err",IF(ERROR.TYPE(_xlpm.a)=ERROR.TYPE(_xlpm.b),"PASS","FAIL"),IF(AND(IFERROR(_xlpm.a=_xlpm.b,IFERROR(ERROR.TYPE(_xlpm.a)=ERROR.TYPE(_xlpm.b),FALSE))),"PASS","FAIL"))))</f>
        <v>0</v>
      </c>
      <c r="H461">
        <v>1.0</v>
      </c>
    </row>
    <row r="462">
      <c r="A462">
        <v>457</v>
      </c>
      <c r="B462" s="55" t="inlineStr">
        <is>
          <t xml:space="preserve">neighbors_list</t>
        </is>
      </c>
      <c r="C462" t="inlineStr">
        <is>
          <t xml:space="preserve">neighbors_list!J47</t>
        </is>
      </c>
      <c r="D462" s="51" t="inlineStr">
        <is>
          <t xml:space="preserve">textnum</t>
        </is>
      </c>
      <c r="E462" t="inlineStr">
        <is>
          <t xml:space="preserve">neighbors_list(D47,"1","A1:B2")</t>
        </is>
      </c>
      <c r="F462" s="51" cm="1">
        <f t="array" ref="F462">_xlfn.LET(_xlpm.a,neighbors_list('neighbors_list'!D47,1,"A1:B2"),_xlpm.b,neighbors_list('neighbors_list'!D47,"1","A1:B2"),_xlpm.sa,IFERROR(ROWS(_xlpm.a)&amp;"x"&amp;COLUMNS(_xlpm.a),"err"),_xlpm.sb,IFERROR(ROWS(_xlpm.b)&amp;"x"&amp;COLUMNS(_xlpm.b),"err"),IF(_xlpm.sa&lt;&gt;_xlpm.sb,"FAIL",IF(_xlpm.sa="err",IF(ERROR.TYPE(_xlpm.a)=ERROR.TYPE(_xlpm.b),"PASS","FAIL"),IF(AND(IFERROR(_xlpm.a=_xlpm.b,IFERROR(ERROR.TYPE(_xlpm.a)=ERROR.TYPE(_xlpm.b),FALSE))),"PASS","FAIL"))))</f>
        <v>0</v>
      </c>
    </row>
    <row r="463">
      <c r="A463">
        <v>458</v>
      </c>
      <c r="B463" s="55" t="inlineStr">
        <is>
          <t xml:space="preserve">neighbors_list</t>
        </is>
      </c>
      <c r="C463" t="inlineStr">
        <is>
          <t xml:space="preserve">neighbors_list!J47</t>
        </is>
      </c>
      <c r="D463" s="51" t="inlineStr">
        <is>
          <t xml:space="preserve">blank</t>
        </is>
      </c>
      <c r="E463" t="inlineStr">
        <is>
          <t xml:space="preserve">neighbors_list(D47,1,"A1:B2",shape_tests!$Z$1)</t>
        </is>
      </c>
      <c r="F463" s="51" cm="1">
        <f t="array" ref="F463">_xlfn.LET(_xlpm.a,neighbors_list('neighbors_list'!D47,1,"A1:B2"),_xlpm.b,neighbors_list('neighbors_list'!D47,1,"A1:B2",shape_tests!$Z$1),_xlpm.sa,IFERROR(ROWS(_xlpm.a)&amp;"x"&amp;COLUMNS(_xlpm.a),"err"),_xlpm.sb,IFERROR(ROWS(_xlpm.b)&amp;"x"&amp;COLUMNS(_xlpm.b),"err"),IF(_xlpm.sa&lt;&gt;_xlpm.sb,"FAIL",IF(_xlpm.sa="err",IF(ERROR.TYPE(_xlpm.a)=ERROR.TYPE(_xlpm.b),"PASS","FAIL"),IF(AND(IFERROR(_xlpm.a=_xlpm.b,IFERROR(ERROR.TYPE(_xlpm.a)=ERROR.TYPE(_xlpm.b),FALSE))),"PASS","FAIL"))))</f>
        <v>0</v>
      </c>
    </row>
    <row r="464">
      <c r="A464">
        <v>459</v>
      </c>
      <c r="B464" s="55" t="inlineStr">
        <is>
          <t xml:space="preserve">neighbors_list</t>
        </is>
      </c>
      <c r="C464" t="inlineStr">
        <is>
          <t xml:space="preserve">neighbors_list!J51</t>
        </is>
      </c>
      <c r="D464" s="51" t="inlineStr">
        <is>
          <t xml:space="preserve">tocol</t>
        </is>
      </c>
      <c r="E464" t="inlineStr">
        <is>
          <t xml:space="preserve">neighbors_list(TOCOL(D51),TOCOL(1),F51)</t>
        </is>
      </c>
      <c r="F464" s="51" cm="1">
        <f t="array" ref="F464">_xlfn.LET(_xlpm.a,neighbors_list('neighbors_list'!D51,1,'neighbors_list'!F51),_xlpm.b,neighbors_list(_xlfn.TOCOL('neighbors_list'!D51),_xlfn.TOCOL(1),'neighbors_list'!F51),_xlpm.sa,IFERROR(ROWS(_xlpm.a)&amp;"x"&amp;COLUMNS(_xlpm.a),"err"),_xlpm.sb,IFERROR(ROWS(_xlpm.b)&amp;"x"&amp;COLUMNS(_xlpm.b),"err"),IF(_xlpm.sa&lt;&gt;_xlpm.sb,"FAIL",IF(_xlpm.sa="err",IF(ERROR.TYPE(_xlpm.a)=ERROR.TYPE(_xlpm.b),"PASS","FAIL"),IF(AND(IFERROR(_xlpm.a=_xlpm.b,IFERROR(ERROR.TYPE(_xlpm.a)=ERROR.TYPE(_xlpm.b),FALSE))),"PASS","FAIL"))))</f>
        <v>0</v>
      </c>
    </row>
    <row r="465">
      <c r="A465">
        <v>460</v>
      </c>
      <c r="B465" s="55" t="inlineStr">
        <is>
          <t xml:space="preserve">neighbors_list</t>
        </is>
      </c>
      <c r="C465" t="inlineStr">
        <is>
          <t xml:space="preserve">neighbors_list!J51</t>
        </is>
      </c>
      <c r="D465" s="51" t="inlineStr">
        <is>
          <t xml:space="preserve">cellref</t>
        </is>
      </c>
      <c r="E465" t="inlineStr">
        <is>
          <t xml:space="preserve">neighbors_list(D51,shape_tests!$H$465,F51)</t>
        </is>
      </c>
      <c r="F465" s="51" cm="1">
        <f t="array" ref="F465">_xlfn.LET(_xlpm.a,neighbors_list('neighbors_list'!D51,1,'neighbors_list'!F51),_xlpm.b,neighbors_list('neighbors_list'!D51,shape_tests!$H$465,'neighbors_list'!F51),_xlpm.sa,IFERROR(ROWS(_xlpm.a)&amp;"x"&amp;COLUMNS(_xlpm.a),"err"),_xlpm.sb,IFERROR(ROWS(_xlpm.b)&amp;"x"&amp;COLUMNS(_xlpm.b),"err"),IF(_xlpm.sa&lt;&gt;_xlpm.sb,"FAIL",IF(_xlpm.sa="err",IF(ERROR.TYPE(_xlpm.a)=ERROR.TYPE(_xlpm.b),"PASS","FAIL"),IF(AND(IFERROR(_xlpm.a=_xlpm.b,IFERROR(ERROR.TYPE(_xlpm.a)=ERROR.TYPE(_xlpm.b),FALSE))),"PASS","FAIL"))))</f>
        <v>0</v>
      </c>
      <c r="H465">
        <v>1.0</v>
      </c>
    </row>
    <row r="466">
      <c r="A466">
        <v>461</v>
      </c>
      <c r="B466" s="55" t="inlineStr">
        <is>
          <t xml:space="preserve">neighbors_list</t>
        </is>
      </c>
      <c r="C466" t="inlineStr">
        <is>
          <t xml:space="preserve">neighbors_list!J51</t>
        </is>
      </c>
      <c r="D466" s="51" t="inlineStr">
        <is>
          <t xml:space="preserve">textnum</t>
        </is>
      </c>
      <c r="E466" t="inlineStr">
        <is>
          <t xml:space="preserve">neighbors_list(D51,"1",F51)</t>
        </is>
      </c>
      <c r="F466" s="51" cm="1">
        <f t="array" ref="F466">_xlfn.LET(_xlpm.a,neighbors_list('neighbors_list'!D51,1,'neighbors_list'!F51),_xlpm.b,neighbors_list('neighbors_list'!D51,"1",'neighbors_list'!F51),_xlpm.sa,IFERROR(ROWS(_xlpm.a)&amp;"x"&amp;COLUMNS(_xlpm.a),"err"),_xlpm.sb,IFERROR(ROWS(_xlpm.b)&amp;"x"&amp;COLUMNS(_xlpm.b),"err"),IF(_xlpm.sa&lt;&gt;_xlpm.sb,"FAIL",IF(_xlpm.sa="err",IF(ERROR.TYPE(_xlpm.a)=ERROR.TYPE(_xlpm.b),"PASS","FAIL"),IF(AND(IFERROR(_xlpm.a=_xlpm.b,IFERROR(ERROR.TYPE(_xlpm.a)=ERROR.TYPE(_xlpm.b),FALSE))),"PASS","FAIL"))))</f>
        <v>0</v>
      </c>
    </row>
    <row r="467">
      <c r="A467">
        <v>462</v>
      </c>
      <c r="B467" s="55" t="inlineStr">
        <is>
          <t xml:space="preserve">neighbors_list</t>
        </is>
      </c>
      <c r="C467" t="inlineStr">
        <is>
          <t xml:space="preserve">neighbors_list!J51</t>
        </is>
      </c>
      <c r="D467" s="51" t="inlineStr">
        <is>
          <t xml:space="preserve">blank</t>
        </is>
      </c>
      <c r="E467" t="inlineStr">
        <is>
          <t xml:space="preserve">neighbors_list(D51,1,F51,shape_tests!$Z$1)</t>
        </is>
      </c>
      <c r="F467" s="51" cm="1">
        <f t="array" ref="F467">_xlfn.LET(_xlpm.a,neighbors_list('neighbors_list'!D51,1,'neighbors_list'!F51),_xlpm.b,neighbors_list('neighbors_list'!D51,1,'neighbors_list'!F51,shape_tests!$Z$1),_xlpm.sa,IFERROR(ROWS(_xlpm.a)&amp;"x"&amp;COLUMNS(_xlpm.a),"err"),_xlpm.sb,IFERROR(ROWS(_xlpm.b)&amp;"x"&amp;COLUMNS(_xlpm.b),"err"),IF(_xlpm.sa&lt;&gt;_xlpm.sb,"FAIL",IF(_xlpm.sa="err",IF(ERROR.TYPE(_xlpm.a)=ERROR.TYPE(_xlpm.b),"PASS","FAIL"),IF(AND(IFERROR(_xlpm.a=_xlpm.b,IFERROR(ERROR.TYPE(_xlpm.a)=ERROR.TYPE(_xlpm.b),FALSE))),"PASS","FAIL"))))</f>
        <v>0</v>
      </c>
    </row>
    <row r="468">
      <c r="A468">
        <v>463</v>
      </c>
      <c r="B468" s="55" t="inlineStr">
        <is>
          <t xml:space="preserve">neighbors_list</t>
        </is>
      </c>
      <c r="C468" t="inlineStr">
        <is>
          <t xml:space="preserve">neighbors_list!J55</t>
        </is>
      </c>
      <c r="D468" s="51" t="inlineStr">
        <is>
          <t xml:space="preserve">tocol</t>
        </is>
      </c>
      <c r="E468" t="inlineStr">
        <is>
          <t xml:space="preserve">neighbors_list(TOCOL(D55),TOCOL(1),F55)</t>
        </is>
      </c>
      <c r="F468" s="51" cm="1">
        <f t="array" ref="F468">_xlfn.LET(_xlpm.a,neighbors_list('neighbors_list'!D55,1,'neighbors_list'!F55),_xlpm.b,neighbors_list(_xlfn.TOCOL('neighbors_list'!D55),_xlfn.TOCOL(1),'neighbors_list'!F55),_xlpm.sa,IFERROR(ROWS(_xlpm.a)&amp;"x"&amp;COLUMNS(_xlpm.a),"err"),_xlpm.sb,IFERROR(ROWS(_xlpm.b)&amp;"x"&amp;COLUMNS(_xlpm.b),"err"),IF(_xlpm.sa&lt;&gt;_xlpm.sb,"FAIL",IF(_xlpm.sa="err",IF(ERROR.TYPE(_xlpm.a)=ERROR.TYPE(_xlpm.b),"PASS","FAIL"),IF(AND(IFERROR(_xlpm.a=_xlpm.b,IFERROR(ERROR.TYPE(_xlpm.a)=ERROR.TYPE(_xlpm.b),FALSE))),"PASS","FAIL"))))</f>
        <v>0</v>
      </c>
    </row>
    <row r="469">
      <c r="A469">
        <v>464</v>
      </c>
      <c r="B469" s="55" t="inlineStr">
        <is>
          <t xml:space="preserve">neighbors_list</t>
        </is>
      </c>
      <c r="C469" t="inlineStr">
        <is>
          <t xml:space="preserve">neighbors_list!J55</t>
        </is>
      </c>
      <c r="D469" s="51" t="inlineStr">
        <is>
          <t xml:space="preserve">cellref</t>
        </is>
      </c>
      <c r="E469" t="inlineStr">
        <is>
          <t xml:space="preserve">neighbors_list(D55,shape_tests!$H$469,F55)</t>
        </is>
      </c>
      <c r="F469" s="51" cm="1">
        <f t="array" ref="F469">_xlfn.LET(_xlpm.a,neighbors_list('neighbors_list'!D55,1,'neighbors_list'!F55),_xlpm.b,neighbors_list('neighbors_list'!D55,shape_tests!$H$469,'neighbors_list'!F55),_xlpm.sa,IFERROR(ROWS(_xlpm.a)&amp;"x"&amp;COLUMNS(_xlpm.a),"err"),_xlpm.sb,IFERROR(ROWS(_xlpm.b)&amp;"x"&amp;COLUMNS(_xlpm.b),"err"),IF(_xlpm.sa&lt;&gt;_xlpm.sb,"FAIL",IF(_xlpm.sa="err",IF(ERROR.TYPE(_xlpm.a)=ERROR.TYPE(_xlpm.b),"PASS","FAIL"),IF(AND(IFERROR(_xlpm.a=_xlpm.b,IFERROR(ERROR.TYPE(_xlpm.a)=ERROR.TYPE(_xlpm.b),FALSE))),"PASS","FAIL"))))</f>
        <v>0</v>
      </c>
      <c r="H469">
        <v>1.0</v>
      </c>
    </row>
    <row r="470">
      <c r="A470">
        <v>465</v>
      </c>
      <c r="B470" s="55" t="inlineStr">
        <is>
          <t xml:space="preserve">neighbors_list</t>
        </is>
      </c>
      <c r="C470" t="inlineStr">
        <is>
          <t xml:space="preserve">neighbors_list!J55</t>
        </is>
      </c>
      <c r="D470" s="51" t="inlineStr">
        <is>
          <t xml:space="preserve">textnum</t>
        </is>
      </c>
      <c r="E470" t="inlineStr">
        <is>
          <t xml:space="preserve">neighbors_list(D55,"1",F55)</t>
        </is>
      </c>
      <c r="F470" s="51" cm="1">
        <f t="array" ref="F470">_xlfn.LET(_xlpm.a,neighbors_list('neighbors_list'!D55,1,'neighbors_list'!F55),_xlpm.b,neighbors_list('neighbors_list'!D55,"1",'neighbors_list'!F55),_xlpm.sa,IFERROR(ROWS(_xlpm.a)&amp;"x"&amp;COLUMNS(_xlpm.a),"err"),_xlpm.sb,IFERROR(ROWS(_xlpm.b)&amp;"x"&amp;COLUMNS(_xlpm.b),"err"),IF(_xlpm.sa&lt;&gt;_xlpm.sb,"FAIL",IF(_xlpm.sa="err",IF(ERROR.TYPE(_xlpm.a)=ERROR.TYPE(_xlpm.b),"PASS","FAIL"),IF(AND(IFERROR(_xlpm.a=_xlpm.b,IFERROR(ERROR.TYPE(_xlpm.a)=ERROR.TYPE(_xlpm.b),FALSE))),"PASS","FAIL"))))</f>
        <v>0</v>
      </c>
    </row>
    <row r="471">
      <c r="A471">
        <v>466</v>
      </c>
      <c r="B471" s="55" t="inlineStr">
        <is>
          <t xml:space="preserve">neighbors_list</t>
        </is>
      </c>
      <c r="C471" t="inlineStr">
        <is>
          <t xml:space="preserve">neighbors_list!J55</t>
        </is>
      </c>
      <c r="D471" s="51" t="inlineStr">
        <is>
          <t xml:space="preserve">blank</t>
        </is>
      </c>
      <c r="E471" t="inlineStr">
        <is>
          <t xml:space="preserve">neighbors_list(D55,1,F55,shape_tests!$Z$1)</t>
        </is>
      </c>
      <c r="F471" s="51" cm="1">
        <f t="array" ref="F471">_xlfn.LET(_xlpm.a,neighbors_list('neighbors_list'!D55,1,'neighbors_list'!F55),_xlpm.b,neighbors_list('neighbors_list'!D55,1,'neighbors_list'!F55,shape_tests!$Z$1),_xlpm.sa,IFERROR(ROWS(_xlpm.a)&amp;"x"&amp;COLUMNS(_xlpm.a),"err"),_xlpm.sb,IFERROR(ROWS(_xlpm.b)&amp;"x"&amp;COLUMNS(_xlpm.b),"err"),IF(_xlpm.sa&lt;&gt;_xlpm.sb,"FAIL",IF(_xlpm.sa="err",IF(ERROR.TYPE(_xlpm.a)=ERROR.TYPE(_xlpm.b),"PASS","FAIL"),IF(AND(IFERROR(_xlpm.a=_xlpm.b,IFERROR(ERROR.TYPE(_xlpm.a)=ERROR.TYPE(_xlpm.b),FALSE))),"PASS","FAIL"))))</f>
        <v>0</v>
      </c>
    </row>
    <row r="472">
      <c r="A472">
        <v>467</v>
      </c>
      <c r="B472" s="55" t="inlineStr">
        <is>
          <t xml:space="preserve">neighbors_list</t>
        </is>
      </c>
      <c r="C472" t="inlineStr">
        <is>
          <t xml:space="preserve">neighbors_list!J59</t>
        </is>
      </c>
      <c r="D472" s="51" t="inlineStr">
        <is>
          <t xml:space="preserve">tocol</t>
        </is>
      </c>
      <c r="E472" t="inlineStr">
        <is>
          <t xml:space="preserve">AND(neighbors_list(TOCOL(D59),TOCOL(1),$A$1:$C$3)=neighbors_list(D59,1,F59))</t>
        </is>
      </c>
      <c r="F472" s="51" cm="1">
        <f t="array" ref="F472">_xlfn.LET(_xlpm.a,AND(neighbors_list('neighbors_list'!D59,1,'neighbors_list'!$A$1:$C$3)=neighbors_list('neighbors_list'!D59,1,'neighbors_list'!F59)),_xlpm.b,AND(neighbors_list(_xlfn.TOCOL('neighbors_list'!D59),_xlfn.TOCOL(1),'neighbors_list'!$A$1:$C$3)=neighbors_list('neighbors_list'!D59,1,'neighbors_list'!F59)),_xlpm.sa,IFERROR(ROWS(_xlpm.a)&amp;"x"&amp;COLUMNS(_xlpm.a),"err"),_xlpm.sb,IFERROR(ROWS(_xlpm.b)&amp;"x"&amp;COLUMNS(_xlpm.b),"err"),IF(_xlpm.sa&lt;&gt;_xlpm.sb,"FAIL",IF(_xlpm.sa="err",IF(ERROR.TYPE(_xlpm.a)=ERROR.TYPE(_xlpm.b),"PASS","FAIL"),IF(AND(IFERROR(_xlpm.a=_xlpm.b,IFERROR(ERROR.TYPE(_xlpm.a)=ERROR.TYPE(_xlpm.b),FALSE))),"PASS","FAIL"))))</f>
        <v>0</v>
      </c>
    </row>
    <row r="473">
      <c r="A473">
        <v>468</v>
      </c>
      <c r="B473" s="55" t="inlineStr">
        <is>
          <t xml:space="preserve">neighbors_list</t>
        </is>
      </c>
      <c r="C473" t="inlineStr">
        <is>
          <t xml:space="preserve">neighbors_list!J59</t>
        </is>
      </c>
      <c r="D473" s="51" t="inlineStr">
        <is>
          <t xml:space="preserve">cellref</t>
        </is>
      </c>
      <c r="E473" t="inlineStr">
        <is>
          <t xml:space="preserve">AND(neighbors_list(D59,shape_tests!$H$473,$A$1:$C$3)=neighbors_list(D59,1,F59))</t>
        </is>
      </c>
      <c r="F473" s="51" cm="1">
        <f t="array" ref="F473">_xlfn.LET(_xlpm.a,AND(neighbors_list('neighbors_list'!D59,1,'neighbors_list'!$A$1:$C$3)=neighbors_list('neighbors_list'!D59,1,'neighbors_list'!F59)),_xlpm.b,AND(neighbors_list('neighbors_list'!D59,shape_tests!$H$473,'neighbors_list'!$A$1:$C$3)=neighbors_list('neighbors_list'!D59,1,'neighbors_list'!F59)),_xlpm.sa,IFERROR(ROWS(_xlpm.a)&amp;"x"&amp;COLUMNS(_xlpm.a),"err"),_xlpm.sb,IFERROR(ROWS(_xlpm.b)&amp;"x"&amp;COLUMNS(_xlpm.b),"err"),IF(_xlpm.sa&lt;&gt;_xlpm.sb,"FAIL",IF(_xlpm.sa="err",IF(ERROR.TYPE(_xlpm.a)=ERROR.TYPE(_xlpm.b),"PASS","FAIL"),IF(AND(IFERROR(_xlpm.a=_xlpm.b,IFERROR(ERROR.TYPE(_xlpm.a)=ERROR.TYPE(_xlpm.b),FALSE))),"PASS","FAIL"))))</f>
        <v>0</v>
      </c>
      <c r="H473">
        <v>1.0</v>
      </c>
    </row>
    <row r="474">
      <c r="A474">
        <v>469</v>
      </c>
      <c r="B474" s="55" t="inlineStr">
        <is>
          <t xml:space="preserve">neighbors_list</t>
        </is>
      </c>
      <c r="C474" t="inlineStr">
        <is>
          <t xml:space="preserve">neighbors_list!J59</t>
        </is>
      </c>
      <c r="D474" s="51" t="inlineStr">
        <is>
          <t xml:space="preserve">textnum</t>
        </is>
      </c>
      <c r="E474" t="inlineStr">
        <is>
          <t xml:space="preserve">AND(neighbors_list(D59,"1",$A$1:$C$3)=neighbors_list(D59,1,F59))</t>
        </is>
      </c>
      <c r="F474" s="51" cm="1">
        <f t="array" ref="F474">_xlfn.LET(_xlpm.a,AND(neighbors_list('neighbors_list'!D59,1,'neighbors_list'!$A$1:$C$3)=neighbors_list('neighbors_list'!D59,1,'neighbors_list'!F59)),_xlpm.b,AND(neighbors_list('neighbors_list'!D59,"1",'neighbors_list'!$A$1:$C$3)=neighbors_list('neighbors_list'!D59,1,'neighbors_list'!F59)),_xlpm.sa,IFERROR(ROWS(_xlpm.a)&amp;"x"&amp;COLUMNS(_xlpm.a),"err"),_xlpm.sb,IFERROR(ROWS(_xlpm.b)&amp;"x"&amp;COLUMNS(_xlpm.b),"err"),IF(_xlpm.sa&lt;&gt;_xlpm.sb,"FAIL",IF(_xlpm.sa="err",IF(ERROR.TYPE(_xlpm.a)=ERROR.TYPE(_xlpm.b),"PASS","FAIL"),IF(AND(IFERROR(_xlpm.a=_xlpm.b,IFERROR(ERROR.TYPE(_xlpm.a)=ERROR.TYPE(_xlpm.b),FALSE))),"PASS","FAIL"))))</f>
        <v>0</v>
      </c>
    </row>
    <row r="475">
      <c r="A475">
        <v>470</v>
      </c>
      <c r="B475" s="55" t="inlineStr">
        <is>
          <t xml:space="preserve">neighbors_list</t>
        </is>
      </c>
      <c r="C475" t="inlineStr">
        <is>
          <t xml:space="preserve">neighbors_list!J59</t>
        </is>
      </c>
      <c r="D475" s="51" t="inlineStr">
        <is>
          <t xml:space="preserve">blank</t>
        </is>
      </c>
      <c r="E475" t="inlineStr">
        <is>
          <t xml:space="preserve">AND(neighbors_list(D59,1,$A$1:$C$3,shape_tests!$Z$1)=neighbors_list(D59,1,F59))</t>
        </is>
      </c>
      <c r="F475" s="51" cm="1">
        <f t="array" ref="F475">_xlfn.LET(_xlpm.a,AND(neighbors_list('neighbors_list'!D59,1,'neighbors_list'!$A$1:$C$3)=neighbors_list('neighbors_list'!D59,1,'neighbors_list'!F59)),_xlpm.b,AND(neighbors_list('neighbors_list'!D59,1,'neighbors_list'!$A$1:$C$3,shape_tests!$Z$1)=neighbors_list('neighbors_list'!D59,1,'neighbors_list'!F59)),_xlpm.sa,IFERROR(ROWS(_xlpm.a)&amp;"x"&amp;COLUMNS(_xlpm.a),"err"),_xlpm.sb,IFERROR(ROWS(_xlpm.b)&amp;"x"&amp;COLUMNS(_xlpm.b),"err"),IF(_xlpm.sa&lt;&gt;_xlpm.sb,"FAIL",IF(_xlpm.sa="err",IF(ERROR.TYPE(_xlpm.a)=ERROR.TYPE(_xlpm.b),"PASS","FAIL"),IF(AND(IFERROR(_xlpm.a=_xlpm.b,IFERROR(ERROR.TYPE(_xlpm.a)=ERROR.TYPE(_xlpm.b),FALSE))),"PASS","FAIL"))))</f>
        <v>0</v>
      </c>
    </row>
    <row r="476">
      <c r="A476">
        <v>471</v>
      </c>
      <c r="B476" s="55" t="inlineStr">
        <is>
          <t xml:space="preserve">neighbors_list</t>
        </is>
      </c>
      <c r="C476" t="inlineStr">
        <is>
          <t xml:space="preserve">neighbors_list!J61</t>
        </is>
      </c>
      <c r="D476" s="51" t="inlineStr">
        <is>
          <t xml:space="preserve">tocol</t>
        </is>
      </c>
      <c r="E476" t="inlineStr">
        <is>
          <t xml:space="preserve">neighbors_list(TOCOL(D61),TOCOL(1),"hi")</t>
        </is>
      </c>
      <c r="F476" s="51" cm="1">
        <f t="array" ref="F476">_xlfn.LET(_xlpm.a,neighbors_list('neighbors_list'!D61,1,"hi"),_xlpm.b,neighbors_list(_xlfn.TOCOL('neighbors_list'!D61),_xlfn.TOCOL(1),"hi"),_xlpm.sa,IFERROR(ROWS(_xlpm.a)&amp;"x"&amp;COLUMNS(_xlpm.a),"err"),_xlpm.sb,IFERROR(ROWS(_xlpm.b)&amp;"x"&amp;COLUMNS(_xlpm.b),"err"),IF(_xlpm.sa&lt;&gt;_xlpm.sb,"FAIL",IF(_xlpm.sa="err",IF(ERROR.TYPE(_xlpm.a)=ERROR.TYPE(_xlpm.b),"PASS","FAIL"),IF(AND(IFERROR(_xlpm.a=_xlpm.b,IFERROR(ERROR.TYPE(_xlpm.a)=ERROR.TYPE(_xlpm.b),FALSE))),"PASS","FAIL"))))</f>
        <v>0</v>
      </c>
    </row>
    <row r="477">
      <c r="A477">
        <v>472</v>
      </c>
      <c r="B477" s="55" t="inlineStr">
        <is>
          <t xml:space="preserve">neighbors_list</t>
        </is>
      </c>
      <c r="C477" t="inlineStr">
        <is>
          <t xml:space="preserve">neighbors_list!J61</t>
        </is>
      </c>
      <c r="D477" s="51" t="inlineStr">
        <is>
          <t xml:space="preserve">cellref</t>
        </is>
      </c>
      <c r="E477" t="inlineStr">
        <is>
          <t xml:space="preserve">neighbors_list(D61,shape_tests!$H$477,"hi")</t>
        </is>
      </c>
      <c r="F477" s="51" cm="1">
        <f t="array" ref="F477">_xlfn.LET(_xlpm.a,neighbors_list('neighbors_list'!D61,1,"hi"),_xlpm.b,neighbors_list('neighbors_list'!D61,shape_tests!$H$477,"hi"),_xlpm.sa,IFERROR(ROWS(_xlpm.a)&amp;"x"&amp;COLUMNS(_xlpm.a),"err"),_xlpm.sb,IFERROR(ROWS(_xlpm.b)&amp;"x"&amp;COLUMNS(_xlpm.b),"err"),IF(_xlpm.sa&lt;&gt;_xlpm.sb,"FAIL",IF(_xlpm.sa="err",IF(ERROR.TYPE(_xlpm.a)=ERROR.TYPE(_xlpm.b),"PASS","FAIL"),IF(AND(IFERROR(_xlpm.a=_xlpm.b,IFERROR(ERROR.TYPE(_xlpm.a)=ERROR.TYPE(_xlpm.b),FALSE))),"PASS","FAIL"))))</f>
        <v>0</v>
      </c>
      <c r="H477">
        <v>1.0</v>
      </c>
    </row>
    <row r="478">
      <c r="A478">
        <v>473</v>
      </c>
      <c r="B478" s="55" t="inlineStr">
        <is>
          <t xml:space="preserve">neighbors_list</t>
        </is>
      </c>
      <c r="C478" t="inlineStr">
        <is>
          <t xml:space="preserve">neighbors_list!J61</t>
        </is>
      </c>
      <c r="D478" s="51" t="inlineStr">
        <is>
          <t xml:space="preserve">textnum</t>
        </is>
      </c>
      <c r="E478" t="inlineStr">
        <is>
          <t xml:space="preserve">neighbors_list(D61,"1","hi")</t>
        </is>
      </c>
      <c r="F478" s="51" cm="1">
        <f t="array" ref="F478">_xlfn.LET(_xlpm.a,neighbors_list('neighbors_list'!D61,1,"hi"),_xlpm.b,neighbors_list('neighbors_list'!D61,"1","hi"),_xlpm.sa,IFERROR(ROWS(_xlpm.a)&amp;"x"&amp;COLUMNS(_xlpm.a),"err"),_xlpm.sb,IFERROR(ROWS(_xlpm.b)&amp;"x"&amp;COLUMNS(_xlpm.b),"err"),IF(_xlpm.sa&lt;&gt;_xlpm.sb,"FAIL",IF(_xlpm.sa="err",IF(ERROR.TYPE(_xlpm.a)=ERROR.TYPE(_xlpm.b),"PASS","FAIL"),IF(AND(IFERROR(_xlpm.a=_xlpm.b,IFERROR(ERROR.TYPE(_xlpm.a)=ERROR.TYPE(_xlpm.b),FALSE))),"PASS","FAIL"))))</f>
        <v>0</v>
      </c>
    </row>
    <row r="479">
      <c r="A479">
        <v>474</v>
      </c>
      <c r="B479" s="55" t="inlineStr">
        <is>
          <t xml:space="preserve">neighbors_list</t>
        </is>
      </c>
      <c r="C479" t="inlineStr">
        <is>
          <t xml:space="preserve">neighbors_list!J61</t>
        </is>
      </c>
      <c r="D479" s="51" t="inlineStr">
        <is>
          <t xml:space="preserve">blank</t>
        </is>
      </c>
      <c r="E479" t="inlineStr">
        <is>
          <t xml:space="preserve">neighbors_list(D61,1,"hi",shape_tests!$Z$1)</t>
        </is>
      </c>
      <c r="F479" s="51" cm="1">
        <f t="array" ref="F479">_xlfn.LET(_xlpm.a,neighbors_list('neighbors_list'!D61,1,"hi"),_xlpm.b,neighbors_list('neighbors_list'!D61,1,"hi",shape_tests!$Z$1),_xlpm.sa,IFERROR(ROWS(_xlpm.a)&amp;"x"&amp;COLUMNS(_xlpm.a),"err"),_xlpm.sb,IFERROR(ROWS(_xlpm.b)&amp;"x"&amp;COLUMNS(_xlpm.b),"err"),IF(_xlpm.sa&lt;&gt;_xlpm.sb,"FAIL",IF(_xlpm.sa="err",IF(ERROR.TYPE(_xlpm.a)=ERROR.TYPE(_xlpm.b),"PASS","FAIL"),IF(AND(IFERROR(_xlpm.a=_xlpm.b,IFERROR(ERROR.TYPE(_xlpm.a)=ERROR.TYPE(_xlpm.b),FALSE))),"PASS","FAIL"))))</f>
        <v>0</v>
      </c>
    </row>
    <row r="480">
      <c r="A480">
        <v>475</v>
      </c>
      <c r="B480" s="55" t="inlineStr">
        <is>
          <t xml:space="preserve">neighbors_list</t>
        </is>
      </c>
      <c r="C480" t="inlineStr">
        <is>
          <t xml:space="preserve">neighbors_list!J63</t>
        </is>
      </c>
      <c r="D480" s="51" t="inlineStr">
        <is>
          <t xml:space="preserve">tocol</t>
        </is>
      </c>
      <c r="E480" t="inlineStr">
        <is>
          <t xml:space="preserve">neighbors_list(TOCOL(D63),TOCOL(1),$S$1)</t>
        </is>
      </c>
      <c r="F480" s="51" cm="1">
        <f t="array" ref="F480">_xlfn.LET(_xlpm.a,neighbors_list('neighbors_list'!D63,1,'neighbors_list'!$S$1),_xlpm.b,neighbors_list(_xlfn.TOCOL('neighbors_list'!D63),_xlfn.TOCOL(1),'neighbors_list'!$S$1),_xlpm.sa,IFERROR(ROWS(_xlpm.a)&amp;"x"&amp;COLUMNS(_xlpm.a),"err"),_xlpm.sb,IFERROR(ROWS(_xlpm.b)&amp;"x"&amp;COLUMNS(_xlpm.b),"err"),IF(_xlpm.sa&lt;&gt;_xlpm.sb,"FAIL",IF(_xlpm.sa="err",IF(ERROR.TYPE(_xlpm.a)=ERROR.TYPE(_xlpm.b),"PASS","FAIL"),IF(AND(IFERROR(_xlpm.a=_xlpm.b,IFERROR(ERROR.TYPE(_xlpm.a)=ERROR.TYPE(_xlpm.b),FALSE))),"PASS","FAIL"))))</f>
        <v>0</v>
      </c>
    </row>
    <row r="481">
      <c r="A481">
        <v>476</v>
      </c>
      <c r="B481" s="55" t="inlineStr">
        <is>
          <t xml:space="preserve">neighbors_list</t>
        </is>
      </c>
      <c r="C481" t="inlineStr">
        <is>
          <t xml:space="preserve">neighbors_list!J63</t>
        </is>
      </c>
      <c r="D481" s="51" t="inlineStr">
        <is>
          <t xml:space="preserve">cellref</t>
        </is>
      </c>
      <c r="E481" t="inlineStr">
        <is>
          <t xml:space="preserve">neighbors_list(D63,shape_tests!$H$481,$S$1)</t>
        </is>
      </c>
      <c r="F481" s="51" cm="1">
        <f t="array" ref="F481">_xlfn.LET(_xlpm.a,neighbors_list('neighbors_list'!D63,1,'neighbors_list'!$S$1),_xlpm.b,neighbors_list('neighbors_list'!D63,shape_tests!$H$481,'neighbors_list'!$S$1),_xlpm.sa,IFERROR(ROWS(_xlpm.a)&amp;"x"&amp;COLUMNS(_xlpm.a),"err"),_xlpm.sb,IFERROR(ROWS(_xlpm.b)&amp;"x"&amp;COLUMNS(_xlpm.b),"err"),IF(_xlpm.sa&lt;&gt;_xlpm.sb,"FAIL",IF(_xlpm.sa="err",IF(ERROR.TYPE(_xlpm.a)=ERROR.TYPE(_xlpm.b),"PASS","FAIL"),IF(AND(IFERROR(_xlpm.a=_xlpm.b,IFERROR(ERROR.TYPE(_xlpm.a)=ERROR.TYPE(_xlpm.b),FALSE))),"PASS","FAIL"))))</f>
        <v>0</v>
      </c>
      <c r="H481">
        <v>1.0</v>
      </c>
    </row>
    <row r="482">
      <c r="A482">
        <v>477</v>
      </c>
      <c r="B482" s="55" t="inlineStr">
        <is>
          <t xml:space="preserve">neighbors_list</t>
        </is>
      </c>
      <c r="C482" t="inlineStr">
        <is>
          <t xml:space="preserve">neighbors_list!J63</t>
        </is>
      </c>
      <c r="D482" s="51" t="inlineStr">
        <is>
          <t xml:space="preserve">textnum</t>
        </is>
      </c>
      <c r="E482" t="inlineStr">
        <is>
          <t xml:space="preserve">neighbors_list(D63,"1",$S$1)</t>
        </is>
      </c>
      <c r="F482" s="51" cm="1">
        <f t="array" ref="F482">_xlfn.LET(_xlpm.a,neighbors_list('neighbors_list'!D63,1,'neighbors_list'!$S$1),_xlpm.b,neighbors_list('neighbors_list'!D63,"1",'neighbors_list'!$S$1),_xlpm.sa,IFERROR(ROWS(_xlpm.a)&amp;"x"&amp;COLUMNS(_xlpm.a),"err"),_xlpm.sb,IFERROR(ROWS(_xlpm.b)&amp;"x"&amp;COLUMNS(_xlpm.b),"err"),IF(_xlpm.sa&lt;&gt;_xlpm.sb,"FAIL",IF(_xlpm.sa="err",IF(ERROR.TYPE(_xlpm.a)=ERROR.TYPE(_xlpm.b),"PASS","FAIL"),IF(AND(IFERROR(_xlpm.a=_xlpm.b,IFERROR(ERROR.TYPE(_xlpm.a)=ERROR.TYPE(_xlpm.b),FALSE))),"PASS","FAIL"))))</f>
        <v>0</v>
      </c>
    </row>
    <row r="483">
      <c r="A483">
        <v>478</v>
      </c>
      <c r="B483" s="55" t="inlineStr">
        <is>
          <t xml:space="preserve">neighbors_list</t>
        </is>
      </c>
      <c r="C483" t="inlineStr">
        <is>
          <t xml:space="preserve">neighbors_list!J63</t>
        </is>
      </c>
      <c r="D483" s="51" t="inlineStr">
        <is>
          <t xml:space="preserve">blank</t>
        </is>
      </c>
      <c r="E483" t="inlineStr">
        <is>
          <t xml:space="preserve">neighbors_list(D63,1,$S$1,shape_tests!$Z$1)</t>
        </is>
      </c>
      <c r="F483" s="51" cm="1">
        <f t="array" ref="F483">_xlfn.LET(_xlpm.a,neighbors_list('neighbors_list'!D63,1,'neighbors_list'!$S$1),_xlpm.b,neighbors_list('neighbors_list'!D63,1,'neighbors_list'!$S$1,shape_tests!$Z$1),_xlpm.sa,IFERROR(ROWS(_xlpm.a)&amp;"x"&amp;COLUMNS(_xlpm.a),"err"),_xlpm.sb,IFERROR(ROWS(_xlpm.b)&amp;"x"&amp;COLUMNS(_xlpm.b),"err"),IF(_xlpm.sa&lt;&gt;_xlpm.sb,"FAIL",IF(_xlpm.sa="err",IF(ERROR.TYPE(_xlpm.a)=ERROR.TYPE(_xlpm.b),"PASS","FAIL"),IF(AND(IFERROR(_xlpm.a=_xlpm.b,IFERROR(ERROR.TYPE(_xlpm.a)=ERROR.TYPE(_xlpm.b),FALSE))),"PASS","FAIL"))))</f>
        <v>0</v>
      </c>
    </row>
    <row r="484">
      <c r="A484">
        <v>479</v>
      </c>
      <c r="B484" s="55" t="inlineStr">
        <is>
          <t xml:space="preserve">neighbors_list</t>
        </is>
      </c>
      <c r="C484" t="inlineStr">
        <is>
          <t xml:space="preserve">neighbors_list!J65</t>
        </is>
      </c>
      <c r="D484" s="51" t="inlineStr">
        <is>
          <t xml:space="preserve">tocol</t>
        </is>
      </c>
      <c r="E484" t="inlineStr">
        <is>
          <t xml:space="preserve">neighbors_list(TOCOL(D65),TOCOL(1),F65)</t>
        </is>
      </c>
      <c r="F484" s="51" cm="1">
        <f t="array" ref="F484">_xlfn.LET(_xlpm.a,neighbors_list('neighbors_list'!D65,1,'neighbors_list'!F65),_xlpm.b,neighbors_list(_xlfn.TOCOL('neighbors_list'!D65),_xlfn.TOCOL(1),'neighbors_list'!F65),_xlpm.sa,IFERROR(ROWS(_xlpm.a)&amp;"x"&amp;COLUMNS(_xlpm.a),"err"),_xlpm.sb,IFERROR(ROWS(_xlpm.b)&amp;"x"&amp;COLUMNS(_xlpm.b),"err"),IF(_xlpm.sa&lt;&gt;_xlpm.sb,"FAIL",IF(_xlpm.sa="err",IF(ERROR.TYPE(_xlpm.a)=ERROR.TYPE(_xlpm.b),"PASS","FAIL"),IF(AND(IFERROR(_xlpm.a=_xlpm.b,IFERROR(ERROR.TYPE(_xlpm.a)=ERROR.TYPE(_xlpm.b),FALSE))),"PASS","FAIL"))))</f>
        <v>0</v>
      </c>
    </row>
    <row r="485">
      <c r="A485">
        <v>480</v>
      </c>
      <c r="B485" s="55" t="inlineStr">
        <is>
          <t xml:space="preserve">neighbors_list</t>
        </is>
      </c>
      <c r="C485" t="inlineStr">
        <is>
          <t xml:space="preserve">neighbors_list!J65</t>
        </is>
      </c>
      <c r="D485" s="51" t="inlineStr">
        <is>
          <t xml:space="preserve">cellref</t>
        </is>
      </c>
      <c r="E485" t="inlineStr">
        <is>
          <t xml:space="preserve">neighbors_list(D65,shape_tests!$H$485,F65)</t>
        </is>
      </c>
      <c r="F485" s="51" cm="1">
        <f t="array" ref="F485">_xlfn.LET(_xlpm.a,neighbors_list('neighbors_list'!D65,1,'neighbors_list'!F65),_xlpm.b,neighbors_list('neighbors_list'!D65,shape_tests!$H$485,'neighbors_list'!F65),_xlpm.sa,IFERROR(ROWS(_xlpm.a)&amp;"x"&amp;COLUMNS(_xlpm.a),"err"),_xlpm.sb,IFERROR(ROWS(_xlpm.b)&amp;"x"&amp;COLUMNS(_xlpm.b),"err"),IF(_xlpm.sa&lt;&gt;_xlpm.sb,"FAIL",IF(_xlpm.sa="err",IF(ERROR.TYPE(_xlpm.a)=ERROR.TYPE(_xlpm.b),"PASS","FAIL"),IF(AND(IFERROR(_xlpm.a=_xlpm.b,IFERROR(ERROR.TYPE(_xlpm.a)=ERROR.TYPE(_xlpm.b),FALSE))),"PASS","FAIL"))))</f>
        <v>0</v>
      </c>
      <c r="H485">
        <v>1.0</v>
      </c>
    </row>
    <row r="486">
      <c r="A486">
        <v>481</v>
      </c>
      <c r="B486" s="55" t="inlineStr">
        <is>
          <t xml:space="preserve">neighbors_list</t>
        </is>
      </c>
      <c r="C486" t="inlineStr">
        <is>
          <t xml:space="preserve">neighbors_list!J65</t>
        </is>
      </c>
      <c r="D486" s="51" t="inlineStr">
        <is>
          <t xml:space="preserve">textnum</t>
        </is>
      </c>
      <c r="E486" t="inlineStr">
        <is>
          <t xml:space="preserve">neighbors_list(D65,"1",F65)</t>
        </is>
      </c>
      <c r="F486" s="51" cm="1">
        <f t="array" ref="F486">_xlfn.LET(_xlpm.a,neighbors_list('neighbors_list'!D65,1,'neighbors_list'!F65),_xlpm.b,neighbors_list('neighbors_list'!D65,"1",'neighbors_list'!F65),_xlpm.sa,IFERROR(ROWS(_xlpm.a)&amp;"x"&amp;COLUMNS(_xlpm.a),"err"),_xlpm.sb,IFERROR(ROWS(_xlpm.b)&amp;"x"&amp;COLUMNS(_xlpm.b),"err"),IF(_xlpm.sa&lt;&gt;_xlpm.sb,"FAIL",IF(_xlpm.sa="err",IF(ERROR.TYPE(_xlpm.a)=ERROR.TYPE(_xlpm.b),"PASS","FAIL"),IF(AND(IFERROR(_xlpm.a=_xlpm.b,IFERROR(ERROR.TYPE(_xlpm.a)=ERROR.TYPE(_xlpm.b),FALSE))),"PASS","FAIL"))))</f>
        <v>0</v>
      </c>
    </row>
    <row r="487">
      <c r="A487">
        <v>482</v>
      </c>
      <c r="B487" s="55" t="inlineStr">
        <is>
          <t xml:space="preserve">neighbors_list</t>
        </is>
      </c>
      <c r="C487" t="inlineStr">
        <is>
          <t xml:space="preserve">neighbors_list!J65</t>
        </is>
      </c>
      <c r="D487" s="51" t="inlineStr">
        <is>
          <t xml:space="preserve">blank</t>
        </is>
      </c>
      <c r="E487" t="inlineStr">
        <is>
          <t xml:space="preserve">neighbors_list(D65,1,F65,shape_tests!$Z$1)</t>
        </is>
      </c>
      <c r="F487" s="51" cm="1">
        <f t="array" ref="F487">_xlfn.LET(_xlpm.a,neighbors_list('neighbors_list'!D65,1,'neighbors_list'!F65),_xlpm.b,neighbors_list('neighbors_list'!D65,1,'neighbors_list'!F65,shape_tests!$Z$1),_xlpm.sa,IFERROR(ROWS(_xlpm.a)&amp;"x"&amp;COLUMNS(_xlpm.a),"err"),_xlpm.sb,IFERROR(ROWS(_xlpm.b)&amp;"x"&amp;COLUMNS(_xlpm.b),"err"),IF(_xlpm.sa&lt;&gt;_xlpm.sb,"FAIL",IF(_xlpm.sa="err",IF(ERROR.TYPE(_xlpm.a)=ERROR.TYPE(_xlpm.b),"PASS","FAIL"),IF(AND(IFERROR(_xlpm.a=_xlpm.b,IFERROR(ERROR.TYPE(_xlpm.a)=ERROR.TYPE(_xlpm.b),FALSE))),"PASS","FAIL"))))</f>
        <v>0</v>
      </c>
    </row>
    <row r="488">
      <c r="A488">
        <v>483</v>
      </c>
      <c r="B488" s="55" t="inlineStr">
        <is>
          <t xml:space="preserve">neighbors_list</t>
        </is>
      </c>
      <c r="C488" t="inlineStr">
        <is>
          <t xml:space="preserve">neighbors_list!J67</t>
        </is>
      </c>
      <c r="D488" s="51" t="inlineStr">
        <is>
          <t xml:space="preserve">tocol</t>
        </is>
      </c>
      <c r="E488" t="inlineStr">
        <is>
          <t xml:space="preserve">neighbors_list(TOCOL(D67),TOCOL(F67))</t>
        </is>
      </c>
      <c r="F488" s="51" cm="1">
        <f t="array" ref="F488">_xlfn.LET(_xlpm.a,neighbors_list('neighbors_list'!D67,_xlfn.TOCOL('neighbors_list'!F67)),_xlpm.b,neighbors_list(_xlfn.TOCOL('neighbors_list'!D67),_xlfn.TOCOL('neighbors_list'!F67)),_xlpm.sa,IFERROR(ROWS(_xlpm.a)&amp;"x"&amp;COLUMNS(_xlpm.a),"err"),_xlpm.sb,IFERROR(ROWS(_xlpm.b)&amp;"x"&amp;COLUMNS(_xlpm.b),"err"),IF(_xlpm.sa&lt;&gt;_xlpm.sb,"FAIL",IF(_xlpm.sa="err",IF(ERROR.TYPE(_xlpm.a)=ERROR.TYPE(_xlpm.b),"PASS","FAIL"),IF(AND(IFERROR(_xlpm.a=_xlpm.b,IFERROR(ERROR.TYPE(_xlpm.a)=ERROR.TYPE(_xlpm.b),FALSE))),"PASS","FAIL"))))</f>
        <v>0</v>
      </c>
    </row>
    <row r="489">
      <c r="A489">
        <v>484</v>
      </c>
      <c r="B489" s="55" t="inlineStr">
        <is>
          <t xml:space="preserve">neighbors_list</t>
        </is>
      </c>
      <c r="C489" t="inlineStr">
        <is>
          <t xml:space="preserve">neighbors_list!J67</t>
        </is>
      </c>
      <c r="D489" s="51" t="inlineStr">
        <is>
          <t xml:space="preserve">blank</t>
        </is>
      </c>
      <c r="E489" t="inlineStr">
        <is>
          <t xml:space="preserve">neighbors_list(D67,TOCOL(F67),shape_tests!$Z$1,shape_tests!$Z$1)</t>
        </is>
      </c>
      <c r="F489" s="51" cm="1">
        <f t="array" ref="F489">_xlfn.LET(_xlpm.a,neighbors_list('neighbors_list'!D67,_xlfn.TOCOL('neighbors_list'!F67)),_xlpm.b,neighbors_list('neighbors_list'!D67,_xlfn.TOCOL('neighbors_list'!F67),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490">
      <c r="A490">
        <v>485</v>
      </c>
      <c r="B490" s="55" t="inlineStr">
        <is>
          <t xml:space="preserve">num_ad</t>
        </is>
      </c>
      <c r="C490" t="inlineStr">
        <is>
          <t xml:space="preserve">num_ad!H6</t>
        </is>
      </c>
      <c r="D490" s="51" t="inlineStr">
        <is>
          <t xml:space="preserve">tocol</t>
        </is>
      </c>
      <c r="E490" t="inlineStr">
        <is>
          <t xml:space="preserve">num_ad(TOCOL(D6))</t>
        </is>
      </c>
      <c r="F490" s="51" cm="1">
        <f t="array" ref="F490">_xlfn.LET(_xlpm.a,num_ad('num_ad'!D6),_xlpm.b,num_ad(_xlfn.TOCOL('num_ad'!D6)),_xlpm.sa,IFERROR(ROWS(_xlpm.a)&amp;"x"&amp;COLUMNS(_xlpm.a),"err"),_xlpm.sb,IFERROR(ROWS(_xlpm.b)&amp;"x"&amp;COLUMNS(_xlpm.b),"err"),IF(_xlpm.sa&lt;&gt;_xlpm.sb,"FAIL",IF(_xlpm.sa="err",IF(ERROR.TYPE(_xlpm.a)=ERROR.TYPE(_xlpm.b),"PASS","FAIL"),IF(AND(IFERROR(_xlpm.a=_xlpm.b,IFERROR(ERROR.TYPE(_xlpm.a)=ERROR.TYPE(_xlpm.b),FALSE))),"PASS","FAIL"))))</f>
        <v>0</v>
      </c>
    </row>
    <row r="491">
      <c r="A491">
        <v>486</v>
      </c>
      <c r="B491" s="55" t="inlineStr">
        <is>
          <t xml:space="preserve">num_ad</t>
        </is>
      </c>
      <c r="C491" t="inlineStr">
        <is>
          <t xml:space="preserve">num_ad!H8</t>
        </is>
      </c>
      <c r="D491" s="51" t="inlineStr">
        <is>
          <t xml:space="preserve">tocol</t>
        </is>
      </c>
      <c r="E491" t="inlineStr">
        <is>
          <t xml:space="preserve">num_ad(TOCOL(D8))</t>
        </is>
      </c>
      <c r="F491" s="51" cm="1">
        <f t="array" ref="F491">_xlfn.LET(_xlpm.a,num_ad('num_ad'!D8),_xlpm.b,num_ad(_xlfn.TOCOL('num_ad'!D8)),_xlpm.sa,IFERROR(ROWS(_xlpm.a)&amp;"x"&amp;COLUMNS(_xlpm.a),"err"),_xlpm.sb,IFERROR(ROWS(_xlpm.b)&amp;"x"&amp;COLUMNS(_xlpm.b),"err"),IF(_xlpm.sa&lt;&gt;_xlpm.sb,"FAIL",IF(_xlpm.sa="err",IF(ERROR.TYPE(_xlpm.a)=ERROR.TYPE(_xlpm.b),"PASS","FAIL"),IF(AND(IFERROR(_xlpm.a=_xlpm.b,IFERROR(ERROR.TYPE(_xlpm.a)=ERROR.TYPE(_xlpm.b),FALSE))),"PASS","FAIL"))))</f>
        <v>0</v>
      </c>
    </row>
    <row r="492">
      <c r="A492">
        <v>487</v>
      </c>
      <c r="B492" s="55" t="inlineStr">
        <is>
          <t xml:space="preserve">num_ad</t>
        </is>
      </c>
      <c r="C492" t="inlineStr">
        <is>
          <t xml:space="preserve">num_ad!H8</t>
        </is>
      </c>
      <c r="D492" s="51" t="inlineStr">
        <is>
          <t xml:space="preserve">textnum</t>
        </is>
      </c>
      <c r="E492" t="inlineStr">
        <is>
          <t xml:space="preserve">num_ad((D8&amp;""))</t>
        </is>
      </c>
      <c r="F492" s="51" cm="1">
        <f t="array" ref="F492">_xlfn.LET(_xlpm.a,num_ad('num_ad'!D8),_xlpm.b,num_ad(('num_ad'!D8&amp;"")),_xlpm.sa,IFERROR(ROWS(_xlpm.a)&amp;"x"&amp;COLUMNS(_xlpm.a),"err"),_xlpm.sb,IFERROR(ROWS(_xlpm.b)&amp;"x"&amp;COLUMNS(_xlpm.b),"err"),IF(_xlpm.sa&lt;&gt;_xlpm.sb,"FAIL",IF(_xlpm.sa="err",IF(ERROR.TYPE(_xlpm.a)=ERROR.TYPE(_xlpm.b),"PASS","FAIL"),IF(AND(IFERROR(_xlpm.a=_xlpm.b,IFERROR(ERROR.TYPE(_xlpm.a)=ERROR.TYPE(_xlpm.b),FALSE))),"PASS","FAIL"))))</f>
        <v>0</v>
      </c>
    </row>
    <row r="493">
      <c r="A493">
        <v>488</v>
      </c>
      <c r="B493" s="55" t="inlineStr">
        <is>
          <t xml:space="preserve">num_ad</t>
        </is>
      </c>
      <c r="C493" t="inlineStr">
        <is>
          <t xml:space="preserve">num_ad!H10</t>
        </is>
      </c>
      <c r="D493" s="51" t="inlineStr">
        <is>
          <t xml:space="preserve">tocol</t>
        </is>
      </c>
      <c r="E493" t="inlineStr">
        <is>
          <t xml:space="preserve">num_ad(TOCOL(D10))</t>
        </is>
      </c>
      <c r="F493" s="51" cm="1">
        <f t="array" ref="F493">_xlfn.LET(_xlpm.a,num_ad('num_ad'!D10),_xlpm.b,num_ad(_xlfn.TOCOL('num_ad'!D10)),_xlpm.sa,IFERROR(ROWS(_xlpm.a)&amp;"x"&amp;COLUMNS(_xlpm.a),"err"),_xlpm.sb,IFERROR(ROWS(_xlpm.b)&amp;"x"&amp;COLUMNS(_xlpm.b),"err"),IF(_xlpm.sa&lt;&gt;_xlpm.sb,"FAIL",IF(_xlpm.sa="err",IF(ERROR.TYPE(_xlpm.a)=ERROR.TYPE(_xlpm.b),"PASS","FAIL"),IF(AND(IFERROR(_xlpm.a=_xlpm.b,IFERROR(ERROR.TYPE(_xlpm.a)=ERROR.TYPE(_xlpm.b),FALSE))),"PASS","FAIL"))))</f>
        <v>0</v>
      </c>
    </row>
    <row r="494">
      <c r="A494">
        <v>489</v>
      </c>
      <c r="B494" s="55" t="inlineStr">
        <is>
          <t xml:space="preserve">num_ad</t>
        </is>
      </c>
      <c r="C494" t="inlineStr">
        <is>
          <t xml:space="preserve">num_ad!H12</t>
        </is>
      </c>
      <c r="D494" s="51" t="inlineStr">
        <is>
          <t xml:space="preserve">tocol</t>
        </is>
      </c>
      <c r="E494" t="inlineStr">
        <is>
          <t xml:space="preserve">num_ad(TOCOL(D12))</t>
        </is>
      </c>
      <c r="F494" s="51" cm="1">
        <f t="array" ref="F494">_xlfn.LET(_xlpm.a,num_ad('num_ad'!D12),_xlpm.b,num_ad(_xlfn.TOCOL('num_ad'!D12)),_xlpm.sa,IFERROR(ROWS(_xlpm.a)&amp;"x"&amp;COLUMNS(_xlpm.a),"err"),_xlpm.sb,IFERROR(ROWS(_xlpm.b)&amp;"x"&amp;COLUMNS(_xlpm.b),"err"),IF(_xlpm.sa&lt;&gt;_xlpm.sb,"FAIL",IF(_xlpm.sa="err",IF(ERROR.TYPE(_xlpm.a)=ERROR.TYPE(_xlpm.b),"PASS","FAIL"),IF(AND(IFERROR(_xlpm.a=_xlpm.b,IFERROR(ERROR.TYPE(_xlpm.a)=ERROR.TYPE(_xlpm.b),FALSE))),"PASS","FAIL"))))</f>
        <v>0</v>
      </c>
    </row>
    <row r="495">
      <c r="A495">
        <v>490</v>
      </c>
      <c r="B495" s="55" t="inlineStr">
        <is>
          <t xml:space="preserve">num_ad</t>
        </is>
      </c>
      <c r="C495" t="inlineStr">
        <is>
          <t xml:space="preserve">num_ad!H14</t>
        </is>
      </c>
      <c r="D495" s="51" t="inlineStr">
        <is>
          <t xml:space="preserve">tocol</t>
        </is>
      </c>
      <c r="E495" t="inlineStr">
        <is>
          <t xml:space="preserve">num_ad(TOCOL(D14))</t>
        </is>
      </c>
      <c r="F495" s="51" cm="1">
        <f t="array" ref="F495">_xlfn.LET(_xlpm.a,num_ad('num_ad'!D14),_xlpm.b,num_ad(_xlfn.TOCOL('num_ad'!D14)),_xlpm.sa,IFERROR(ROWS(_xlpm.a)&amp;"x"&amp;COLUMNS(_xlpm.a),"err"),_xlpm.sb,IFERROR(ROWS(_xlpm.b)&amp;"x"&amp;COLUMNS(_xlpm.b),"err"),IF(_xlpm.sa&lt;&gt;_xlpm.sb,"FAIL",IF(_xlpm.sa="err",IF(ERROR.TYPE(_xlpm.a)=ERROR.TYPE(_xlpm.b),"PASS","FAIL"),IF(AND(IFERROR(_xlpm.a=_xlpm.b,IFERROR(ERROR.TYPE(_xlpm.a)=ERROR.TYPE(_xlpm.b),FALSE))),"PASS","FAIL"))))</f>
        <v>0</v>
      </c>
    </row>
    <row r="496">
      <c r="A496">
        <v>491</v>
      </c>
      <c r="B496" s="55" t="inlineStr">
        <is>
          <t xml:space="preserve">num_ad</t>
        </is>
      </c>
      <c r="C496" t="inlineStr">
        <is>
          <t xml:space="preserve">num_ad!H19</t>
        </is>
      </c>
      <c r="D496" s="51" t="inlineStr">
        <is>
          <t xml:space="preserve">tocol</t>
        </is>
      </c>
      <c r="E496" t="inlineStr">
        <is>
          <t xml:space="preserve">num_ad(TOCOL(D19))</t>
        </is>
      </c>
      <c r="F496" s="51" cm="1">
        <f t="array" ref="F496">_xlfn.LET(_xlpm.a,num_ad('num_ad'!D19),_xlpm.b,num_ad(_xlfn.TOCOL('num_ad'!D19)),_xlpm.sa,IFERROR(ROWS(_xlpm.a)&amp;"x"&amp;COLUMNS(_xlpm.a),"err"),_xlpm.sb,IFERROR(ROWS(_xlpm.b)&amp;"x"&amp;COLUMNS(_xlpm.b),"err"),IF(_xlpm.sa&lt;&gt;_xlpm.sb,"FAIL",IF(_xlpm.sa="err",IF(ERROR.TYPE(_xlpm.a)=ERROR.TYPE(_xlpm.b),"PASS","FAIL"),IF(AND(IFERROR(_xlpm.a=_xlpm.b,IFERROR(ERROR.TYPE(_xlpm.a)=ERROR.TYPE(_xlpm.b),FALSE))),"PASS","FAIL"))))</f>
        <v>0</v>
      </c>
    </row>
    <row r="497">
      <c r="A497">
        <v>492</v>
      </c>
      <c r="B497" s="55" t="inlineStr">
        <is>
          <t xml:space="preserve">num_ad</t>
        </is>
      </c>
      <c r="C497" t="inlineStr">
        <is>
          <t xml:space="preserve">num_ad!D21</t>
        </is>
      </c>
      <c r="D497" s="51" t="inlineStr">
        <is>
          <t xml:space="preserve">tocol</t>
        </is>
      </c>
      <c r="E497" t="inlineStr">
        <is>
          <t xml:space="preserve">num_ad(TOCOL(D21))</t>
        </is>
      </c>
      <c r="F497" s="51" cm="1">
        <f t="array" ref="F497">_xlfn.LET(_xlpm.a,num_ad('num_ad'!D21),_xlpm.b,num_ad(_xlfn.TOCOL('num_ad'!D21)),_xlpm.sa,IFERROR(ROWS(_xlpm.a)&amp;"x"&amp;COLUMNS(_xlpm.a),"err"),_xlpm.sb,IFERROR(ROWS(_xlpm.b)&amp;"x"&amp;COLUMNS(_xlpm.b),"err"),IF(_xlpm.sa&lt;&gt;_xlpm.sb,"FAIL",IF(_xlpm.sa="err",IF(ERROR.TYPE(_xlpm.a)=ERROR.TYPE(_xlpm.b),"PASS","FAIL"),IF(AND(IFERROR(_xlpm.a=_xlpm.b,IFERROR(ERROR.TYPE(_xlpm.a)=ERROR.TYPE(_xlpm.b),FALSE))),"PASS","FAIL"))))</f>
        <v>0</v>
      </c>
    </row>
    <row r="498">
      <c r="A498">
        <v>493</v>
      </c>
      <c r="B498" s="55" t="inlineStr">
        <is>
          <t xml:space="preserve">num_ad</t>
        </is>
      </c>
      <c r="C498" t="inlineStr">
        <is>
          <t xml:space="preserve">num_ad!H23</t>
        </is>
      </c>
      <c r="D498" s="51" t="inlineStr">
        <is>
          <t xml:space="preserve">tocol</t>
        </is>
      </c>
      <c r="E498" t="inlineStr">
        <is>
          <t xml:space="preserve">num_ad(TOCOL(D23))</t>
        </is>
      </c>
      <c r="F498" s="51" cm="1">
        <f t="array" ref="F498">_xlfn.LET(_xlpm.a,num_ad('num_ad'!D23),_xlpm.b,num_ad(_xlfn.TOCOL('num_ad'!D23)),_xlpm.sa,IFERROR(ROWS(_xlpm.a)&amp;"x"&amp;COLUMNS(_xlpm.a),"err"),_xlpm.sb,IFERROR(ROWS(_xlpm.b)&amp;"x"&amp;COLUMNS(_xlpm.b),"err"),IF(_xlpm.sa&lt;&gt;_xlpm.sb,"FAIL",IF(_xlpm.sa="err",IF(ERROR.TYPE(_xlpm.a)=ERROR.TYPE(_xlpm.b),"PASS","FAIL"),IF(AND(IFERROR(_xlpm.a=_xlpm.b,IFERROR(ERROR.TYPE(_xlpm.a)=ERROR.TYPE(_xlpm.b),FALSE))),"PASS","FAIL"))))</f>
        <v>0</v>
      </c>
    </row>
    <row r="499">
      <c r="A499">
        <v>494</v>
      </c>
      <c r="B499" s="55" t="inlineStr">
        <is>
          <t xml:space="preserve">num_ad</t>
        </is>
      </c>
      <c r="C499" t="inlineStr">
        <is>
          <t xml:space="preserve">num_ad!H25</t>
        </is>
      </c>
      <c r="D499" s="51" t="inlineStr">
        <is>
          <t xml:space="preserve">array</t>
        </is>
      </c>
      <c r="E499" t="inlineStr">
        <is>
          <t xml:space="preserve">num_ad(CHOOSEROWS(D25:D26,SEQUENCE(ROWS(D25:D26))))</t>
        </is>
      </c>
      <c r="F499" s="51" cm="1">
        <f t="array" ref="F499">_xlfn.LET(_xlpm.a,num_ad('num_ad'!D25:D26),_xlpm.b,num_ad(_xlfn.CHOOSEROWS('num_ad'!D25:D26,_xlfn.SEQUENCE(ROWS('num_ad'!D25:D26)))),_xlpm.sa,IFERROR(ROWS(_xlpm.a)&amp;"x"&amp;COLUMNS(_xlpm.a),"err"),_xlpm.sb,IFERROR(ROWS(_xlpm.b)&amp;"x"&amp;COLUMNS(_xlpm.b),"err"),IF(_xlpm.sa&lt;&gt;_xlpm.sb,"FAIL",IF(_xlpm.sa="err",IF(ERROR.TYPE(_xlpm.a)=ERROR.TYPE(_xlpm.b),"PASS","FAIL"),IF(AND(IFERROR(_xlpm.a=_xlpm.b,IFERROR(ERROR.TYPE(_xlpm.a)=ERROR.TYPE(_xlpm.b),FALSE))),"PASS","FAIL"))))</f>
        <v>0</v>
      </c>
    </row>
    <row r="500">
      <c r="A500">
        <v>495</v>
      </c>
      <c r="B500" s="55" t="inlineStr">
        <is>
          <t xml:space="preserve">offset_letter</t>
        </is>
      </c>
      <c r="C500" t="inlineStr">
        <is>
          <t xml:space="preserve">offset_letter!J6</t>
        </is>
      </c>
      <c r="D500" s="51" t="inlineStr">
        <is>
          <t xml:space="preserve">tocol</t>
        </is>
      </c>
      <c r="E500" t="inlineStr">
        <is>
          <t xml:space="preserve">offset_letter(TOCOL(D6),TOCOL(F6))</t>
        </is>
      </c>
      <c r="F500" s="51" cm="1">
        <f t="array" ref="F500">_xlfn.LET(_xlpm.a,offset_letter('offset_letter'!D6,'offset_letter'!F6),_xlpm.b,offset_letter(_xlfn.TOCOL('offset_letter'!D6),_xlfn.TOCOL('offset_letter'!F6)),_xlpm.sa,IFERROR(ROWS(_xlpm.a)&amp;"x"&amp;COLUMNS(_xlpm.a),"err"),_xlpm.sb,IFERROR(ROWS(_xlpm.b)&amp;"x"&amp;COLUMNS(_xlpm.b),"err"),IF(_xlpm.sa&lt;&gt;_xlpm.sb,"FAIL",IF(_xlpm.sa="err",IF(ERROR.TYPE(_xlpm.a)=ERROR.TYPE(_xlpm.b),"PASS","FAIL"),IF(AND(IFERROR(_xlpm.a=_xlpm.b,IFERROR(ERROR.TYPE(_xlpm.a)=ERROR.TYPE(_xlpm.b),FALSE))),"PASS","FAIL"))))</f>
        <v>0</v>
      </c>
    </row>
    <row r="501">
      <c r="A501">
        <v>496</v>
      </c>
      <c r="B501" s="55" t="inlineStr">
        <is>
          <t xml:space="preserve">offset_letter</t>
        </is>
      </c>
      <c r="C501" t="inlineStr">
        <is>
          <t xml:space="preserve">offset_letter!J6</t>
        </is>
      </c>
      <c r="D501" s="51" t="inlineStr">
        <is>
          <t xml:space="preserve">textnum</t>
        </is>
      </c>
      <c r="E501" t="inlineStr">
        <is>
          <t xml:space="preserve">offset_letter(D6,(F6&amp;""))</t>
        </is>
      </c>
      <c r="F501" s="51" cm="1">
        <f t="array" ref="F501">_xlfn.LET(_xlpm.a,offset_letter('offset_letter'!D6,'offset_letter'!F6),_xlpm.b,offset_letter('offset_letter'!D6,('offset_letter'!F6&amp;"")),_xlpm.sa,IFERROR(ROWS(_xlpm.a)&amp;"x"&amp;COLUMNS(_xlpm.a),"err"),_xlpm.sb,IFERROR(ROWS(_xlpm.b)&amp;"x"&amp;COLUMNS(_xlpm.b),"err"),IF(_xlpm.sa&lt;&gt;_xlpm.sb,"FAIL",IF(_xlpm.sa="err",IF(ERROR.TYPE(_xlpm.a)=ERROR.TYPE(_xlpm.b),"PASS","FAIL"),IF(AND(IFERROR(_xlpm.a=_xlpm.b,IFERROR(ERROR.TYPE(_xlpm.a)=ERROR.TYPE(_xlpm.b),FALSE))),"PASS","FAIL"))))</f>
        <v>0</v>
      </c>
    </row>
    <row r="502">
      <c r="A502">
        <v>497</v>
      </c>
      <c r="B502" s="55" t="inlineStr">
        <is>
          <t xml:space="preserve">offset_letter</t>
        </is>
      </c>
      <c r="C502" t="inlineStr">
        <is>
          <t xml:space="preserve">offset_letter!J8</t>
        </is>
      </c>
      <c r="D502" s="51" t="inlineStr">
        <is>
          <t xml:space="preserve">tocol</t>
        </is>
      </c>
      <c r="E502" t="inlineStr">
        <is>
          <t xml:space="preserve">offset_letter(TOCOL(D8),TOCOL(F8))</t>
        </is>
      </c>
      <c r="F502" s="51" cm="1">
        <f t="array" ref="F502">_xlfn.LET(_xlpm.a,offset_letter('offset_letter'!D8,'offset_letter'!F8),_xlpm.b,offset_letter(_xlfn.TOCOL('offset_letter'!D8),_xlfn.TOCOL('offset_letter'!F8)),_xlpm.sa,IFERROR(ROWS(_xlpm.a)&amp;"x"&amp;COLUMNS(_xlpm.a),"err"),_xlpm.sb,IFERROR(ROWS(_xlpm.b)&amp;"x"&amp;COLUMNS(_xlpm.b),"err"),IF(_xlpm.sa&lt;&gt;_xlpm.sb,"FAIL",IF(_xlpm.sa="err",IF(ERROR.TYPE(_xlpm.a)=ERROR.TYPE(_xlpm.b),"PASS","FAIL"),IF(AND(IFERROR(_xlpm.a=_xlpm.b,IFERROR(ERROR.TYPE(_xlpm.a)=ERROR.TYPE(_xlpm.b),FALSE))),"PASS","FAIL"))))</f>
        <v>0</v>
      </c>
    </row>
    <row r="503">
      <c r="A503">
        <v>498</v>
      </c>
      <c r="B503" s="55" t="inlineStr">
        <is>
          <t xml:space="preserve">offset_letter</t>
        </is>
      </c>
      <c r="C503" t="inlineStr">
        <is>
          <t xml:space="preserve">offset_letter!J8</t>
        </is>
      </c>
      <c r="D503" s="51" t="inlineStr">
        <is>
          <t xml:space="preserve">textnum</t>
        </is>
      </c>
      <c r="E503" t="inlineStr">
        <is>
          <t xml:space="preserve">offset_letter(D8,(F8&amp;""))</t>
        </is>
      </c>
      <c r="F503" s="51" cm="1">
        <f t="array" ref="F503">_xlfn.LET(_xlpm.a,offset_letter('offset_letter'!D8,'offset_letter'!F8),_xlpm.b,offset_letter('offset_letter'!D8,('offset_letter'!F8&amp;"")),_xlpm.sa,IFERROR(ROWS(_xlpm.a)&amp;"x"&amp;COLUMNS(_xlpm.a),"err"),_xlpm.sb,IFERROR(ROWS(_xlpm.b)&amp;"x"&amp;COLUMNS(_xlpm.b),"err"),IF(_xlpm.sa&lt;&gt;_xlpm.sb,"FAIL",IF(_xlpm.sa="err",IF(ERROR.TYPE(_xlpm.a)=ERROR.TYPE(_xlpm.b),"PASS","FAIL"),IF(AND(IFERROR(_xlpm.a=_xlpm.b,IFERROR(ERROR.TYPE(_xlpm.a)=ERROR.TYPE(_xlpm.b),FALSE))),"PASS","FAIL"))))</f>
        <v>0</v>
      </c>
    </row>
    <row r="504">
      <c r="A504">
        <v>499</v>
      </c>
      <c r="B504" s="55" t="inlineStr">
        <is>
          <t xml:space="preserve">offset_letter</t>
        </is>
      </c>
      <c r="C504" t="inlineStr">
        <is>
          <t xml:space="preserve">offset_letter!J10</t>
        </is>
      </c>
      <c r="D504" s="51" t="inlineStr">
        <is>
          <t xml:space="preserve">tocol</t>
        </is>
      </c>
      <c r="E504" t="inlineStr">
        <is>
          <t xml:space="preserve">offset_letter(TOCOL(D10),TOCOL(F10))</t>
        </is>
      </c>
      <c r="F504" s="51" cm="1">
        <f t="array" ref="F504">_xlfn.LET(_xlpm.a,offset_letter('offset_letter'!D10,'offset_letter'!F10),_xlpm.b,offset_letter(_xlfn.TOCOL('offset_letter'!D10),_xlfn.TOCOL('offset_letter'!F10)),_xlpm.sa,IFERROR(ROWS(_xlpm.a)&amp;"x"&amp;COLUMNS(_xlpm.a),"err"),_xlpm.sb,IFERROR(ROWS(_xlpm.b)&amp;"x"&amp;COLUMNS(_xlpm.b),"err"),IF(_xlpm.sa&lt;&gt;_xlpm.sb,"FAIL",IF(_xlpm.sa="err",IF(ERROR.TYPE(_xlpm.a)=ERROR.TYPE(_xlpm.b),"PASS","FAIL"),IF(AND(IFERROR(_xlpm.a=_xlpm.b,IFERROR(ERROR.TYPE(_xlpm.a)=ERROR.TYPE(_xlpm.b),FALSE))),"PASS","FAIL"))))</f>
        <v>0</v>
      </c>
    </row>
    <row r="505">
      <c r="A505">
        <v>500</v>
      </c>
      <c r="B505" s="55" t="inlineStr">
        <is>
          <t xml:space="preserve">offset_letter</t>
        </is>
      </c>
      <c r="C505" t="inlineStr">
        <is>
          <t xml:space="preserve">offset_letter!J10</t>
        </is>
      </c>
      <c r="D505" s="51" t="inlineStr">
        <is>
          <t xml:space="preserve">textnum</t>
        </is>
      </c>
      <c r="E505" t="inlineStr">
        <is>
          <t xml:space="preserve">offset_letter(D10,(F10&amp;""))</t>
        </is>
      </c>
      <c r="F505" s="51" cm="1">
        <f t="array" ref="F505">_xlfn.LET(_xlpm.a,offset_letter('offset_letter'!D10,'offset_letter'!F10),_xlpm.b,offset_letter('offset_letter'!D10,('offset_letter'!F10&amp;"")),_xlpm.sa,IFERROR(ROWS(_xlpm.a)&amp;"x"&amp;COLUMNS(_xlpm.a),"err"),_xlpm.sb,IFERROR(ROWS(_xlpm.b)&amp;"x"&amp;COLUMNS(_xlpm.b),"err"),IF(_xlpm.sa&lt;&gt;_xlpm.sb,"FAIL",IF(_xlpm.sa="err",IF(ERROR.TYPE(_xlpm.a)=ERROR.TYPE(_xlpm.b),"PASS","FAIL"),IF(AND(IFERROR(_xlpm.a=_xlpm.b,IFERROR(ERROR.TYPE(_xlpm.a)=ERROR.TYPE(_xlpm.b),FALSE))),"PASS","FAIL"))))</f>
        <v>0</v>
      </c>
    </row>
    <row r="506">
      <c r="A506">
        <v>501</v>
      </c>
      <c r="B506" s="55" t="inlineStr">
        <is>
          <t xml:space="preserve">offset_letter</t>
        </is>
      </c>
      <c r="C506" t="inlineStr">
        <is>
          <t xml:space="preserve">offset_letter!J12</t>
        </is>
      </c>
      <c r="D506" s="51" t="inlineStr">
        <is>
          <t xml:space="preserve">tocol</t>
        </is>
      </c>
      <c r="E506" t="inlineStr">
        <is>
          <t xml:space="preserve">offset_letter(TOCOL(D12),TOCOL(F12))</t>
        </is>
      </c>
      <c r="F506" s="51" cm="1">
        <f t="array" ref="F506">_xlfn.LET(_xlpm.a,offset_letter('offset_letter'!D12,'offset_letter'!F12),_xlpm.b,offset_letter(_xlfn.TOCOL('offset_letter'!D12),_xlfn.TOCOL('offset_letter'!F12)),_xlpm.sa,IFERROR(ROWS(_xlpm.a)&amp;"x"&amp;COLUMNS(_xlpm.a),"err"),_xlpm.sb,IFERROR(ROWS(_xlpm.b)&amp;"x"&amp;COLUMNS(_xlpm.b),"err"),IF(_xlpm.sa&lt;&gt;_xlpm.sb,"FAIL",IF(_xlpm.sa="err",IF(ERROR.TYPE(_xlpm.a)=ERROR.TYPE(_xlpm.b),"PASS","FAIL"),IF(AND(IFERROR(_xlpm.a=_xlpm.b,IFERROR(ERROR.TYPE(_xlpm.a)=ERROR.TYPE(_xlpm.b),FALSE))),"PASS","FAIL"))))</f>
        <v>0</v>
      </c>
    </row>
    <row r="507">
      <c r="A507">
        <v>502</v>
      </c>
      <c r="B507" s="55" t="inlineStr">
        <is>
          <t xml:space="preserve">offset_letter</t>
        </is>
      </c>
      <c r="C507" t="inlineStr">
        <is>
          <t xml:space="preserve">offset_letter!J12</t>
        </is>
      </c>
      <c r="D507" s="51" t="inlineStr">
        <is>
          <t xml:space="preserve">textnum</t>
        </is>
      </c>
      <c r="E507" t="inlineStr">
        <is>
          <t xml:space="preserve">offset_letter(D12,(F12&amp;""))</t>
        </is>
      </c>
      <c r="F507" s="51" cm="1">
        <f t="array" ref="F507">_xlfn.LET(_xlpm.a,offset_letter('offset_letter'!D12,'offset_letter'!F12),_xlpm.b,offset_letter('offset_letter'!D12,('offset_letter'!F12&amp;"")),_xlpm.sa,IFERROR(ROWS(_xlpm.a)&amp;"x"&amp;COLUMNS(_xlpm.a),"err"),_xlpm.sb,IFERROR(ROWS(_xlpm.b)&amp;"x"&amp;COLUMNS(_xlpm.b),"err"),IF(_xlpm.sa&lt;&gt;_xlpm.sb,"FAIL",IF(_xlpm.sa="err",IF(ERROR.TYPE(_xlpm.a)=ERROR.TYPE(_xlpm.b),"PASS","FAIL"),IF(AND(IFERROR(_xlpm.a=_xlpm.b,IFERROR(ERROR.TYPE(_xlpm.a)=ERROR.TYPE(_xlpm.b),FALSE))),"PASS","FAIL"))))</f>
        <v>0</v>
      </c>
    </row>
    <row r="508">
      <c r="A508">
        <v>503</v>
      </c>
      <c r="B508" s="55" t="inlineStr">
        <is>
          <t xml:space="preserve">offset_letter</t>
        </is>
      </c>
      <c r="C508" t="inlineStr">
        <is>
          <t xml:space="preserve">offset_letter!J14</t>
        </is>
      </c>
      <c r="D508" s="51" t="inlineStr">
        <is>
          <t xml:space="preserve">tocol</t>
        </is>
      </c>
      <c r="E508" t="inlineStr">
        <is>
          <t xml:space="preserve">offset_letter(TOCOL(D14),TOCOL(F14))</t>
        </is>
      </c>
      <c r="F508" s="51" cm="1">
        <f t="array" ref="F508">_xlfn.LET(_xlpm.a,offset_letter('offset_letter'!D14,'offset_letter'!F14),_xlpm.b,offset_letter(_xlfn.TOCOL('offset_letter'!D14),_xlfn.TOCOL('offset_letter'!F14)),_xlpm.sa,IFERROR(ROWS(_xlpm.a)&amp;"x"&amp;COLUMNS(_xlpm.a),"err"),_xlpm.sb,IFERROR(ROWS(_xlpm.b)&amp;"x"&amp;COLUMNS(_xlpm.b),"err"),IF(_xlpm.sa&lt;&gt;_xlpm.sb,"FAIL",IF(_xlpm.sa="err",IF(ERROR.TYPE(_xlpm.a)=ERROR.TYPE(_xlpm.b),"PASS","FAIL"),IF(AND(IFERROR(_xlpm.a=_xlpm.b,IFERROR(ERROR.TYPE(_xlpm.a)=ERROR.TYPE(_xlpm.b),FALSE))),"PASS","FAIL"))))</f>
        <v>0</v>
      </c>
    </row>
    <row r="509">
      <c r="A509">
        <v>504</v>
      </c>
      <c r="B509" s="55" t="inlineStr">
        <is>
          <t xml:space="preserve">offset_letter</t>
        </is>
      </c>
      <c r="C509" t="inlineStr">
        <is>
          <t xml:space="preserve">offset_letter!J14</t>
        </is>
      </c>
      <c r="D509" s="51" t="inlineStr">
        <is>
          <t xml:space="preserve">textnum</t>
        </is>
      </c>
      <c r="E509" t="inlineStr">
        <is>
          <t xml:space="preserve">offset_letter(D14,(F14&amp;""))</t>
        </is>
      </c>
      <c r="F509" s="51" cm="1">
        <f t="array" ref="F509">_xlfn.LET(_xlpm.a,offset_letter('offset_letter'!D14,'offset_letter'!F14),_xlpm.b,offset_letter('offset_letter'!D14,('offset_letter'!F14&amp;"")),_xlpm.sa,IFERROR(ROWS(_xlpm.a)&amp;"x"&amp;COLUMNS(_xlpm.a),"err"),_xlpm.sb,IFERROR(ROWS(_xlpm.b)&amp;"x"&amp;COLUMNS(_xlpm.b),"err"),IF(_xlpm.sa&lt;&gt;_xlpm.sb,"FAIL",IF(_xlpm.sa="err",IF(ERROR.TYPE(_xlpm.a)=ERROR.TYPE(_xlpm.b),"PASS","FAIL"),IF(AND(IFERROR(_xlpm.a=_xlpm.b,IFERROR(ERROR.TYPE(_xlpm.a)=ERROR.TYPE(_xlpm.b),FALSE))),"PASS","FAIL"))))</f>
        <v>0</v>
      </c>
    </row>
    <row r="510">
      <c r="A510">
        <v>505</v>
      </c>
      <c r="B510" s="55" t="inlineStr">
        <is>
          <t xml:space="preserve">offset_letter</t>
        </is>
      </c>
      <c r="C510" t="inlineStr">
        <is>
          <t xml:space="preserve">offset_letter!J16</t>
        </is>
      </c>
      <c r="D510" s="51" t="inlineStr">
        <is>
          <t xml:space="preserve">tocol</t>
        </is>
      </c>
      <c r="E510" t="inlineStr">
        <is>
          <t xml:space="preserve">offset_letter(D16:D17,TOCOL(F16))</t>
        </is>
      </c>
      <c r="F510" s="51" cm="1">
        <f t="array" ref="F510">_xlfn.LET(_xlpm.a,offset_letter('offset_letter'!D16:D17,'offset_letter'!F16),_xlpm.b,offset_letter('offset_letter'!D16:D17,_xlfn.TOCOL('offset_letter'!F16)),_xlpm.sa,IFERROR(ROWS(_xlpm.a)&amp;"x"&amp;COLUMNS(_xlpm.a),"err"),_xlpm.sb,IFERROR(ROWS(_xlpm.b)&amp;"x"&amp;COLUMNS(_xlpm.b),"err"),IF(_xlpm.sa&lt;&gt;_xlpm.sb,"FAIL",IF(_xlpm.sa="err",IF(ERROR.TYPE(_xlpm.a)=ERROR.TYPE(_xlpm.b),"PASS","FAIL"),IF(AND(IFERROR(_xlpm.a=_xlpm.b,IFERROR(ERROR.TYPE(_xlpm.a)=ERROR.TYPE(_xlpm.b),FALSE))),"PASS","FAIL"))))</f>
        <v>0</v>
      </c>
    </row>
    <row r="511">
      <c r="A511">
        <v>506</v>
      </c>
      <c r="B511" s="55" t="inlineStr">
        <is>
          <t xml:space="preserve">offset_letter</t>
        </is>
      </c>
      <c r="C511" t="inlineStr">
        <is>
          <t xml:space="preserve">offset_letter!J16</t>
        </is>
      </c>
      <c r="D511" s="51" t="inlineStr">
        <is>
          <t xml:space="preserve">textnum</t>
        </is>
      </c>
      <c r="E511" t="inlineStr">
        <is>
          <t xml:space="preserve">offset_letter(D16:D17,(F16&amp;""))</t>
        </is>
      </c>
      <c r="F511" s="51" cm="1">
        <f t="array" ref="F511">_xlfn.LET(_xlpm.a,offset_letter('offset_letter'!D16:D17,'offset_letter'!F16),_xlpm.b,offset_letter('offset_letter'!D16:D17,('offset_letter'!F16&amp;"")),_xlpm.sa,IFERROR(ROWS(_xlpm.a)&amp;"x"&amp;COLUMNS(_xlpm.a),"err"),_xlpm.sb,IFERROR(ROWS(_xlpm.b)&amp;"x"&amp;COLUMNS(_xlpm.b),"err"),IF(_xlpm.sa&lt;&gt;_xlpm.sb,"FAIL",IF(_xlpm.sa="err",IF(ERROR.TYPE(_xlpm.a)=ERROR.TYPE(_xlpm.b),"PASS","FAIL"),IF(AND(IFERROR(_xlpm.a=_xlpm.b,IFERROR(ERROR.TYPE(_xlpm.a)=ERROR.TYPE(_xlpm.b),FALSE))),"PASS","FAIL"))))</f>
        <v>0</v>
      </c>
    </row>
    <row r="512">
      <c r="A512">
        <v>507</v>
      </c>
      <c r="B512" s="55" t="inlineStr">
        <is>
          <t xml:space="preserve">only_letters</t>
        </is>
      </c>
      <c r="C512" t="inlineStr">
        <is>
          <t xml:space="preserve">only_letters!H6</t>
        </is>
      </c>
      <c r="D512" s="51" t="inlineStr">
        <is>
          <t xml:space="preserve">tocol</t>
        </is>
      </c>
      <c r="E512" t="inlineStr">
        <is>
          <t xml:space="preserve">only_letters(TOCOL(D6))</t>
        </is>
      </c>
      <c r="F512" s="51" cm="1">
        <f t="array" ref="F512">_xlfn.LET(_xlpm.a,only_letters('only_letters'!D6),_xlpm.b,only_letters(_xlfn.TOCOL('only_letters'!D6)),_xlpm.sa,IFERROR(ROWS(_xlpm.a)&amp;"x"&amp;COLUMNS(_xlpm.a),"err"),_xlpm.sb,IFERROR(ROWS(_xlpm.b)&amp;"x"&amp;COLUMNS(_xlpm.b),"err"),IF(_xlpm.sa&lt;&gt;_xlpm.sb,"FAIL",IF(_xlpm.sa="err",IF(ERROR.TYPE(_xlpm.a)=ERROR.TYPE(_xlpm.b),"PASS","FAIL"),IF(AND(IFERROR(_xlpm.a=_xlpm.b,IFERROR(ERROR.TYPE(_xlpm.a)=ERROR.TYPE(_xlpm.b),FALSE))),"PASS","FAIL"))))</f>
        <v>0</v>
      </c>
    </row>
    <row r="513">
      <c r="A513">
        <v>508</v>
      </c>
      <c r="B513" s="55" t="inlineStr">
        <is>
          <t xml:space="preserve">only_letters</t>
        </is>
      </c>
      <c r="C513" t="inlineStr">
        <is>
          <t xml:space="preserve">only_letters!H8</t>
        </is>
      </c>
      <c r="D513" s="51" t="inlineStr">
        <is>
          <t xml:space="preserve">tocol</t>
        </is>
      </c>
      <c r="E513" t="inlineStr">
        <is>
          <t xml:space="preserve">only_letters(TOCOL(D8))</t>
        </is>
      </c>
      <c r="F513" s="51" cm="1">
        <f t="array" ref="F513">_xlfn.LET(_xlpm.a,only_letters('only_letters'!D8),_xlpm.b,only_letters(_xlfn.TOCOL('only_letters'!D8)),_xlpm.sa,IFERROR(ROWS(_xlpm.a)&amp;"x"&amp;COLUMNS(_xlpm.a),"err"),_xlpm.sb,IFERROR(ROWS(_xlpm.b)&amp;"x"&amp;COLUMNS(_xlpm.b),"err"),IF(_xlpm.sa&lt;&gt;_xlpm.sb,"FAIL",IF(_xlpm.sa="err",IF(ERROR.TYPE(_xlpm.a)=ERROR.TYPE(_xlpm.b),"PASS","FAIL"),IF(AND(IFERROR(_xlpm.a=_xlpm.b,IFERROR(ERROR.TYPE(_xlpm.a)=ERROR.TYPE(_xlpm.b),FALSE))),"PASS","FAIL"))))</f>
        <v>0</v>
      </c>
    </row>
    <row r="514">
      <c r="A514">
        <v>509</v>
      </c>
      <c r="B514" s="55" t="inlineStr">
        <is>
          <t xml:space="preserve">only_letters</t>
        </is>
      </c>
      <c r="C514" t="inlineStr">
        <is>
          <t xml:space="preserve">only_letters!H10</t>
        </is>
      </c>
      <c r="D514" s="51" t="inlineStr">
        <is>
          <t xml:space="preserve">tocol</t>
        </is>
      </c>
      <c r="E514" t="inlineStr">
        <is>
          <t xml:space="preserve">only_letters(TOCOL(D10))</t>
        </is>
      </c>
      <c r="F514" s="51" cm="1">
        <f t="array" ref="F514">_xlfn.LET(_xlpm.a,only_letters('only_letters'!D10),_xlpm.b,only_letters(_xlfn.TOCOL('only_letters'!D10)),_xlpm.sa,IFERROR(ROWS(_xlpm.a)&amp;"x"&amp;COLUMNS(_xlpm.a),"err"),_xlpm.sb,IFERROR(ROWS(_xlpm.b)&amp;"x"&amp;COLUMNS(_xlpm.b),"err"),IF(_xlpm.sa&lt;&gt;_xlpm.sb,"FAIL",IF(_xlpm.sa="err",IF(ERROR.TYPE(_xlpm.a)=ERROR.TYPE(_xlpm.b),"PASS","FAIL"),IF(AND(IFERROR(_xlpm.a=_xlpm.b,IFERROR(ERROR.TYPE(_xlpm.a)=ERROR.TYPE(_xlpm.b),FALSE))),"PASS","FAIL"))))</f>
        <v>0</v>
      </c>
    </row>
    <row r="515">
      <c r="A515">
        <v>510</v>
      </c>
      <c r="B515" s="55" t="inlineStr">
        <is>
          <t xml:space="preserve">only_letters</t>
        </is>
      </c>
      <c r="C515" t="inlineStr">
        <is>
          <t xml:space="preserve">only_letters!F12</t>
        </is>
      </c>
      <c r="D515" s="51" t="inlineStr">
        <is>
          <t xml:space="preserve">tocol</t>
        </is>
      </c>
      <c r="E515" t="inlineStr">
        <is>
          <t xml:space="preserve">only_letters(TOCOL(D12))</t>
        </is>
      </c>
      <c r="F515" s="51" cm="1">
        <f t="array" ref="F515">_xlfn.LET(_xlpm.a,only_letters('only_letters'!D12),_xlpm.b,only_letters(_xlfn.TOCOL('only_letters'!D12)),_xlpm.sa,IFERROR(ROWS(_xlpm.a)&amp;"x"&amp;COLUMNS(_xlpm.a),"err"),_xlpm.sb,IFERROR(ROWS(_xlpm.b)&amp;"x"&amp;COLUMNS(_xlpm.b),"err"),IF(_xlpm.sa&lt;&gt;_xlpm.sb,"FAIL",IF(_xlpm.sa="err",IF(ERROR.TYPE(_xlpm.a)=ERROR.TYPE(_xlpm.b),"PASS","FAIL"),IF(AND(IFERROR(_xlpm.a=_xlpm.b,IFERROR(ERROR.TYPE(_xlpm.a)=ERROR.TYPE(_xlpm.b),FALSE))),"PASS","FAIL"))))</f>
        <v>0</v>
      </c>
    </row>
    <row r="516">
      <c r="A516">
        <v>511</v>
      </c>
      <c r="B516" s="55" t="inlineStr">
        <is>
          <t xml:space="preserve">only_numbers</t>
        </is>
      </c>
      <c r="C516" t="inlineStr">
        <is>
          <t xml:space="preserve">only_numbers!H6</t>
        </is>
      </c>
      <c r="D516" s="51" t="inlineStr">
        <is>
          <t xml:space="preserve">tocol</t>
        </is>
      </c>
      <c r="E516" t="inlineStr">
        <is>
          <t xml:space="preserve">only_numbers(TOCOL(D6))</t>
        </is>
      </c>
      <c r="F516" s="51" cm="1">
        <f t="array" ref="F516">_xlfn.LET(_xlpm.a,only_numbers('only_numbers'!D6),_xlpm.b,only_numbers(_xlfn.TOCOL('only_numbers'!D6)),_xlpm.sa,IFERROR(ROWS(_xlpm.a)&amp;"x"&amp;COLUMNS(_xlpm.a),"err"),_xlpm.sb,IFERROR(ROWS(_xlpm.b)&amp;"x"&amp;COLUMNS(_xlpm.b),"err"),IF(_xlpm.sa&lt;&gt;_xlpm.sb,"FAIL",IF(_xlpm.sa="err",IF(ERROR.TYPE(_xlpm.a)=ERROR.TYPE(_xlpm.b),"PASS","FAIL"),IF(AND(IFERROR(_xlpm.a=_xlpm.b,IFERROR(ERROR.TYPE(_xlpm.a)=ERROR.TYPE(_xlpm.b),FALSE))),"PASS","FAIL"))))</f>
        <v>0</v>
      </c>
    </row>
    <row r="517">
      <c r="A517">
        <v>512</v>
      </c>
      <c r="B517" s="55" t="inlineStr">
        <is>
          <t xml:space="preserve">only_numbers</t>
        </is>
      </c>
      <c r="C517" t="inlineStr">
        <is>
          <t xml:space="preserve">only_numbers!H8</t>
        </is>
      </c>
      <c r="D517" s="51" t="inlineStr">
        <is>
          <t xml:space="preserve">tocol</t>
        </is>
      </c>
      <c r="E517" t="inlineStr">
        <is>
          <t xml:space="preserve">only_numbers(TOCOL(D8))</t>
        </is>
      </c>
      <c r="F517" s="51" cm="1">
        <f t="array" ref="F517">_xlfn.LET(_xlpm.a,only_numbers('only_numbers'!D8),_xlpm.b,only_numbers(_xlfn.TOCOL('only_numbers'!D8)),_xlpm.sa,IFERROR(ROWS(_xlpm.a)&amp;"x"&amp;COLUMNS(_xlpm.a),"err"),_xlpm.sb,IFERROR(ROWS(_xlpm.b)&amp;"x"&amp;COLUMNS(_xlpm.b),"err"),IF(_xlpm.sa&lt;&gt;_xlpm.sb,"FAIL",IF(_xlpm.sa="err",IF(ERROR.TYPE(_xlpm.a)=ERROR.TYPE(_xlpm.b),"PASS","FAIL"),IF(AND(IFERROR(_xlpm.a=_xlpm.b,IFERROR(ERROR.TYPE(_xlpm.a)=ERROR.TYPE(_xlpm.b),FALSE))),"PASS","FAIL"))))</f>
        <v>0</v>
      </c>
    </row>
    <row r="518">
      <c r="A518">
        <v>513</v>
      </c>
      <c r="B518" s="55" t="inlineStr">
        <is>
          <t xml:space="preserve">only_numbers</t>
        </is>
      </c>
      <c r="C518" t="inlineStr">
        <is>
          <t xml:space="preserve">only_numbers!H10</t>
        </is>
      </c>
      <c r="D518" s="51" t="inlineStr">
        <is>
          <t xml:space="preserve">tocol</t>
        </is>
      </c>
      <c r="E518" t="inlineStr">
        <is>
          <t xml:space="preserve">only_numbers(TOCOL(D10))</t>
        </is>
      </c>
      <c r="F518" s="51" cm="1">
        <f t="array" ref="F518">_xlfn.LET(_xlpm.a,only_numbers('only_numbers'!D10),_xlpm.b,only_numbers(_xlfn.TOCOL('only_numbers'!D10)),_xlpm.sa,IFERROR(ROWS(_xlpm.a)&amp;"x"&amp;COLUMNS(_xlpm.a),"err"),_xlpm.sb,IFERROR(ROWS(_xlpm.b)&amp;"x"&amp;COLUMNS(_xlpm.b),"err"),IF(_xlpm.sa&lt;&gt;_xlpm.sb,"FAIL",IF(_xlpm.sa="err",IF(ERROR.TYPE(_xlpm.a)=ERROR.TYPE(_xlpm.b),"PASS","FAIL"),IF(AND(IFERROR(_xlpm.a=_xlpm.b,IFERROR(ERROR.TYPE(_xlpm.a)=ERROR.TYPE(_xlpm.b),FALSE))),"PASS","FAIL"))))</f>
        <v>0</v>
      </c>
    </row>
    <row r="519">
      <c r="A519">
        <v>514</v>
      </c>
      <c r="B519" s="55" t="inlineStr">
        <is>
          <t xml:space="preserve">only_numbers</t>
        </is>
      </c>
      <c r="C519" t="inlineStr">
        <is>
          <t xml:space="preserve">only_numbers!H12</t>
        </is>
      </c>
      <c r="D519" s="51" t="inlineStr">
        <is>
          <t xml:space="preserve">tocol</t>
        </is>
      </c>
      <c r="E519" t="inlineStr">
        <is>
          <t xml:space="preserve">TOCOL(only_numbers(TOCOL(D12)))</t>
        </is>
      </c>
      <c r="F519" s="51" cm="1">
        <f t="array" ref="F519">_xlfn.LET(_xlpm.a,_xlfn.TOCOL(only_numbers('only_numbers'!D12)),_xlpm.b,_xlfn.TOCOL(only_numbers(_xlfn.TOCOL('only_numbers'!D12))),_xlpm.sa,IFERROR(ROWS(_xlpm.a)&amp;"x"&amp;COLUMNS(_xlpm.a),"err"),_xlpm.sb,IFERROR(ROWS(_xlpm.b)&amp;"x"&amp;COLUMNS(_xlpm.b),"err"),IF(_xlpm.sa&lt;&gt;_xlpm.sb,"FAIL",IF(_xlpm.sa="err",IF(ERROR.TYPE(_xlpm.a)=ERROR.TYPE(_xlpm.b),"PASS","FAIL"),IF(AND(IFERROR(_xlpm.a=_xlpm.b,IFERROR(ERROR.TYPE(_xlpm.a)=ERROR.TYPE(_xlpm.b),FALSE))),"PASS","FAIL"))))</f>
        <v>0</v>
      </c>
    </row>
    <row r="520">
      <c r="A520">
        <v>515</v>
      </c>
      <c r="B520" s="55" t="inlineStr">
        <is>
          <t xml:space="preserve">only_numbers</t>
        </is>
      </c>
      <c r="C520" t="inlineStr">
        <is>
          <t xml:space="preserve">only_numbers!H16</t>
        </is>
      </c>
      <c r="D520" s="51" t="inlineStr">
        <is>
          <t xml:space="preserve">tocol</t>
        </is>
      </c>
      <c r="E520" t="inlineStr">
        <is>
          <t xml:space="preserve">TOCOL(only_numbers(TOCOL(D16)))</t>
        </is>
      </c>
      <c r="F520" s="51" cm="1">
        <f t="array" ref="F520">_xlfn.LET(_xlpm.a,_xlfn.TOCOL(only_numbers('only_numbers'!D16)),_xlpm.b,_xlfn.TOCOL(only_numbers(_xlfn.TOCOL('only_numbers'!D16))),_xlpm.sa,IFERROR(ROWS(_xlpm.a)&amp;"x"&amp;COLUMNS(_xlpm.a),"err"),_xlpm.sb,IFERROR(ROWS(_xlpm.b)&amp;"x"&amp;COLUMNS(_xlpm.b),"err"),IF(_xlpm.sa&lt;&gt;_xlpm.sb,"FAIL",IF(_xlpm.sa="err",IF(ERROR.TYPE(_xlpm.a)=ERROR.TYPE(_xlpm.b),"PASS","FAIL"),IF(AND(IFERROR(_xlpm.a=_xlpm.b,IFERROR(ERROR.TYPE(_xlpm.a)=ERROR.TYPE(_xlpm.b),FALSE))),"PASS","FAIL"))))</f>
        <v>0</v>
      </c>
    </row>
    <row r="521">
      <c r="A521">
        <v>516</v>
      </c>
      <c r="B521" s="55" t="inlineStr">
        <is>
          <t xml:space="preserve">prng</t>
        </is>
      </c>
      <c r="C521" t="inlineStr">
        <is>
          <t xml:space="preserve">prng!P6</t>
        </is>
      </c>
      <c r="D521" s="51" t="inlineStr">
        <is>
          <t xml:space="preserve">tocol</t>
        </is>
      </c>
      <c r="E521" t="inlineStr">
        <is>
          <t xml:space="preserve">prng(TOCOL(D6),TOCOL(F6),TOCOL(H6),TOCOL(J6))</t>
        </is>
      </c>
      <c r="F521" s="51" cm="1">
        <f t="array" ref="F521">_xlfn.LET(_xlpm.a,prng('prng'!D6,'prng'!F6,'prng'!H6,'prng'!J6),_xlpm.b,prng(_xlfn.TOCOL('prng'!D6),_xlfn.TOCOL('prng'!F6),_xlfn.TOCOL('prng'!H6),_xlfn.TOCOL('prng'!J6)),_xlpm.sa,IFERROR(ROWS(_xlpm.a)&amp;"x"&amp;COLUMNS(_xlpm.a),"err"),_xlpm.sb,IFERROR(ROWS(_xlpm.b)&amp;"x"&amp;COLUMNS(_xlpm.b),"err"),IF(_xlpm.sa&lt;&gt;_xlpm.sb,"FAIL",IF(_xlpm.sa="err",IF(ERROR.TYPE(_xlpm.a)=ERROR.TYPE(_xlpm.b),"PASS","FAIL"),IF(AND(IFERROR(_xlpm.a=_xlpm.b,IFERROR(ERROR.TYPE(_xlpm.a)=ERROR.TYPE(_xlpm.b),FALSE))),"PASS","FAIL"))))</f>
        <v>0</v>
      </c>
    </row>
    <row r="522">
      <c r="A522">
        <v>517</v>
      </c>
      <c r="B522" s="55" t="inlineStr">
        <is>
          <t xml:space="preserve">prng</t>
        </is>
      </c>
      <c r="C522" t="inlineStr">
        <is>
          <t xml:space="preserve">prng!P6</t>
        </is>
      </c>
      <c r="D522" s="51" t="inlineStr">
        <is>
          <t xml:space="preserve">textnum</t>
        </is>
      </c>
      <c r="E522" t="inlineStr">
        <is>
          <t xml:space="preserve">prng((D6&amp;""),(F6&amp;""),(H6&amp;""),(J6&amp;""))</t>
        </is>
      </c>
      <c r="F522" s="51" cm="1">
        <f t="array" ref="F522">_xlfn.LET(_xlpm.a,prng('prng'!D6,'prng'!F6,'prng'!H6,'prng'!J6),_xlpm.b,prng(('prng'!D6&amp;""),('prng'!F6&amp;""),('prng'!H6&amp;""),('prng'!J6&amp;"")),_xlpm.sa,IFERROR(ROWS(_xlpm.a)&amp;"x"&amp;COLUMNS(_xlpm.a),"err"),_xlpm.sb,IFERROR(ROWS(_xlpm.b)&amp;"x"&amp;COLUMNS(_xlpm.b),"err"),IF(_xlpm.sa&lt;&gt;_xlpm.sb,"FAIL",IF(_xlpm.sa="err",IF(ERROR.TYPE(_xlpm.a)=ERROR.TYPE(_xlpm.b),"PASS","FAIL"),IF(AND(IFERROR(_xlpm.a=_xlpm.b,IFERROR(ERROR.TYPE(_xlpm.a)=ERROR.TYPE(_xlpm.b),FALSE))),"PASS","FAIL"))))</f>
        <v>0</v>
      </c>
    </row>
    <row r="523">
      <c r="A523">
        <v>518</v>
      </c>
      <c r="B523" s="55" t="inlineStr">
        <is>
          <t xml:space="preserve">prng</t>
        </is>
      </c>
      <c r="C523" t="inlineStr">
        <is>
          <t xml:space="preserve">prng!P17</t>
        </is>
      </c>
      <c r="D523" s="51" t="inlineStr">
        <is>
          <t xml:space="preserve">tocol</t>
        </is>
      </c>
      <c r="E523" t="inlineStr">
        <is>
          <t xml:space="preserve">prng(TOCOL(D17))</t>
        </is>
      </c>
      <c r="F523" s="51" cm="1">
        <f t="array" ref="F523">_xlfn.LET(_xlpm.a,prng('prng'!D17),_xlpm.b,prng(_xlfn.TOCOL('prng'!D17)),_xlpm.sa,IFERROR(ROWS(_xlpm.a)&amp;"x"&amp;COLUMNS(_xlpm.a),"err"),_xlpm.sb,IFERROR(ROWS(_xlpm.b)&amp;"x"&amp;COLUMNS(_xlpm.b),"err"),IF(_xlpm.sa&lt;&gt;_xlpm.sb,"FAIL",IF(_xlpm.sa="err",IF(ERROR.TYPE(_xlpm.a)=ERROR.TYPE(_xlpm.b),"PASS","FAIL"),IF(AND(IFERROR(_xlpm.a=_xlpm.b,IFERROR(ERROR.TYPE(_xlpm.a)=ERROR.TYPE(_xlpm.b),FALSE))),"PASS","FAIL"))))</f>
        <v>0</v>
      </c>
    </row>
    <row r="524">
      <c r="A524">
        <v>519</v>
      </c>
      <c r="B524" s="55" t="inlineStr">
        <is>
          <t xml:space="preserve">prng</t>
        </is>
      </c>
      <c r="C524" t="inlineStr">
        <is>
          <t xml:space="preserve">prng!P17</t>
        </is>
      </c>
      <c r="D524" s="51" t="inlineStr">
        <is>
          <t xml:space="preserve">textnum</t>
        </is>
      </c>
      <c r="E524" t="inlineStr">
        <is>
          <t xml:space="preserve">prng((D17&amp;""))</t>
        </is>
      </c>
      <c r="F524" s="51" cm="1">
        <f t="array" ref="F524">_xlfn.LET(_xlpm.a,prng('prng'!D17),_xlpm.b,prng(('prng'!D17&amp;"")),_xlpm.sa,IFERROR(ROWS(_xlpm.a)&amp;"x"&amp;COLUMNS(_xlpm.a),"err"),_xlpm.sb,IFERROR(ROWS(_xlpm.b)&amp;"x"&amp;COLUMNS(_xlpm.b),"err"),IF(_xlpm.sa&lt;&gt;_xlpm.sb,"FAIL",IF(_xlpm.sa="err",IF(ERROR.TYPE(_xlpm.a)=ERROR.TYPE(_xlpm.b),"PASS","FAIL"),IF(AND(IFERROR(_xlpm.a=_xlpm.b,IFERROR(ERROR.TYPE(_xlpm.a)=ERROR.TYPE(_xlpm.b),FALSE))),"PASS","FAIL"))))</f>
        <v>0</v>
      </c>
    </row>
    <row r="525">
      <c r="A525">
        <v>520</v>
      </c>
      <c r="B525" s="55" t="inlineStr">
        <is>
          <t xml:space="preserve">prng</t>
        </is>
      </c>
      <c r="C525" t="inlineStr">
        <is>
          <t xml:space="preserve">prng!P17</t>
        </is>
      </c>
      <c r="D525" s="51" t="inlineStr">
        <is>
          <t xml:space="preserve">blank</t>
        </is>
      </c>
      <c r="E525" t="inlineStr">
        <is>
          <t xml:space="preserve">prng(D17,shape_tests!$Z$1,shape_tests!$Z$1,shape_tests!$Z$1)</t>
        </is>
      </c>
      <c r="F525" s="51" cm="1">
        <f t="array" ref="F525">_xlfn.LET(_xlpm.a,prng('prng'!D17),_xlpm.b,prng('prng'!D17,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526">
      <c r="A526">
        <v>521</v>
      </c>
      <c r="B526" s="55" t="inlineStr">
        <is>
          <t xml:space="preserve">prng</t>
        </is>
      </c>
      <c r="C526" t="inlineStr">
        <is>
          <t xml:space="preserve">prng!P19</t>
        </is>
      </c>
      <c r="D526" s="51" t="inlineStr">
        <is>
          <t xml:space="preserve">tocol</t>
        </is>
      </c>
      <c r="E526" t="inlineStr">
        <is>
          <t xml:space="preserve">prng(TOCOL(D19),TOCOL(F19),TOCOL(H19),TOCOL(J19))</t>
        </is>
      </c>
      <c r="F526" s="51" cm="1">
        <f t="array" ref="F526">_xlfn.LET(_xlpm.a,prng('prng'!D19,'prng'!F19,'prng'!H19,'prng'!J19),_xlpm.b,prng(_xlfn.TOCOL('prng'!D19),_xlfn.TOCOL('prng'!F19),_xlfn.TOCOL('prng'!H19),_xlfn.TOCOL('prng'!J19)),_xlpm.sa,IFERROR(ROWS(_xlpm.a)&amp;"x"&amp;COLUMNS(_xlpm.a),"err"),_xlpm.sb,IFERROR(ROWS(_xlpm.b)&amp;"x"&amp;COLUMNS(_xlpm.b),"err"),IF(_xlpm.sa&lt;&gt;_xlpm.sb,"FAIL",IF(_xlpm.sa="err",IF(ERROR.TYPE(_xlpm.a)=ERROR.TYPE(_xlpm.b),"PASS","FAIL"),IF(AND(IFERROR(_xlpm.a=_xlpm.b,IFERROR(ERROR.TYPE(_xlpm.a)=ERROR.TYPE(_xlpm.b),FALSE))),"PASS","FAIL"))))</f>
        <v>0</v>
      </c>
    </row>
    <row r="527">
      <c r="A527">
        <v>522</v>
      </c>
      <c r="B527" s="55" t="inlineStr">
        <is>
          <t xml:space="preserve">prng</t>
        </is>
      </c>
      <c r="C527" t="inlineStr">
        <is>
          <t xml:space="preserve">prng!P19</t>
        </is>
      </c>
      <c r="D527" s="51" t="inlineStr">
        <is>
          <t xml:space="preserve">textnum</t>
        </is>
      </c>
      <c r="E527" t="inlineStr">
        <is>
          <t xml:space="preserve">prng((D19&amp;""),(F19&amp;""),(H19&amp;""),(J19&amp;""))</t>
        </is>
      </c>
      <c r="F527" s="51" cm="1">
        <f t="array" ref="F527">_xlfn.LET(_xlpm.a,prng('prng'!D19,'prng'!F19,'prng'!H19,'prng'!J19),_xlpm.b,prng(('prng'!D19&amp;""),('prng'!F19&amp;""),('prng'!H19&amp;""),('prng'!J19&amp;"")),_xlpm.sa,IFERROR(ROWS(_xlpm.a)&amp;"x"&amp;COLUMNS(_xlpm.a),"err"),_xlpm.sb,IFERROR(ROWS(_xlpm.b)&amp;"x"&amp;COLUMNS(_xlpm.b),"err"),IF(_xlpm.sa&lt;&gt;_xlpm.sb,"FAIL",IF(_xlpm.sa="err",IF(ERROR.TYPE(_xlpm.a)=ERROR.TYPE(_xlpm.b),"PASS","FAIL"),IF(AND(IFERROR(_xlpm.a=_xlpm.b,IFERROR(ERROR.TYPE(_xlpm.a)=ERROR.TYPE(_xlpm.b),FALSE))),"PASS","FAIL"))))</f>
        <v>0</v>
      </c>
    </row>
    <row r="528">
      <c r="A528">
        <v>523</v>
      </c>
      <c r="B528" s="55" t="inlineStr">
        <is>
          <t xml:space="preserve">prng</t>
        </is>
      </c>
      <c r="C528" t="inlineStr">
        <is>
          <t xml:space="preserve">prng!P25</t>
        </is>
      </c>
      <c r="D528" s="51" t="inlineStr">
        <is>
          <t xml:space="preserve">tocol</t>
        </is>
      </c>
      <c r="E528" t="inlineStr">
        <is>
          <t xml:space="preserve">prng(TOCOL(D25),TOCOL(F25),TOCOL(H25),TOCOL(J25))</t>
        </is>
      </c>
      <c r="F528" s="51" cm="1">
        <f t="array" ref="F528">_xlfn.LET(_xlpm.a,prng('prng'!D25,'prng'!F25,'prng'!H25,'prng'!J25),_xlpm.b,prng(_xlfn.TOCOL('prng'!D25),_xlfn.TOCOL('prng'!F25),_xlfn.TOCOL('prng'!H25),_xlfn.TOCOL('prng'!J25)),_xlpm.sa,IFERROR(ROWS(_xlpm.a)&amp;"x"&amp;COLUMNS(_xlpm.a),"err"),_xlpm.sb,IFERROR(ROWS(_xlpm.b)&amp;"x"&amp;COLUMNS(_xlpm.b),"err"),IF(_xlpm.sa&lt;&gt;_xlpm.sb,"FAIL",IF(_xlpm.sa="err",IF(ERROR.TYPE(_xlpm.a)=ERROR.TYPE(_xlpm.b),"PASS","FAIL"),IF(AND(IFERROR(_xlpm.a=_xlpm.b,IFERROR(ERROR.TYPE(_xlpm.a)=ERROR.TYPE(_xlpm.b),FALSE))),"PASS","FAIL"))))</f>
        <v>0</v>
      </c>
    </row>
    <row r="529">
      <c r="A529">
        <v>524</v>
      </c>
      <c r="B529" s="55" t="inlineStr">
        <is>
          <t xml:space="preserve">prng</t>
        </is>
      </c>
      <c r="C529" t="inlineStr">
        <is>
          <t xml:space="preserve">prng!P25</t>
        </is>
      </c>
      <c r="D529" s="51" t="inlineStr">
        <is>
          <t xml:space="preserve">textnum</t>
        </is>
      </c>
      <c r="E529" t="inlineStr">
        <is>
          <t xml:space="preserve">prng((D25&amp;""),(F25&amp;""),(H25&amp;""),(J25&amp;""))</t>
        </is>
      </c>
      <c r="F529" s="51" cm="1">
        <f t="array" ref="F529">_xlfn.LET(_xlpm.a,prng('prng'!D25,'prng'!F25,'prng'!H25,'prng'!J25),_xlpm.b,prng(('prng'!D25&amp;""),('prng'!F25&amp;""),('prng'!H25&amp;""),('prng'!J25&amp;"")),_xlpm.sa,IFERROR(ROWS(_xlpm.a)&amp;"x"&amp;COLUMNS(_xlpm.a),"err"),_xlpm.sb,IFERROR(ROWS(_xlpm.b)&amp;"x"&amp;COLUMNS(_xlpm.b),"err"),IF(_xlpm.sa&lt;&gt;_xlpm.sb,"FAIL",IF(_xlpm.sa="err",IF(ERROR.TYPE(_xlpm.a)=ERROR.TYPE(_xlpm.b),"PASS","FAIL"),IF(AND(IFERROR(_xlpm.a=_xlpm.b,IFERROR(ERROR.TYPE(_xlpm.a)=ERROR.TYPE(_xlpm.b),FALSE))),"PASS","FAIL"))))</f>
        <v>0</v>
      </c>
    </row>
    <row r="530">
      <c r="A530">
        <v>525</v>
      </c>
      <c r="B530" s="55" t="inlineStr">
        <is>
          <t xml:space="preserve">prng</t>
        </is>
      </c>
      <c r="C530" t="inlineStr">
        <is>
          <t xml:space="preserve">prng!P30</t>
        </is>
      </c>
      <c r="D530" s="51" t="inlineStr">
        <is>
          <t xml:space="preserve">tocol</t>
        </is>
      </c>
      <c r="E530" t="inlineStr">
        <is>
          <t xml:space="preserve">prng(TOCOL(D30),TOCOL(F30),TOCOL(H30),TOCOL(J30))</t>
        </is>
      </c>
      <c r="F530" s="51" cm="1">
        <f t="array" ref="F530">_xlfn.LET(_xlpm.a,prng('prng'!D30,'prng'!F30,'prng'!H30,'prng'!J30),_xlpm.b,prng(_xlfn.TOCOL('prng'!D30),_xlfn.TOCOL('prng'!F30),_xlfn.TOCOL('prng'!H30),_xlfn.TOCOL('prng'!J30)),_xlpm.sa,IFERROR(ROWS(_xlpm.a)&amp;"x"&amp;COLUMNS(_xlpm.a),"err"),_xlpm.sb,IFERROR(ROWS(_xlpm.b)&amp;"x"&amp;COLUMNS(_xlpm.b),"err"),IF(_xlpm.sa&lt;&gt;_xlpm.sb,"FAIL",IF(_xlpm.sa="err",IF(ERROR.TYPE(_xlpm.a)=ERROR.TYPE(_xlpm.b),"PASS","FAIL"),IF(AND(IFERROR(_xlpm.a=_xlpm.b,IFERROR(ERROR.TYPE(_xlpm.a)=ERROR.TYPE(_xlpm.b),FALSE))),"PASS","FAIL"))))</f>
        <v>0</v>
      </c>
    </row>
    <row r="531">
      <c r="A531">
        <v>526</v>
      </c>
      <c r="B531" s="55" t="inlineStr">
        <is>
          <t xml:space="preserve">prng</t>
        </is>
      </c>
      <c r="C531" t="inlineStr">
        <is>
          <t xml:space="preserve">prng!P30</t>
        </is>
      </c>
      <c r="D531" s="51" t="inlineStr">
        <is>
          <t xml:space="preserve">textnum</t>
        </is>
      </c>
      <c r="E531" t="inlineStr">
        <is>
          <t xml:space="preserve">prng((D30&amp;""),(F30&amp;""),(H30&amp;""),(J30&amp;""))</t>
        </is>
      </c>
      <c r="F531" s="51" cm="1">
        <f t="array" ref="F531">_xlfn.LET(_xlpm.a,prng('prng'!D30,'prng'!F30,'prng'!H30,'prng'!J30),_xlpm.b,prng(('prng'!D30&amp;""),('prng'!F30&amp;""),('prng'!H30&amp;""),('prng'!J30&amp;"")),_xlpm.sa,IFERROR(ROWS(_xlpm.a)&amp;"x"&amp;COLUMNS(_xlpm.a),"err"),_xlpm.sb,IFERROR(ROWS(_xlpm.b)&amp;"x"&amp;COLUMNS(_xlpm.b),"err"),IF(_xlpm.sa&lt;&gt;_xlpm.sb,"FAIL",IF(_xlpm.sa="err",IF(ERROR.TYPE(_xlpm.a)=ERROR.TYPE(_xlpm.b),"PASS","FAIL"),IF(AND(IFERROR(_xlpm.a=_xlpm.b,IFERROR(ERROR.TYPE(_xlpm.a)=ERROR.TYPE(_xlpm.b),FALSE))),"PASS","FAIL"))))</f>
        <v>0</v>
      </c>
    </row>
    <row r="532">
      <c r="A532">
        <v>527</v>
      </c>
      <c r="B532" s="55" t="inlineStr">
        <is>
          <t xml:space="preserve">prng</t>
        </is>
      </c>
      <c r="C532" t="inlineStr">
        <is>
          <t xml:space="preserve">prng!P33</t>
        </is>
      </c>
      <c r="D532" s="51" t="inlineStr">
        <is>
          <t xml:space="preserve">tocol</t>
        </is>
      </c>
      <c r="E532" t="inlineStr">
        <is>
          <t xml:space="preserve">AND(ROWS(prng(TOCOL(D33),TOCOL(F33),TOCOL(H33),TOCOL(J33)))=J33,COLUMNS(prng(D33,F33,H33,J33))=1,MIN(prng(D33,F33,H33,J33))=F33,MAX(prng(D33,F33,H33,J33))=H33,SUM(--(INT(prng(D33,F33,H33,J33))&lt;&gt;prng(D33,F33,H33,J33)))=0)</t>
        </is>
      </c>
      <c r="F532" s="51" cm="1">
        <f t="array" ref="F532">_xlfn.LET(_xlpm.a,AND(ROWS(prng('prng'!D33,'prng'!F33,'prng'!H33,'prng'!J33))='prng'!J33,COLUMNS(prng('prng'!D33,'prng'!F33,'prng'!H33,'prng'!J33))=1,MIN(prng('prng'!D33,'prng'!F33,'prng'!H33,'prng'!J33))='prng'!F33,MAX(prng('prng'!D33,'prng'!F33,'prng'!H33,'prng'!J33))='prng'!H33,SUM(--(INT(prng('prng'!D33,'prng'!F33,'prng'!H33,'prng'!J33))&lt;&gt;prng('prng'!D33,'prng'!F33,'prng'!H33,'prng'!J33)))=0),_xlpm.b,AND(ROWS(prng(_xlfn.TOCOL('prng'!D33),_xlfn.TOCOL('prng'!F33),_xlfn.TOCOL('prng'!H33),_xlfn.TOCOL('prng'!J33)))='prng'!J33,COLUMNS(prng('prng'!D33,'prng'!F33,'prng'!H33,'prng'!J33))=1,MIN(prng('prng'!D33,'prng'!F33,'prng'!H33,'prng'!J33))='prng'!F33,MAX(prng('prng'!D33,'prng'!F33,'prng'!H33,'prng'!J33))='prng'!H33,SUM(--(INT(prng('prng'!D33,'prng'!F33,'prng'!H33,'prng'!J33))&lt;&gt;prng('prng'!D33,'prng'!F33,'prng'!H33,'prng'!J33)))=0),_xlpm.sa,IFERROR(ROWS(_xlpm.a)&amp;"x"&amp;COLUMNS(_xlpm.a),"err"),_xlpm.sb,IFERROR(ROWS(_xlpm.b)&amp;"x"&amp;COLUMNS(_xlpm.b),"err"),IF(_xlpm.sa&lt;&gt;_xlpm.sb,"FAIL",IF(_xlpm.sa="err",IF(ERROR.TYPE(_xlpm.a)=ERROR.TYPE(_xlpm.b),"PASS","FAIL"),IF(AND(IFERROR(_xlpm.a=_xlpm.b,IFERROR(ERROR.TYPE(_xlpm.a)=ERROR.TYPE(_xlpm.b),FALSE))),"PASS","FAIL"))))</f>
        <v>0</v>
      </c>
    </row>
    <row r="533">
      <c r="A533">
        <v>528</v>
      </c>
      <c r="B533" s="55" t="inlineStr">
        <is>
          <t xml:space="preserve">prng</t>
        </is>
      </c>
      <c r="C533" t="inlineStr">
        <is>
          <t xml:space="preserve">prng!P33</t>
        </is>
      </c>
      <c r="D533" s="51" t="inlineStr">
        <is>
          <t xml:space="preserve">textnum</t>
        </is>
      </c>
      <c r="E533" t="inlineStr">
        <is>
          <t xml:space="preserve">AND(ROWS(prng((D33&amp;""),(F33&amp;""),(H33&amp;""),(J33&amp;"")))=J33,COLUMNS(prng(D33,F33,H33,J33))=1,MIN(prng(D33,F33,H33,J33))=F33,MAX(prng(D33,F33,H33,J33))=H33,SUM(--(INT(prng(D33,F33,H33,J33))&lt;&gt;prng(D33,F33,H33,J33)))=0)</t>
        </is>
      </c>
      <c r="F533" s="51" cm="1">
        <f t="array" ref="F533">_xlfn.LET(_xlpm.a,AND(ROWS(prng('prng'!D33,'prng'!F33,'prng'!H33,'prng'!J33))='prng'!J33,COLUMNS(prng('prng'!D33,'prng'!F33,'prng'!H33,'prng'!J33))=1,MIN(prng('prng'!D33,'prng'!F33,'prng'!H33,'prng'!J33))='prng'!F33,MAX(prng('prng'!D33,'prng'!F33,'prng'!H33,'prng'!J33))='prng'!H33,SUM(--(INT(prng('prng'!D33,'prng'!F33,'prng'!H33,'prng'!J33))&lt;&gt;prng('prng'!D33,'prng'!F33,'prng'!H33,'prng'!J33)))=0),_xlpm.b,AND(ROWS(prng(('prng'!D33&amp;""),('prng'!F33&amp;""),('prng'!H33&amp;""),('prng'!J33&amp;"")))='prng'!J33,COLUMNS(prng('prng'!D33,'prng'!F33,'prng'!H33,'prng'!J33))=1,MIN(prng('prng'!D33,'prng'!F33,'prng'!H33,'prng'!J33))='prng'!F33,MAX(prng('prng'!D33,'prng'!F33,'prng'!H33,'prng'!J33))='prng'!H33,SUM(--(INT(prng('prng'!D33,'prng'!F33,'prng'!H33,'prng'!J33))&lt;&gt;prng('prng'!D33,'prng'!F33,'prng'!H33,'prng'!J33)))=0),_xlpm.sa,IFERROR(ROWS(_xlpm.a)&amp;"x"&amp;COLUMNS(_xlpm.a),"err"),_xlpm.sb,IFERROR(ROWS(_xlpm.b)&amp;"x"&amp;COLUMNS(_xlpm.b),"err"),IF(_xlpm.sa&lt;&gt;_xlpm.sb,"FAIL",IF(_xlpm.sa="err",IF(ERROR.TYPE(_xlpm.a)=ERROR.TYPE(_xlpm.b),"PASS","FAIL"),IF(AND(IFERROR(_xlpm.a=_xlpm.b,IFERROR(ERROR.TYPE(_xlpm.a)=ERROR.TYPE(_xlpm.b),FALSE))),"PASS","FAIL"))))</f>
        <v>0</v>
      </c>
    </row>
    <row r="534">
      <c r="A534">
        <v>529</v>
      </c>
      <c r="B534" s="55" t="inlineStr">
        <is>
          <t xml:space="preserve">prng</t>
        </is>
      </c>
      <c r="C534" t="inlineStr">
        <is>
          <t xml:space="preserve">prng!P35</t>
        </is>
      </c>
      <c r="D534" s="51" t="inlineStr">
        <is>
          <t xml:space="preserve">tocol</t>
        </is>
      </c>
      <c r="E534" t="inlineStr">
        <is>
          <t xml:space="preserve">SUM(--(prng(TOCOL($D$35),TOCOL($F$35),TOCOL($H$35),TOCOL($J$35))=L35))</t>
        </is>
      </c>
      <c r="F534" s="51" cm="1">
        <f t="array" ref="F534">_xlfn.LET(_xlpm.a,SUM(--(prng('prng'!$D$35,'prng'!$F$35,'prng'!$H$35,'prng'!$J$35)='prng'!L35)),_xlpm.b,SUM(--(prng(_xlfn.TOCOL('prng'!$D$35),_xlfn.TOCOL('prng'!$F$35),_xlfn.TOCOL('prng'!$H$35),_xlfn.TOCOL('prng'!$J$35))='prng'!L35)),_xlpm.sa,IFERROR(ROWS(_xlpm.a)&amp;"x"&amp;COLUMNS(_xlpm.a),"err"),_xlpm.sb,IFERROR(ROWS(_xlpm.b)&amp;"x"&amp;COLUMNS(_xlpm.b),"err"),IF(_xlpm.sa&lt;&gt;_xlpm.sb,"FAIL",IF(_xlpm.sa="err",IF(ERROR.TYPE(_xlpm.a)=ERROR.TYPE(_xlpm.b),"PASS","FAIL"),IF(AND(IFERROR(_xlpm.a=_xlpm.b,IFERROR(ERROR.TYPE(_xlpm.a)=ERROR.TYPE(_xlpm.b),FALSE))),"PASS","FAIL"))))</f>
        <v>0</v>
      </c>
    </row>
    <row r="535">
      <c r="A535">
        <v>530</v>
      </c>
      <c r="B535" s="55" t="inlineStr">
        <is>
          <t xml:space="preserve">prng</t>
        </is>
      </c>
      <c r="C535" t="inlineStr">
        <is>
          <t xml:space="preserve">prng!P35</t>
        </is>
      </c>
      <c r="D535" s="51" t="inlineStr">
        <is>
          <t xml:space="preserve">textnum</t>
        </is>
      </c>
      <c r="E535" t="inlineStr">
        <is>
          <t xml:space="preserve">SUM(--(prng(($D$35&amp;""),($F$35&amp;""),($H$35&amp;""),($J$35&amp;""))=L35))</t>
        </is>
      </c>
      <c r="F535" s="51" cm="1">
        <f t="array" ref="F535">_xlfn.LET(_xlpm.a,SUM(--(prng('prng'!$D$35,'prng'!$F$35,'prng'!$H$35,'prng'!$J$35)='prng'!L35)),_xlpm.b,SUM(--(prng(('prng'!$D$35&amp;""),('prng'!$F$35&amp;""),('prng'!$H$35&amp;""),('prng'!$J$35&amp;""))='prng'!L35)),_xlpm.sa,IFERROR(ROWS(_xlpm.a)&amp;"x"&amp;COLUMNS(_xlpm.a),"err"),_xlpm.sb,IFERROR(ROWS(_xlpm.b)&amp;"x"&amp;COLUMNS(_xlpm.b),"err"),IF(_xlpm.sa&lt;&gt;_xlpm.sb,"FAIL",IF(_xlpm.sa="err",IF(ERROR.TYPE(_xlpm.a)=ERROR.TYPE(_xlpm.b),"PASS","FAIL"),IF(AND(IFERROR(_xlpm.a=_xlpm.b,IFERROR(ERROR.TYPE(_xlpm.a)=ERROR.TYPE(_xlpm.b),FALSE))),"PASS","FAIL"))))</f>
        <v>0</v>
      </c>
    </row>
    <row r="536">
      <c r="A536">
        <v>531</v>
      </c>
      <c r="B536" s="55" t="inlineStr">
        <is>
          <t xml:space="preserve">prng</t>
        </is>
      </c>
      <c r="C536" t="inlineStr">
        <is>
          <t xml:space="preserve">prng!P36</t>
        </is>
      </c>
      <c r="D536" s="51" t="inlineStr">
        <is>
          <t xml:space="preserve">tocol</t>
        </is>
      </c>
      <c r="E536" t="inlineStr">
        <is>
          <t xml:space="preserve">SUM(--(prng(TOCOL($D$35),TOCOL($F$35),TOCOL($H$35),TOCOL($J$35))=L36))</t>
        </is>
      </c>
      <c r="F536" s="51" cm="1">
        <f t="array" ref="F536">_xlfn.LET(_xlpm.a,SUM(--(prng('prng'!$D$35,'prng'!$F$35,'prng'!$H$35,'prng'!$J$35)='prng'!L36)),_xlpm.b,SUM(--(prng(_xlfn.TOCOL('prng'!$D$35),_xlfn.TOCOL('prng'!$F$35),_xlfn.TOCOL('prng'!$H$35),_xlfn.TOCOL('prng'!$J$35))='prng'!L36)),_xlpm.sa,IFERROR(ROWS(_xlpm.a)&amp;"x"&amp;COLUMNS(_xlpm.a),"err"),_xlpm.sb,IFERROR(ROWS(_xlpm.b)&amp;"x"&amp;COLUMNS(_xlpm.b),"err"),IF(_xlpm.sa&lt;&gt;_xlpm.sb,"FAIL",IF(_xlpm.sa="err",IF(ERROR.TYPE(_xlpm.a)=ERROR.TYPE(_xlpm.b),"PASS","FAIL"),IF(AND(IFERROR(_xlpm.a=_xlpm.b,IFERROR(ERROR.TYPE(_xlpm.a)=ERROR.TYPE(_xlpm.b),FALSE))),"PASS","FAIL"))))</f>
        <v>0</v>
      </c>
    </row>
    <row r="537">
      <c r="A537">
        <v>532</v>
      </c>
      <c r="B537" s="55" t="inlineStr">
        <is>
          <t xml:space="preserve">prng</t>
        </is>
      </c>
      <c r="C537" t="inlineStr">
        <is>
          <t xml:space="preserve">prng!P36</t>
        </is>
      </c>
      <c r="D537" s="51" t="inlineStr">
        <is>
          <t xml:space="preserve">textnum</t>
        </is>
      </c>
      <c r="E537" t="inlineStr">
        <is>
          <t xml:space="preserve">SUM(--(prng(($D$35&amp;""),($F$35&amp;""),($H$35&amp;""),($J$35&amp;""))=L36))</t>
        </is>
      </c>
      <c r="F537" s="51" cm="1">
        <f t="array" ref="F537">_xlfn.LET(_xlpm.a,SUM(--(prng('prng'!$D$35,'prng'!$F$35,'prng'!$H$35,'prng'!$J$35)='prng'!L36)),_xlpm.b,SUM(--(prng(('prng'!$D$35&amp;""),('prng'!$F$35&amp;""),('prng'!$H$35&amp;""),('prng'!$J$35&amp;""))='prng'!L36)),_xlpm.sa,IFERROR(ROWS(_xlpm.a)&amp;"x"&amp;COLUMNS(_xlpm.a),"err"),_xlpm.sb,IFERROR(ROWS(_xlpm.b)&amp;"x"&amp;COLUMNS(_xlpm.b),"err"),IF(_xlpm.sa&lt;&gt;_xlpm.sb,"FAIL",IF(_xlpm.sa="err",IF(ERROR.TYPE(_xlpm.a)=ERROR.TYPE(_xlpm.b),"PASS","FAIL"),IF(AND(IFERROR(_xlpm.a=_xlpm.b,IFERROR(ERROR.TYPE(_xlpm.a)=ERROR.TYPE(_xlpm.b),FALSE))),"PASS","FAIL"))))</f>
        <v>0</v>
      </c>
    </row>
    <row r="538">
      <c r="A538">
        <v>533</v>
      </c>
      <c r="B538" s="55" t="inlineStr">
        <is>
          <t xml:space="preserve">prng</t>
        </is>
      </c>
      <c r="C538" t="inlineStr">
        <is>
          <t xml:space="preserve">prng!P37</t>
        </is>
      </c>
      <c r="D538" s="51" t="inlineStr">
        <is>
          <t xml:space="preserve">tocol</t>
        </is>
      </c>
      <c r="E538" t="inlineStr">
        <is>
          <t xml:space="preserve">SUM(--(prng(TOCOL($D$35),TOCOL($F$35),TOCOL($H$35),TOCOL($J$35))=L37))</t>
        </is>
      </c>
      <c r="F538" s="51" cm="1">
        <f t="array" ref="F538">_xlfn.LET(_xlpm.a,SUM(--(prng('prng'!$D$35,'prng'!$F$35,'prng'!$H$35,'prng'!$J$35)='prng'!L37)),_xlpm.b,SUM(--(prng(_xlfn.TOCOL('prng'!$D$35),_xlfn.TOCOL('prng'!$F$35),_xlfn.TOCOL('prng'!$H$35),_xlfn.TOCOL('prng'!$J$35))='prng'!L37)),_xlpm.sa,IFERROR(ROWS(_xlpm.a)&amp;"x"&amp;COLUMNS(_xlpm.a),"err"),_xlpm.sb,IFERROR(ROWS(_xlpm.b)&amp;"x"&amp;COLUMNS(_xlpm.b),"err"),IF(_xlpm.sa&lt;&gt;_xlpm.sb,"FAIL",IF(_xlpm.sa="err",IF(ERROR.TYPE(_xlpm.a)=ERROR.TYPE(_xlpm.b),"PASS","FAIL"),IF(AND(IFERROR(_xlpm.a=_xlpm.b,IFERROR(ERROR.TYPE(_xlpm.a)=ERROR.TYPE(_xlpm.b),FALSE))),"PASS","FAIL"))))</f>
        <v>0</v>
      </c>
    </row>
    <row r="539">
      <c r="A539">
        <v>534</v>
      </c>
      <c r="B539" s="55" t="inlineStr">
        <is>
          <t xml:space="preserve">prng</t>
        </is>
      </c>
      <c r="C539" t="inlineStr">
        <is>
          <t xml:space="preserve">prng!P37</t>
        </is>
      </c>
      <c r="D539" s="51" t="inlineStr">
        <is>
          <t xml:space="preserve">textnum</t>
        </is>
      </c>
      <c r="E539" t="inlineStr">
        <is>
          <t xml:space="preserve">SUM(--(prng(($D$35&amp;""),($F$35&amp;""),($H$35&amp;""),($J$35&amp;""))=L37))</t>
        </is>
      </c>
      <c r="F539" s="51" cm="1">
        <f t="array" ref="F539">_xlfn.LET(_xlpm.a,SUM(--(prng('prng'!$D$35,'prng'!$F$35,'prng'!$H$35,'prng'!$J$35)='prng'!L37)),_xlpm.b,SUM(--(prng(('prng'!$D$35&amp;""),('prng'!$F$35&amp;""),('prng'!$H$35&amp;""),('prng'!$J$35&amp;""))='prng'!L37)),_xlpm.sa,IFERROR(ROWS(_xlpm.a)&amp;"x"&amp;COLUMNS(_xlpm.a),"err"),_xlpm.sb,IFERROR(ROWS(_xlpm.b)&amp;"x"&amp;COLUMNS(_xlpm.b),"err"),IF(_xlpm.sa&lt;&gt;_xlpm.sb,"FAIL",IF(_xlpm.sa="err",IF(ERROR.TYPE(_xlpm.a)=ERROR.TYPE(_xlpm.b),"PASS","FAIL"),IF(AND(IFERROR(_xlpm.a=_xlpm.b,IFERROR(ERROR.TYPE(_xlpm.a)=ERROR.TYPE(_xlpm.b),FALSE))),"PASS","FAIL"))))</f>
        <v>0</v>
      </c>
    </row>
    <row r="540">
      <c r="A540">
        <v>535</v>
      </c>
      <c r="B540" s="55" t="inlineStr">
        <is>
          <t xml:space="preserve">prng</t>
        </is>
      </c>
      <c r="C540" t="inlineStr">
        <is>
          <t xml:space="preserve">prng!P38</t>
        </is>
      </c>
      <c r="D540" s="51" t="inlineStr">
        <is>
          <t xml:space="preserve">tocol</t>
        </is>
      </c>
      <c r="E540" t="inlineStr">
        <is>
          <t xml:space="preserve">SUM(--(prng(TOCOL($D$35),TOCOL($F$35),TOCOL($H$35),TOCOL($J$35))=L38))</t>
        </is>
      </c>
      <c r="F540" s="51" cm="1">
        <f t="array" ref="F540">_xlfn.LET(_xlpm.a,SUM(--(prng('prng'!$D$35,'prng'!$F$35,'prng'!$H$35,'prng'!$J$35)='prng'!L38)),_xlpm.b,SUM(--(prng(_xlfn.TOCOL('prng'!$D$35),_xlfn.TOCOL('prng'!$F$35),_xlfn.TOCOL('prng'!$H$35),_xlfn.TOCOL('prng'!$J$35))='prng'!L38)),_xlpm.sa,IFERROR(ROWS(_xlpm.a)&amp;"x"&amp;COLUMNS(_xlpm.a),"err"),_xlpm.sb,IFERROR(ROWS(_xlpm.b)&amp;"x"&amp;COLUMNS(_xlpm.b),"err"),IF(_xlpm.sa&lt;&gt;_xlpm.sb,"FAIL",IF(_xlpm.sa="err",IF(ERROR.TYPE(_xlpm.a)=ERROR.TYPE(_xlpm.b),"PASS","FAIL"),IF(AND(IFERROR(_xlpm.a=_xlpm.b,IFERROR(ERROR.TYPE(_xlpm.a)=ERROR.TYPE(_xlpm.b),FALSE))),"PASS","FAIL"))))</f>
        <v>0</v>
      </c>
    </row>
    <row r="541">
      <c r="A541">
        <v>536</v>
      </c>
      <c r="B541" s="55" t="inlineStr">
        <is>
          <t xml:space="preserve">prng</t>
        </is>
      </c>
      <c r="C541" t="inlineStr">
        <is>
          <t xml:space="preserve">prng!P38</t>
        </is>
      </c>
      <c r="D541" s="51" t="inlineStr">
        <is>
          <t xml:space="preserve">textnum</t>
        </is>
      </c>
      <c r="E541" t="inlineStr">
        <is>
          <t xml:space="preserve">SUM(--(prng(($D$35&amp;""),($F$35&amp;""),($H$35&amp;""),($J$35&amp;""))=L38))</t>
        </is>
      </c>
      <c r="F541" s="51" cm="1">
        <f t="array" ref="F541">_xlfn.LET(_xlpm.a,SUM(--(prng('prng'!$D$35,'prng'!$F$35,'prng'!$H$35,'prng'!$J$35)='prng'!L38)),_xlpm.b,SUM(--(prng(('prng'!$D$35&amp;""),('prng'!$F$35&amp;""),('prng'!$H$35&amp;""),('prng'!$J$35&amp;""))='prng'!L38)),_xlpm.sa,IFERROR(ROWS(_xlpm.a)&amp;"x"&amp;COLUMNS(_xlpm.a),"err"),_xlpm.sb,IFERROR(ROWS(_xlpm.b)&amp;"x"&amp;COLUMNS(_xlpm.b),"err"),IF(_xlpm.sa&lt;&gt;_xlpm.sb,"FAIL",IF(_xlpm.sa="err",IF(ERROR.TYPE(_xlpm.a)=ERROR.TYPE(_xlpm.b),"PASS","FAIL"),IF(AND(IFERROR(_xlpm.a=_xlpm.b,IFERROR(ERROR.TYPE(_xlpm.a)=ERROR.TYPE(_xlpm.b),FALSE))),"PASS","FAIL"))))</f>
        <v>0</v>
      </c>
    </row>
    <row r="542">
      <c r="A542">
        <v>537</v>
      </c>
      <c r="B542" s="55" t="inlineStr">
        <is>
          <t xml:space="preserve">prng</t>
        </is>
      </c>
      <c r="C542" t="inlineStr">
        <is>
          <t xml:space="preserve">prng!P39</t>
        </is>
      </c>
      <c r="D542" s="51" t="inlineStr">
        <is>
          <t xml:space="preserve">tocol</t>
        </is>
      </c>
      <c r="E542" t="inlineStr">
        <is>
          <t xml:space="preserve">SUM(--(prng(TOCOL($D$35),TOCOL($F$35),TOCOL($H$35),TOCOL($J$35))=L39))</t>
        </is>
      </c>
      <c r="F542" s="51" cm="1">
        <f t="array" ref="F542">_xlfn.LET(_xlpm.a,SUM(--(prng('prng'!$D$35,'prng'!$F$35,'prng'!$H$35,'prng'!$J$35)='prng'!L39)),_xlpm.b,SUM(--(prng(_xlfn.TOCOL('prng'!$D$35),_xlfn.TOCOL('prng'!$F$35),_xlfn.TOCOL('prng'!$H$35),_xlfn.TOCOL('prng'!$J$35))='prng'!L39)),_xlpm.sa,IFERROR(ROWS(_xlpm.a)&amp;"x"&amp;COLUMNS(_xlpm.a),"err"),_xlpm.sb,IFERROR(ROWS(_xlpm.b)&amp;"x"&amp;COLUMNS(_xlpm.b),"err"),IF(_xlpm.sa&lt;&gt;_xlpm.sb,"FAIL",IF(_xlpm.sa="err",IF(ERROR.TYPE(_xlpm.a)=ERROR.TYPE(_xlpm.b),"PASS","FAIL"),IF(AND(IFERROR(_xlpm.a=_xlpm.b,IFERROR(ERROR.TYPE(_xlpm.a)=ERROR.TYPE(_xlpm.b),FALSE))),"PASS","FAIL"))))</f>
        <v>0</v>
      </c>
    </row>
    <row r="543">
      <c r="A543">
        <v>538</v>
      </c>
      <c r="B543" s="55" t="inlineStr">
        <is>
          <t xml:space="preserve">prng</t>
        </is>
      </c>
      <c r="C543" t="inlineStr">
        <is>
          <t xml:space="preserve">prng!P39</t>
        </is>
      </c>
      <c r="D543" s="51" t="inlineStr">
        <is>
          <t xml:space="preserve">textnum</t>
        </is>
      </c>
      <c r="E543" t="inlineStr">
        <is>
          <t xml:space="preserve">SUM(--(prng(($D$35&amp;""),($F$35&amp;""),($H$35&amp;""),($J$35&amp;""))=L39))</t>
        </is>
      </c>
      <c r="F543" s="51" cm="1">
        <f t="array" ref="F543">_xlfn.LET(_xlpm.a,SUM(--(prng('prng'!$D$35,'prng'!$F$35,'prng'!$H$35,'prng'!$J$35)='prng'!L39)),_xlpm.b,SUM(--(prng(('prng'!$D$35&amp;""),('prng'!$F$35&amp;""),('prng'!$H$35&amp;""),('prng'!$J$35&amp;""))='prng'!L39)),_xlpm.sa,IFERROR(ROWS(_xlpm.a)&amp;"x"&amp;COLUMNS(_xlpm.a),"err"),_xlpm.sb,IFERROR(ROWS(_xlpm.b)&amp;"x"&amp;COLUMNS(_xlpm.b),"err"),IF(_xlpm.sa&lt;&gt;_xlpm.sb,"FAIL",IF(_xlpm.sa="err",IF(ERROR.TYPE(_xlpm.a)=ERROR.TYPE(_xlpm.b),"PASS","FAIL"),IF(AND(IFERROR(_xlpm.a=_xlpm.b,IFERROR(ERROR.TYPE(_xlpm.a)=ERROR.TYPE(_xlpm.b),FALSE))),"PASS","FAIL"))))</f>
        <v>0</v>
      </c>
    </row>
    <row r="544">
      <c r="A544">
        <v>539</v>
      </c>
      <c r="B544" s="55" t="inlineStr">
        <is>
          <t xml:space="preserve">prng</t>
        </is>
      </c>
      <c r="C544" t="inlineStr">
        <is>
          <t xml:space="preserve">prng!P40</t>
        </is>
      </c>
      <c r="D544" s="51" t="inlineStr">
        <is>
          <t xml:space="preserve">tocol</t>
        </is>
      </c>
      <c r="E544" t="inlineStr">
        <is>
          <t xml:space="preserve">SUM(--(prng(TOCOL($D$35),TOCOL($F$35),TOCOL($H$35),TOCOL($J$35))=L40))</t>
        </is>
      </c>
      <c r="F544" s="51" cm="1">
        <f t="array" ref="F544">_xlfn.LET(_xlpm.a,SUM(--(prng('prng'!$D$35,'prng'!$F$35,'prng'!$H$35,'prng'!$J$35)='prng'!L40)),_xlpm.b,SUM(--(prng(_xlfn.TOCOL('prng'!$D$35),_xlfn.TOCOL('prng'!$F$35),_xlfn.TOCOL('prng'!$H$35),_xlfn.TOCOL('prng'!$J$35))='prng'!L40)),_xlpm.sa,IFERROR(ROWS(_xlpm.a)&amp;"x"&amp;COLUMNS(_xlpm.a),"err"),_xlpm.sb,IFERROR(ROWS(_xlpm.b)&amp;"x"&amp;COLUMNS(_xlpm.b),"err"),IF(_xlpm.sa&lt;&gt;_xlpm.sb,"FAIL",IF(_xlpm.sa="err",IF(ERROR.TYPE(_xlpm.a)=ERROR.TYPE(_xlpm.b),"PASS","FAIL"),IF(AND(IFERROR(_xlpm.a=_xlpm.b,IFERROR(ERROR.TYPE(_xlpm.a)=ERROR.TYPE(_xlpm.b),FALSE))),"PASS","FAIL"))))</f>
        <v>0</v>
      </c>
    </row>
    <row r="545">
      <c r="A545">
        <v>540</v>
      </c>
      <c r="B545" s="55" t="inlineStr">
        <is>
          <t xml:space="preserve">prng</t>
        </is>
      </c>
      <c r="C545" t="inlineStr">
        <is>
          <t xml:space="preserve">prng!P40</t>
        </is>
      </c>
      <c r="D545" s="51" t="inlineStr">
        <is>
          <t xml:space="preserve">textnum</t>
        </is>
      </c>
      <c r="E545" t="inlineStr">
        <is>
          <t xml:space="preserve">SUM(--(prng(($D$35&amp;""),($F$35&amp;""),($H$35&amp;""),($J$35&amp;""))=L40))</t>
        </is>
      </c>
      <c r="F545" s="51" cm="1">
        <f t="array" ref="F545">_xlfn.LET(_xlpm.a,SUM(--(prng('prng'!$D$35,'prng'!$F$35,'prng'!$H$35,'prng'!$J$35)='prng'!L40)),_xlpm.b,SUM(--(prng(('prng'!$D$35&amp;""),('prng'!$F$35&amp;""),('prng'!$H$35&amp;""),('prng'!$J$35&amp;""))='prng'!L40)),_xlpm.sa,IFERROR(ROWS(_xlpm.a)&amp;"x"&amp;COLUMNS(_xlpm.a),"err"),_xlpm.sb,IFERROR(ROWS(_xlpm.b)&amp;"x"&amp;COLUMNS(_xlpm.b),"err"),IF(_xlpm.sa&lt;&gt;_xlpm.sb,"FAIL",IF(_xlpm.sa="err",IF(ERROR.TYPE(_xlpm.a)=ERROR.TYPE(_xlpm.b),"PASS","FAIL"),IF(AND(IFERROR(_xlpm.a=_xlpm.b,IFERROR(ERROR.TYPE(_xlpm.a)=ERROR.TYPE(_xlpm.b),FALSE))),"PASS","FAIL"))))</f>
        <v>0</v>
      </c>
    </row>
    <row r="546">
      <c r="A546">
        <v>541</v>
      </c>
      <c r="B546" s="55" t="inlineStr">
        <is>
          <t xml:space="preserve">prng</t>
        </is>
      </c>
      <c r="C546" t="inlineStr">
        <is>
          <t xml:space="preserve">prng!P42</t>
        </is>
      </c>
      <c r="D546" s="51" t="inlineStr">
        <is>
          <t xml:space="preserve">tocol</t>
        </is>
      </c>
      <c r="E546" t="inlineStr">
        <is>
          <t xml:space="preserve">ROUND(AVERAGE(prng(TOCOL(D42),TOCOL(F42),TOCOL(H42),TOCOL(J42))),1)</t>
        </is>
      </c>
      <c r="F546" s="51" cm="1">
        <f t="array" ref="F546">_xlfn.LET(_xlpm.a,ROUND(AVERAGE(prng('prng'!D42,'prng'!F42,'prng'!H42,'prng'!J42)),1),_xlpm.b,ROUND(AVERAGE(prng(_xlfn.TOCOL('prng'!D42),_xlfn.TOCOL('prng'!F42),_xlfn.TOCOL('prng'!H42),_xlfn.TOCOL('prng'!J42))),1),_xlpm.sa,IFERROR(ROWS(_xlpm.a)&amp;"x"&amp;COLUMNS(_xlpm.a),"err"),_xlpm.sb,IFERROR(ROWS(_xlpm.b)&amp;"x"&amp;COLUMNS(_xlpm.b),"err"),IF(_xlpm.sa&lt;&gt;_xlpm.sb,"FAIL",IF(_xlpm.sa="err",IF(ERROR.TYPE(_xlpm.a)=ERROR.TYPE(_xlpm.b),"PASS","FAIL"),IF(AND(IFERROR(_xlpm.a=_xlpm.b,IFERROR(ERROR.TYPE(_xlpm.a)=ERROR.TYPE(_xlpm.b),FALSE))),"PASS","FAIL"))))</f>
        <v>0</v>
      </c>
    </row>
    <row r="547">
      <c r="A547">
        <v>542</v>
      </c>
      <c r="B547" s="55" t="inlineStr">
        <is>
          <t xml:space="preserve">prng</t>
        </is>
      </c>
      <c r="C547" t="inlineStr">
        <is>
          <t xml:space="preserve">prng!P42</t>
        </is>
      </c>
      <c r="D547" s="51" t="inlineStr">
        <is>
          <t xml:space="preserve">textnum</t>
        </is>
      </c>
      <c r="E547" t="inlineStr">
        <is>
          <t xml:space="preserve">ROUND(AVERAGE(prng((D42&amp;""),(F42&amp;""),(H42&amp;""),(J42&amp;""))),1)</t>
        </is>
      </c>
      <c r="F547" s="51" cm="1">
        <f t="array" ref="F547">_xlfn.LET(_xlpm.a,ROUND(AVERAGE(prng('prng'!D42,'prng'!F42,'prng'!H42,'prng'!J42)),1),_xlpm.b,ROUND(AVERAGE(prng(('prng'!D42&amp;""),('prng'!F42&amp;""),('prng'!H42&amp;""),('prng'!J42&amp;""))),1),_xlpm.sa,IFERROR(ROWS(_xlpm.a)&amp;"x"&amp;COLUMNS(_xlpm.a),"err"),_xlpm.sb,IFERROR(ROWS(_xlpm.b)&amp;"x"&amp;COLUMNS(_xlpm.b),"err"),IF(_xlpm.sa&lt;&gt;_xlpm.sb,"FAIL",IF(_xlpm.sa="err",IF(ERROR.TYPE(_xlpm.a)=ERROR.TYPE(_xlpm.b),"PASS","FAIL"),IF(AND(IFERROR(_xlpm.a=_xlpm.b,IFERROR(ERROR.TYPE(_xlpm.a)=ERROR.TYPE(_xlpm.b),FALSE))),"PASS","FAIL"))))</f>
        <v>0</v>
      </c>
    </row>
    <row r="548">
      <c r="A548">
        <v>543</v>
      </c>
      <c r="B548" s="55" t="inlineStr">
        <is>
          <t xml:space="preserve">prng</t>
        </is>
      </c>
      <c r="C548" t="inlineStr">
        <is>
          <t xml:space="preserve">prng!P44</t>
        </is>
      </c>
      <c r="D548" s="51" t="inlineStr">
        <is>
          <t xml:space="preserve">tocol</t>
        </is>
      </c>
      <c r="E548" t="inlineStr">
        <is>
          <t xml:space="preserve">SUM(--(prng(TOCOL(D44),TOCOL(F44),TOCOL(H44),TOCOL(J44))=prng(D44+1,F44,H44,J44)))</t>
        </is>
      </c>
      <c r="F548" s="51" cm="1">
        <f t="array" ref="F548">_xlfn.LET(_xlpm.a,SUM(--(prng('prng'!D44,'prng'!F44,'prng'!H44,'prng'!J44)=prng('prng'!D44+1,'prng'!F44,'prng'!H44,'prng'!J44))),_xlpm.b,SUM(--(prng(_xlfn.TOCOL('prng'!D44),_xlfn.TOCOL('prng'!F44),_xlfn.TOCOL('prng'!H44),_xlfn.TOCOL('prng'!J44))=prng('prng'!D44+1,'prng'!F44,'prng'!H44,'prng'!J44))),_xlpm.sa,IFERROR(ROWS(_xlpm.a)&amp;"x"&amp;COLUMNS(_xlpm.a),"err"),_xlpm.sb,IFERROR(ROWS(_xlpm.b)&amp;"x"&amp;COLUMNS(_xlpm.b),"err"),IF(_xlpm.sa&lt;&gt;_xlpm.sb,"FAIL",IF(_xlpm.sa="err",IF(ERROR.TYPE(_xlpm.a)=ERROR.TYPE(_xlpm.b),"PASS","FAIL"),IF(AND(IFERROR(_xlpm.a=_xlpm.b,IFERROR(ERROR.TYPE(_xlpm.a)=ERROR.TYPE(_xlpm.b),FALSE))),"PASS","FAIL"))))</f>
        <v>0</v>
      </c>
    </row>
    <row r="549">
      <c r="A549">
        <v>544</v>
      </c>
      <c r="B549" s="55" t="inlineStr">
        <is>
          <t xml:space="preserve">prng</t>
        </is>
      </c>
      <c r="C549" t="inlineStr">
        <is>
          <t xml:space="preserve">prng!P44</t>
        </is>
      </c>
      <c r="D549" s="51" t="inlineStr">
        <is>
          <t xml:space="preserve">textnum</t>
        </is>
      </c>
      <c r="E549" t="inlineStr">
        <is>
          <t xml:space="preserve">SUM(--(prng((D44&amp;""),(F44&amp;""),(H44&amp;""),(J44&amp;""))=prng(D44+1,F44,H44,J44)))</t>
        </is>
      </c>
      <c r="F549" s="51" cm="1">
        <f t="array" ref="F549">_xlfn.LET(_xlpm.a,SUM(--(prng('prng'!D44,'prng'!F44,'prng'!H44,'prng'!J44)=prng('prng'!D44+1,'prng'!F44,'prng'!H44,'prng'!J44))),_xlpm.b,SUM(--(prng(('prng'!D44&amp;""),('prng'!F44&amp;""),('prng'!H44&amp;""),('prng'!J44&amp;""))=prng('prng'!D44+1,'prng'!F44,'prng'!H44,'prng'!J44))),_xlpm.sa,IFERROR(ROWS(_xlpm.a)&amp;"x"&amp;COLUMNS(_xlpm.a),"err"),_xlpm.sb,IFERROR(ROWS(_xlpm.b)&amp;"x"&amp;COLUMNS(_xlpm.b),"err"),IF(_xlpm.sa&lt;&gt;_xlpm.sb,"FAIL",IF(_xlpm.sa="err",IF(ERROR.TYPE(_xlpm.a)=ERROR.TYPE(_xlpm.b),"PASS","FAIL"),IF(AND(IFERROR(_xlpm.a=_xlpm.b,IFERROR(ERROR.TYPE(_xlpm.a)=ERROR.TYPE(_xlpm.b),FALSE))),"PASS","FAIL"))))</f>
        <v>0</v>
      </c>
    </row>
    <row r="550">
      <c r="A550">
        <v>545</v>
      </c>
      <c r="B550" s="55" t="inlineStr">
        <is>
          <t xml:space="preserve">prng</t>
        </is>
      </c>
      <c r="C550" t="inlineStr">
        <is>
          <t xml:space="preserve">prng!P46</t>
        </is>
      </c>
      <c r="D550" s="51" t="inlineStr">
        <is>
          <t xml:space="preserve">tocol</t>
        </is>
      </c>
      <c r="E550" t="inlineStr">
        <is>
          <t xml:space="preserve">ROWS(SEQUENCE(prng(TOCOL(D46),TOCOL(F46),TOCOL(H46))))</t>
        </is>
      </c>
      <c r="F550" s="51" cm="1">
        <f t="array" ref="F550">_xlfn.LET(_xlpm.a,ROWS(_xlfn.SEQUENCE(prng('prng'!D46,'prng'!F46,'prng'!H46))),_xlpm.b,ROWS(_xlfn.SEQUENCE(prng(_xlfn.TOCOL('prng'!D46),_xlfn.TOCOL('prng'!F46),_xlfn.TOCOL('prng'!H46)))),_xlpm.sa,IFERROR(ROWS(_xlpm.a)&amp;"x"&amp;COLUMNS(_xlpm.a),"err"),_xlpm.sb,IFERROR(ROWS(_xlpm.b)&amp;"x"&amp;COLUMNS(_xlpm.b),"err"),IF(_xlpm.sa&lt;&gt;_xlpm.sb,"FAIL",IF(_xlpm.sa="err",IF(ERROR.TYPE(_xlpm.a)=ERROR.TYPE(_xlpm.b),"PASS","FAIL"),IF(AND(IFERROR(_xlpm.a=_xlpm.b,IFERROR(ERROR.TYPE(_xlpm.a)=ERROR.TYPE(_xlpm.b),FALSE))),"PASS","FAIL"))))</f>
        <v>0</v>
      </c>
    </row>
    <row r="551">
      <c r="A551">
        <v>546</v>
      </c>
      <c r="B551" s="55" t="inlineStr">
        <is>
          <t xml:space="preserve">prng</t>
        </is>
      </c>
      <c r="C551" t="inlineStr">
        <is>
          <t xml:space="preserve">prng!P46</t>
        </is>
      </c>
      <c r="D551" s="51" t="inlineStr">
        <is>
          <t xml:space="preserve">textnum</t>
        </is>
      </c>
      <c r="E551" t="inlineStr">
        <is>
          <t xml:space="preserve">ROWS(SEQUENCE(prng((D46&amp;""),(F46&amp;""),(H46&amp;""))))</t>
        </is>
      </c>
      <c r="F551" s="51" cm="1">
        <f t="array" ref="F551">_xlfn.LET(_xlpm.a,ROWS(_xlfn.SEQUENCE(prng('prng'!D46,'prng'!F46,'prng'!H46))),_xlpm.b,ROWS(_xlfn.SEQUENCE(prng(('prng'!D46&amp;""),('prng'!F46&amp;""),('prng'!H46&amp;"")))),_xlpm.sa,IFERROR(ROWS(_xlpm.a)&amp;"x"&amp;COLUMNS(_xlpm.a),"err"),_xlpm.sb,IFERROR(ROWS(_xlpm.b)&amp;"x"&amp;COLUMNS(_xlpm.b),"err"),IF(_xlpm.sa&lt;&gt;_xlpm.sb,"FAIL",IF(_xlpm.sa="err",IF(ERROR.TYPE(_xlpm.a)=ERROR.TYPE(_xlpm.b),"PASS","FAIL"),IF(AND(IFERROR(_xlpm.a=_xlpm.b,IFERROR(ERROR.TYPE(_xlpm.a)=ERROR.TYPE(_xlpm.b),FALSE))),"PASS","FAIL"))))</f>
        <v>0</v>
      </c>
    </row>
    <row r="552">
      <c r="A552">
        <v>547</v>
      </c>
      <c r="B552" s="55" t="inlineStr">
        <is>
          <t xml:space="preserve">prng</t>
        </is>
      </c>
      <c r="C552" t="inlineStr">
        <is>
          <t xml:space="preserve">prng!P46</t>
        </is>
      </c>
      <c r="D552" s="51" t="inlineStr">
        <is>
          <t xml:space="preserve">blank</t>
        </is>
      </c>
      <c r="E552" t="inlineStr">
        <is>
          <t xml:space="preserve">ROWS(SEQUENCE(prng(D46,F46,H46,shape_tests!$Z$1)))</t>
        </is>
      </c>
      <c r="F552" s="51" cm="1">
        <f t="array" ref="F552">_xlfn.LET(_xlpm.a,ROWS(_xlfn.SEQUENCE(prng('prng'!D46,'prng'!F46,'prng'!H46))),_xlpm.b,ROWS(_xlfn.SEQUENCE(prng('prng'!D46,'prng'!F46,'prng'!H46,shape_tests!$Z$1))),_xlpm.sa,IFERROR(ROWS(_xlpm.a)&amp;"x"&amp;COLUMNS(_xlpm.a),"err"),_xlpm.sb,IFERROR(ROWS(_xlpm.b)&amp;"x"&amp;COLUMNS(_xlpm.b),"err"),IF(_xlpm.sa&lt;&gt;_xlpm.sb,"FAIL",IF(_xlpm.sa="err",IF(ERROR.TYPE(_xlpm.a)=ERROR.TYPE(_xlpm.b),"PASS","FAIL"),IF(AND(IFERROR(_xlpm.a=_xlpm.b,IFERROR(ERROR.TYPE(_xlpm.a)=ERROR.TYPE(_xlpm.b),FALSE))),"PASS","FAIL"))))</f>
        <v>0</v>
      </c>
    </row>
    <row r="553">
      <c r="A553">
        <v>548</v>
      </c>
      <c r="B553" s="55" t="inlineStr">
        <is>
          <t xml:space="preserve">prng</t>
        </is>
      </c>
      <c r="C553" t="inlineStr">
        <is>
          <t xml:space="preserve">prng!P48</t>
        </is>
      </c>
      <c r="D553" s="51" t="inlineStr">
        <is>
          <t xml:space="preserve">tocol</t>
        </is>
      </c>
      <c r="E553" t="inlineStr">
        <is>
          <t xml:space="preserve">prng(TOCOL(D48),TOCOL(F48),TOCOL(H48),TOCOL(J48))</t>
        </is>
      </c>
      <c r="F553" s="51" cm="1">
        <f t="array" ref="F553">_xlfn.LET(_xlpm.a,prng('prng'!D48,'prng'!F48,'prng'!H48,'prng'!J48),_xlpm.b,prng(_xlfn.TOCOL('prng'!D48),_xlfn.TOCOL('prng'!F48),_xlfn.TOCOL('prng'!H48),_xlfn.TOCOL('prng'!J48)),_xlpm.sa,IFERROR(ROWS(_xlpm.a)&amp;"x"&amp;COLUMNS(_xlpm.a),"err"),_xlpm.sb,IFERROR(ROWS(_xlpm.b)&amp;"x"&amp;COLUMNS(_xlpm.b),"err"),IF(_xlpm.sa&lt;&gt;_xlpm.sb,"FAIL",IF(_xlpm.sa="err",IF(ERROR.TYPE(_xlpm.a)=ERROR.TYPE(_xlpm.b),"PASS","FAIL"),IF(AND(IFERROR(_xlpm.a=_xlpm.b,IFERROR(ERROR.TYPE(_xlpm.a)=ERROR.TYPE(_xlpm.b),FALSE))),"PASS","FAIL"))))</f>
        <v>0</v>
      </c>
    </row>
    <row r="554">
      <c r="A554">
        <v>549</v>
      </c>
      <c r="B554" s="55" t="inlineStr">
        <is>
          <t xml:space="preserve">prng</t>
        </is>
      </c>
      <c r="C554" t="inlineStr">
        <is>
          <t xml:space="preserve">prng!P48</t>
        </is>
      </c>
      <c r="D554" s="51" t="inlineStr">
        <is>
          <t xml:space="preserve">textnum</t>
        </is>
      </c>
      <c r="E554" t="inlineStr">
        <is>
          <t xml:space="preserve">prng((D48&amp;""),(F48&amp;""),(H48&amp;""),(J48&amp;""))</t>
        </is>
      </c>
      <c r="F554" s="51" cm="1">
        <f t="array" ref="F554">_xlfn.LET(_xlpm.a,prng('prng'!D48,'prng'!F48,'prng'!H48,'prng'!J48),_xlpm.b,prng(('prng'!D48&amp;""),('prng'!F48&amp;""),('prng'!H48&amp;""),('prng'!J48&amp;"")),_xlpm.sa,IFERROR(ROWS(_xlpm.a)&amp;"x"&amp;COLUMNS(_xlpm.a),"err"),_xlpm.sb,IFERROR(ROWS(_xlpm.b)&amp;"x"&amp;COLUMNS(_xlpm.b),"err"),IF(_xlpm.sa&lt;&gt;_xlpm.sb,"FAIL",IF(_xlpm.sa="err",IF(ERROR.TYPE(_xlpm.a)=ERROR.TYPE(_xlpm.b),"PASS","FAIL"),IF(AND(IFERROR(_xlpm.a=_xlpm.b,IFERROR(ERROR.TYPE(_xlpm.a)=ERROR.TYPE(_xlpm.b),FALSE))),"PASS","FAIL"))))</f>
        <v>0</v>
      </c>
    </row>
    <row r="555">
      <c r="A555">
        <v>550</v>
      </c>
      <c r="B555" s="55" t="inlineStr">
        <is>
          <t xml:space="preserve">prng</t>
        </is>
      </c>
      <c r="C555" t="inlineStr">
        <is>
          <t xml:space="preserve">prng!P50</t>
        </is>
      </c>
      <c r="D555" s="51" t="inlineStr">
        <is>
          <t xml:space="preserve">tocol</t>
        </is>
      </c>
      <c r="E555" t="inlineStr">
        <is>
          <t xml:space="preserve">AND(prng(TOCOL(D50),TOCOL(F50),TOCOL(H50),TOCOL(J50))=prng(D50,F50,H50,J50))</t>
        </is>
      </c>
      <c r="F555" s="51" cm="1">
        <f t="array" ref="F555">_xlfn.LET(_xlpm.a,AND(prng('prng'!D50,'prng'!F50,'prng'!H50,'prng'!J50)=prng('prng'!D50,'prng'!F50,'prng'!H50,'prng'!J50)),_xlpm.b,AND(prng(_xlfn.TOCOL('prng'!D50),_xlfn.TOCOL('prng'!F50),_xlfn.TOCOL('prng'!H50),_xlfn.TOCOL('prng'!J50))=prng('prng'!D50,'prng'!F50,'prng'!H50,'prng'!J50)),_xlpm.sa,IFERROR(ROWS(_xlpm.a)&amp;"x"&amp;COLUMNS(_xlpm.a),"err"),_xlpm.sb,IFERROR(ROWS(_xlpm.b)&amp;"x"&amp;COLUMNS(_xlpm.b),"err"),IF(_xlpm.sa&lt;&gt;_xlpm.sb,"FAIL",IF(_xlpm.sa="err",IF(ERROR.TYPE(_xlpm.a)=ERROR.TYPE(_xlpm.b),"PASS","FAIL"),IF(AND(IFERROR(_xlpm.a=_xlpm.b,IFERROR(ERROR.TYPE(_xlpm.a)=ERROR.TYPE(_xlpm.b),FALSE))),"PASS","FAIL"))))</f>
        <v>0</v>
      </c>
    </row>
    <row r="556">
      <c r="A556">
        <v>551</v>
      </c>
      <c r="B556" s="55" t="inlineStr">
        <is>
          <t xml:space="preserve">prng</t>
        </is>
      </c>
      <c r="C556" t="inlineStr">
        <is>
          <t xml:space="preserve">prng!P50</t>
        </is>
      </c>
      <c r="D556" s="51" t="inlineStr">
        <is>
          <t xml:space="preserve">textnum</t>
        </is>
      </c>
      <c r="E556" t="inlineStr">
        <is>
          <t xml:space="preserve">AND(prng((D50&amp;""),(F50&amp;""),(H50&amp;""),(J50&amp;""))=prng(D50,F50,H50,J50))</t>
        </is>
      </c>
      <c r="F556" s="51" cm="1">
        <f t="array" ref="F556">_xlfn.LET(_xlpm.a,AND(prng('prng'!D50,'prng'!F50,'prng'!H50,'prng'!J50)=prng('prng'!D50,'prng'!F50,'prng'!H50,'prng'!J50)),_xlpm.b,AND(prng(('prng'!D50&amp;""),('prng'!F50&amp;""),('prng'!H50&amp;""),('prng'!J50&amp;""))=prng('prng'!D50,'prng'!F50,'prng'!H50,'prng'!J50)),_xlpm.sa,IFERROR(ROWS(_xlpm.a)&amp;"x"&amp;COLUMNS(_xlpm.a),"err"),_xlpm.sb,IFERROR(ROWS(_xlpm.b)&amp;"x"&amp;COLUMNS(_xlpm.b),"err"),IF(_xlpm.sa&lt;&gt;_xlpm.sb,"FAIL",IF(_xlpm.sa="err",IF(ERROR.TYPE(_xlpm.a)=ERROR.TYPE(_xlpm.b),"PASS","FAIL"),IF(AND(IFERROR(_xlpm.a=_xlpm.b,IFERROR(ERROR.TYPE(_xlpm.a)=ERROR.TYPE(_xlpm.b),FALSE))),"PASS","FAIL"))))</f>
        <v>0</v>
      </c>
    </row>
    <row r="557">
      <c r="A557">
        <v>552</v>
      </c>
      <c r="B557" s="55" t="inlineStr">
        <is>
          <t xml:space="preserve">prng</t>
        </is>
      </c>
      <c r="C557" t="inlineStr">
        <is>
          <t xml:space="preserve">prng!P52</t>
        </is>
      </c>
      <c r="D557" s="51" t="inlineStr">
        <is>
          <t xml:space="preserve">tocol</t>
        </is>
      </c>
      <c r="E557" t="inlineStr">
        <is>
          <t xml:space="preserve">prng(TOCOL(D52),TOCOL(F52),TOCOL(H52),TOCOL(J52))</t>
        </is>
      </c>
      <c r="F557" s="51" cm="1">
        <f t="array" ref="F557">_xlfn.LET(_xlpm.a,prng('prng'!D52,'prng'!F52,'prng'!H52,_xlfn.TOCOL('prng'!J52)),_xlpm.b,prng(_xlfn.TOCOL('prng'!D52),_xlfn.TOCOL('prng'!F52),_xlfn.TOCOL('prng'!H52),_xlfn.TOCOL('prng'!J52)),_xlpm.sa,IFERROR(ROWS(_xlpm.a)&amp;"x"&amp;COLUMNS(_xlpm.a),"err"),_xlpm.sb,IFERROR(ROWS(_xlpm.b)&amp;"x"&amp;COLUMNS(_xlpm.b),"err"),IF(_xlpm.sa&lt;&gt;_xlpm.sb,"FAIL",IF(_xlpm.sa="err",IF(ERROR.TYPE(_xlpm.a)=ERROR.TYPE(_xlpm.b),"PASS","FAIL"),IF(AND(IFERROR(_xlpm.a=_xlpm.b,IFERROR(ERROR.TYPE(_xlpm.a)=ERROR.TYPE(_xlpm.b),FALSE))),"PASS","FAIL"))))</f>
        <v>0</v>
      </c>
    </row>
    <row r="558">
      <c r="A558">
        <v>553</v>
      </c>
      <c r="B558" s="55" t="inlineStr">
        <is>
          <t xml:space="preserve">prng</t>
        </is>
      </c>
      <c r="C558" t="inlineStr">
        <is>
          <t xml:space="preserve">prng!P52</t>
        </is>
      </c>
      <c r="D558" s="51" t="inlineStr">
        <is>
          <t xml:space="preserve">textnum</t>
        </is>
      </c>
      <c r="E558" t="inlineStr">
        <is>
          <t xml:space="preserve">prng((D52&amp;""),(F52&amp;""),(H52&amp;""),TOCOL(J52))</t>
        </is>
      </c>
      <c r="F558" s="51" cm="1">
        <f t="array" ref="F558">_xlfn.LET(_xlpm.a,prng('prng'!D52,'prng'!F52,'prng'!H52,_xlfn.TOCOL('prng'!J52)),_xlpm.b,prng(('prng'!D52&amp;""),('prng'!F52&amp;""),('prng'!H52&amp;""),_xlfn.TOCOL('prng'!J52)),_xlpm.sa,IFERROR(ROWS(_xlpm.a)&amp;"x"&amp;COLUMNS(_xlpm.a),"err"),_xlpm.sb,IFERROR(ROWS(_xlpm.b)&amp;"x"&amp;COLUMNS(_xlpm.b),"err"),IF(_xlpm.sa&lt;&gt;_xlpm.sb,"FAIL",IF(_xlpm.sa="err",IF(ERROR.TYPE(_xlpm.a)=ERROR.TYPE(_xlpm.b),"PASS","FAIL"),IF(AND(IFERROR(_xlpm.a=_xlpm.b,IFERROR(ERROR.TYPE(_xlpm.a)=ERROR.TYPE(_xlpm.b),FALSE))),"PASS","FAIL"))))</f>
        <v>0</v>
      </c>
    </row>
    <row r="559">
      <c r="A559">
        <v>554</v>
      </c>
      <c r="B559" s="55" t="inlineStr">
        <is>
          <t xml:space="preserve">rc_to_ad</t>
        </is>
      </c>
      <c r="C559" t="inlineStr">
        <is>
          <t xml:space="preserve">rc_to_ad!H6</t>
        </is>
      </c>
      <c r="D559" s="51" t="inlineStr">
        <is>
          <t xml:space="preserve">tocol</t>
        </is>
      </c>
      <c r="E559" t="inlineStr">
        <is>
          <t xml:space="preserve">rc_to_ad(TOCOL(D6),TOCOL(E6))</t>
        </is>
      </c>
      <c r="F559" s="51" cm="1">
        <f t="array" ref="F559">_xlfn.LET(_xlpm.a,rc_to_ad('rc_to_ad'!D6,'rc_to_ad'!E6),_xlpm.b,rc_to_ad(_xlfn.TOCOL('rc_to_ad'!D6),_xlfn.TOCOL('rc_to_ad'!E6)),_xlpm.sa,IFERROR(ROWS(_xlpm.a)&amp;"x"&amp;COLUMNS(_xlpm.a),"err"),_xlpm.sb,IFERROR(ROWS(_xlpm.b)&amp;"x"&amp;COLUMNS(_xlpm.b),"err"),IF(_xlpm.sa&lt;&gt;_xlpm.sb,"FAIL",IF(_xlpm.sa="err",IF(ERROR.TYPE(_xlpm.a)=ERROR.TYPE(_xlpm.b),"PASS","FAIL"),IF(AND(IFERROR(_xlpm.a=_xlpm.b,IFERROR(ERROR.TYPE(_xlpm.a)=ERROR.TYPE(_xlpm.b),FALSE))),"PASS","FAIL"))))</f>
        <v>0</v>
      </c>
    </row>
    <row r="560">
      <c r="A560">
        <v>555</v>
      </c>
      <c r="B560" s="55" t="inlineStr">
        <is>
          <t xml:space="preserve">rc_to_ad</t>
        </is>
      </c>
      <c r="C560" t="inlineStr">
        <is>
          <t xml:space="preserve">rc_to_ad!H6</t>
        </is>
      </c>
      <c r="D560" s="51" t="inlineStr">
        <is>
          <t xml:space="preserve">textnum</t>
        </is>
      </c>
      <c r="E560" t="inlineStr">
        <is>
          <t xml:space="preserve">rc_to_ad((D6&amp;""),(E6&amp;""))</t>
        </is>
      </c>
      <c r="F560" s="51" cm="1">
        <f t="array" ref="F560">_xlfn.LET(_xlpm.a,rc_to_ad('rc_to_ad'!D6,'rc_to_ad'!E6),_xlpm.b,rc_to_ad(('rc_to_ad'!D6&amp;""),('rc_to_ad'!E6&amp;"")),_xlpm.sa,IFERROR(ROWS(_xlpm.a)&amp;"x"&amp;COLUMNS(_xlpm.a),"err"),_xlpm.sb,IFERROR(ROWS(_xlpm.b)&amp;"x"&amp;COLUMNS(_xlpm.b),"err"),IF(_xlpm.sa&lt;&gt;_xlpm.sb,"FAIL",IF(_xlpm.sa="err",IF(ERROR.TYPE(_xlpm.a)=ERROR.TYPE(_xlpm.b),"PASS","FAIL"),IF(AND(IFERROR(_xlpm.a=_xlpm.b,IFERROR(ERROR.TYPE(_xlpm.a)=ERROR.TYPE(_xlpm.b),FALSE))),"PASS","FAIL"))))</f>
        <v>0</v>
      </c>
    </row>
    <row r="561">
      <c r="A561">
        <v>556</v>
      </c>
      <c r="B561" s="55" t="inlineStr">
        <is>
          <t xml:space="preserve">rc_to_ad</t>
        </is>
      </c>
      <c r="C561" t="inlineStr">
        <is>
          <t xml:space="preserve">rc_to_ad!H6</t>
        </is>
      </c>
      <c r="D561" s="51" t="inlineStr">
        <is>
          <t xml:space="preserve">blank</t>
        </is>
      </c>
      <c r="E561" t="inlineStr">
        <is>
          <t xml:space="preserve">rc_to_ad(D6,E6,shape_tests!$Z$1)</t>
        </is>
      </c>
      <c r="F561" s="51" cm="1">
        <f t="array" ref="F561">_xlfn.LET(_xlpm.a,rc_to_ad('rc_to_ad'!D6,'rc_to_ad'!E6),_xlpm.b,rc_to_ad('rc_to_ad'!D6,'rc_to_ad'!E6,shape_tests!$Z$1),_xlpm.sa,IFERROR(ROWS(_xlpm.a)&amp;"x"&amp;COLUMNS(_xlpm.a),"err"),_xlpm.sb,IFERROR(ROWS(_xlpm.b)&amp;"x"&amp;COLUMNS(_xlpm.b),"err"),IF(_xlpm.sa&lt;&gt;_xlpm.sb,"FAIL",IF(_xlpm.sa="err",IF(ERROR.TYPE(_xlpm.a)=ERROR.TYPE(_xlpm.b),"PASS","FAIL"),IF(AND(IFERROR(_xlpm.a=_xlpm.b,IFERROR(ERROR.TYPE(_xlpm.a)=ERROR.TYPE(_xlpm.b),FALSE))),"PASS","FAIL"))))</f>
        <v>0</v>
      </c>
    </row>
    <row r="562">
      <c r="A562">
        <v>557</v>
      </c>
      <c r="B562" s="55" t="inlineStr">
        <is>
          <t xml:space="preserve">rc_to_ad</t>
        </is>
      </c>
      <c r="C562" t="inlineStr">
        <is>
          <t xml:space="preserve">rc_to_ad!H8</t>
        </is>
      </c>
      <c r="D562" s="51" t="inlineStr">
        <is>
          <t xml:space="preserve">tocol</t>
        </is>
      </c>
      <c r="E562" t="inlineStr">
        <is>
          <t xml:space="preserve">rc_to_ad(TOCOL(D8),TOCOL(E8),TOCOL(G8))</t>
        </is>
      </c>
      <c r="F562" s="51" cm="1">
        <f t="array" ref="F562">_xlfn.LET(_xlpm.a,rc_to_ad('rc_to_ad'!D8,'rc_to_ad'!E8,'rc_to_ad'!G8),_xlpm.b,rc_to_ad(_xlfn.TOCOL('rc_to_ad'!D8),_xlfn.TOCOL('rc_to_ad'!E8),_xlfn.TOCOL('rc_to_ad'!G8)),_xlpm.sa,IFERROR(ROWS(_xlpm.a)&amp;"x"&amp;COLUMNS(_xlpm.a),"err"),_xlpm.sb,IFERROR(ROWS(_xlpm.b)&amp;"x"&amp;COLUMNS(_xlpm.b),"err"),IF(_xlpm.sa&lt;&gt;_xlpm.sb,"FAIL",IF(_xlpm.sa="err",IF(ERROR.TYPE(_xlpm.a)=ERROR.TYPE(_xlpm.b),"PASS","FAIL"),IF(AND(IFERROR(_xlpm.a=_xlpm.b,IFERROR(ERROR.TYPE(_xlpm.a)=ERROR.TYPE(_xlpm.b),FALSE))),"PASS","FAIL"))))</f>
        <v>0</v>
      </c>
    </row>
    <row r="563">
      <c r="A563">
        <v>558</v>
      </c>
      <c r="B563" s="55" t="inlineStr">
        <is>
          <t xml:space="preserve">rc_to_ad</t>
        </is>
      </c>
      <c r="C563" t="inlineStr">
        <is>
          <t xml:space="preserve">rc_to_ad!H8</t>
        </is>
      </c>
      <c r="D563" s="51" t="inlineStr">
        <is>
          <t xml:space="preserve">textnum</t>
        </is>
      </c>
      <c r="E563" t="inlineStr">
        <is>
          <t xml:space="preserve">rc_to_ad((D8&amp;""),(E8&amp;""),(G8&amp;""))</t>
        </is>
      </c>
      <c r="F563" s="51" cm="1">
        <f t="array" ref="F563">_xlfn.LET(_xlpm.a,rc_to_ad('rc_to_ad'!D8,'rc_to_ad'!E8,'rc_to_ad'!G8),_xlpm.b,rc_to_ad(('rc_to_ad'!D8&amp;""),('rc_to_ad'!E8&amp;""),('rc_to_ad'!G8&amp;"")),_xlpm.sa,IFERROR(ROWS(_xlpm.a)&amp;"x"&amp;COLUMNS(_xlpm.a),"err"),_xlpm.sb,IFERROR(ROWS(_xlpm.b)&amp;"x"&amp;COLUMNS(_xlpm.b),"err"),IF(_xlpm.sa&lt;&gt;_xlpm.sb,"FAIL",IF(_xlpm.sa="err",IF(ERROR.TYPE(_xlpm.a)=ERROR.TYPE(_xlpm.b),"PASS","FAIL"),IF(AND(IFERROR(_xlpm.a=_xlpm.b,IFERROR(ERROR.TYPE(_xlpm.a)=ERROR.TYPE(_xlpm.b),FALSE))),"PASS","FAIL"))))</f>
        <v>0</v>
      </c>
    </row>
    <row r="564">
      <c r="A564">
        <v>559</v>
      </c>
      <c r="B564" s="55" t="inlineStr">
        <is>
          <t xml:space="preserve">rc_to_ad</t>
        </is>
      </c>
      <c r="C564" t="inlineStr">
        <is>
          <t xml:space="preserve">rc_to_ad!H10</t>
        </is>
      </c>
      <c r="D564" s="51" t="inlineStr">
        <is>
          <t xml:space="preserve">tocol</t>
        </is>
      </c>
      <c r="E564" t="inlineStr">
        <is>
          <t xml:space="preserve">ERROR.TYPE(rc_to_ad(TOCOL(D10),TOCOL(E10)))</t>
        </is>
      </c>
      <c r="F564" s="51" cm="1">
        <f t="array" ref="F564">_xlfn.LET(_xlpm.a,ERROR.TYPE(rc_to_ad('rc_to_ad'!D10,'rc_to_ad'!E10)),_xlpm.b,ERROR.TYPE(rc_to_ad(_xlfn.TOCOL('rc_to_ad'!D10),_xlfn.TOCOL('rc_to_ad'!E10))),_xlpm.sa,IFERROR(ROWS(_xlpm.a)&amp;"x"&amp;COLUMNS(_xlpm.a),"err"),_xlpm.sb,IFERROR(ROWS(_xlpm.b)&amp;"x"&amp;COLUMNS(_xlpm.b),"err"),IF(_xlpm.sa&lt;&gt;_xlpm.sb,"FAIL",IF(_xlpm.sa="err",IF(ERROR.TYPE(_xlpm.a)=ERROR.TYPE(_xlpm.b),"PASS","FAIL"),IF(AND(IFERROR(_xlpm.a=_xlpm.b,IFERROR(ERROR.TYPE(_xlpm.a)=ERROR.TYPE(_xlpm.b),FALSE))),"PASS","FAIL"))))</f>
        <v>0</v>
      </c>
    </row>
    <row r="565">
      <c r="A565">
        <v>560</v>
      </c>
      <c r="B565" s="55" t="inlineStr">
        <is>
          <t xml:space="preserve">rc_to_ad</t>
        </is>
      </c>
      <c r="C565" t="inlineStr">
        <is>
          <t xml:space="preserve">rc_to_ad!H10</t>
        </is>
      </c>
      <c r="D565" s="51" t="inlineStr">
        <is>
          <t xml:space="preserve">textnum</t>
        </is>
      </c>
      <c r="E565" t="inlineStr">
        <is>
          <t xml:space="preserve">ERROR.TYPE(rc_to_ad((D10&amp;""),(E10&amp;"")))</t>
        </is>
      </c>
      <c r="F565" s="51" cm="1">
        <f t="array" ref="F565">_xlfn.LET(_xlpm.a,ERROR.TYPE(rc_to_ad('rc_to_ad'!D10,'rc_to_ad'!E10)),_xlpm.b,ERROR.TYPE(rc_to_ad(('rc_to_ad'!D10&amp;""),('rc_to_ad'!E10&amp;""))),_xlpm.sa,IFERROR(ROWS(_xlpm.a)&amp;"x"&amp;COLUMNS(_xlpm.a),"err"),_xlpm.sb,IFERROR(ROWS(_xlpm.b)&amp;"x"&amp;COLUMNS(_xlpm.b),"err"),IF(_xlpm.sa&lt;&gt;_xlpm.sb,"FAIL",IF(_xlpm.sa="err",IF(ERROR.TYPE(_xlpm.a)=ERROR.TYPE(_xlpm.b),"PASS","FAIL"),IF(AND(IFERROR(_xlpm.a=_xlpm.b,IFERROR(ERROR.TYPE(_xlpm.a)=ERROR.TYPE(_xlpm.b),FALSE))),"PASS","FAIL"))))</f>
        <v>0</v>
      </c>
    </row>
    <row r="566">
      <c r="A566">
        <v>561</v>
      </c>
      <c r="B566" s="55" t="inlineStr">
        <is>
          <t xml:space="preserve">rc_to_ad</t>
        </is>
      </c>
      <c r="C566" t="inlineStr">
        <is>
          <t xml:space="preserve">rc_to_ad!H10</t>
        </is>
      </c>
      <c r="D566" s="51" t="inlineStr">
        <is>
          <t xml:space="preserve">blank</t>
        </is>
      </c>
      <c r="E566" t="inlineStr">
        <is>
          <t xml:space="preserve">ERROR.TYPE(rc_to_ad(D10,E10,shape_tests!$Z$1))</t>
        </is>
      </c>
      <c r="F566" s="51" cm="1">
        <f t="array" ref="F566">_xlfn.LET(_xlpm.a,ERROR.TYPE(rc_to_ad('rc_to_ad'!D10,'rc_to_ad'!E10)),_xlpm.b,ERROR.TYPE(rc_to_ad('rc_to_ad'!D10,'rc_to_ad'!E10,shape_tests!$Z$1)),_xlpm.sa,IFERROR(ROWS(_xlpm.a)&amp;"x"&amp;COLUMNS(_xlpm.a),"err"),_xlpm.sb,IFERROR(ROWS(_xlpm.b)&amp;"x"&amp;COLUMNS(_xlpm.b),"err"),IF(_xlpm.sa&lt;&gt;_xlpm.sb,"FAIL",IF(_xlpm.sa="err",IF(ERROR.TYPE(_xlpm.a)=ERROR.TYPE(_xlpm.b),"PASS","FAIL"),IF(AND(IFERROR(_xlpm.a=_xlpm.b,IFERROR(ERROR.TYPE(_xlpm.a)=ERROR.TYPE(_xlpm.b),FALSE))),"PASS","FAIL"))))</f>
        <v>0</v>
      </c>
    </row>
    <row r="567">
      <c r="A567">
        <v>562</v>
      </c>
      <c r="B567" s="55" t="inlineStr">
        <is>
          <t xml:space="preserve">rc_to_ad</t>
        </is>
      </c>
      <c r="C567" t="inlineStr">
        <is>
          <t xml:space="preserve">rc_to_ad!H12</t>
        </is>
      </c>
      <c r="D567" s="51" t="inlineStr">
        <is>
          <t xml:space="preserve">tocol</t>
        </is>
      </c>
      <c r="E567" t="inlineStr">
        <is>
          <t xml:space="preserve">ERROR.TYPE(rc_to_ad(TOCOL(D12),TOCOL(E12)))</t>
        </is>
      </c>
      <c r="F567" s="51" cm="1">
        <f t="array" ref="F567">_xlfn.LET(_xlpm.a,ERROR.TYPE(rc_to_ad('rc_to_ad'!D12,'rc_to_ad'!E12)),_xlpm.b,ERROR.TYPE(rc_to_ad(_xlfn.TOCOL('rc_to_ad'!D12),_xlfn.TOCOL('rc_to_ad'!E12))),_xlpm.sa,IFERROR(ROWS(_xlpm.a)&amp;"x"&amp;COLUMNS(_xlpm.a),"err"),_xlpm.sb,IFERROR(ROWS(_xlpm.b)&amp;"x"&amp;COLUMNS(_xlpm.b),"err"),IF(_xlpm.sa&lt;&gt;_xlpm.sb,"FAIL",IF(_xlpm.sa="err",IF(ERROR.TYPE(_xlpm.a)=ERROR.TYPE(_xlpm.b),"PASS","FAIL"),IF(AND(IFERROR(_xlpm.a=_xlpm.b,IFERROR(ERROR.TYPE(_xlpm.a)=ERROR.TYPE(_xlpm.b),FALSE))),"PASS","FAIL"))))</f>
        <v>0</v>
      </c>
    </row>
    <row r="568">
      <c r="A568">
        <v>563</v>
      </c>
      <c r="B568" s="55" t="inlineStr">
        <is>
          <t xml:space="preserve">rc_to_ad</t>
        </is>
      </c>
      <c r="C568" t="inlineStr">
        <is>
          <t xml:space="preserve">rc_to_ad!H12</t>
        </is>
      </c>
      <c r="D568" s="51" t="inlineStr">
        <is>
          <t xml:space="preserve">textnum</t>
        </is>
      </c>
      <c r="E568" t="inlineStr">
        <is>
          <t xml:space="preserve">ERROR.TYPE(rc_to_ad((D12&amp;""),(E12&amp;"")))</t>
        </is>
      </c>
      <c r="F568" s="51" cm="1">
        <f t="array" ref="F568">_xlfn.LET(_xlpm.a,ERROR.TYPE(rc_to_ad('rc_to_ad'!D12,'rc_to_ad'!E12)),_xlpm.b,ERROR.TYPE(rc_to_ad(('rc_to_ad'!D12&amp;""),('rc_to_ad'!E12&amp;""))),_xlpm.sa,IFERROR(ROWS(_xlpm.a)&amp;"x"&amp;COLUMNS(_xlpm.a),"err"),_xlpm.sb,IFERROR(ROWS(_xlpm.b)&amp;"x"&amp;COLUMNS(_xlpm.b),"err"),IF(_xlpm.sa&lt;&gt;_xlpm.sb,"FAIL",IF(_xlpm.sa="err",IF(ERROR.TYPE(_xlpm.a)=ERROR.TYPE(_xlpm.b),"PASS","FAIL"),IF(AND(IFERROR(_xlpm.a=_xlpm.b,IFERROR(ERROR.TYPE(_xlpm.a)=ERROR.TYPE(_xlpm.b),FALSE))),"PASS","FAIL"))))</f>
        <v>0</v>
      </c>
    </row>
    <row r="569">
      <c r="A569">
        <v>564</v>
      </c>
      <c r="B569" s="55" t="inlineStr">
        <is>
          <t xml:space="preserve">rc_to_ad</t>
        </is>
      </c>
      <c r="C569" t="inlineStr">
        <is>
          <t xml:space="preserve">rc_to_ad!H12</t>
        </is>
      </c>
      <c r="D569" s="51" t="inlineStr">
        <is>
          <t xml:space="preserve">blank</t>
        </is>
      </c>
      <c r="E569" t="inlineStr">
        <is>
          <t xml:space="preserve">ERROR.TYPE(rc_to_ad(D12,E12,shape_tests!$Z$1))</t>
        </is>
      </c>
      <c r="F569" s="51" cm="1">
        <f t="array" ref="F569">_xlfn.LET(_xlpm.a,ERROR.TYPE(rc_to_ad('rc_to_ad'!D12,'rc_to_ad'!E12)),_xlpm.b,ERROR.TYPE(rc_to_ad('rc_to_ad'!D12,'rc_to_ad'!E12,shape_tests!$Z$1)),_xlpm.sa,IFERROR(ROWS(_xlpm.a)&amp;"x"&amp;COLUMNS(_xlpm.a),"err"),_xlpm.sb,IFERROR(ROWS(_xlpm.b)&amp;"x"&amp;COLUMNS(_xlpm.b),"err"),IF(_xlpm.sa&lt;&gt;_xlpm.sb,"FAIL",IF(_xlpm.sa="err",IF(ERROR.TYPE(_xlpm.a)=ERROR.TYPE(_xlpm.b),"PASS","FAIL"),IF(AND(IFERROR(_xlpm.a=_xlpm.b,IFERROR(ERROR.TYPE(_xlpm.a)=ERROR.TYPE(_xlpm.b),FALSE))),"PASS","FAIL"))))</f>
        <v>0</v>
      </c>
    </row>
    <row r="570">
      <c r="A570">
        <v>565</v>
      </c>
      <c r="B570" s="55" t="inlineStr">
        <is>
          <t xml:space="preserve">rc_to_ad</t>
        </is>
      </c>
      <c r="C570" t="inlineStr">
        <is>
          <t xml:space="preserve">rc_to_ad!H14</t>
        </is>
      </c>
      <c r="D570" s="51" t="inlineStr">
        <is>
          <t xml:space="preserve">tocol</t>
        </is>
      </c>
      <c r="E570" t="inlineStr">
        <is>
          <t xml:space="preserve">ERROR.TYPE(rc_to_ad(TOCOL(D14),TOCOL(E14)))</t>
        </is>
      </c>
      <c r="F570" s="51" cm="1">
        <f t="array" ref="F570">_xlfn.LET(_xlpm.a,ERROR.TYPE(rc_to_ad('rc_to_ad'!D14,'rc_to_ad'!E14)),_xlpm.b,ERROR.TYPE(rc_to_ad(_xlfn.TOCOL('rc_to_ad'!D14),_xlfn.TOCOL('rc_to_ad'!E14))),_xlpm.sa,IFERROR(ROWS(_xlpm.a)&amp;"x"&amp;COLUMNS(_xlpm.a),"err"),_xlpm.sb,IFERROR(ROWS(_xlpm.b)&amp;"x"&amp;COLUMNS(_xlpm.b),"err"),IF(_xlpm.sa&lt;&gt;_xlpm.sb,"FAIL",IF(_xlpm.sa="err",IF(ERROR.TYPE(_xlpm.a)=ERROR.TYPE(_xlpm.b),"PASS","FAIL"),IF(AND(IFERROR(_xlpm.a=_xlpm.b,IFERROR(ERROR.TYPE(_xlpm.a)=ERROR.TYPE(_xlpm.b),FALSE))),"PASS","FAIL"))))</f>
        <v>0</v>
      </c>
    </row>
    <row r="571">
      <c r="A571">
        <v>566</v>
      </c>
      <c r="B571" s="55" t="inlineStr">
        <is>
          <t xml:space="preserve">rc_to_ad</t>
        </is>
      </c>
      <c r="C571" t="inlineStr">
        <is>
          <t xml:space="preserve">rc_to_ad!H14</t>
        </is>
      </c>
      <c r="D571" s="51" t="inlineStr">
        <is>
          <t xml:space="preserve">textnum</t>
        </is>
      </c>
      <c r="E571" t="inlineStr">
        <is>
          <t xml:space="preserve">ERROR.TYPE(rc_to_ad((D14&amp;""),(E14&amp;"")))</t>
        </is>
      </c>
      <c r="F571" s="51" cm="1">
        <f t="array" ref="F571">_xlfn.LET(_xlpm.a,ERROR.TYPE(rc_to_ad('rc_to_ad'!D14,'rc_to_ad'!E14)),_xlpm.b,ERROR.TYPE(rc_to_ad(('rc_to_ad'!D14&amp;""),('rc_to_ad'!E14&amp;""))),_xlpm.sa,IFERROR(ROWS(_xlpm.a)&amp;"x"&amp;COLUMNS(_xlpm.a),"err"),_xlpm.sb,IFERROR(ROWS(_xlpm.b)&amp;"x"&amp;COLUMNS(_xlpm.b),"err"),IF(_xlpm.sa&lt;&gt;_xlpm.sb,"FAIL",IF(_xlpm.sa="err",IF(ERROR.TYPE(_xlpm.a)=ERROR.TYPE(_xlpm.b),"PASS","FAIL"),IF(AND(IFERROR(_xlpm.a=_xlpm.b,IFERROR(ERROR.TYPE(_xlpm.a)=ERROR.TYPE(_xlpm.b),FALSE))),"PASS","FAIL"))))</f>
        <v>0</v>
      </c>
    </row>
    <row r="572">
      <c r="A572">
        <v>567</v>
      </c>
      <c r="B572" s="55" t="inlineStr">
        <is>
          <t xml:space="preserve">rc_to_ad</t>
        </is>
      </c>
      <c r="C572" t="inlineStr">
        <is>
          <t xml:space="preserve">rc_to_ad!H14</t>
        </is>
      </c>
      <c r="D572" s="51" t="inlineStr">
        <is>
          <t xml:space="preserve">blank</t>
        </is>
      </c>
      <c r="E572" t="inlineStr">
        <is>
          <t xml:space="preserve">ERROR.TYPE(rc_to_ad(D14,E14,shape_tests!$Z$1))</t>
        </is>
      </c>
      <c r="F572" s="51" cm="1">
        <f t="array" ref="F572">_xlfn.LET(_xlpm.a,ERROR.TYPE(rc_to_ad('rc_to_ad'!D14,'rc_to_ad'!E14)),_xlpm.b,ERROR.TYPE(rc_to_ad('rc_to_ad'!D14,'rc_to_ad'!E14,shape_tests!$Z$1)),_xlpm.sa,IFERROR(ROWS(_xlpm.a)&amp;"x"&amp;COLUMNS(_xlpm.a),"err"),_xlpm.sb,IFERROR(ROWS(_xlpm.b)&amp;"x"&amp;COLUMNS(_xlpm.b),"err"),IF(_xlpm.sa&lt;&gt;_xlpm.sb,"FAIL",IF(_xlpm.sa="err",IF(ERROR.TYPE(_xlpm.a)=ERROR.TYPE(_xlpm.b),"PASS","FAIL"),IF(AND(IFERROR(_xlpm.a=_xlpm.b,IFERROR(ERROR.TYPE(_xlpm.a)=ERROR.TYPE(_xlpm.b),FALSE))),"PASS","FAIL"))))</f>
        <v>0</v>
      </c>
    </row>
    <row r="573">
      <c r="A573">
        <v>568</v>
      </c>
      <c r="B573" s="55" t="inlineStr">
        <is>
          <t xml:space="preserve">rc_to_ad</t>
        </is>
      </c>
      <c r="C573" t="inlineStr">
        <is>
          <t xml:space="preserve">rc_to_ad!H16</t>
        </is>
      </c>
      <c r="D573" s="51" t="inlineStr">
        <is>
          <t xml:space="preserve">tocol</t>
        </is>
      </c>
      <c r="E573" t="inlineStr">
        <is>
          <t xml:space="preserve">rc_to_ad(TOCOL(D16),TOCOL(E16),TOCOL(G16))</t>
        </is>
      </c>
      <c r="F573" s="51" cm="1">
        <f t="array" ref="F573">_xlfn.LET(_xlpm.a,rc_to_ad('rc_to_ad'!D16,'rc_to_ad'!E16,'rc_to_ad'!G16),_xlpm.b,rc_to_ad(_xlfn.TOCOL('rc_to_ad'!D16),_xlfn.TOCOL('rc_to_ad'!E16),_xlfn.TOCOL('rc_to_ad'!G16)),_xlpm.sa,IFERROR(ROWS(_xlpm.a)&amp;"x"&amp;COLUMNS(_xlpm.a),"err"),_xlpm.sb,IFERROR(ROWS(_xlpm.b)&amp;"x"&amp;COLUMNS(_xlpm.b),"err"),IF(_xlpm.sa&lt;&gt;_xlpm.sb,"FAIL",IF(_xlpm.sa="err",IF(ERROR.TYPE(_xlpm.a)=ERROR.TYPE(_xlpm.b),"PASS","FAIL"),IF(AND(IFERROR(_xlpm.a=_xlpm.b,IFERROR(ERROR.TYPE(_xlpm.a)=ERROR.TYPE(_xlpm.b),FALSE))),"PASS","FAIL"))))</f>
        <v>0</v>
      </c>
    </row>
    <row r="574">
      <c r="A574">
        <v>569</v>
      </c>
      <c r="B574" s="55" t="inlineStr">
        <is>
          <t xml:space="preserve">rc_to_ad</t>
        </is>
      </c>
      <c r="C574" t="inlineStr">
        <is>
          <t xml:space="preserve">rc_to_ad!H16</t>
        </is>
      </c>
      <c r="D574" s="51" t="inlineStr">
        <is>
          <t xml:space="preserve">textnum</t>
        </is>
      </c>
      <c r="E574" t="inlineStr">
        <is>
          <t xml:space="preserve">rc_to_ad((D16&amp;""),(E16&amp;""),(G16&amp;""))</t>
        </is>
      </c>
      <c r="F574" s="51" cm="1">
        <f t="array" ref="F574">_xlfn.LET(_xlpm.a,rc_to_ad('rc_to_ad'!D16,'rc_to_ad'!E16,'rc_to_ad'!G16),_xlpm.b,rc_to_ad(('rc_to_ad'!D16&amp;""),('rc_to_ad'!E16&amp;""),('rc_to_ad'!G16&amp;"")),_xlpm.sa,IFERROR(ROWS(_xlpm.a)&amp;"x"&amp;COLUMNS(_xlpm.a),"err"),_xlpm.sb,IFERROR(ROWS(_xlpm.b)&amp;"x"&amp;COLUMNS(_xlpm.b),"err"),IF(_xlpm.sa&lt;&gt;_xlpm.sb,"FAIL",IF(_xlpm.sa="err",IF(ERROR.TYPE(_xlpm.a)=ERROR.TYPE(_xlpm.b),"PASS","FAIL"),IF(AND(IFERROR(_xlpm.a=_xlpm.b,IFERROR(ERROR.TYPE(_xlpm.a)=ERROR.TYPE(_xlpm.b),FALSE))),"PASS","FAIL"))))</f>
        <v>0</v>
      </c>
    </row>
    <row r="575">
      <c r="A575">
        <v>570</v>
      </c>
      <c r="B575" s="55" t="inlineStr">
        <is>
          <t xml:space="preserve">rc_to_ad</t>
        </is>
      </c>
      <c r="C575" t="inlineStr">
        <is>
          <t xml:space="preserve">rc_to_ad!H18</t>
        </is>
      </c>
      <c r="D575" s="51" t="inlineStr">
        <is>
          <t xml:space="preserve">blank</t>
        </is>
      </c>
      <c r="E575" t="inlineStr">
        <is>
          <t xml:space="preserve">rc_to_ad(INDEX(ad_to_rc(rc_to_ad(D18,E18)),1),INDEX(ad_to_rc(rc_to_ad(D18,E18)),2),shape_tests!$Z$1)</t>
        </is>
      </c>
      <c r="F575" s="51" cm="1">
        <f t="array" ref="F575">_xlfn.LET(_xlpm.a,rc_to_ad(INDEX(ad_to_rc(rc_to_ad('rc_to_ad'!D18,'rc_to_ad'!E18)),1),INDEX(ad_to_rc(rc_to_ad('rc_to_ad'!D18,'rc_to_ad'!E18)),2)),_xlpm.b,rc_to_ad(INDEX(ad_to_rc(rc_to_ad('rc_to_ad'!D18,'rc_to_ad'!E18)),1),INDEX(ad_to_rc(rc_to_ad('rc_to_ad'!D18,'rc_to_ad'!E18)),2),shape_tests!$Z$1),_xlpm.sa,IFERROR(ROWS(_xlpm.a)&amp;"x"&amp;COLUMNS(_xlpm.a),"err"),_xlpm.sb,IFERROR(ROWS(_xlpm.b)&amp;"x"&amp;COLUMNS(_xlpm.b),"err"),IF(_xlpm.sa&lt;&gt;_xlpm.sb,"FAIL",IF(_xlpm.sa="err",IF(ERROR.TYPE(_xlpm.a)=ERROR.TYPE(_xlpm.b),"PASS","FAIL"),IF(AND(IFERROR(_xlpm.a=_xlpm.b,IFERROR(ERROR.TYPE(_xlpm.a)=ERROR.TYPE(_xlpm.b),FALSE))),"PASS","FAIL"))))</f>
        <v>0</v>
      </c>
    </row>
    <row r="576">
      <c r="A576">
        <v>571</v>
      </c>
      <c r="B576" s="55" t="inlineStr">
        <is>
          <t xml:space="preserve">rotate_arrow</t>
        </is>
      </c>
      <c r="C576" t="inlineStr">
        <is>
          <t xml:space="preserve">rotate_arrow!L6</t>
        </is>
      </c>
      <c r="D576" s="51" t="inlineStr">
        <is>
          <t xml:space="preserve">tocol</t>
        </is>
      </c>
      <c r="E576" t="inlineStr">
        <is>
          <t xml:space="preserve">rotate_arrow(TOCOL(D6),TOCOL(F6))</t>
        </is>
      </c>
      <c r="F576" s="51" cm="1">
        <f t="array" ref="F576">_xlfn.LET(_xlpm.a,rotate_arrow('rotate_arrow'!D6,'rotate_arrow'!F6),_xlpm.b,rotate_arrow(_xlfn.TOCOL('rotate_arrow'!D6),_xlfn.TOCOL('rotate_arrow'!F6)),_xlpm.sa,IFERROR(ROWS(_xlpm.a)&amp;"x"&amp;COLUMNS(_xlpm.a),"err"),_xlpm.sb,IFERROR(ROWS(_xlpm.b)&amp;"x"&amp;COLUMNS(_xlpm.b),"err"),IF(_xlpm.sa&lt;&gt;_xlpm.sb,"FAIL",IF(_xlpm.sa="err",IF(ERROR.TYPE(_xlpm.a)=ERROR.TYPE(_xlpm.b),"PASS","FAIL"),IF(AND(IFERROR(_xlpm.a=_xlpm.b,IFERROR(ERROR.TYPE(_xlpm.a)=ERROR.TYPE(_xlpm.b),FALSE))),"PASS","FAIL"))))</f>
        <v>0</v>
      </c>
    </row>
    <row r="577">
      <c r="A577">
        <v>572</v>
      </c>
      <c r="B577" s="55" t="inlineStr">
        <is>
          <t xml:space="preserve">rotate_arrow</t>
        </is>
      </c>
      <c r="C577" t="inlineStr">
        <is>
          <t xml:space="preserve">rotate_arrow!L6</t>
        </is>
      </c>
      <c r="D577" s="51" t="inlineStr">
        <is>
          <t xml:space="preserve">textnum</t>
        </is>
      </c>
      <c r="E577" t="inlineStr">
        <is>
          <t xml:space="preserve">rotate_arrow(D6,(F6&amp;""))</t>
        </is>
      </c>
      <c r="F577" s="51" cm="1">
        <f t="array" ref="F577">_xlfn.LET(_xlpm.a,rotate_arrow('rotate_arrow'!D6,'rotate_arrow'!F6),_xlpm.b,rotate_arrow('rotate_arrow'!D6,('rotate_arrow'!F6&amp;"")),_xlpm.sa,IFERROR(ROWS(_xlpm.a)&amp;"x"&amp;COLUMNS(_xlpm.a),"err"),_xlpm.sb,IFERROR(ROWS(_xlpm.b)&amp;"x"&amp;COLUMNS(_xlpm.b),"err"),IF(_xlpm.sa&lt;&gt;_xlpm.sb,"FAIL",IF(_xlpm.sa="err",IF(ERROR.TYPE(_xlpm.a)=ERROR.TYPE(_xlpm.b),"PASS","FAIL"),IF(AND(IFERROR(_xlpm.a=_xlpm.b,IFERROR(ERROR.TYPE(_xlpm.a)=ERROR.TYPE(_xlpm.b),FALSE))),"PASS","FAIL"))))</f>
        <v>0</v>
      </c>
    </row>
    <row r="578">
      <c r="A578">
        <v>573</v>
      </c>
      <c r="B578" s="55" t="inlineStr">
        <is>
          <t xml:space="preserve">rotate_arrow</t>
        </is>
      </c>
      <c r="C578" t="inlineStr">
        <is>
          <t xml:space="preserve">rotate_arrow!L6</t>
        </is>
      </c>
      <c r="D578" s="51" t="inlineStr">
        <is>
          <t xml:space="preserve">blank</t>
        </is>
      </c>
      <c r="E578" t="inlineStr">
        <is>
          <t xml:space="preserve">rotate_arrow(D6,F6,shape_tests!$Z$1,shape_tests!$Z$1)</t>
        </is>
      </c>
      <c r="F578" s="51" cm="1">
        <f t="array" ref="F578">_xlfn.LET(_xlpm.a,rotate_arrow('rotate_arrow'!D6,'rotate_arrow'!F6),_xlpm.b,rotate_arrow('rotate_arrow'!D6,'rotate_arrow'!F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579">
      <c r="A579">
        <v>574</v>
      </c>
      <c r="B579" s="55" t="inlineStr">
        <is>
          <t xml:space="preserve">rotate_arrow</t>
        </is>
      </c>
      <c r="C579" t="inlineStr">
        <is>
          <t xml:space="preserve">rotate_arrow!L8</t>
        </is>
      </c>
      <c r="D579" s="51" t="inlineStr">
        <is>
          <t xml:space="preserve">tocol</t>
        </is>
      </c>
      <c r="E579" t="inlineStr">
        <is>
          <t xml:space="preserve">rotate_arrow(TOCOL(D8),TOCOL(F8))</t>
        </is>
      </c>
      <c r="F579" s="51" cm="1">
        <f t="array" ref="F579">_xlfn.LET(_xlpm.a,rotate_arrow('rotate_arrow'!D8,'rotate_arrow'!F8),_xlpm.b,rotate_arrow(_xlfn.TOCOL('rotate_arrow'!D8),_xlfn.TOCOL('rotate_arrow'!F8)),_xlpm.sa,IFERROR(ROWS(_xlpm.a)&amp;"x"&amp;COLUMNS(_xlpm.a),"err"),_xlpm.sb,IFERROR(ROWS(_xlpm.b)&amp;"x"&amp;COLUMNS(_xlpm.b),"err"),IF(_xlpm.sa&lt;&gt;_xlpm.sb,"FAIL",IF(_xlpm.sa="err",IF(ERROR.TYPE(_xlpm.a)=ERROR.TYPE(_xlpm.b),"PASS","FAIL"),IF(AND(IFERROR(_xlpm.a=_xlpm.b,IFERROR(ERROR.TYPE(_xlpm.a)=ERROR.TYPE(_xlpm.b),FALSE))),"PASS","FAIL"))))</f>
        <v>0</v>
      </c>
    </row>
    <row r="580">
      <c r="A580">
        <v>575</v>
      </c>
      <c r="B580" s="55" t="inlineStr">
        <is>
          <t xml:space="preserve">rotate_arrow</t>
        </is>
      </c>
      <c r="C580" t="inlineStr">
        <is>
          <t xml:space="preserve">rotate_arrow!L8</t>
        </is>
      </c>
      <c r="D580" s="51" t="inlineStr">
        <is>
          <t xml:space="preserve">textnum</t>
        </is>
      </c>
      <c r="E580" t="inlineStr">
        <is>
          <t xml:space="preserve">rotate_arrow(D8,(F8&amp;""))</t>
        </is>
      </c>
      <c r="F580" s="51" cm="1">
        <f t="array" ref="F580">_xlfn.LET(_xlpm.a,rotate_arrow('rotate_arrow'!D8,'rotate_arrow'!F8),_xlpm.b,rotate_arrow('rotate_arrow'!D8,('rotate_arrow'!F8&amp;"")),_xlpm.sa,IFERROR(ROWS(_xlpm.a)&amp;"x"&amp;COLUMNS(_xlpm.a),"err"),_xlpm.sb,IFERROR(ROWS(_xlpm.b)&amp;"x"&amp;COLUMNS(_xlpm.b),"err"),IF(_xlpm.sa&lt;&gt;_xlpm.sb,"FAIL",IF(_xlpm.sa="err",IF(ERROR.TYPE(_xlpm.a)=ERROR.TYPE(_xlpm.b),"PASS","FAIL"),IF(AND(IFERROR(_xlpm.a=_xlpm.b,IFERROR(ERROR.TYPE(_xlpm.a)=ERROR.TYPE(_xlpm.b),FALSE))),"PASS","FAIL"))))</f>
        <v>0</v>
      </c>
    </row>
    <row r="581">
      <c r="A581">
        <v>576</v>
      </c>
      <c r="B581" s="55" t="inlineStr">
        <is>
          <t xml:space="preserve">rotate_arrow</t>
        </is>
      </c>
      <c r="C581" t="inlineStr">
        <is>
          <t xml:space="preserve">rotate_arrow!L8</t>
        </is>
      </c>
      <c r="D581" s="51" t="inlineStr">
        <is>
          <t xml:space="preserve">blank</t>
        </is>
      </c>
      <c r="E581" t="inlineStr">
        <is>
          <t xml:space="preserve">rotate_arrow(D8,F8,shape_tests!$Z$1,shape_tests!$Z$1)</t>
        </is>
      </c>
      <c r="F581" s="51" cm="1">
        <f t="array" ref="F581">_xlfn.LET(_xlpm.a,rotate_arrow('rotate_arrow'!D8,'rotate_arrow'!F8),_xlpm.b,rotate_arrow('rotate_arrow'!D8,'rotate_arrow'!F8,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582">
      <c r="A582">
        <v>577</v>
      </c>
      <c r="B582" s="55" t="inlineStr">
        <is>
          <t xml:space="preserve">rotate_arrow</t>
        </is>
      </c>
      <c r="C582" t="inlineStr">
        <is>
          <t xml:space="preserve">rotate_arrow!L10</t>
        </is>
      </c>
      <c r="D582" s="51" t="inlineStr">
        <is>
          <t xml:space="preserve">tocol</t>
        </is>
      </c>
      <c r="E582" t="inlineStr">
        <is>
          <t xml:space="preserve">rotate_arrow(TOCOL(D10),TOCOL(F10),TOCOL(H10))</t>
        </is>
      </c>
      <c r="F582" s="51" cm="1">
        <f t="array" ref="F582">_xlfn.LET(_xlpm.a,rotate_arrow('rotate_arrow'!D10,'rotate_arrow'!F10,'rotate_arrow'!H10),_xlpm.b,rotate_arrow(_xlfn.TOCOL('rotate_arrow'!D10),_xlfn.TOCOL('rotate_arrow'!F10),_xlfn.TOCOL('rotate_arrow'!H10)),_xlpm.sa,IFERROR(ROWS(_xlpm.a)&amp;"x"&amp;COLUMNS(_xlpm.a),"err"),_xlpm.sb,IFERROR(ROWS(_xlpm.b)&amp;"x"&amp;COLUMNS(_xlpm.b),"err"),IF(_xlpm.sa&lt;&gt;_xlpm.sb,"FAIL",IF(_xlpm.sa="err",IF(ERROR.TYPE(_xlpm.a)=ERROR.TYPE(_xlpm.b),"PASS","FAIL"),IF(AND(IFERROR(_xlpm.a=_xlpm.b,IFERROR(ERROR.TYPE(_xlpm.a)=ERROR.TYPE(_xlpm.b),FALSE))),"PASS","FAIL"))))</f>
        <v>0</v>
      </c>
    </row>
    <row r="583">
      <c r="A583">
        <v>578</v>
      </c>
      <c r="B583" s="55" t="inlineStr">
        <is>
          <t xml:space="preserve">rotate_arrow</t>
        </is>
      </c>
      <c r="C583" t="inlineStr">
        <is>
          <t xml:space="preserve">rotate_arrow!L10</t>
        </is>
      </c>
      <c r="D583" s="51" t="inlineStr">
        <is>
          <t xml:space="preserve">textnum</t>
        </is>
      </c>
      <c r="E583" t="inlineStr">
        <is>
          <t xml:space="preserve">rotate_arrow(D10,(F10&amp;""),H10)</t>
        </is>
      </c>
      <c r="F583" s="51" cm="1">
        <f t="array" ref="F583">_xlfn.LET(_xlpm.a,rotate_arrow('rotate_arrow'!D10,'rotate_arrow'!F10,'rotate_arrow'!H10),_xlpm.b,rotate_arrow('rotate_arrow'!D10,('rotate_arrow'!F10&amp;""),'rotate_arrow'!H10),_xlpm.sa,IFERROR(ROWS(_xlpm.a)&amp;"x"&amp;COLUMNS(_xlpm.a),"err"),_xlpm.sb,IFERROR(ROWS(_xlpm.b)&amp;"x"&amp;COLUMNS(_xlpm.b),"err"),IF(_xlpm.sa&lt;&gt;_xlpm.sb,"FAIL",IF(_xlpm.sa="err",IF(ERROR.TYPE(_xlpm.a)=ERROR.TYPE(_xlpm.b),"PASS","FAIL"),IF(AND(IFERROR(_xlpm.a=_xlpm.b,IFERROR(ERROR.TYPE(_xlpm.a)=ERROR.TYPE(_xlpm.b),FALSE))),"PASS","FAIL"))))</f>
        <v>0</v>
      </c>
    </row>
    <row r="584">
      <c r="A584">
        <v>579</v>
      </c>
      <c r="B584" s="55" t="inlineStr">
        <is>
          <t xml:space="preserve">rotate_arrow</t>
        </is>
      </c>
      <c r="C584" t="inlineStr">
        <is>
          <t xml:space="preserve">rotate_arrow!L10</t>
        </is>
      </c>
      <c r="D584" s="51" t="inlineStr">
        <is>
          <t xml:space="preserve">blank</t>
        </is>
      </c>
      <c r="E584" t="inlineStr">
        <is>
          <t xml:space="preserve">rotate_arrow(D10,F10,H10,shape_tests!$Z$1)</t>
        </is>
      </c>
      <c r="F584" s="51" cm="1">
        <f t="array" ref="F584">_xlfn.LET(_xlpm.a,rotate_arrow('rotate_arrow'!D10,'rotate_arrow'!F10,'rotate_arrow'!H10),_xlpm.b,rotate_arrow('rotate_arrow'!D10,'rotate_arrow'!F10,'rotate_arrow'!H10,shape_tests!$Z$1),_xlpm.sa,IFERROR(ROWS(_xlpm.a)&amp;"x"&amp;COLUMNS(_xlpm.a),"err"),_xlpm.sb,IFERROR(ROWS(_xlpm.b)&amp;"x"&amp;COLUMNS(_xlpm.b),"err"),IF(_xlpm.sa&lt;&gt;_xlpm.sb,"FAIL",IF(_xlpm.sa="err",IF(ERROR.TYPE(_xlpm.a)=ERROR.TYPE(_xlpm.b),"PASS","FAIL"),IF(AND(IFERROR(_xlpm.a=_xlpm.b,IFERROR(ERROR.TYPE(_xlpm.a)=ERROR.TYPE(_xlpm.b),FALSE))),"PASS","FAIL"))))</f>
        <v>0</v>
      </c>
    </row>
    <row r="585">
      <c r="A585">
        <v>580</v>
      </c>
      <c r="B585" s="55" t="inlineStr">
        <is>
          <t xml:space="preserve">rotate_arrow</t>
        </is>
      </c>
      <c r="C585" t="inlineStr">
        <is>
          <t xml:space="preserve">rotate_arrow!L12</t>
        </is>
      </c>
      <c r="D585" s="51" t="inlineStr">
        <is>
          <t xml:space="preserve">tocol</t>
        </is>
      </c>
      <c r="E585" t="inlineStr">
        <is>
          <t xml:space="preserve">rotate_arrow(TOCOL(D12),TOCOL(F12))</t>
        </is>
      </c>
      <c r="F585" s="51" cm="1">
        <f t="array" ref="F585">_xlfn.LET(_xlpm.a,rotate_arrow('rotate_arrow'!D12,'rotate_arrow'!F12),_xlpm.b,rotate_arrow(_xlfn.TOCOL('rotate_arrow'!D12),_xlfn.TOCOL('rotate_arrow'!F12)),_xlpm.sa,IFERROR(ROWS(_xlpm.a)&amp;"x"&amp;COLUMNS(_xlpm.a),"err"),_xlpm.sb,IFERROR(ROWS(_xlpm.b)&amp;"x"&amp;COLUMNS(_xlpm.b),"err"),IF(_xlpm.sa&lt;&gt;_xlpm.sb,"FAIL",IF(_xlpm.sa="err",IF(ERROR.TYPE(_xlpm.a)=ERROR.TYPE(_xlpm.b),"PASS","FAIL"),IF(AND(IFERROR(_xlpm.a=_xlpm.b,IFERROR(ERROR.TYPE(_xlpm.a)=ERROR.TYPE(_xlpm.b),FALSE))),"PASS","FAIL"))))</f>
        <v>0</v>
      </c>
    </row>
    <row r="586">
      <c r="A586">
        <v>581</v>
      </c>
      <c r="B586" s="55" t="inlineStr">
        <is>
          <t xml:space="preserve">rotate_arrow</t>
        </is>
      </c>
      <c r="C586" t="inlineStr">
        <is>
          <t xml:space="preserve">rotate_arrow!L12</t>
        </is>
      </c>
      <c r="D586" s="51" t="inlineStr">
        <is>
          <t xml:space="preserve">textnum</t>
        </is>
      </c>
      <c r="E586" t="inlineStr">
        <is>
          <t xml:space="preserve">rotate_arrow(D12,(F12&amp;""))</t>
        </is>
      </c>
      <c r="F586" s="51" cm="1">
        <f t="array" ref="F586">_xlfn.LET(_xlpm.a,rotate_arrow('rotate_arrow'!D12,'rotate_arrow'!F12),_xlpm.b,rotate_arrow('rotate_arrow'!D12,('rotate_arrow'!F12&amp;"")),_xlpm.sa,IFERROR(ROWS(_xlpm.a)&amp;"x"&amp;COLUMNS(_xlpm.a),"err"),_xlpm.sb,IFERROR(ROWS(_xlpm.b)&amp;"x"&amp;COLUMNS(_xlpm.b),"err"),IF(_xlpm.sa&lt;&gt;_xlpm.sb,"FAIL",IF(_xlpm.sa="err",IF(ERROR.TYPE(_xlpm.a)=ERROR.TYPE(_xlpm.b),"PASS","FAIL"),IF(AND(IFERROR(_xlpm.a=_xlpm.b,IFERROR(ERROR.TYPE(_xlpm.a)=ERROR.TYPE(_xlpm.b),FALSE))),"PASS","FAIL"))))</f>
        <v>0</v>
      </c>
    </row>
    <row r="587">
      <c r="A587">
        <v>582</v>
      </c>
      <c r="B587" s="55" t="inlineStr">
        <is>
          <t xml:space="preserve">rotate_arrow</t>
        </is>
      </c>
      <c r="C587" t="inlineStr">
        <is>
          <t xml:space="preserve">rotate_arrow!L12</t>
        </is>
      </c>
      <c r="D587" s="51" t="inlineStr">
        <is>
          <t xml:space="preserve">blank</t>
        </is>
      </c>
      <c r="E587" t="inlineStr">
        <is>
          <t xml:space="preserve">rotate_arrow(D12,F12,shape_tests!$Z$1,shape_tests!$Z$1)</t>
        </is>
      </c>
      <c r="F587" s="51" cm="1">
        <f t="array" ref="F587">_xlfn.LET(_xlpm.a,rotate_arrow('rotate_arrow'!D12,'rotate_arrow'!F12),_xlpm.b,rotate_arrow('rotate_arrow'!D12,'rotate_arrow'!F12,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588">
      <c r="A588">
        <v>583</v>
      </c>
      <c r="B588" s="55" t="inlineStr">
        <is>
          <t xml:space="preserve">rotate_arrow</t>
        </is>
      </c>
      <c r="C588" t="inlineStr">
        <is>
          <t xml:space="preserve">rotate_arrow!L14</t>
        </is>
      </c>
      <c r="D588" s="51" t="inlineStr">
        <is>
          <t xml:space="preserve">tocol</t>
        </is>
      </c>
      <c r="E588" t="inlineStr">
        <is>
          <t xml:space="preserve">rotate_arrow(TOCOL(D14),TOCOL(F14),TOCOL(H14))</t>
        </is>
      </c>
      <c r="F588" s="51" cm="1">
        <f t="array" ref="F588">_xlfn.LET(_xlpm.a,rotate_arrow('rotate_arrow'!D14,'rotate_arrow'!F14,'rotate_arrow'!H14),_xlpm.b,rotate_arrow(_xlfn.TOCOL('rotate_arrow'!D14),_xlfn.TOCOL('rotate_arrow'!F14),_xlfn.TOCOL('rotate_arrow'!H14)),_xlpm.sa,IFERROR(ROWS(_xlpm.a)&amp;"x"&amp;COLUMNS(_xlpm.a),"err"),_xlpm.sb,IFERROR(ROWS(_xlpm.b)&amp;"x"&amp;COLUMNS(_xlpm.b),"err"),IF(_xlpm.sa&lt;&gt;_xlpm.sb,"FAIL",IF(_xlpm.sa="err",IF(ERROR.TYPE(_xlpm.a)=ERROR.TYPE(_xlpm.b),"PASS","FAIL"),IF(AND(IFERROR(_xlpm.a=_xlpm.b,IFERROR(ERROR.TYPE(_xlpm.a)=ERROR.TYPE(_xlpm.b),FALSE))),"PASS","FAIL"))))</f>
        <v>0</v>
      </c>
    </row>
    <row r="589">
      <c r="A589">
        <v>584</v>
      </c>
      <c r="B589" s="55" t="inlineStr">
        <is>
          <t xml:space="preserve">rotate_arrow</t>
        </is>
      </c>
      <c r="C589" t="inlineStr">
        <is>
          <t xml:space="preserve">rotate_arrow!L14</t>
        </is>
      </c>
      <c r="D589" s="51" t="inlineStr">
        <is>
          <t xml:space="preserve">textnum</t>
        </is>
      </c>
      <c r="E589" t="inlineStr">
        <is>
          <t xml:space="preserve">rotate_arrow(D14,(F14&amp;""),H14)</t>
        </is>
      </c>
      <c r="F589" s="51" cm="1">
        <f t="array" ref="F589">_xlfn.LET(_xlpm.a,rotate_arrow('rotate_arrow'!D14,'rotate_arrow'!F14,'rotate_arrow'!H14),_xlpm.b,rotate_arrow('rotate_arrow'!D14,('rotate_arrow'!F14&amp;""),'rotate_arrow'!H14),_xlpm.sa,IFERROR(ROWS(_xlpm.a)&amp;"x"&amp;COLUMNS(_xlpm.a),"err"),_xlpm.sb,IFERROR(ROWS(_xlpm.b)&amp;"x"&amp;COLUMNS(_xlpm.b),"err"),IF(_xlpm.sa&lt;&gt;_xlpm.sb,"FAIL",IF(_xlpm.sa="err",IF(ERROR.TYPE(_xlpm.a)=ERROR.TYPE(_xlpm.b),"PASS","FAIL"),IF(AND(IFERROR(_xlpm.a=_xlpm.b,IFERROR(ERROR.TYPE(_xlpm.a)=ERROR.TYPE(_xlpm.b),FALSE))),"PASS","FAIL"))))</f>
        <v>0</v>
      </c>
    </row>
    <row r="590">
      <c r="A590">
        <v>585</v>
      </c>
      <c r="B590" s="55" t="inlineStr">
        <is>
          <t xml:space="preserve">rotate_arrow</t>
        </is>
      </c>
      <c r="C590" t="inlineStr">
        <is>
          <t xml:space="preserve">rotate_arrow!L14</t>
        </is>
      </c>
      <c r="D590" s="51" t="inlineStr">
        <is>
          <t xml:space="preserve">blank</t>
        </is>
      </c>
      <c r="E590" t="inlineStr">
        <is>
          <t xml:space="preserve">rotate_arrow(D14,F14,H14,shape_tests!$Z$1)</t>
        </is>
      </c>
      <c r="F590" s="51" cm="1">
        <f t="array" ref="F590">_xlfn.LET(_xlpm.a,rotate_arrow('rotate_arrow'!D14,'rotate_arrow'!F14,'rotate_arrow'!H14),_xlpm.b,rotate_arrow('rotate_arrow'!D14,'rotate_arrow'!F14,'rotate_arrow'!H14,shape_tests!$Z$1),_xlpm.sa,IFERROR(ROWS(_xlpm.a)&amp;"x"&amp;COLUMNS(_xlpm.a),"err"),_xlpm.sb,IFERROR(ROWS(_xlpm.b)&amp;"x"&amp;COLUMNS(_xlpm.b),"err"),IF(_xlpm.sa&lt;&gt;_xlpm.sb,"FAIL",IF(_xlpm.sa="err",IF(ERROR.TYPE(_xlpm.a)=ERROR.TYPE(_xlpm.b),"PASS","FAIL"),IF(AND(IFERROR(_xlpm.a=_xlpm.b,IFERROR(ERROR.TYPE(_xlpm.a)=ERROR.TYPE(_xlpm.b),FALSE))),"PASS","FAIL"))))</f>
        <v>0</v>
      </c>
    </row>
    <row r="591">
      <c r="A591">
        <v>586</v>
      </c>
      <c r="B591" s="55" t="inlineStr">
        <is>
          <t xml:space="preserve">rotate_arrow</t>
        </is>
      </c>
      <c r="C591" t="inlineStr">
        <is>
          <t xml:space="preserve">rotate_arrow!L16</t>
        </is>
      </c>
      <c r="D591" s="51" t="inlineStr">
        <is>
          <t xml:space="preserve">tocol</t>
        </is>
      </c>
      <c r="E591" t="inlineStr">
        <is>
          <t xml:space="preserve">rotate_arrow(TOCOL(D16),TOCOL(F16))</t>
        </is>
      </c>
      <c r="F591" s="51" cm="1">
        <f t="array" ref="F591">_xlfn.LET(_xlpm.a,rotate_arrow('rotate_arrow'!D16,'rotate_arrow'!F16),_xlpm.b,rotate_arrow(_xlfn.TOCOL('rotate_arrow'!D16),_xlfn.TOCOL('rotate_arrow'!F16)),_xlpm.sa,IFERROR(ROWS(_xlpm.a)&amp;"x"&amp;COLUMNS(_xlpm.a),"err"),_xlpm.sb,IFERROR(ROWS(_xlpm.b)&amp;"x"&amp;COLUMNS(_xlpm.b),"err"),IF(_xlpm.sa&lt;&gt;_xlpm.sb,"FAIL",IF(_xlpm.sa="err",IF(ERROR.TYPE(_xlpm.a)=ERROR.TYPE(_xlpm.b),"PASS","FAIL"),IF(AND(IFERROR(_xlpm.a=_xlpm.b,IFERROR(ERROR.TYPE(_xlpm.a)=ERROR.TYPE(_xlpm.b),FALSE))),"PASS","FAIL"))))</f>
        <v>0</v>
      </c>
    </row>
    <row r="592">
      <c r="A592">
        <v>587</v>
      </c>
      <c r="B592" s="55" t="inlineStr">
        <is>
          <t xml:space="preserve">rotate_arrow</t>
        </is>
      </c>
      <c r="C592" t="inlineStr">
        <is>
          <t xml:space="preserve">rotate_arrow!L16</t>
        </is>
      </c>
      <c r="D592" s="51" t="inlineStr">
        <is>
          <t xml:space="preserve">textnum</t>
        </is>
      </c>
      <c r="E592" t="inlineStr">
        <is>
          <t xml:space="preserve">rotate_arrow(D16,(F16&amp;""))</t>
        </is>
      </c>
      <c r="F592" s="51" cm="1">
        <f t="array" ref="F592">_xlfn.LET(_xlpm.a,rotate_arrow('rotate_arrow'!D16,'rotate_arrow'!F16),_xlpm.b,rotate_arrow('rotate_arrow'!D16,('rotate_arrow'!F16&amp;"")),_xlpm.sa,IFERROR(ROWS(_xlpm.a)&amp;"x"&amp;COLUMNS(_xlpm.a),"err"),_xlpm.sb,IFERROR(ROWS(_xlpm.b)&amp;"x"&amp;COLUMNS(_xlpm.b),"err"),IF(_xlpm.sa&lt;&gt;_xlpm.sb,"FAIL",IF(_xlpm.sa="err",IF(ERROR.TYPE(_xlpm.a)=ERROR.TYPE(_xlpm.b),"PASS","FAIL"),IF(AND(IFERROR(_xlpm.a=_xlpm.b,IFERROR(ERROR.TYPE(_xlpm.a)=ERROR.TYPE(_xlpm.b),FALSE))),"PASS","FAIL"))))</f>
        <v>0</v>
      </c>
    </row>
    <row r="593">
      <c r="A593">
        <v>588</v>
      </c>
      <c r="B593" s="55" t="inlineStr">
        <is>
          <t xml:space="preserve">rotate_arrow</t>
        </is>
      </c>
      <c r="C593" t="inlineStr">
        <is>
          <t xml:space="preserve">rotate_arrow!L16</t>
        </is>
      </c>
      <c r="D593" s="51" t="inlineStr">
        <is>
          <t xml:space="preserve">blank</t>
        </is>
      </c>
      <c r="E593" t="inlineStr">
        <is>
          <t xml:space="preserve">rotate_arrow(D16,F16,shape_tests!$Z$1,shape_tests!$Z$1)</t>
        </is>
      </c>
      <c r="F593" s="51" cm="1">
        <f t="array" ref="F593">_xlfn.LET(_xlpm.a,rotate_arrow('rotate_arrow'!D16,'rotate_arrow'!F16),_xlpm.b,rotate_arrow('rotate_arrow'!D16,'rotate_arrow'!F16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594">
      <c r="A594">
        <v>589</v>
      </c>
      <c r="B594" s="55" t="inlineStr">
        <is>
          <t xml:space="preserve">rotate_arrow</t>
        </is>
      </c>
      <c r="C594" t="inlineStr">
        <is>
          <t xml:space="preserve">rotate_arrow!L18</t>
        </is>
      </c>
      <c r="D594" s="51" t="inlineStr">
        <is>
          <t xml:space="preserve">tocol</t>
        </is>
      </c>
      <c r="E594" t="inlineStr">
        <is>
          <t xml:space="preserve">rotate_arrow(TOCOL(D18),TOCOL(F18))</t>
        </is>
      </c>
      <c r="F594" s="51" cm="1">
        <f t="array" ref="F594">_xlfn.LET(_xlpm.a,rotate_arrow('rotate_arrow'!D18,'rotate_arrow'!F18),_xlpm.b,rotate_arrow(_xlfn.TOCOL('rotate_arrow'!D18),_xlfn.TOCOL('rotate_arrow'!F18)),_xlpm.sa,IFERROR(ROWS(_xlpm.a)&amp;"x"&amp;COLUMNS(_xlpm.a),"err"),_xlpm.sb,IFERROR(ROWS(_xlpm.b)&amp;"x"&amp;COLUMNS(_xlpm.b),"err"),IF(_xlpm.sa&lt;&gt;_xlpm.sb,"FAIL",IF(_xlpm.sa="err",IF(ERROR.TYPE(_xlpm.a)=ERROR.TYPE(_xlpm.b),"PASS","FAIL"),IF(AND(IFERROR(_xlpm.a=_xlpm.b,IFERROR(ERROR.TYPE(_xlpm.a)=ERROR.TYPE(_xlpm.b),FALSE))),"PASS","FAIL"))))</f>
        <v>0</v>
      </c>
    </row>
    <row r="595">
      <c r="A595">
        <v>590</v>
      </c>
      <c r="B595" s="55" t="inlineStr">
        <is>
          <t xml:space="preserve">rotate_arrow</t>
        </is>
      </c>
      <c r="C595" t="inlineStr">
        <is>
          <t xml:space="preserve">rotate_arrow!L18</t>
        </is>
      </c>
      <c r="D595" s="51" t="inlineStr">
        <is>
          <t xml:space="preserve">textnum</t>
        </is>
      </c>
      <c r="E595" t="inlineStr">
        <is>
          <t xml:space="preserve">rotate_arrow((D18&amp;""),(F18&amp;""))</t>
        </is>
      </c>
      <c r="F595" s="51" cm="1">
        <f t="array" ref="F595">_xlfn.LET(_xlpm.a,rotate_arrow('rotate_arrow'!D18,'rotate_arrow'!F18),_xlpm.b,rotate_arrow(('rotate_arrow'!D18&amp;""),('rotate_arrow'!F18&amp;"")),_xlpm.sa,IFERROR(ROWS(_xlpm.a)&amp;"x"&amp;COLUMNS(_xlpm.a),"err"),_xlpm.sb,IFERROR(ROWS(_xlpm.b)&amp;"x"&amp;COLUMNS(_xlpm.b),"err"),IF(_xlpm.sa&lt;&gt;_xlpm.sb,"FAIL",IF(_xlpm.sa="err",IF(ERROR.TYPE(_xlpm.a)=ERROR.TYPE(_xlpm.b),"PASS","FAIL"),IF(AND(IFERROR(_xlpm.a=_xlpm.b,IFERROR(ERROR.TYPE(_xlpm.a)=ERROR.TYPE(_xlpm.b),FALSE))),"PASS","FAIL"))))</f>
        <v>0</v>
      </c>
    </row>
    <row r="596">
      <c r="A596">
        <v>591</v>
      </c>
      <c r="B596" s="55" t="inlineStr">
        <is>
          <t xml:space="preserve">rotate_arrow</t>
        </is>
      </c>
      <c r="C596" t="inlineStr">
        <is>
          <t xml:space="preserve">rotate_arrow!L18</t>
        </is>
      </c>
      <c r="D596" s="51" t="inlineStr">
        <is>
          <t xml:space="preserve">blank</t>
        </is>
      </c>
      <c r="E596" t="inlineStr">
        <is>
          <t xml:space="preserve">rotate_arrow(D18,F18,shape_tests!$Z$1,shape_tests!$Z$1)</t>
        </is>
      </c>
      <c r="F596" s="51" cm="1">
        <f t="array" ref="F596">_xlfn.LET(_xlpm.a,rotate_arrow('rotate_arrow'!D18,'rotate_arrow'!F18),_xlpm.b,rotate_arrow('rotate_arrow'!D18,'rotate_arrow'!F18,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597">
      <c r="A597">
        <v>592</v>
      </c>
      <c r="B597" s="55" t="inlineStr">
        <is>
          <t xml:space="preserve">rotate_arrow</t>
        </is>
      </c>
      <c r="C597" t="inlineStr">
        <is>
          <t xml:space="preserve">rotate_arrow!L20</t>
        </is>
      </c>
      <c r="D597" s="51" t="inlineStr">
        <is>
          <t xml:space="preserve">tocol</t>
        </is>
      </c>
      <c r="E597" t="inlineStr">
        <is>
          <t xml:space="preserve">rotate_arrow(TOCOL(D20),TOCOL(F20),TOCOL(1),TOCOL(1))</t>
        </is>
      </c>
      <c r="F597" s="51" cm="1">
        <f t="array" ref="F597">_xlfn.LET(_xlpm.a,rotate_arrow('rotate_arrow'!D20,'rotate_arrow'!F20,1,1),_xlpm.b,rotate_arrow(_xlfn.TOCOL('rotate_arrow'!D20),_xlfn.TOCOL('rotate_arrow'!F20),_xlfn.TOCOL(1),_xlfn.TOCOL(1)),_xlpm.sa,IFERROR(ROWS(_xlpm.a)&amp;"x"&amp;COLUMNS(_xlpm.a),"err"),_xlpm.sb,IFERROR(ROWS(_xlpm.b)&amp;"x"&amp;COLUMNS(_xlpm.b),"err"),IF(_xlpm.sa&lt;&gt;_xlpm.sb,"FAIL",IF(_xlpm.sa="err",IF(ERROR.TYPE(_xlpm.a)=ERROR.TYPE(_xlpm.b),"PASS","FAIL"),IF(AND(IFERROR(_xlpm.a=_xlpm.b,IFERROR(ERROR.TYPE(_xlpm.a)=ERROR.TYPE(_xlpm.b),FALSE))),"PASS","FAIL"))))</f>
        <v>0</v>
      </c>
    </row>
    <row r="598">
      <c r="A598">
        <v>593</v>
      </c>
      <c r="B598" s="55" t="inlineStr">
        <is>
          <t xml:space="preserve">rotate_arrow</t>
        </is>
      </c>
      <c r="C598" t="inlineStr">
        <is>
          <t xml:space="preserve">rotate_arrow!L20</t>
        </is>
      </c>
      <c r="D598" s="51" t="inlineStr">
        <is>
          <t xml:space="preserve">cellref</t>
        </is>
      </c>
      <c r="E598" t="inlineStr">
        <is>
          <t xml:space="preserve">rotate_arrow(D20,F20,shape_tests!$H$598,shape_tests!$I$598)</t>
        </is>
      </c>
      <c r="F598" s="51" cm="1">
        <f t="array" ref="F598">_xlfn.LET(_xlpm.a,rotate_arrow('rotate_arrow'!D20,'rotate_arrow'!F20,1,1),_xlpm.b,rotate_arrow('rotate_arrow'!D20,'rotate_arrow'!F20,shape_tests!$H$598,shape_tests!$I$598),_xlpm.sa,IFERROR(ROWS(_xlpm.a)&amp;"x"&amp;COLUMNS(_xlpm.a),"err"),_xlpm.sb,IFERROR(ROWS(_xlpm.b)&amp;"x"&amp;COLUMNS(_xlpm.b),"err"),IF(_xlpm.sa&lt;&gt;_xlpm.sb,"FAIL",IF(_xlpm.sa="err",IF(ERROR.TYPE(_xlpm.a)=ERROR.TYPE(_xlpm.b),"PASS","FAIL"),IF(AND(IFERROR(_xlpm.a=_xlpm.b,IFERROR(ERROR.TYPE(_xlpm.a)=ERROR.TYPE(_xlpm.b),FALSE))),"PASS","FAIL"))))</f>
        <v>0</v>
      </c>
      <c r="H598">
        <v>1.0</v>
      </c>
      <c r="I598">
        <v>1.0</v>
      </c>
    </row>
    <row r="599">
      <c r="A599">
        <v>594</v>
      </c>
      <c r="B599" s="55" t="inlineStr">
        <is>
          <t xml:space="preserve">rotate_arrow</t>
        </is>
      </c>
      <c r="C599" t="inlineStr">
        <is>
          <t xml:space="preserve">rotate_arrow!L20</t>
        </is>
      </c>
      <c r="D599" s="51" t="inlineStr">
        <is>
          <t xml:space="preserve">textnum</t>
        </is>
      </c>
      <c r="E599" t="inlineStr">
        <is>
          <t xml:space="preserve">rotate_arrow(D20,(F20&amp;""),"1","1")</t>
        </is>
      </c>
      <c r="F599" s="51" cm="1">
        <f t="array" ref="F599">_xlfn.LET(_xlpm.a,rotate_arrow('rotate_arrow'!D20,'rotate_arrow'!F20,1,1),_xlpm.b,rotate_arrow('rotate_arrow'!D20,('rotate_arrow'!F20&amp;""),"1","1"),_xlpm.sa,IFERROR(ROWS(_xlpm.a)&amp;"x"&amp;COLUMNS(_xlpm.a),"err"),_xlpm.sb,IFERROR(ROWS(_xlpm.b)&amp;"x"&amp;COLUMNS(_xlpm.b),"err"),IF(_xlpm.sa&lt;&gt;_xlpm.sb,"FAIL",IF(_xlpm.sa="err",IF(ERROR.TYPE(_xlpm.a)=ERROR.TYPE(_xlpm.b),"PASS","FAIL"),IF(AND(IFERROR(_xlpm.a=_xlpm.b,IFERROR(ERROR.TYPE(_xlpm.a)=ERROR.TYPE(_xlpm.b),FALSE))),"PASS","FAIL"))))</f>
        <v>0</v>
      </c>
    </row>
    <row r="600">
      <c r="A600">
        <v>595</v>
      </c>
      <c r="B600" s="55" t="inlineStr">
        <is>
          <t xml:space="preserve">rotate_arrow</t>
        </is>
      </c>
      <c r="C600" t="inlineStr">
        <is>
          <t xml:space="preserve">rotate_arrow!L22</t>
        </is>
      </c>
      <c r="D600" s="51" t="inlineStr">
        <is>
          <t xml:space="preserve">tocol</t>
        </is>
      </c>
      <c r="E600" t="inlineStr">
        <is>
          <t xml:space="preserve">rotate_arrow(TOCOL(D22),TOCOL(F22),TOCOL(H22))</t>
        </is>
      </c>
      <c r="F600" s="51" cm="1">
        <f t="array" ref="F600">_xlfn.LET(_xlpm.a,rotate_arrow('rotate_arrow'!D22,'rotate_arrow'!F22,'rotate_arrow'!H22),_xlpm.b,rotate_arrow(_xlfn.TOCOL('rotate_arrow'!D22),_xlfn.TOCOL('rotate_arrow'!F22),_xlfn.TOCOL('rotate_arrow'!H22)),_xlpm.sa,IFERROR(ROWS(_xlpm.a)&amp;"x"&amp;COLUMNS(_xlpm.a),"err"),_xlpm.sb,IFERROR(ROWS(_xlpm.b)&amp;"x"&amp;COLUMNS(_xlpm.b),"err"),IF(_xlpm.sa&lt;&gt;_xlpm.sb,"FAIL",IF(_xlpm.sa="err",IF(ERROR.TYPE(_xlpm.a)=ERROR.TYPE(_xlpm.b),"PASS","FAIL"),IF(AND(IFERROR(_xlpm.a=_xlpm.b,IFERROR(ERROR.TYPE(_xlpm.a)=ERROR.TYPE(_xlpm.b),FALSE))),"PASS","FAIL"))))</f>
        <v>0</v>
      </c>
    </row>
    <row r="601">
      <c r="A601">
        <v>596</v>
      </c>
      <c r="B601" s="55" t="inlineStr">
        <is>
          <t xml:space="preserve">rotate_arrow</t>
        </is>
      </c>
      <c r="C601" t="inlineStr">
        <is>
          <t xml:space="preserve">rotate_arrow!L22</t>
        </is>
      </c>
      <c r="D601" s="51" t="inlineStr">
        <is>
          <t xml:space="preserve">textnum</t>
        </is>
      </c>
      <c r="E601" t="inlineStr">
        <is>
          <t xml:space="preserve">rotate_arrow(D22,(F22&amp;""),(H22&amp;""))</t>
        </is>
      </c>
      <c r="F601" s="51" cm="1">
        <f t="array" ref="F601">_xlfn.LET(_xlpm.a,rotate_arrow('rotate_arrow'!D22,'rotate_arrow'!F22,'rotate_arrow'!H22),_xlpm.b,rotate_arrow('rotate_arrow'!D22,('rotate_arrow'!F22&amp;""),('rotate_arrow'!H22&amp;"")),_xlpm.sa,IFERROR(ROWS(_xlpm.a)&amp;"x"&amp;COLUMNS(_xlpm.a),"err"),_xlpm.sb,IFERROR(ROWS(_xlpm.b)&amp;"x"&amp;COLUMNS(_xlpm.b),"err"),IF(_xlpm.sa&lt;&gt;_xlpm.sb,"FAIL",IF(_xlpm.sa="err",IF(ERROR.TYPE(_xlpm.a)=ERROR.TYPE(_xlpm.b),"PASS","FAIL"),IF(AND(IFERROR(_xlpm.a=_xlpm.b,IFERROR(ERROR.TYPE(_xlpm.a)=ERROR.TYPE(_xlpm.b),FALSE))),"PASS","FAIL"))))</f>
        <v>0</v>
      </c>
    </row>
    <row r="602">
      <c r="A602">
        <v>597</v>
      </c>
      <c r="B602" s="55" t="inlineStr">
        <is>
          <t xml:space="preserve">rotate_arrow</t>
        </is>
      </c>
      <c r="C602" t="inlineStr">
        <is>
          <t xml:space="preserve">rotate_arrow!L22</t>
        </is>
      </c>
      <c r="D602" s="51" t="inlineStr">
        <is>
          <t xml:space="preserve">blank</t>
        </is>
      </c>
      <c r="E602" t="inlineStr">
        <is>
          <t xml:space="preserve">rotate_arrow(D22,F22,H22,shape_tests!$Z$1)</t>
        </is>
      </c>
      <c r="F602" s="51" cm="1">
        <f t="array" ref="F602">_xlfn.LET(_xlpm.a,rotate_arrow('rotate_arrow'!D22,'rotate_arrow'!F22,'rotate_arrow'!H22),_xlpm.b,rotate_arrow('rotate_arrow'!D22,'rotate_arrow'!F22,'rotate_arrow'!H22,shape_tests!$Z$1),_xlpm.sa,IFERROR(ROWS(_xlpm.a)&amp;"x"&amp;COLUMNS(_xlpm.a),"err"),_xlpm.sb,IFERROR(ROWS(_xlpm.b)&amp;"x"&amp;COLUMNS(_xlpm.b),"err"),IF(_xlpm.sa&lt;&gt;_xlpm.sb,"FAIL",IF(_xlpm.sa="err",IF(ERROR.TYPE(_xlpm.a)=ERROR.TYPE(_xlpm.b),"PASS","FAIL"),IF(AND(IFERROR(_xlpm.a=_xlpm.b,IFERROR(ERROR.TYPE(_xlpm.a)=ERROR.TYPE(_xlpm.b),FALSE))),"PASS","FAIL"))))</f>
        <v>0</v>
      </c>
    </row>
    <row r="603">
      <c r="A603">
        <v>598</v>
      </c>
      <c r="B603" s="55" t="inlineStr">
        <is>
          <t xml:space="preserve">rotate_arrow</t>
        </is>
      </c>
      <c r="C603" t="inlineStr">
        <is>
          <t xml:space="preserve">rotate_arrow!L24</t>
        </is>
      </c>
      <c r="D603" s="51" t="inlineStr">
        <is>
          <t xml:space="preserve">tocol</t>
        </is>
      </c>
      <c r="E603" t="inlineStr">
        <is>
          <t xml:space="preserve">rotate_arrow(TOCOL(D24),TOCOL(F24))</t>
        </is>
      </c>
      <c r="F603" s="51" cm="1">
        <f t="array" ref="F603">_xlfn.LET(_xlpm.a,rotate_arrow('rotate_arrow'!D24,'rotate_arrow'!F24),_xlpm.b,rotate_arrow(_xlfn.TOCOL('rotate_arrow'!D24),_xlfn.TOCOL('rotate_arrow'!F24)),_xlpm.sa,IFERROR(ROWS(_xlpm.a)&amp;"x"&amp;COLUMNS(_xlpm.a),"err"),_xlpm.sb,IFERROR(ROWS(_xlpm.b)&amp;"x"&amp;COLUMNS(_xlpm.b),"err"),IF(_xlpm.sa&lt;&gt;_xlpm.sb,"FAIL",IF(_xlpm.sa="err",IF(ERROR.TYPE(_xlpm.a)=ERROR.TYPE(_xlpm.b),"PASS","FAIL"),IF(AND(IFERROR(_xlpm.a=_xlpm.b,IFERROR(ERROR.TYPE(_xlpm.a)=ERROR.TYPE(_xlpm.b),FALSE))),"PASS","FAIL"))))</f>
        <v>0</v>
      </c>
    </row>
    <row r="604">
      <c r="A604">
        <v>599</v>
      </c>
      <c r="B604" s="55" t="inlineStr">
        <is>
          <t xml:space="preserve">rotate_arrow</t>
        </is>
      </c>
      <c r="C604" t="inlineStr">
        <is>
          <t xml:space="preserve">rotate_arrow!L24</t>
        </is>
      </c>
      <c r="D604" s="51" t="inlineStr">
        <is>
          <t xml:space="preserve">textnum</t>
        </is>
      </c>
      <c r="E604" t="inlineStr">
        <is>
          <t xml:space="preserve">rotate_arrow(D24,(F24&amp;""))</t>
        </is>
      </c>
      <c r="F604" s="51" cm="1">
        <f t="array" ref="F604">_xlfn.LET(_xlpm.a,rotate_arrow('rotate_arrow'!D24,'rotate_arrow'!F24),_xlpm.b,rotate_arrow('rotate_arrow'!D24,('rotate_arrow'!F24&amp;"")),_xlpm.sa,IFERROR(ROWS(_xlpm.a)&amp;"x"&amp;COLUMNS(_xlpm.a),"err"),_xlpm.sb,IFERROR(ROWS(_xlpm.b)&amp;"x"&amp;COLUMNS(_xlpm.b),"err"),IF(_xlpm.sa&lt;&gt;_xlpm.sb,"FAIL",IF(_xlpm.sa="err",IF(ERROR.TYPE(_xlpm.a)=ERROR.TYPE(_xlpm.b),"PASS","FAIL"),IF(AND(IFERROR(_xlpm.a=_xlpm.b,IFERROR(ERROR.TYPE(_xlpm.a)=ERROR.TYPE(_xlpm.b),FALSE))),"PASS","FAIL"))))</f>
        <v>0</v>
      </c>
    </row>
    <row r="605">
      <c r="A605">
        <v>600</v>
      </c>
      <c r="B605" s="55" t="inlineStr">
        <is>
          <t xml:space="preserve">rotate_arrow</t>
        </is>
      </c>
      <c r="C605" t="inlineStr">
        <is>
          <t xml:space="preserve">rotate_arrow!L24</t>
        </is>
      </c>
      <c r="D605" s="51" t="inlineStr">
        <is>
          <t xml:space="preserve">blank</t>
        </is>
      </c>
      <c r="E605" t="inlineStr">
        <is>
          <t xml:space="preserve">rotate_arrow(D24,F24,shape_tests!$Z$1,shape_tests!$Z$1)</t>
        </is>
      </c>
      <c r="F605" s="51" cm="1">
        <f t="array" ref="F605">_xlfn.LET(_xlpm.a,rotate_arrow('rotate_arrow'!D24,'rotate_arrow'!F24),_xlpm.b,rotate_arrow('rotate_arrow'!D24,'rotate_arrow'!F24,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06">
      <c r="A606">
        <v>601</v>
      </c>
      <c r="B606" s="55" t="inlineStr">
        <is>
          <t xml:space="preserve">route_cost</t>
        </is>
      </c>
      <c r="C606" t="inlineStr">
        <is>
          <t xml:space="preserve">route_cost!L11</t>
        </is>
      </c>
      <c r="D606" s="51" t="inlineStr">
        <is>
          <t xml:space="preserve">tocol</t>
        </is>
      </c>
      <c r="E606" t="inlineStr">
        <is>
          <t xml:space="preserve">route_cost(D7:E8,{1,1},TOCOL(0))</t>
        </is>
      </c>
      <c r="F606" s="51" cm="1">
        <f t="array" ref="F606">_xlfn.LET(_xlpm.a,route_cost('route_cost'!D7:E8,{1,1},0),_xlpm.b,route_cost('route_cost'!D7:E8,{1,1},_xlfn.TOCOL(0)),_xlpm.sa,IFERROR(ROWS(_xlpm.a)&amp;"x"&amp;COLUMNS(_xlpm.a),"err"),_xlpm.sb,IFERROR(ROWS(_xlpm.b)&amp;"x"&amp;COLUMNS(_xlpm.b),"err"),IF(_xlpm.sa&lt;&gt;_xlpm.sb,"FAIL",IF(_xlpm.sa="err",IF(ERROR.TYPE(_xlpm.a)=ERROR.TYPE(_xlpm.b),"PASS","FAIL"),IF(AND(IFERROR(_xlpm.a=_xlpm.b,IFERROR(ERROR.TYPE(_xlpm.a)=ERROR.TYPE(_xlpm.b),FALSE))),"PASS","FAIL"))))</f>
        <v>0</v>
      </c>
    </row>
    <row r="607">
      <c r="A607">
        <v>602</v>
      </c>
      <c r="B607" s="55" t="inlineStr">
        <is>
          <t xml:space="preserve">route_cost</t>
        </is>
      </c>
      <c r="C607" t="inlineStr">
        <is>
          <t xml:space="preserve">route_cost!L11</t>
        </is>
      </c>
      <c r="D607" s="51" t="inlineStr">
        <is>
          <t xml:space="preserve">cellref</t>
        </is>
      </c>
      <c r="E607" t="inlineStr">
        <is>
          <t xml:space="preserve">route_cost(D7:E8,{1,1},shape_tests!$H$607)</t>
        </is>
      </c>
      <c r="F607" s="51" cm="1">
        <f t="array" ref="F607">_xlfn.LET(_xlpm.a,route_cost('route_cost'!D7:E8,{1,1},0),_xlpm.b,route_cost('route_cost'!D7:E8,{1,1},shape_tests!$H$607),_xlpm.sa,IFERROR(ROWS(_xlpm.a)&amp;"x"&amp;COLUMNS(_xlpm.a),"err"),_xlpm.sb,IFERROR(ROWS(_xlpm.b)&amp;"x"&amp;COLUMNS(_xlpm.b),"err"),IF(_xlpm.sa&lt;&gt;_xlpm.sb,"FAIL",IF(_xlpm.sa="err",IF(ERROR.TYPE(_xlpm.a)=ERROR.TYPE(_xlpm.b),"PASS","FAIL"),IF(AND(IFERROR(_xlpm.a=_xlpm.b,IFERROR(ERROR.TYPE(_xlpm.a)=ERROR.TYPE(_xlpm.b),FALSE))),"PASS","FAIL"))))</f>
        <v>0</v>
      </c>
      <c r="H607">
        <v>0.0</v>
      </c>
    </row>
    <row r="608">
      <c r="A608">
        <v>603</v>
      </c>
      <c r="B608" s="55" t="inlineStr">
        <is>
          <t xml:space="preserve">route_cost</t>
        </is>
      </c>
      <c r="C608" t="inlineStr">
        <is>
          <t xml:space="preserve">route_cost!L11</t>
        </is>
      </c>
      <c r="D608" s="51" t="inlineStr">
        <is>
          <t xml:space="preserve">textnum</t>
        </is>
      </c>
      <c r="E608" t="inlineStr">
        <is>
          <t xml:space="preserve">route_cost(D7:E8,{1,1},"0")</t>
        </is>
      </c>
      <c r="F608" s="51" cm="1">
        <f t="array" ref="F608">_xlfn.LET(_xlpm.a,route_cost('route_cost'!D7:E8,{1,1},0),_xlpm.b,route_cost('route_cost'!D7:E8,{1,1},"0"),_xlpm.sa,IFERROR(ROWS(_xlpm.a)&amp;"x"&amp;COLUMNS(_xlpm.a),"err"),_xlpm.sb,IFERROR(ROWS(_xlpm.b)&amp;"x"&amp;COLUMNS(_xlpm.b),"err"),IF(_xlpm.sa&lt;&gt;_xlpm.sb,"FAIL",IF(_xlpm.sa="err",IF(ERROR.TYPE(_xlpm.a)=ERROR.TYPE(_xlpm.b),"PASS","FAIL"),IF(AND(IFERROR(_xlpm.a=_xlpm.b,IFERROR(ERROR.TYPE(_xlpm.a)=ERROR.TYPE(_xlpm.b),FALSE))),"PASS","FAIL"))))</f>
        <v>0</v>
      </c>
    </row>
    <row r="609">
      <c r="A609">
        <v>604</v>
      </c>
      <c r="B609" s="55" t="inlineStr">
        <is>
          <t xml:space="preserve">route_cost</t>
        </is>
      </c>
      <c r="C609" t="inlineStr">
        <is>
          <t xml:space="preserve">route_cost!L14</t>
        </is>
      </c>
      <c r="D609" s="51" t="inlineStr">
        <is>
          <t xml:space="preserve">tocol</t>
        </is>
      </c>
      <c r="E609" t="inlineStr">
        <is>
          <t xml:space="preserve">route_cost(D7:E8,TOCOL("D7"),TOCOL(0))</t>
        </is>
      </c>
      <c r="F609" s="51" cm="1">
        <f t="array" ref="F609">_xlfn.LET(_xlpm.a,route_cost('route_cost'!D7:E8,"D7",0),_xlpm.b,route_cost('route_cost'!D7:E8,_xlfn.TOCOL("D7"),_xlfn.TOCOL(0)),_xlpm.sa,IFERROR(ROWS(_xlpm.a)&amp;"x"&amp;COLUMNS(_xlpm.a),"err"),_xlpm.sb,IFERROR(ROWS(_xlpm.b)&amp;"x"&amp;COLUMNS(_xlpm.b),"err"),IF(_xlpm.sa&lt;&gt;_xlpm.sb,"FAIL",IF(_xlpm.sa="err",IF(ERROR.TYPE(_xlpm.a)=ERROR.TYPE(_xlpm.b),"PASS","FAIL"),IF(AND(IFERROR(_xlpm.a=_xlpm.b,IFERROR(ERROR.TYPE(_xlpm.a)=ERROR.TYPE(_xlpm.b),FALSE))),"PASS","FAIL"))))</f>
        <v>0</v>
      </c>
    </row>
    <row r="610">
      <c r="A610">
        <v>605</v>
      </c>
      <c r="B610" s="55" t="inlineStr">
        <is>
          <t xml:space="preserve">route_cost</t>
        </is>
      </c>
      <c r="C610" t="inlineStr">
        <is>
          <t xml:space="preserve">route_cost!L14</t>
        </is>
      </c>
      <c r="D610" s="51" t="inlineStr">
        <is>
          <t xml:space="preserve">cellref</t>
        </is>
      </c>
      <c r="E610" t="inlineStr">
        <is>
          <t xml:space="preserve">route_cost(D7:E8,shape_tests!$H$610,shape_tests!$I$610)</t>
        </is>
      </c>
      <c r="F610" s="51" cm="1">
        <f t="array" ref="F610">_xlfn.LET(_xlpm.a,route_cost('route_cost'!D7:E8,"D7",0),_xlpm.b,route_cost('route_cost'!D7:E8,shape_tests!$H$610,shape_tests!$I$610),_xlpm.sa,IFERROR(ROWS(_xlpm.a)&amp;"x"&amp;COLUMNS(_xlpm.a),"err"),_xlpm.sb,IFERROR(ROWS(_xlpm.b)&amp;"x"&amp;COLUMNS(_xlpm.b),"err"),IF(_xlpm.sa&lt;&gt;_xlpm.sb,"FAIL",IF(_xlpm.sa="err",IF(ERROR.TYPE(_xlpm.a)=ERROR.TYPE(_xlpm.b),"PASS","FAIL"),IF(AND(IFERROR(_xlpm.a=_xlpm.b,IFERROR(ERROR.TYPE(_xlpm.a)=ERROR.TYPE(_xlpm.b),FALSE))),"PASS","FAIL"))))</f>
        <v>0</v>
      </c>
      <c r="H610" t="inlineStr">
        <is>
          <t xml:space="preserve">D7</t>
        </is>
      </c>
      <c r="I610">
        <v>0.0</v>
      </c>
    </row>
    <row r="611">
      <c r="A611">
        <v>606</v>
      </c>
      <c r="B611" s="55" t="inlineStr">
        <is>
          <t xml:space="preserve">route_cost</t>
        </is>
      </c>
      <c r="C611" t="inlineStr">
        <is>
          <t xml:space="preserve">route_cost!L14</t>
        </is>
      </c>
      <c r="D611" s="51" t="inlineStr">
        <is>
          <t xml:space="preserve">textnum</t>
        </is>
      </c>
      <c r="E611" t="inlineStr">
        <is>
          <t xml:space="preserve">route_cost(D7:E8,"D7","0")</t>
        </is>
      </c>
      <c r="F611" s="51" cm="1">
        <f t="array" ref="F611">_xlfn.LET(_xlpm.a,route_cost('route_cost'!D7:E8,"D7",0),_xlpm.b,route_cost('route_cost'!D7:E8,"D7","0"),_xlpm.sa,IFERROR(ROWS(_xlpm.a)&amp;"x"&amp;COLUMNS(_xlpm.a),"err"),_xlpm.sb,IFERROR(ROWS(_xlpm.b)&amp;"x"&amp;COLUMNS(_xlpm.b),"err"),IF(_xlpm.sa&lt;&gt;_xlpm.sb,"FAIL",IF(_xlpm.sa="err",IF(ERROR.TYPE(_xlpm.a)=ERROR.TYPE(_xlpm.b),"PASS","FAIL"),IF(AND(IFERROR(_xlpm.a=_xlpm.b,IFERROR(ERROR.TYPE(_xlpm.a)=ERROR.TYPE(_xlpm.b),FALSE))),"PASS","FAIL"))))</f>
        <v>0</v>
      </c>
    </row>
    <row r="612">
      <c r="A612">
        <v>607</v>
      </c>
      <c r="B612" s="55" t="inlineStr">
        <is>
          <t xml:space="preserve">route_cost</t>
        </is>
      </c>
      <c r="C612" t="inlineStr">
        <is>
          <t xml:space="preserve">route_cost!L17</t>
        </is>
      </c>
      <c r="D612" s="51" t="inlineStr">
        <is>
          <t xml:space="preserve">tocol</t>
        </is>
      </c>
      <c r="E612" t="inlineStr">
        <is>
          <t xml:space="preserve">route_cost(D7:E8,TOCOL(7000004),TOCOL(0))</t>
        </is>
      </c>
      <c r="F612" s="51" cm="1">
        <f t="array" ref="F612">_xlfn.LET(_xlpm.a,route_cost('route_cost'!D7:E8,7000004,0),_xlpm.b,route_cost('route_cost'!D7:E8,_xlfn.TOCOL(7000004),_xlfn.TOCOL(0)),_xlpm.sa,IFERROR(ROWS(_xlpm.a)&amp;"x"&amp;COLUMNS(_xlpm.a),"err"),_xlpm.sb,IFERROR(ROWS(_xlpm.b)&amp;"x"&amp;COLUMNS(_xlpm.b),"err"),IF(_xlpm.sa&lt;&gt;_xlpm.sb,"FAIL",IF(_xlpm.sa="err",IF(ERROR.TYPE(_xlpm.a)=ERROR.TYPE(_xlpm.b),"PASS","FAIL"),IF(AND(IFERROR(_xlpm.a=_xlpm.b,IFERROR(ERROR.TYPE(_xlpm.a)=ERROR.TYPE(_xlpm.b),FALSE))),"PASS","FAIL"))))</f>
        <v>0</v>
      </c>
    </row>
    <row r="613">
      <c r="A613">
        <v>608</v>
      </c>
      <c r="B613" s="55" t="inlineStr">
        <is>
          <t xml:space="preserve">route_cost</t>
        </is>
      </c>
      <c r="C613" t="inlineStr">
        <is>
          <t xml:space="preserve">route_cost!L17</t>
        </is>
      </c>
      <c r="D613" s="51" t="inlineStr">
        <is>
          <t xml:space="preserve">cellref</t>
        </is>
      </c>
      <c r="E613" t="inlineStr">
        <is>
          <t xml:space="preserve">route_cost(D7:E8,shape_tests!$H$613,shape_tests!$I$613)</t>
        </is>
      </c>
      <c r="F613" s="51" cm="1">
        <f t="array" ref="F613">_xlfn.LET(_xlpm.a,route_cost('route_cost'!D7:E8,7000004,0),_xlpm.b,route_cost('route_cost'!D7:E8,shape_tests!$H$613,shape_tests!$I$613),_xlpm.sa,IFERROR(ROWS(_xlpm.a)&amp;"x"&amp;COLUMNS(_xlpm.a),"err"),_xlpm.sb,IFERROR(ROWS(_xlpm.b)&amp;"x"&amp;COLUMNS(_xlpm.b),"err"),IF(_xlpm.sa&lt;&gt;_xlpm.sb,"FAIL",IF(_xlpm.sa="err",IF(ERROR.TYPE(_xlpm.a)=ERROR.TYPE(_xlpm.b),"PASS","FAIL"),IF(AND(IFERROR(_xlpm.a=_xlpm.b,IFERROR(ERROR.TYPE(_xlpm.a)=ERROR.TYPE(_xlpm.b),FALSE))),"PASS","FAIL"))))</f>
        <v>0</v>
      </c>
      <c r="H613">
        <v>7000004.0</v>
      </c>
      <c r="I613">
        <v>0.0</v>
      </c>
    </row>
    <row r="614">
      <c r="A614">
        <v>609</v>
      </c>
      <c r="B614" s="55" t="inlineStr">
        <is>
          <t xml:space="preserve">route_cost</t>
        </is>
      </c>
      <c r="C614" t="inlineStr">
        <is>
          <t xml:space="preserve">route_cost!L17</t>
        </is>
      </c>
      <c r="D614" s="51" t="inlineStr">
        <is>
          <t xml:space="preserve">textnum</t>
        </is>
      </c>
      <c r="E614" t="inlineStr">
        <is>
          <t xml:space="preserve">route_cost(D7:E8,"7000004","0")</t>
        </is>
      </c>
      <c r="F614" s="51" cm="1">
        <f t="array" ref="F614">_xlfn.LET(_xlpm.a,route_cost('route_cost'!D7:E8,7000004,0),_xlpm.b,route_cost('route_cost'!D7:E8,"7000004","0"),_xlpm.sa,IFERROR(ROWS(_xlpm.a)&amp;"x"&amp;COLUMNS(_xlpm.a),"err"),_xlpm.sb,IFERROR(ROWS(_xlpm.b)&amp;"x"&amp;COLUMNS(_xlpm.b),"err"),IF(_xlpm.sa&lt;&gt;_xlpm.sb,"FAIL",IF(_xlpm.sa="err",IF(ERROR.TYPE(_xlpm.a)=ERROR.TYPE(_xlpm.b),"PASS","FAIL"),IF(AND(IFERROR(_xlpm.a=_xlpm.b,IFERROR(ERROR.TYPE(_xlpm.a)=ERROR.TYPE(_xlpm.b),FALSE))),"PASS","FAIL"))))</f>
        <v>0</v>
      </c>
    </row>
    <row r="615">
      <c r="A615">
        <v>610</v>
      </c>
      <c r="B615" s="55" t="inlineStr">
        <is>
          <t xml:space="preserve">route_cost</t>
        </is>
      </c>
      <c r="C615" t="inlineStr">
        <is>
          <t xml:space="preserve">route_cost!L20</t>
        </is>
      </c>
      <c r="D615" s="51" t="inlineStr">
        <is>
          <t xml:space="preserve">tocol</t>
        </is>
      </c>
      <c r="E615" t="inlineStr">
        <is>
          <t xml:space="preserve">route_cost(D7:E8,{1,1},TOCOL(1))</t>
        </is>
      </c>
      <c r="F615" s="51" cm="1">
        <f t="array" ref="F615">_xlfn.LET(_xlpm.a,route_cost('route_cost'!D7:E8,{1,1},1),_xlpm.b,route_cost('route_cost'!D7:E8,{1,1},_xlfn.TOCOL(1)),_xlpm.sa,IFERROR(ROWS(_xlpm.a)&amp;"x"&amp;COLUMNS(_xlpm.a),"err"),_xlpm.sb,IFERROR(ROWS(_xlpm.b)&amp;"x"&amp;COLUMNS(_xlpm.b),"err"),IF(_xlpm.sa&lt;&gt;_xlpm.sb,"FAIL",IF(_xlpm.sa="err",IF(ERROR.TYPE(_xlpm.a)=ERROR.TYPE(_xlpm.b),"PASS","FAIL"),IF(AND(IFERROR(_xlpm.a=_xlpm.b,IFERROR(ERROR.TYPE(_xlpm.a)=ERROR.TYPE(_xlpm.b),FALSE))),"PASS","FAIL"))))</f>
        <v>0</v>
      </c>
    </row>
    <row r="616">
      <c r="A616">
        <v>611</v>
      </c>
      <c r="B616" s="55" t="inlineStr">
        <is>
          <t xml:space="preserve">route_cost</t>
        </is>
      </c>
      <c r="C616" t="inlineStr">
        <is>
          <t xml:space="preserve">route_cost!L20</t>
        </is>
      </c>
      <c r="D616" s="51" t="inlineStr">
        <is>
          <t xml:space="preserve">cellref</t>
        </is>
      </c>
      <c r="E616" t="inlineStr">
        <is>
          <t xml:space="preserve">route_cost(D7:E8,{1,1},shape_tests!$H$616)</t>
        </is>
      </c>
      <c r="F616" s="51" cm="1">
        <f t="array" ref="F616">_xlfn.LET(_xlpm.a,route_cost('route_cost'!D7:E8,{1,1},1),_xlpm.b,route_cost('route_cost'!D7:E8,{1,1},shape_tests!$H$616),_xlpm.sa,IFERROR(ROWS(_xlpm.a)&amp;"x"&amp;COLUMNS(_xlpm.a),"err"),_xlpm.sb,IFERROR(ROWS(_xlpm.b)&amp;"x"&amp;COLUMNS(_xlpm.b),"err"),IF(_xlpm.sa&lt;&gt;_xlpm.sb,"FAIL",IF(_xlpm.sa="err",IF(ERROR.TYPE(_xlpm.a)=ERROR.TYPE(_xlpm.b),"PASS","FAIL"),IF(AND(IFERROR(_xlpm.a=_xlpm.b,IFERROR(ERROR.TYPE(_xlpm.a)=ERROR.TYPE(_xlpm.b),FALSE))),"PASS","FAIL"))))</f>
        <v>0</v>
      </c>
      <c r="H616">
        <v>1.0</v>
      </c>
    </row>
    <row r="617">
      <c r="A617">
        <v>612</v>
      </c>
      <c r="B617" s="55" t="inlineStr">
        <is>
          <t xml:space="preserve">route_cost</t>
        </is>
      </c>
      <c r="C617" t="inlineStr">
        <is>
          <t xml:space="preserve">route_cost!L20</t>
        </is>
      </c>
      <c r="D617" s="51" t="inlineStr">
        <is>
          <t xml:space="preserve">textnum</t>
        </is>
      </c>
      <c r="E617" t="inlineStr">
        <is>
          <t xml:space="preserve">route_cost(D7:E8,{1,1},"1")</t>
        </is>
      </c>
      <c r="F617" s="51" cm="1">
        <f t="array" ref="F617">_xlfn.LET(_xlpm.a,route_cost('route_cost'!D7:E8,{1,1},1),_xlpm.b,route_cost('route_cost'!D7:E8,{1,1},"1"),_xlpm.sa,IFERROR(ROWS(_xlpm.a)&amp;"x"&amp;COLUMNS(_xlpm.a),"err"),_xlpm.sb,IFERROR(ROWS(_xlpm.b)&amp;"x"&amp;COLUMNS(_xlpm.b),"err"),IF(_xlpm.sa&lt;&gt;_xlpm.sb,"FAIL",IF(_xlpm.sa="err",IF(ERROR.TYPE(_xlpm.a)=ERROR.TYPE(_xlpm.b),"PASS","FAIL"),IF(AND(IFERROR(_xlpm.a=_xlpm.b,IFERROR(ERROR.TYPE(_xlpm.a)=ERROR.TYPE(_xlpm.b),FALSE))),"PASS","FAIL"))))</f>
        <v>0</v>
      </c>
    </row>
    <row r="618">
      <c r="A618">
        <v>613</v>
      </c>
      <c r="B618" s="55" t="inlineStr">
        <is>
          <t xml:space="preserve">route_cost</t>
        </is>
      </c>
      <c r="C618" t="inlineStr">
        <is>
          <t xml:space="preserve">route_cost!L23</t>
        </is>
      </c>
      <c r="D618" s="51" t="inlineStr">
        <is>
          <t xml:space="preserve">blank</t>
        </is>
      </c>
      <c r="E618" t="inlineStr">
        <is>
          <t xml:space="preserve">route_cost(D7:E8,{9,9},shape_tests!$Z$1)</t>
        </is>
      </c>
      <c r="F618" s="51" cm="1">
        <f t="array" ref="F618">_xlfn.LET(_xlpm.a,route_cost('route_cost'!D7:E8,{9,9}),_xlpm.b,route_cost('route_cost'!D7:E8,{9,9},shape_tests!$Z$1),_xlpm.sa,IFERROR(ROWS(_xlpm.a)&amp;"x"&amp;COLUMNS(_xlpm.a),"err"),_xlpm.sb,IFERROR(ROWS(_xlpm.b)&amp;"x"&amp;COLUMNS(_xlpm.b),"err"),IF(_xlpm.sa&lt;&gt;_xlpm.sb,"FAIL",IF(_xlpm.sa="err",IF(ERROR.TYPE(_xlpm.a)=ERROR.TYPE(_xlpm.b),"PASS","FAIL"),IF(AND(IFERROR(_xlpm.a=_xlpm.b,IFERROR(ERROR.TYPE(_xlpm.a)=ERROR.TYPE(_xlpm.b),FALSE))),"PASS","FAIL"))))</f>
        <v>0</v>
      </c>
    </row>
    <row r="619">
      <c r="A619">
        <v>614</v>
      </c>
      <c r="B619" s="55" t="inlineStr">
        <is>
          <t xml:space="preserve">save_array</t>
        </is>
      </c>
      <c r="C619" t="inlineStr">
        <is>
          <t xml:space="preserve">save_array!M6</t>
        </is>
      </c>
      <c r="D619" s="51" t="inlineStr">
        <is>
          <t xml:space="preserve">blank</t>
        </is>
      </c>
      <c r="E619" t="inlineStr">
        <is>
          <t xml:space="preserve">save_array(D6:E7,shape_tests!$Z$1,shape_tests!$Z$1)</t>
        </is>
      </c>
      <c r="F619" s="51" cm="1">
        <f t="array" ref="F619">_xlfn.LET(_xlpm.a,save_array('save_array'!D6:E7),_xlpm.b,save_array('save_array'!D6:E7,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20">
      <c r="A620">
        <v>615</v>
      </c>
      <c r="B620" s="55" t="inlineStr">
        <is>
          <t xml:space="preserve">save_array</t>
        </is>
      </c>
      <c r="C620" t="inlineStr">
        <is>
          <t xml:space="preserve">save_array!M9</t>
        </is>
      </c>
      <c r="D620" s="51" t="inlineStr">
        <is>
          <t xml:space="preserve">array</t>
        </is>
      </c>
      <c r="E620" t="inlineStr">
        <is>
          <t xml:space="preserve">save_array(CHOOSEROWS(D9:E9,SEQUENCE(ROWS(D9:E9))))</t>
        </is>
      </c>
      <c r="F620" s="51" cm="1">
        <f t="array" ref="F620">_xlfn.LET(_xlpm.a,save_array('save_array'!D9:E9),_xlpm.b,save_array(_xlfn.CHOOSEROWS('save_array'!D9:E9,_xlfn.SEQUENCE(ROWS('save_array'!D9:E9)))),_xlpm.sa,IFERROR(ROWS(_xlpm.a)&amp;"x"&amp;COLUMNS(_xlpm.a),"err"),_xlpm.sb,IFERROR(ROWS(_xlpm.b)&amp;"x"&amp;COLUMNS(_xlpm.b),"err"),IF(_xlpm.sa&lt;&gt;_xlpm.sb,"FAIL",IF(_xlpm.sa="err",IF(ERROR.TYPE(_xlpm.a)=ERROR.TYPE(_xlpm.b),"PASS","FAIL"),IF(AND(IFERROR(_xlpm.a=_xlpm.b,IFERROR(ERROR.TYPE(_xlpm.a)=ERROR.TYPE(_xlpm.b),FALSE))),"PASS","FAIL"))))</f>
        <v>0</v>
      </c>
    </row>
    <row r="621">
      <c r="A621">
        <v>616</v>
      </c>
      <c r="B621" s="55" t="inlineStr">
        <is>
          <t xml:space="preserve">save_array</t>
        </is>
      </c>
      <c r="C621" t="inlineStr">
        <is>
          <t xml:space="preserve">save_array!M9</t>
        </is>
      </c>
      <c r="D621" s="51" t="inlineStr">
        <is>
          <t xml:space="preserve">blank</t>
        </is>
      </c>
      <c r="E621" t="inlineStr">
        <is>
          <t xml:space="preserve">save_array(D9:E9,shape_tests!$Z$1,shape_tests!$Z$1)</t>
        </is>
      </c>
      <c r="F621" s="51" cm="1">
        <f t="array" ref="F621">_xlfn.LET(_xlpm.a,save_array('save_array'!D9:E9),_xlpm.b,save_array('save_array'!D9:E9,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22">
      <c r="A622">
        <v>617</v>
      </c>
      <c r="B622" s="55" t="inlineStr">
        <is>
          <t xml:space="preserve">save_array</t>
        </is>
      </c>
      <c r="C622" t="inlineStr">
        <is>
          <t xml:space="preserve">save_array!M11</t>
        </is>
      </c>
      <c r="D622" s="51" t="inlineStr">
        <is>
          <t xml:space="preserve">tocol</t>
        </is>
      </c>
      <c r="E622" t="inlineStr">
        <is>
          <t xml:space="preserve">save_array(D11:E12,TOCOL(G11),TOCOL(I11))</t>
        </is>
      </c>
      <c r="F622" s="51" cm="1">
        <f t="array" ref="F622">_xlfn.LET(_xlpm.a,save_array('save_array'!D11:E12,'save_array'!G11,'save_array'!I11),_xlpm.b,save_array('save_array'!D11:E12,_xlfn.TOCOL('save_array'!G11),_xlfn.TOCOL('save_array'!I11)),_xlpm.sa,IFERROR(ROWS(_xlpm.a)&amp;"x"&amp;COLUMNS(_xlpm.a),"err"),_xlpm.sb,IFERROR(ROWS(_xlpm.b)&amp;"x"&amp;COLUMNS(_xlpm.b),"err"),IF(_xlpm.sa&lt;&gt;_xlpm.sb,"FAIL",IF(_xlpm.sa="err",IF(ERROR.TYPE(_xlpm.a)=ERROR.TYPE(_xlpm.b),"PASS","FAIL"),IF(AND(IFERROR(_xlpm.a=_xlpm.b,IFERROR(ERROR.TYPE(_xlpm.a)=ERROR.TYPE(_xlpm.b),FALSE))),"PASS","FAIL"))))</f>
        <v>0</v>
      </c>
    </row>
    <row r="623">
      <c r="A623">
        <v>618</v>
      </c>
      <c r="B623" s="55" t="inlineStr">
        <is>
          <t xml:space="preserve">scan2</t>
        </is>
      </c>
      <c r="C623" t="inlineStr">
        <is>
          <t xml:space="preserve">scan2!M6</t>
        </is>
      </c>
      <c r="D623" s="51" t="inlineStr">
        <is>
          <t xml:space="preserve">tocol</t>
        </is>
      </c>
      <c r="E623" t="inlineStr">
        <is>
          <t xml:space="preserve">scan2(TOCOL(0),TOCOL(0),D6:D10,LAMBDA(a,b,x,a+x),LAMBDA(a,b,x,MAX(b,x)))</t>
        </is>
      </c>
      <c r="F623" s="51" cm="1">
        <f t="array" ref="F623">_xlfn.LET(_xlpm.a,scan2(0,0,'scan2'!D6:D10,_xlfn.LAMBDA(_xlpm.a,_xlpm.b,_xlpm.x,_xlpm.a+_xlpm.x),_xlfn.LAMBDA(_xlpm.a,_xlpm.b,_xlpm.x,MAX(_xlpm.b,_xlpm.x))),_xlpm.b,scan2(_xlfn.TOCOL(0),_xlfn.TOCOL(0),'scan2'!D6:D10,_xlfn.LAMBDA(_xlpm.a,_xlpm.b,_xlpm.x,_xlpm.a+_xlpm.x),_xlfn.LAMBDA(_xlpm.a,_xlpm.b,_xlpm.x,MAX(_xlpm.b,_xlpm.x))),_xlpm.sa,IFERROR(ROWS(_xlpm.a)&amp;"x"&amp;COLUMNS(_xlpm.a),"err"),_xlpm.sb,IFERROR(ROWS(_xlpm.b)&amp;"x"&amp;COLUMNS(_xlpm.b),"err"),IF(_xlpm.sa&lt;&gt;_xlpm.sb,"FAIL",IF(_xlpm.sa="err",IF(ERROR.TYPE(_xlpm.a)=ERROR.TYPE(_xlpm.b),"PASS","FAIL"),IF(AND(IFERROR(_xlpm.a=_xlpm.b,IFERROR(ERROR.TYPE(_xlpm.a)=ERROR.TYPE(_xlpm.b),FALSE))),"PASS","FAIL"))))</f>
        <v>0</v>
      </c>
    </row>
    <row r="624">
      <c r="A624">
        <v>619</v>
      </c>
      <c r="B624" s="55" t="inlineStr">
        <is>
          <t xml:space="preserve">scan2</t>
        </is>
      </c>
      <c r="C624" t="inlineStr">
        <is>
          <t xml:space="preserve">scan2!M6</t>
        </is>
      </c>
      <c r="D624" s="51" t="inlineStr">
        <is>
          <t xml:space="preserve">cellref</t>
        </is>
      </c>
      <c r="E624" t="inlineStr">
        <is>
          <t xml:space="preserve">scan2(shape_tests!$H$624,shape_tests!$I$624,D6:D10,LAMBDA(a,b,x,a+x),LAMBDA(a,b,x,MAX(b,x)))</t>
        </is>
      </c>
      <c r="F624" s="51" cm="1">
        <f t="array" ref="F624">_xlfn.LET(_xlpm.a,scan2(0,0,'scan2'!D6:D10,_xlfn.LAMBDA(_xlpm.a,_xlpm.b,_xlpm.x,_xlpm.a+_xlpm.x),_xlfn.LAMBDA(_xlpm.a,_xlpm.b,_xlpm.x,MAX(_xlpm.b,_xlpm.x))),_xlpm.b,scan2(shape_tests!$H$624,shape_tests!$I$624,'scan2'!D6:D10,_xlfn.LAMBDA(_xlpm.a,_xlpm.b,_xlpm.x,_xlpm.a+_xlpm.x),_xlfn.LAMBDA(_xlpm.a,_xlpm.b,_xlpm.x,MAX(_xlpm.b,_xlpm.x))),_xlpm.sa,IFERROR(ROWS(_xlpm.a)&amp;"x"&amp;COLUMNS(_xlpm.a),"err"),_xlpm.sb,IFERROR(ROWS(_xlpm.b)&amp;"x"&amp;COLUMNS(_xlpm.b),"err"),IF(_xlpm.sa&lt;&gt;_xlpm.sb,"FAIL",IF(_xlpm.sa="err",IF(ERROR.TYPE(_xlpm.a)=ERROR.TYPE(_xlpm.b),"PASS","FAIL"),IF(AND(IFERROR(_xlpm.a=_xlpm.b,IFERROR(ERROR.TYPE(_xlpm.a)=ERROR.TYPE(_xlpm.b),FALSE))),"PASS","FAIL"))))</f>
        <v>0</v>
      </c>
      <c r="H624">
        <v>0.0</v>
      </c>
      <c r="I624">
        <v>0.0</v>
      </c>
    </row>
    <row r="625">
      <c r="A625">
        <v>620</v>
      </c>
      <c r="B625" s="55" t="inlineStr">
        <is>
          <t xml:space="preserve">scan2</t>
        </is>
      </c>
      <c r="C625" t="inlineStr">
        <is>
          <t xml:space="preserve">scan2!M12</t>
        </is>
      </c>
      <c r="D625" s="51" t="inlineStr">
        <is>
          <t xml:space="preserve">tocol</t>
        </is>
      </c>
      <c r="E625" t="inlineStr">
        <is>
          <t xml:space="preserve">scan2(TOCOL(0),TOCOL(0),D12:D14,LAMBDA(a,b,x,a+x),LAMBDA(a,b,x,b+1))</t>
        </is>
      </c>
      <c r="F625" s="51" cm="1">
        <f t="array" ref="F625">_xlfn.LET(_xlpm.a,scan2(0,0,'scan2'!D12:D14,_xlfn.LAMBDA(_xlpm.a,_xlpm.b,_xlpm.x,_xlpm.a+_xlpm.x),_xlfn.LAMBDA(_xlpm.a,_xlpm.b,_xlpm.x,_xlpm.b+1)),_xlpm.b,scan2(_xlfn.TOCOL(0),_xlfn.TOCOL(0),'scan2'!D12:D14,_xlfn.LAMBDA(_xlpm.a,_xlpm.b,_xlpm.x,_xlpm.a+_xlpm.x),_xlfn.LAMBDA(_xlpm.a,_xlpm.b,_xlpm.x,_xlpm.b+1)),_xlpm.sa,IFERROR(ROWS(_xlpm.a)&amp;"x"&amp;COLUMNS(_xlpm.a),"err"),_xlpm.sb,IFERROR(ROWS(_xlpm.b)&amp;"x"&amp;COLUMNS(_xlpm.b),"err"),IF(_xlpm.sa&lt;&gt;_xlpm.sb,"FAIL",IF(_xlpm.sa="err",IF(ERROR.TYPE(_xlpm.a)=ERROR.TYPE(_xlpm.b),"PASS","FAIL"),IF(AND(IFERROR(_xlpm.a=_xlpm.b,IFERROR(ERROR.TYPE(_xlpm.a)=ERROR.TYPE(_xlpm.b),FALSE))),"PASS","FAIL"))))</f>
        <v>0</v>
      </c>
    </row>
    <row r="626">
      <c r="A626">
        <v>621</v>
      </c>
      <c r="B626" s="55" t="inlineStr">
        <is>
          <t xml:space="preserve">scan2</t>
        </is>
      </c>
      <c r="C626" t="inlineStr">
        <is>
          <t xml:space="preserve">scan2!M12</t>
        </is>
      </c>
      <c r="D626" s="51" t="inlineStr">
        <is>
          <t xml:space="preserve">cellref</t>
        </is>
      </c>
      <c r="E626" t="inlineStr">
        <is>
          <t xml:space="preserve">scan2(shape_tests!$H$626,shape_tests!$I$626,D12:D14,LAMBDA(a,b,x,a+x),LAMBDA(a,b,x,b+1))</t>
        </is>
      </c>
      <c r="F626" s="51" cm="1">
        <f t="array" ref="F626">_xlfn.LET(_xlpm.a,scan2(0,0,'scan2'!D12:D14,_xlfn.LAMBDA(_xlpm.a,_xlpm.b,_xlpm.x,_xlpm.a+_xlpm.x),_xlfn.LAMBDA(_xlpm.a,_xlpm.b,_xlpm.x,_xlpm.b+1)),_xlpm.b,scan2(shape_tests!$H$626,shape_tests!$I$626,'scan2'!D12:D14,_xlfn.LAMBDA(_xlpm.a,_xlpm.b,_xlpm.x,_xlpm.a+_xlpm.x),_xlfn.LAMBDA(_xlpm.a,_xlpm.b,_xlpm.x,_xlpm.b+1)),_xlpm.sa,IFERROR(ROWS(_xlpm.a)&amp;"x"&amp;COLUMNS(_xlpm.a),"err"),_xlpm.sb,IFERROR(ROWS(_xlpm.b)&amp;"x"&amp;COLUMNS(_xlpm.b),"err"),IF(_xlpm.sa&lt;&gt;_xlpm.sb,"FAIL",IF(_xlpm.sa="err",IF(ERROR.TYPE(_xlpm.a)=ERROR.TYPE(_xlpm.b),"PASS","FAIL"),IF(AND(IFERROR(_xlpm.a=_xlpm.b,IFERROR(ERROR.TYPE(_xlpm.a)=ERROR.TYPE(_xlpm.b),FALSE))),"PASS","FAIL"))))</f>
        <v>0</v>
      </c>
      <c r="H626">
        <v>0.0</v>
      </c>
      <c r="I626">
        <v>0.0</v>
      </c>
    </row>
    <row r="627">
      <c r="A627">
        <v>622</v>
      </c>
      <c r="B627" s="55" t="inlineStr">
        <is>
          <t xml:space="preserve">scan2</t>
        </is>
      </c>
      <c r="C627" t="inlineStr">
        <is>
          <t xml:space="preserve">scan2!M16</t>
        </is>
      </c>
      <c r="D627" s="51" t="inlineStr">
        <is>
          <t xml:space="preserve">tocol</t>
        </is>
      </c>
      <c r="E627" t="inlineStr">
        <is>
          <t xml:space="preserve">scan2(TOCOL(0),TOCOL(1),D16:D19,LAMBDA(a,b,x,b),LAMBDA(a,b,x,a+b))</t>
        </is>
      </c>
      <c r="F627" s="51" cm="1">
        <f t="array" ref="F627">_xlfn.LET(_xlpm.a,scan2(0,1,'scan2'!D16:D19,_xlfn.LAMBDA(_xlpm.a,_xlpm.b,_xlpm.x,_xlpm.b),_xlfn.LAMBDA(_xlpm.a,_xlpm.b,_xlpm.x,_xlpm.a+_xlpm.b)),_xlpm.b,scan2(_xlfn.TOCOL(0),_xlfn.TOCOL(1),'scan2'!D16:D19,_xlfn.LAMBDA(_xlpm.a,_xlpm.b,_xlpm.x,_xlpm.b),_xlfn.LAMBDA(_xlpm.a,_xlpm.b,_xlpm.x,_xlpm.a+_xlpm.b)),_xlpm.sa,IFERROR(ROWS(_xlpm.a)&amp;"x"&amp;COLUMNS(_xlpm.a),"err"),_xlpm.sb,IFERROR(ROWS(_xlpm.b)&amp;"x"&amp;COLUMNS(_xlpm.b),"err"),IF(_xlpm.sa&lt;&gt;_xlpm.sb,"FAIL",IF(_xlpm.sa="err",IF(ERROR.TYPE(_xlpm.a)=ERROR.TYPE(_xlpm.b),"PASS","FAIL"),IF(AND(IFERROR(_xlpm.a=_xlpm.b,IFERROR(ERROR.TYPE(_xlpm.a)=ERROR.TYPE(_xlpm.b),FALSE))),"PASS","FAIL"))))</f>
        <v>0</v>
      </c>
    </row>
    <row r="628">
      <c r="A628">
        <v>623</v>
      </c>
      <c r="B628" s="55" t="inlineStr">
        <is>
          <t xml:space="preserve">scan2</t>
        </is>
      </c>
      <c r="C628" t="inlineStr">
        <is>
          <t xml:space="preserve">scan2!M16</t>
        </is>
      </c>
      <c r="D628" s="51" t="inlineStr">
        <is>
          <t xml:space="preserve">cellref</t>
        </is>
      </c>
      <c r="E628" t="inlineStr">
        <is>
          <t xml:space="preserve">scan2(shape_tests!$H$628,shape_tests!$I$628,D16:D19,LAMBDA(a,b,x,b),LAMBDA(a,b,x,a+b))</t>
        </is>
      </c>
      <c r="F628" s="51" cm="1">
        <f t="array" ref="F628">_xlfn.LET(_xlpm.a,scan2(0,1,'scan2'!D16:D19,_xlfn.LAMBDA(_xlpm.a,_xlpm.b,_xlpm.x,_xlpm.b),_xlfn.LAMBDA(_xlpm.a,_xlpm.b,_xlpm.x,_xlpm.a+_xlpm.b)),_xlpm.b,scan2(shape_tests!$H$628,shape_tests!$I$628,'scan2'!D16:D19,_xlfn.LAMBDA(_xlpm.a,_xlpm.b,_xlpm.x,_xlpm.b),_xlfn.LAMBDA(_xlpm.a,_xlpm.b,_xlpm.x,_xlpm.a+_xlpm.b)),_xlpm.sa,IFERROR(ROWS(_xlpm.a)&amp;"x"&amp;COLUMNS(_xlpm.a),"err"),_xlpm.sb,IFERROR(ROWS(_xlpm.b)&amp;"x"&amp;COLUMNS(_xlpm.b),"err"),IF(_xlpm.sa&lt;&gt;_xlpm.sb,"FAIL",IF(_xlpm.sa="err",IF(ERROR.TYPE(_xlpm.a)=ERROR.TYPE(_xlpm.b),"PASS","FAIL"),IF(AND(IFERROR(_xlpm.a=_xlpm.b,IFERROR(ERROR.TYPE(_xlpm.a)=ERROR.TYPE(_xlpm.b),FALSE))),"PASS","FAIL"))))</f>
        <v>0</v>
      </c>
      <c r="H628">
        <v>0.0</v>
      </c>
      <c r="I628">
        <v>1.0</v>
      </c>
    </row>
    <row r="629">
      <c r="A629">
        <v>624</v>
      </c>
      <c r="B629" s="55" t="inlineStr">
        <is>
          <t xml:space="preserve">scan3</t>
        </is>
      </c>
      <c r="C629" t="inlineStr">
        <is>
          <t xml:space="preserve">scan3!N6</t>
        </is>
      </c>
      <c r="D629" s="51" t="inlineStr">
        <is>
          <t xml:space="preserve">tocol</t>
        </is>
      </c>
      <c r="E629" t="inlineStr">
        <is>
          <t xml:space="preserve">scan3(TOCOL(0),TOCOL(1),TOCOL(0),D6:D8,LAMBDA(a,b,c,x,a+x),LAMBDA(a,b,c,x,b*x),LAMBDA(a,b,c,x,c+1))</t>
        </is>
      </c>
      <c r="F629" s="51" cm="1">
        <f t="array" ref="F629">_xlfn.LET(_xlpm.a,scan3(0,1,0,'scan3'!D6:D8,_xlfn.LAMBDA(_xlpm.a,_xlpm.b,_xlpm.c,_xlpm.x,_xlpm.a+_xlpm.x),_xlfn.LAMBDA(_xlpm.a,_xlpm.b,_xlpm.c,_xlpm.x,_xlpm.b*_xlpm.x),_xlfn.LAMBDA(_xlpm.a,_xlpm.b,_xlpm.c,_xlpm.x,_xlpm.c+1)),_xlpm.b,scan3(_xlfn.TOCOL(0),_xlfn.TOCOL(1),_xlfn.TOCOL(0),'scan3'!D6:D8,_xlfn.LAMBDA(_xlpm.a,_xlpm.b,_xlpm.c,_xlpm.x,_xlpm.a+_xlpm.x),_xlfn.LAMBDA(_xlpm.a,_xlpm.b,_xlpm.c,_xlpm.x,_xlpm.b*_xlpm.x),_xlfn.LAMBDA(_xlpm.a,_xlpm.b,_xlpm.c,_xlpm.x,_xlpm.c+1)),_xlpm.sa,IFERROR(ROWS(_xlpm.a)&amp;"x"&amp;COLUMNS(_xlpm.a),"err"),_xlpm.sb,IFERROR(ROWS(_xlpm.b)&amp;"x"&amp;COLUMNS(_xlpm.b),"err"),IF(_xlpm.sa&lt;&gt;_xlpm.sb,"FAIL",IF(_xlpm.sa="err",IF(ERROR.TYPE(_xlpm.a)=ERROR.TYPE(_xlpm.b),"PASS","FAIL"),IF(AND(IFERROR(_xlpm.a=_xlpm.b,IFERROR(ERROR.TYPE(_xlpm.a)=ERROR.TYPE(_xlpm.b),FALSE))),"PASS","FAIL"))))</f>
        <v>0</v>
      </c>
    </row>
    <row r="630">
      <c r="A630">
        <v>625</v>
      </c>
      <c r="B630" s="55" t="inlineStr">
        <is>
          <t xml:space="preserve">scan3</t>
        </is>
      </c>
      <c r="C630" t="inlineStr">
        <is>
          <t xml:space="preserve">scan3!N6</t>
        </is>
      </c>
      <c r="D630" s="51" t="inlineStr">
        <is>
          <t xml:space="preserve">cellref</t>
        </is>
      </c>
      <c r="E630" t="inlineStr">
        <is>
          <t xml:space="preserve">scan3(shape_tests!$H$630,shape_tests!$I$630,shape_tests!$J$630,D6:D8,LAMBDA(a,b,c,x,a+x),LAMBDA(a,b,c,x,b*x),LAMBDA(a,b,c,x,c+1))</t>
        </is>
      </c>
      <c r="F630" s="51" cm="1">
        <f t="array" ref="F630">_xlfn.LET(_xlpm.a,scan3(0,1,0,'scan3'!D6:D8,_xlfn.LAMBDA(_xlpm.a,_xlpm.b,_xlpm.c,_xlpm.x,_xlpm.a+_xlpm.x),_xlfn.LAMBDA(_xlpm.a,_xlpm.b,_xlpm.c,_xlpm.x,_xlpm.b*_xlpm.x),_xlfn.LAMBDA(_xlpm.a,_xlpm.b,_xlpm.c,_xlpm.x,_xlpm.c+1)),_xlpm.b,scan3(shape_tests!$H$630,shape_tests!$I$630,shape_tests!$J$630,'scan3'!D6:D8,_xlfn.LAMBDA(_xlpm.a,_xlpm.b,_xlpm.c,_xlpm.x,_xlpm.a+_xlpm.x),_xlfn.LAMBDA(_xlpm.a,_xlpm.b,_xlpm.c,_xlpm.x,_xlpm.b*_xlpm.x),_xlfn.LAMBDA(_xlpm.a,_xlpm.b,_xlpm.c,_xlpm.x,_xlpm.c+1)),_xlpm.sa,IFERROR(ROWS(_xlpm.a)&amp;"x"&amp;COLUMNS(_xlpm.a),"err"),_xlpm.sb,IFERROR(ROWS(_xlpm.b)&amp;"x"&amp;COLUMNS(_xlpm.b),"err"),IF(_xlpm.sa&lt;&gt;_xlpm.sb,"FAIL",IF(_xlpm.sa="err",IF(ERROR.TYPE(_xlpm.a)=ERROR.TYPE(_xlpm.b),"PASS","FAIL"),IF(AND(IFERROR(_xlpm.a=_xlpm.b,IFERROR(ERROR.TYPE(_xlpm.a)=ERROR.TYPE(_xlpm.b),FALSE))),"PASS","FAIL"))))</f>
        <v>0</v>
      </c>
      <c r="H630">
        <v>0.0</v>
      </c>
      <c r="I630">
        <v>1.0</v>
      </c>
      <c r="J630">
        <v>0.0</v>
      </c>
    </row>
    <row r="631">
      <c r="A631">
        <v>626</v>
      </c>
      <c r="B631" s="55" t="inlineStr">
        <is>
          <t xml:space="preserve">scan3</t>
        </is>
      </c>
      <c r="C631" t="inlineStr">
        <is>
          <t xml:space="preserve">scan3!N10</t>
        </is>
      </c>
      <c r="D631" s="51" t="inlineStr">
        <is>
          <t xml:space="preserve">tocol</t>
        </is>
      </c>
      <c r="E631" t="inlineStr">
        <is>
          <t xml:space="preserve">scan3(TOCOL(0),TOCOL(0),TOCOL(1000000000),D10:D12,LAMBDA(a,b,c,x,a+x),LAMBDA(a,b,c,x,MAX(b,x)),LAMBDA(a,b,c,x,MIN(c,x)))</t>
        </is>
      </c>
      <c r="F631" s="51" cm="1">
        <f t="array" ref="F631">_xlfn.LET(_xlpm.a,scan3(0,0,1000000000,'scan3'!D10:D12,_xlfn.LAMBDA(_xlpm.a,_xlpm.b,_xlpm.c,_xlpm.x,_xlpm.a+_xlpm.x),_xlfn.LAMBDA(_xlpm.a,_xlpm.b,_xlpm.c,_xlpm.x,MAX(_xlpm.b,_xlpm.x)),_xlfn.LAMBDA(_xlpm.a,_xlpm.b,_xlpm.c,_xlpm.x,MIN(_xlpm.c,_xlpm.x))),_xlpm.b,scan3(_xlfn.TOCOL(0),_xlfn.TOCOL(0),_xlfn.TOCOL(1000000000),'scan3'!D10:D12,_xlfn.LAMBDA(_xlpm.a,_xlpm.b,_xlpm.c,_xlpm.x,_xlpm.a+_xlpm.x),_xlfn.LAMBDA(_xlpm.a,_xlpm.b,_xlpm.c,_xlpm.x,MAX(_xlpm.b,_xlpm.x)),_xlfn.LAMBDA(_xlpm.a,_xlpm.b,_xlpm.c,_xlpm.x,MIN(_xlpm.c,_xlpm.x))),_xlpm.sa,IFERROR(ROWS(_xlpm.a)&amp;"x"&amp;COLUMNS(_xlpm.a),"err"),_xlpm.sb,IFERROR(ROWS(_xlpm.b)&amp;"x"&amp;COLUMNS(_xlpm.b),"err"),IF(_xlpm.sa&lt;&gt;_xlpm.sb,"FAIL",IF(_xlpm.sa="err",IF(ERROR.TYPE(_xlpm.a)=ERROR.TYPE(_xlpm.b),"PASS","FAIL"),IF(AND(IFERROR(_xlpm.a=_xlpm.b,IFERROR(ERROR.TYPE(_xlpm.a)=ERROR.TYPE(_xlpm.b),FALSE))),"PASS","FAIL"))))</f>
        <v>0</v>
      </c>
    </row>
    <row r="632">
      <c r="A632">
        <v>627</v>
      </c>
      <c r="B632" s="55" t="inlineStr">
        <is>
          <t xml:space="preserve">scan3</t>
        </is>
      </c>
      <c r="C632" t="inlineStr">
        <is>
          <t xml:space="preserve">scan3!N10</t>
        </is>
      </c>
      <c r="D632" s="51" t="inlineStr">
        <is>
          <t xml:space="preserve">cellref</t>
        </is>
      </c>
      <c r="E632" t="inlineStr">
        <is>
          <t xml:space="preserve">scan3(shape_tests!$H$632,shape_tests!$I$632,shape_tests!$J$632,D10:D12,LAMBDA(a,b,c,x,a+x),LAMBDA(a,b,c,x,MAX(b,x)),LAMBDA(a,b,c,x,MIN(c,x)))</t>
        </is>
      </c>
      <c r="F632" s="51" cm="1">
        <f t="array" ref="F632">_xlfn.LET(_xlpm.a,scan3(0,0,1000000000,'scan3'!D10:D12,_xlfn.LAMBDA(_xlpm.a,_xlpm.b,_xlpm.c,_xlpm.x,_xlpm.a+_xlpm.x),_xlfn.LAMBDA(_xlpm.a,_xlpm.b,_xlpm.c,_xlpm.x,MAX(_xlpm.b,_xlpm.x)),_xlfn.LAMBDA(_xlpm.a,_xlpm.b,_xlpm.c,_xlpm.x,MIN(_xlpm.c,_xlpm.x))),_xlpm.b,scan3(shape_tests!$H$632,shape_tests!$I$632,shape_tests!$J$632,'scan3'!D10:D12,_xlfn.LAMBDA(_xlpm.a,_xlpm.b,_xlpm.c,_xlpm.x,_xlpm.a+_xlpm.x),_xlfn.LAMBDA(_xlpm.a,_xlpm.b,_xlpm.c,_xlpm.x,MAX(_xlpm.b,_xlpm.x)),_xlfn.LAMBDA(_xlpm.a,_xlpm.b,_xlpm.c,_xlpm.x,MIN(_xlpm.c,_xlpm.x))),_xlpm.sa,IFERROR(ROWS(_xlpm.a)&amp;"x"&amp;COLUMNS(_xlpm.a),"err"),_xlpm.sb,IFERROR(ROWS(_xlpm.b)&amp;"x"&amp;COLUMNS(_xlpm.b),"err"),IF(_xlpm.sa&lt;&gt;_xlpm.sb,"FAIL",IF(_xlpm.sa="err",IF(ERROR.TYPE(_xlpm.a)=ERROR.TYPE(_xlpm.b),"PASS","FAIL"),IF(AND(IFERROR(_xlpm.a=_xlpm.b,IFERROR(ERROR.TYPE(_xlpm.a)=ERROR.TYPE(_xlpm.b),FALSE))),"PASS","FAIL"))))</f>
        <v>0</v>
      </c>
      <c r="H632">
        <v>0.0</v>
      </c>
      <c r="I632">
        <v>0.0</v>
      </c>
      <c r="J632">
        <v>1000000000.0</v>
      </c>
    </row>
    <row r="633">
      <c r="A633">
        <v>628</v>
      </c>
      <c r="B633" s="55" t="inlineStr">
        <is>
          <t xml:space="preserve">selections</t>
        </is>
      </c>
      <c r="C633" t="inlineStr">
        <is>
          <t xml:space="preserve">selections!O6</t>
        </is>
      </c>
      <c r="D633" s="51" t="inlineStr">
        <is>
          <t xml:space="preserve">tocol</t>
        </is>
      </c>
      <c r="E633" t="inlineStr">
        <is>
          <t xml:space="preserve">selections(D6:D8,TOCOL(F6))</t>
        </is>
      </c>
      <c r="F633" s="51" cm="1">
        <f t="array" ref="F633">_xlfn.LET(_xlpm.a,selections('selections'!D6:D8,'selections'!F6),_xlpm.b,selections('selections'!D6:D8,_xlfn.TOCOL('selections'!F6)),_xlpm.sa,IFERROR(ROWS(_xlpm.a)&amp;"x"&amp;COLUMNS(_xlpm.a),"err"),_xlpm.sb,IFERROR(ROWS(_xlpm.b)&amp;"x"&amp;COLUMNS(_xlpm.b),"err"),IF(_xlpm.sa&lt;&gt;_xlpm.sb,"FAIL",IF(_xlpm.sa="err",IF(ERROR.TYPE(_xlpm.a)=ERROR.TYPE(_xlpm.b),"PASS","FAIL"),IF(AND(IFERROR(_xlpm.a=_xlpm.b,IFERROR(ERROR.TYPE(_xlpm.a)=ERROR.TYPE(_xlpm.b),FALSE))),"PASS","FAIL"))))</f>
        <v>0</v>
      </c>
    </row>
    <row r="634">
      <c r="A634">
        <v>629</v>
      </c>
      <c r="B634" s="55" t="inlineStr">
        <is>
          <t xml:space="preserve">selections</t>
        </is>
      </c>
      <c r="C634" t="inlineStr">
        <is>
          <t xml:space="preserve">selections!O6</t>
        </is>
      </c>
      <c r="D634" s="51" t="inlineStr">
        <is>
          <t xml:space="preserve">textnum</t>
        </is>
      </c>
      <c r="E634" t="inlineStr">
        <is>
          <t xml:space="preserve">selections(D6:D8,(F6&amp;""))</t>
        </is>
      </c>
      <c r="F634" s="51" cm="1">
        <f t="array" ref="F634">_xlfn.LET(_xlpm.a,selections('selections'!D6:D8,'selections'!F6),_xlpm.b,selections('selections'!D6:D8,('selections'!F6&amp;"")),_xlpm.sa,IFERROR(ROWS(_xlpm.a)&amp;"x"&amp;COLUMNS(_xlpm.a),"err"),_xlpm.sb,IFERROR(ROWS(_xlpm.b)&amp;"x"&amp;COLUMNS(_xlpm.b),"err"),IF(_xlpm.sa&lt;&gt;_xlpm.sb,"FAIL",IF(_xlpm.sa="err",IF(ERROR.TYPE(_xlpm.a)=ERROR.TYPE(_xlpm.b),"PASS","FAIL"),IF(AND(IFERROR(_xlpm.a=_xlpm.b,IFERROR(ERROR.TYPE(_xlpm.a)=ERROR.TYPE(_xlpm.b),FALSE))),"PASS","FAIL"))))</f>
        <v>0</v>
      </c>
    </row>
    <row r="635">
      <c r="A635">
        <v>630</v>
      </c>
      <c r="B635" s="55" t="inlineStr">
        <is>
          <t xml:space="preserve">selections</t>
        </is>
      </c>
      <c r="C635" t="inlineStr">
        <is>
          <t xml:space="preserve">selections!O6</t>
        </is>
      </c>
      <c r="D635" s="51" t="inlineStr">
        <is>
          <t xml:space="preserve">blank</t>
        </is>
      </c>
      <c r="E635" t="inlineStr">
        <is>
          <t xml:space="preserve">selections(D6:D8,F6,shape_tests!$Z$1,shape_tests!$Z$1,shape_tests!$Z$1,shape_tests!$Z$1)</t>
        </is>
      </c>
      <c r="F635" s="51" cm="1">
        <f t="array" ref="F635">_xlfn.LET(_xlpm.a,selections('selections'!D6:D8,'selections'!F6),_xlpm.b,selections('selections'!D6:D8,'selections'!F6,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36">
      <c r="A636">
        <v>631</v>
      </c>
      <c r="B636" s="55" t="inlineStr">
        <is>
          <t xml:space="preserve">selections</t>
        </is>
      </c>
      <c r="C636" t="inlineStr">
        <is>
          <t xml:space="preserve">selections!O10</t>
        </is>
      </c>
      <c r="D636" s="51" t="inlineStr">
        <is>
          <t xml:space="preserve">tocol</t>
        </is>
      </c>
      <c r="E636" t="inlineStr">
        <is>
          <t xml:space="preserve">selections(D10:D13,TOCOL(F10))</t>
        </is>
      </c>
      <c r="F636" s="51" cm="1">
        <f t="array" ref="F636">_xlfn.LET(_xlpm.a,selections('selections'!D10:D13,'selections'!F10),_xlpm.b,selections('selections'!D10:D13,_xlfn.TOCOL('selections'!F10)),_xlpm.sa,IFERROR(ROWS(_xlpm.a)&amp;"x"&amp;COLUMNS(_xlpm.a),"err"),_xlpm.sb,IFERROR(ROWS(_xlpm.b)&amp;"x"&amp;COLUMNS(_xlpm.b),"err"),IF(_xlpm.sa&lt;&gt;_xlpm.sb,"FAIL",IF(_xlpm.sa="err",IF(ERROR.TYPE(_xlpm.a)=ERROR.TYPE(_xlpm.b),"PASS","FAIL"),IF(AND(IFERROR(_xlpm.a=_xlpm.b,IFERROR(ERROR.TYPE(_xlpm.a)=ERROR.TYPE(_xlpm.b),FALSE))),"PASS","FAIL"))))</f>
        <v>0</v>
      </c>
    </row>
    <row r="637">
      <c r="A637">
        <v>632</v>
      </c>
      <c r="B637" s="55" t="inlineStr">
        <is>
          <t xml:space="preserve">selections</t>
        </is>
      </c>
      <c r="C637" t="inlineStr">
        <is>
          <t xml:space="preserve">selections!O10</t>
        </is>
      </c>
      <c r="D637" s="51" t="inlineStr">
        <is>
          <t xml:space="preserve">textnum</t>
        </is>
      </c>
      <c r="E637" t="inlineStr">
        <is>
          <t xml:space="preserve">selections(D10:D13,(F10&amp;""))</t>
        </is>
      </c>
      <c r="F637" s="51" cm="1">
        <f t="array" ref="F637">_xlfn.LET(_xlpm.a,selections('selections'!D10:D13,'selections'!F10),_xlpm.b,selections('selections'!D10:D13,('selections'!F10&amp;"")),_xlpm.sa,IFERROR(ROWS(_xlpm.a)&amp;"x"&amp;COLUMNS(_xlpm.a),"err"),_xlpm.sb,IFERROR(ROWS(_xlpm.b)&amp;"x"&amp;COLUMNS(_xlpm.b),"err"),IF(_xlpm.sa&lt;&gt;_xlpm.sb,"FAIL",IF(_xlpm.sa="err",IF(ERROR.TYPE(_xlpm.a)=ERROR.TYPE(_xlpm.b),"PASS","FAIL"),IF(AND(IFERROR(_xlpm.a=_xlpm.b,IFERROR(ERROR.TYPE(_xlpm.a)=ERROR.TYPE(_xlpm.b),FALSE))),"PASS","FAIL"))))</f>
        <v>0</v>
      </c>
    </row>
    <row r="638">
      <c r="A638">
        <v>633</v>
      </c>
      <c r="B638" s="55" t="inlineStr">
        <is>
          <t xml:space="preserve">selections</t>
        </is>
      </c>
      <c r="C638" t="inlineStr">
        <is>
          <t xml:space="preserve">selections!O10</t>
        </is>
      </c>
      <c r="D638" s="51" t="inlineStr">
        <is>
          <t xml:space="preserve">blank</t>
        </is>
      </c>
      <c r="E638" t="inlineStr">
        <is>
          <t xml:space="preserve">selections(D10:D13,F10,shape_tests!$Z$1,shape_tests!$Z$1,shape_tests!$Z$1,shape_tests!$Z$1)</t>
        </is>
      </c>
      <c r="F638" s="51" cm="1">
        <f t="array" ref="F638">_xlfn.LET(_xlpm.a,selections('selections'!D10:D13,'selections'!F10),_xlpm.b,selections('selections'!D10:D13,'selections'!F10,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39">
      <c r="A639">
        <v>634</v>
      </c>
      <c r="B639" s="55" t="inlineStr">
        <is>
          <t xml:space="preserve">selections</t>
        </is>
      </c>
      <c r="C639" t="inlineStr">
        <is>
          <t xml:space="preserve">selections!O17</t>
        </is>
      </c>
      <c r="D639" s="51" t="inlineStr">
        <is>
          <t xml:space="preserve">tocol</t>
        </is>
      </c>
      <c r="E639" t="inlineStr">
        <is>
          <t xml:space="preserve">selections(D17:D19,TOCOL(F17),TOCOL(H17))</t>
        </is>
      </c>
      <c r="F639" s="51" cm="1">
        <f t="array" ref="F639">_xlfn.LET(_xlpm.a,selections('selections'!D17:D19,'selections'!F17,'selections'!H17),_xlpm.b,selections('selections'!D17:D19,_xlfn.TOCOL('selections'!F17),_xlfn.TOCOL('selections'!H17)),_xlpm.sa,IFERROR(ROWS(_xlpm.a)&amp;"x"&amp;COLUMNS(_xlpm.a),"err"),_xlpm.sb,IFERROR(ROWS(_xlpm.b)&amp;"x"&amp;COLUMNS(_xlpm.b),"err"),IF(_xlpm.sa&lt;&gt;_xlpm.sb,"FAIL",IF(_xlpm.sa="err",IF(ERROR.TYPE(_xlpm.a)=ERROR.TYPE(_xlpm.b),"PASS","FAIL"),IF(AND(IFERROR(_xlpm.a=_xlpm.b,IFERROR(ERROR.TYPE(_xlpm.a)=ERROR.TYPE(_xlpm.b),FALSE))),"PASS","FAIL"))))</f>
        <v>0</v>
      </c>
    </row>
    <row r="640">
      <c r="A640">
        <v>635</v>
      </c>
      <c r="B640" s="55" t="inlineStr">
        <is>
          <t xml:space="preserve">selections</t>
        </is>
      </c>
      <c r="C640" t="inlineStr">
        <is>
          <t xml:space="preserve">selections!O17</t>
        </is>
      </c>
      <c r="D640" s="51" t="inlineStr">
        <is>
          <t xml:space="preserve">textnum</t>
        </is>
      </c>
      <c r="E640" t="inlineStr">
        <is>
          <t xml:space="preserve">selections(D17:D19,(F17&amp;""),(H17&amp;""))</t>
        </is>
      </c>
      <c r="F640" s="51" cm="1">
        <f t="array" ref="F640">_xlfn.LET(_xlpm.a,selections('selections'!D17:D19,'selections'!F17,'selections'!H17),_xlpm.b,selections('selections'!D17:D19,('selections'!F17&amp;""),('selections'!H17&amp;"")),_xlpm.sa,IFERROR(ROWS(_xlpm.a)&amp;"x"&amp;COLUMNS(_xlpm.a),"err"),_xlpm.sb,IFERROR(ROWS(_xlpm.b)&amp;"x"&amp;COLUMNS(_xlpm.b),"err"),IF(_xlpm.sa&lt;&gt;_xlpm.sb,"FAIL",IF(_xlpm.sa="err",IF(ERROR.TYPE(_xlpm.a)=ERROR.TYPE(_xlpm.b),"PASS","FAIL"),IF(AND(IFERROR(_xlpm.a=_xlpm.b,IFERROR(ERROR.TYPE(_xlpm.a)=ERROR.TYPE(_xlpm.b),FALSE))),"PASS","FAIL"))))</f>
        <v>0</v>
      </c>
    </row>
    <row r="641">
      <c r="A641">
        <v>636</v>
      </c>
      <c r="B641" s="55" t="inlineStr">
        <is>
          <t xml:space="preserve">selections</t>
        </is>
      </c>
      <c r="C641" t="inlineStr">
        <is>
          <t xml:space="preserve">selections!O17</t>
        </is>
      </c>
      <c r="D641" s="51" t="inlineStr">
        <is>
          <t xml:space="preserve">blank</t>
        </is>
      </c>
      <c r="E641" t="inlineStr">
        <is>
          <t xml:space="preserve">selections(D17:D19,F17,H17,shape_tests!$Z$1,shape_tests!$Z$1,shape_tests!$Z$1)</t>
        </is>
      </c>
      <c r="F641" s="51" cm="1">
        <f t="array" ref="F641">_xlfn.LET(_xlpm.a,selections('selections'!D17:D19,'selections'!F17,'selections'!H17),_xlpm.b,selections('selections'!D17:D19,'selections'!F17,'selections'!H17,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42">
      <c r="A642">
        <v>637</v>
      </c>
      <c r="B642" s="55" t="inlineStr">
        <is>
          <t xml:space="preserve">selections</t>
        </is>
      </c>
      <c r="C642" t="inlineStr">
        <is>
          <t xml:space="preserve">selections!O24</t>
        </is>
      </c>
      <c r="D642" s="51" t="inlineStr">
        <is>
          <t xml:space="preserve">tocol</t>
        </is>
      </c>
      <c r="E642" t="inlineStr">
        <is>
          <t xml:space="preserve">selections(D24:D25,TOCOL(F24),TOCOL(H24),TOCOL(J24))</t>
        </is>
      </c>
      <c r="F642" s="51" cm="1">
        <f t="array" ref="F642">_xlfn.LET(_xlpm.a,selections('selections'!D24:D25,'selections'!F24,'selections'!H24,'selections'!J24),_xlpm.b,selections('selections'!D24:D25,_xlfn.TOCOL('selections'!F24),_xlfn.TOCOL('selections'!H24),_xlfn.TOCOL('selections'!J24)),_xlpm.sa,IFERROR(ROWS(_xlpm.a)&amp;"x"&amp;COLUMNS(_xlpm.a),"err"),_xlpm.sb,IFERROR(ROWS(_xlpm.b)&amp;"x"&amp;COLUMNS(_xlpm.b),"err"),IF(_xlpm.sa&lt;&gt;_xlpm.sb,"FAIL",IF(_xlpm.sa="err",IF(ERROR.TYPE(_xlpm.a)=ERROR.TYPE(_xlpm.b),"PASS","FAIL"),IF(AND(IFERROR(_xlpm.a=_xlpm.b,IFERROR(ERROR.TYPE(_xlpm.a)=ERROR.TYPE(_xlpm.b),FALSE))),"PASS","FAIL"))))</f>
        <v>0</v>
      </c>
    </row>
    <row r="643">
      <c r="A643">
        <v>638</v>
      </c>
      <c r="B643" s="55" t="inlineStr">
        <is>
          <t xml:space="preserve">selections</t>
        </is>
      </c>
      <c r="C643" t="inlineStr">
        <is>
          <t xml:space="preserve">selections!O24</t>
        </is>
      </c>
      <c r="D643" s="51" t="inlineStr">
        <is>
          <t xml:space="preserve">textnum</t>
        </is>
      </c>
      <c r="E643" t="inlineStr">
        <is>
          <t xml:space="preserve">selections(D24:D25,(F24&amp;""),(H24&amp;""),(J24&amp;""))</t>
        </is>
      </c>
      <c r="F643" s="51" cm="1">
        <f t="array" ref="F643">_xlfn.LET(_xlpm.a,selections('selections'!D24:D25,'selections'!F24,'selections'!H24,'selections'!J24),_xlpm.b,selections('selections'!D24:D25,('selections'!F24&amp;""),('selections'!H24&amp;""),('selections'!J24&amp;"")),_xlpm.sa,IFERROR(ROWS(_xlpm.a)&amp;"x"&amp;COLUMNS(_xlpm.a),"err"),_xlpm.sb,IFERROR(ROWS(_xlpm.b)&amp;"x"&amp;COLUMNS(_xlpm.b),"err"),IF(_xlpm.sa&lt;&gt;_xlpm.sb,"FAIL",IF(_xlpm.sa="err",IF(ERROR.TYPE(_xlpm.a)=ERROR.TYPE(_xlpm.b),"PASS","FAIL"),IF(AND(IFERROR(_xlpm.a=_xlpm.b,IFERROR(ERROR.TYPE(_xlpm.a)=ERROR.TYPE(_xlpm.b),FALSE))),"PASS","FAIL"))))</f>
        <v>0</v>
      </c>
    </row>
    <row r="644">
      <c r="A644">
        <v>639</v>
      </c>
      <c r="B644" s="55" t="inlineStr">
        <is>
          <t xml:space="preserve">selections</t>
        </is>
      </c>
      <c r="C644" t="inlineStr">
        <is>
          <t xml:space="preserve">selections!O24</t>
        </is>
      </c>
      <c r="D644" s="51" t="inlineStr">
        <is>
          <t xml:space="preserve">blank</t>
        </is>
      </c>
      <c r="E644" t="inlineStr">
        <is>
          <t xml:space="preserve">selections(D24:D25,F24,H24,J24,shape_tests!$Z$1,shape_tests!$Z$1)</t>
        </is>
      </c>
      <c r="F644" s="51" cm="1">
        <f t="array" ref="F644">_xlfn.LET(_xlpm.a,selections('selections'!D24:D25,'selections'!F24,'selections'!H24,'selections'!J24),_xlpm.b,selections('selections'!D24:D25,'selections'!F24,'selections'!H24,'selections'!J24,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45">
      <c r="A645">
        <v>640</v>
      </c>
      <c r="B645" s="55" t="inlineStr">
        <is>
          <t xml:space="preserve">selections</t>
        </is>
      </c>
      <c r="C645" t="inlineStr">
        <is>
          <t xml:space="preserve">selections!O28</t>
        </is>
      </c>
      <c r="D645" s="51" t="inlineStr">
        <is>
          <t xml:space="preserve">tocol</t>
        </is>
      </c>
      <c r="E645" t="inlineStr">
        <is>
          <t xml:space="preserve">ROWS(selections(D28:D30,TOCOL(F28)))</t>
        </is>
      </c>
      <c r="F645" s="51" cm="1">
        <f t="array" ref="F645">_xlfn.LET(_xlpm.a,ROWS(selections('selections'!D28:D30,'selections'!F28)),_xlpm.b,ROWS(selections('selections'!D28:D30,_xlfn.TOCOL('selections'!F28))),_xlpm.sa,IFERROR(ROWS(_xlpm.a)&amp;"x"&amp;COLUMNS(_xlpm.a),"err"),_xlpm.sb,IFERROR(ROWS(_xlpm.b)&amp;"x"&amp;COLUMNS(_xlpm.b),"err"),IF(_xlpm.sa&lt;&gt;_xlpm.sb,"FAIL",IF(_xlpm.sa="err",IF(ERROR.TYPE(_xlpm.a)=ERROR.TYPE(_xlpm.b),"PASS","FAIL"),IF(AND(IFERROR(_xlpm.a=_xlpm.b,IFERROR(ERROR.TYPE(_xlpm.a)=ERROR.TYPE(_xlpm.b),FALSE))),"PASS","FAIL"))))</f>
        <v>0</v>
      </c>
    </row>
    <row r="646">
      <c r="A646">
        <v>641</v>
      </c>
      <c r="B646" s="55" t="inlineStr">
        <is>
          <t xml:space="preserve">selections</t>
        </is>
      </c>
      <c r="C646" t="inlineStr">
        <is>
          <t xml:space="preserve">selections!O28</t>
        </is>
      </c>
      <c r="D646" s="51" t="inlineStr">
        <is>
          <t xml:space="preserve">textnum</t>
        </is>
      </c>
      <c r="E646" t="inlineStr">
        <is>
          <t xml:space="preserve">ROWS(selections(D28:D30,(F28&amp;"")))</t>
        </is>
      </c>
      <c r="F646" s="51" cm="1">
        <f t="array" ref="F646">_xlfn.LET(_xlpm.a,ROWS(selections('selections'!D28:D30,'selections'!F28)),_xlpm.b,ROWS(selections('selections'!D28:D30,('selections'!F28&amp;""))),_xlpm.sa,IFERROR(ROWS(_xlpm.a)&amp;"x"&amp;COLUMNS(_xlpm.a),"err"),_xlpm.sb,IFERROR(ROWS(_xlpm.b)&amp;"x"&amp;COLUMNS(_xlpm.b),"err"),IF(_xlpm.sa&lt;&gt;_xlpm.sb,"FAIL",IF(_xlpm.sa="err",IF(ERROR.TYPE(_xlpm.a)=ERROR.TYPE(_xlpm.b),"PASS","FAIL"),IF(AND(IFERROR(_xlpm.a=_xlpm.b,IFERROR(ERROR.TYPE(_xlpm.a)=ERROR.TYPE(_xlpm.b),FALSE))),"PASS","FAIL"))))</f>
        <v>0</v>
      </c>
    </row>
    <row r="647">
      <c r="A647">
        <v>642</v>
      </c>
      <c r="B647" s="55" t="inlineStr">
        <is>
          <t xml:space="preserve">selections</t>
        </is>
      </c>
      <c r="C647" t="inlineStr">
        <is>
          <t xml:space="preserve">selections!O28</t>
        </is>
      </c>
      <c r="D647" s="51" t="inlineStr">
        <is>
          <t xml:space="preserve">array</t>
        </is>
      </c>
      <c r="E647" t="inlineStr">
        <is>
          <t xml:space="preserve">ROWS(selections(CHOOSEROWS(D28:D30,SEQUENCE(ROWS(D28:D30))),F28))</t>
        </is>
      </c>
      <c r="F647" s="51" cm="1">
        <f t="array" ref="F647">_xlfn.LET(_xlpm.a,ROWS(selections('selections'!D28:D30,'selections'!F28)),_xlpm.b,ROWS(selections(_xlfn.CHOOSEROWS('selections'!D28:D30,_xlfn.SEQUENCE(ROWS('selections'!D28:D30))),'selections'!F28)),_xlpm.sa,IFERROR(ROWS(_xlpm.a)&amp;"x"&amp;COLUMNS(_xlpm.a),"err"),_xlpm.sb,IFERROR(ROWS(_xlpm.b)&amp;"x"&amp;COLUMNS(_xlpm.b),"err"),IF(_xlpm.sa&lt;&gt;_xlpm.sb,"FAIL",IF(_xlpm.sa="err",IF(ERROR.TYPE(_xlpm.a)=ERROR.TYPE(_xlpm.b),"PASS","FAIL"),IF(AND(IFERROR(_xlpm.a=_xlpm.b,IFERROR(ERROR.TYPE(_xlpm.a)=ERROR.TYPE(_xlpm.b),FALSE))),"PASS","FAIL"))))</f>
        <v>0</v>
      </c>
    </row>
    <row r="648">
      <c r="A648">
        <v>643</v>
      </c>
      <c r="B648" s="55" t="inlineStr">
        <is>
          <t xml:space="preserve">selections</t>
        </is>
      </c>
      <c r="C648" t="inlineStr">
        <is>
          <t xml:space="preserve">selections!O28</t>
        </is>
      </c>
      <c r="D648" s="51" t="inlineStr">
        <is>
          <t xml:space="preserve">blank</t>
        </is>
      </c>
      <c r="E648" t="inlineStr">
        <is>
          <t xml:space="preserve">ROWS(selections(D28:D30,F28,shape_tests!$Z$1,shape_tests!$Z$1,shape_tests!$Z$1,shape_tests!$Z$1))</t>
        </is>
      </c>
      <c r="F648" s="51" cm="1">
        <f t="array" ref="F648">_xlfn.LET(_xlpm.a,ROWS(selections('selections'!D28:D30,'selections'!F28)),_xlpm.b,ROWS(selections('selections'!D28:D30,'selections'!F28,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49">
      <c r="A649">
        <v>644</v>
      </c>
      <c r="B649" s="55" t="inlineStr">
        <is>
          <t xml:space="preserve">selections</t>
        </is>
      </c>
      <c r="C649" t="inlineStr">
        <is>
          <t xml:space="preserve">selections!O33</t>
        </is>
      </c>
      <c r="D649" s="51" t="inlineStr">
        <is>
          <t xml:space="preserve">tocol</t>
        </is>
      </c>
      <c r="E649" t="inlineStr">
        <is>
          <t xml:space="preserve">selections(TOCOL(D33),TOCOL(1))</t>
        </is>
      </c>
      <c r="F649" s="51" cm="1">
        <f t="array" ref="F649">_xlfn.LET(_xlpm.a,selections('selections'!D33,1),_xlpm.b,selections(_xlfn.TOCOL('selections'!D33),_xlfn.TOCOL(1)),_xlpm.sa,IFERROR(ROWS(_xlpm.a)&amp;"x"&amp;COLUMNS(_xlpm.a),"err"),_xlpm.sb,IFERROR(ROWS(_xlpm.b)&amp;"x"&amp;COLUMNS(_xlpm.b),"err"),IF(_xlpm.sa&lt;&gt;_xlpm.sb,"FAIL",IF(_xlpm.sa="err",IF(ERROR.TYPE(_xlpm.a)=ERROR.TYPE(_xlpm.b),"PASS","FAIL"),IF(AND(IFERROR(_xlpm.a=_xlpm.b,IFERROR(ERROR.TYPE(_xlpm.a)=ERROR.TYPE(_xlpm.b),FALSE))),"PASS","FAIL"))))</f>
        <v>0</v>
      </c>
    </row>
    <row r="650">
      <c r="A650">
        <v>645</v>
      </c>
      <c r="B650" s="55" t="inlineStr">
        <is>
          <t xml:space="preserve">selections</t>
        </is>
      </c>
      <c r="C650" t="inlineStr">
        <is>
          <t xml:space="preserve">selections!O33</t>
        </is>
      </c>
      <c r="D650" s="51" t="inlineStr">
        <is>
          <t xml:space="preserve">cellref</t>
        </is>
      </c>
      <c r="E650" t="inlineStr">
        <is>
          <t xml:space="preserve">selections(D33,shape_tests!$H$650)</t>
        </is>
      </c>
      <c r="F650" s="51" cm="1">
        <f t="array" ref="F650">_xlfn.LET(_xlpm.a,selections('selections'!D33,1),_xlpm.b,selections('selections'!D33,shape_tests!$H$650),_xlpm.sa,IFERROR(ROWS(_xlpm.a)&amp;"x"&amp;COLUMNS(_xlpm.a),"err"),_xlpm.sb,IFERROR(ROWS(_xlpm.b)&amp;"x"&amp;COLUMNS(_xlpm.b),"err"),IF(_xlpm.sa&lt;&gt;_xlpm.sb,"FAIL",IF(_xlpm.sa="err",IF(ERROR.TYPE(_xlpm.a)=ERROR.TYPE(_xlpm.b),"PASS","FAIL"),IF(AND(IFERROR(_xlpm.a=_xlpm.b,IFERROR(ERROR.TYPE(_xlpm.a)=ERROR.TYPE(_xlpm.b),FALSE))),"PASS","FAIL"))))</f>
        <v>0</v>
      </c>
      <c r="H650">
        <v>1.0</v>
      </c>
    </row>
    <row r="651">
      <c r="A651">
        <v>646</v>
      </c>
      <c r="B651" s="55" t="inlineStr">
        <is>
          <t xml:space="preserve">selections</t>
        </is>
      </c>
      <c r="C651" t="inlineStr">
        <is>
          <t xml:space="preserve">selections!O33</t>
        </is>
      </c>
      <c r="D651" s="51" t="inlineStr">
        <is>
          <t xml:space="preserve">textnum</t>
        </is>
      </c>
      <c r="E651" t="inlineStr">
        <is>
          <t xml:space="preserve">selections(D33,"1")</t>
        </is>
      </c>
      <c r="F651" s="51" cm="1">
        <f t="array" ref="F651">_xlfn.LET(_xlpm.a,selections('selections'!D33,1),_xlpm.b,selections('selections'!D33,"1"),_xlpm.sa,IFERROR(ROWS(_xlpm.a)&amp;"x"&amp;COLUMNS(_xlpm.a),"err"),_xlpm.sb,IFERROR(ROWS(_xlpm.b)&amp;"x"&amp;COLUMNS(_xlpm.b),"err"),IF(_xlpm.sa&lt;&gt;_xlpm.sb,"FAIL",IF(_xlpm.sa="err",IF(ERROR.TYPE(_xlpm.a)=ERROR.TYPE(_xlpm.b),"PASS","FAIL"),IF(AND(IFERROR(_xlpm.a=_xlpm.b,IFERROR(ERROR.TYPE(_xlpm.a)=ERROR.TYPE(_xlpm.b),FALSE))),"PASS","FAIL"))))</f>
        <v>0</v>
      </c>
    </row>
    <row r="652">
      <c r="A652">
        <v>647</v>
      </c>
      <c r="B652" s="55" t="inlineStr">
        <is>
          <t xml:space="preserve">selections</t>
        </is>
      </c>
      <c r="C652" t="inlineStr">
        <is>
          <t xml:space="preserve">selections!O33</t>
        </is>
      </c>
      <c r="D652" s="51" t="inlineStr">
        <is>
          <t xml:space="preserve">blank</t>
        </is>
      </c>
      <c r="E652" t="inlineStr">
        <is>
          <t xml:space="preserve">selections(D33,1,shape_tests!$Z$1,shape_tests!$Z$1,shape_tests!$Z$1,shape_tests!$Z$1)</t>
        </is>
      </c>
      <c r="F652" s="51" cm="1">
        <f t="array" ref="F652">_xlfn.LET(_xlpm.a,selections('selections'!D33,1),_xlpm.b,selections('selections'!D33,1,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53">
      <c r="A653">
        <v>648</v>
      </c>
      <c r="B653" s="55" t="inlineStr">
        <is>
          <t xml:space="preserve">set</t>
        </is>
      </c>
      <c r="C653" t="inlineStr">
        <is>
          <t xml:space="preserve">set!L6</t>
        </is>
      </c>
      <c r="D653" s="51" t="inlineStr">
        <is>
          <t xml:space="preserve">blank</t>
        </is>
      </c>
      <c r="E653" t="inlineStr">
        <is>
          <t xml:space="preserve">set(D6:D9,shape_tests!$Z$1)</t>
        </is>
      </c>
      <c r="F653" s="51" cm="1">
        <f t="array" ref="F653">_xlfn.LET(_xlpm.a,set('set'!D6:D9),_xlpm.b,set('set'!D6:D9,shape_tests!$Z$1),_xlpm.sa,IFERROR(ROWS(_xlpm.a)&amp;"x"&amp;COLUMNS(_xlpm.a),"err"),_xlpm.sb,IFERROR(ROWS(_xlpm.b)&amp;"x"&amp;COLUMNS(_xlpm.b),"err"),IF(_xlpm.sa&lt;&gt;_xlpm.sb,"FAIL",IF(_xlpm.sa="err",IF(ERROR.TYPE(_xlpm.a)=ERROR.TYPE(_xlpm.b),"PASS","FAIL"),IF(AND(IFERROR(_xlpm.a=_xlpm.b,IFERROR(ERROR.TYPE(_xlpm.a)=ERROR.TYPE(_xlpm.b),FALSE))),"PASS","FAIL"))))</f>
        <v>0</v>
      </c>
    </row>
    <row r="654">
      <c r="A654">
        <v>649</v>
      </c>
      <c r="B654" s="55" t="inlineStr">
        <is>
          <t xml:space="preserve">set</t>
        </is>
      </c>
      <c r="C654" t="inlineStr">
        <is>
          <t xml:space="preserve">set!L11</t>
        </is>
      </c>
      <c r="D654" s="51" t="inlineStr">
        <is>
          <t xml:space="preserve">blank</t>
        </is>
      </c>
      <c r="E654" t="inlineStr">
        <is>
          <t xml:space="preserve">set(D11:D14,shape_tests!$Z$1)</t>
        </is>
      </c>
      <c r="F654" s="51" cm="1">
        <f t="array" ref="F654">_xlfn.LET(_xlpm.a,set('set'!D11:D14),_xlpm.b,set('set'!D11:D14,shape_tests!$Z$1),_xlpm.sa,IFERROR(ROWS(_xlpm.a)&amp;"x"&amp;COLUMNS(_xlpm.a),"err"),_xlpm.sb,IFERROR(ROWS(_xlpm.b)&amp;"x"&amp;COLUMNS(_xlpm.b),"err"),IF(_xlpm.sa&lt;&gt;_xlpm.sb,"FAIL",IF(_xlpm.sa="err",IF(ERROR.TYPE(_xlpm.a)=ERROR.TYPE(_xlpm.b),"PASS","FAIL"),IF(AND(IFERROR(_xlpm.a=_xlpm.b,IFERROR(ERROR.TYPE(_xlpm.a)=ERROR.TYPE(_xlpm.b),FALSE))),"PASS","FAIL"))))</f>
        <v>0</v>
      </c>
    </row>
    <row r="655">
      <c r="A655">
        <v>650</v>
      </c>
      <c r="B655" s="55" t="inlineStr">
        <is>
          <t xml:space="preserve">set</t>
        </is>
      </c>
      <c r="C655" t="inlineStr">
        <is>
          <t xml:space="preserve">set!L16</t>
        </is>
      </c>
      <c r="D655" s="51" t="inlineStr">
        <is>
          <t xml:space="preserve">blank</t>
        </is>
      </c>
      <c r="E655" t="inlineStr">
        <is>
          <t xml:space="preserve">set(D16:D19,shape_tests!$Z$1)</t>
        </is>
      </c>
      <c r="F655" s="51" cm="1">
        <f t="array" ref="F655">_xlfn.LET(_xlpm.a,set('set'!D16:D19),_xlpm.b,set('set'!D16:D19,shape_tests!$Z$1),_xlpm.sa,IFERROR(ROWS(_xlpm.a)&amp;"x"&amp;COLUMNS(_xlpm.a),"err"),_xlpm.sb,IFERROR(ROWS(_xlpm.b)&amp;"x"&amp;COLUMNS(_xlpm.b),"err"),IF(_xlpm.sa&lt;&gt;_xlpm.sb,"FAIL",IF(_xlpm.sa="err",IF(ERROR.TYPE(_xlpm.a)=ERROR.TYPE(_xlpm.b),"PASS","FAIL"),IF(AND(IFERROR(_xlpm.a=_xlpm.b,IFERROR(ERROR.TYPE(_xlpm.a)=ERROR.TYPE(_xlpm.b),FALSE))),"PASS","FAIL"))))</f>
        <v>0</v>
      </c>
    </row>
    <row r="656">
      <c r="A656">
        <v>651</v>
      </c>
      <c r="B656" s="55" t="inlineStr">
        <is>
          <t xml:space="preserve">set</t>
        </is>
      </c>
      <c r="C656" t="inlineStr">
        <is>
          <t xml:space="preserve">set!L21</t>
        </is>
      </c>
      <c r="D656" s="51" t="inlineStr">
        <is>
          <t xml:space="preserve">tocol</t>
        </is>
      </c>
      <c r="E656" t="inlineStr">
        <is>
          <t xml:space="preserve">set(D21:D23,TOCOL(F21))</t>
        </is>
      </c>
      <c r="F656" s="51" cm="1">
        <f t="array" ref="F656">_xlfn.LET(_xlpm.a,set('set'!D21:D23,'set'!F21),_xlpm.b,set('set'!D21:D23,_xlfn.TOCOL('set'!F21)),_xlpm.sa,IFERROR(ROWS(_xlpm.a)&amp;"x"&amp;COLUMNS(_xlpm.a),"err"),_xlpm.sb,IFERROR(ROWS(_xlpm.b)&amp;"x"&amp;COLUMNS(_xlpm.b),"err"),IF(_xlpm.sa&lt;&gt;_xlpm.sb,"FAIL",IF(_xlpm.sa="err",IF(ERROR.TYPE(_xlpm.a)=ERROR.TYPE(_xlpm.b),"PASS","FAIL"),IF(AND(IFERROR(_xlpm.a=_xlpm.b,IFERROR(ERROR.TYPE(_xlpm.a)=ERROR.TYPE(_xlpm.b),FALSE))),"PASS","FAIL"))))</f>
        <v>0</v>
      </c>
    </row>
    <row r="657">
      <c r="A657">
        <v>652</v>
      </c>
      <c r="B657" s="55" t="inlineStr">
        <is>
          <t xml:space="preserve">set</t>
        </is>
      </c>
      <c r="C657" t="inlineStr">
        <is>
          <t xml:space="preserve">set!L21</t>
        </is>
      </c>
      <c r="D657" s="51" t="inlineStr">
        <is>
          <t xml:space="preserve">textnum</t>
        </is>
      </c>
      <c r="E657" t="inlineStr">
        <is>
          <t xml:space="preserve">set(D21:D23,(F21&amp;""))</t>
        </is>
      </c>
      <c r="F657" s="51" cm="1">
        <f t="array" ref="F657">_xlfn.LET(_xlpm.a,set('set'!D21:D23,'set'!F21),_xlpm.b,set('set'!D21:D23,('set'!F21&amp;"")),_xlpm.sa,IFERROR(ROWS(_xlpm.a)&amp;"x"&amp;COLUMNS(_xlpm.a),"err"),_xlpm.sb,IFERROR(ROWS(_xlpm.b)&amp;"x"&amp;COLUMNS(_xlpm.b),"err"),IF(_xlpm.sa&lt;&gt;_xlpm.sb,"FAIL",IF(_xlpm.sa="err",IF(ERROR.TYPE(_xlpm.a)=ERROR.TYPE(_xlpm.b),"PASS","FAIL"),IF(AND(IFERROR(_xlpm.a=_xlpm.b,IFERROR(ERROR.TYPE(_xlpm.a)=ERROR.TYPE(_xlpm.b),FALSE))),"PASS","FAIL"))))</f>
        <v>0</v>
      </c>
    </row>
    <row r="658">
      <c r="A658">
        <v>653</v>
      </c>
      <c r="B658" s="55" t="inlineStr">
        <is>
          <t xml:space="preserve">set</t>
        </is>
      </c>
      <c r="C658" t="inlineStr">
        <is>
          <t xml:space="preserve">set!L25</t>
        </is>
      </c>
      <c r="D658" s="51" t="inlineStr">
        <is>
          <t xml:space="preserve">array</t>
        </is>
      </c>
      <c r="E658" t="inlineStr">
        <is>
          <t xml:space="preserve">set(CHOOSEROWS(D25:D26,SEQUENCE(ROWS(D25:D26))))</t>
        </is>
      </c>
      <c r="F658" s="51" cm="1">
        <f t="array" ref="F658">_xlfn.LET(_xlpm.a,set('set'!D25:D26),_xlpm.b,set(_xlfn.CHOOSEROWS('set'!D25:D26,_xlfn.SEQUENCE(ROWS('set'!D25:D26)))),_xlpm.sa,IFERROR(ROWS(_xlpm.a)&amp;"x"&amp;COLUMNS(_xlpm.a),"err"),_xlpm.sb,IFERROR(ROWS(_xlpm.b)&amp;"x"&amp;COLUMNS(_xlpm.b),"err"),IF(_xlpm.sa&lt;&gt;_xlpm.sb,"FAIL",IF(_xlpm.sa="err",IF(ERROR.TYPE(_xlpm.a)=ERROR.TYPE(_xlpm.b),"PASS","FAIL"),IF(AND(IFERROR(_xlpm.a=_xlpm.b,IFERROR(ERROR.TYPE(_xlpm.a)=ERROR.TYPE(_xlpm.b),FALSE))),"PASS","FAIL"))))</f>
        <v>0</v>
      </c>
    </row>
    <row r="659">
      <c r="A659">
        <v>654</v>
      </c>
      <c r="B659" s="55" t="inlineStr">
        <is>
          <t xml:space="preserve">set</t>
        </is>
      </c>
      <c r="C659" t="inlineStr">
        <is>
          <t xml:space="preserve">set!L25</t>
        </is>
      </c>
      <c r="D659" s="51" t="inlineStr">
        <is>
          <t xml:space="preserve">blank</t>
        </is>
      </c>
      <c r="E659" t="inlineStr">
        <is>
          <t xml:space="preserve">set(D25:D26,shape_tests!$Z$1)</t>
        </is>
      </c>
      <c r="F659" s="51" cm="1">
        <f t="array" ref="F659">_xlfn.LET(_xlpm.a,set('set'!D25:D26),_xlpm.b,set('set'!D25:D26,shape_tests!$Z$1),_xlpm.sa,IFERROR(ROWS(_xlpm.a)&amp;"x"&amp;COLUMNS(_xlpm.a),"err"),_xlpm.sb,IFERROR(ROWS(_xlpm.b)&amp;"x"&amp;COLUMNS(_xlpm.b),"err"),IF(_xlpm.sa&lt;&gt;_xlpm.sb,"FAIL",IF(_xlpm.sa="err",IF(ERROR.TYPE(_xlpm.a)=ERROR.TYPE(_xlpm.b),"PASS","FAIL"),IF(AND(IFERROR(_xlpm.a=_xlpm.b,IFERROR(ERROR.TYPE(_xlpm.a)=ERROR.TYPE(_xlpm.b),FALSE))),"PASS","FAIL"))))</f>
        <v>0</v>
      </c>
    </row>
    <row r="660">
      <c r="A660">
        <v>655</v>
      </c>
      <c r="B660" s="55" t="inlineStr">
        <is>
          <t xml:space="preserve">set_d</t>
        </is>
      </c>
      <c r="C660" t="inlineStr">
        <is>
          <t xml:space="preserve">set_d!J6</t>
        </is>
      </c>
      <c r="D660" s="51" t="inlineStr">
        <is>
          <t xml:space="preserve">tocol</t>
        </is>
      </c>
      <c r="E660" t="inlineStr">
        <is>
          <t xml:space="preserve">set_d(D6:D8,TOCOL(F6))</t>
        </is>
      </c>
      <c r="F660" s="51" cm="1">
        <f t="array" ref="F660">_xlfn.LET(_xlpm.a,set_d('set_d'!D6:D8,'set_d'!F6),_xlpm.b,set_d('set_d'!D6:D8,_xlfn.TOCOL('set_d'!F6)),_xlpm.sa,IFERROR(ROWS(_xlpm.a)&amp;"x"&amp;COLUMNS(_xlpm.a),"err"),_xlpm.sb,IFERROR(ROWS(_xlpm.b)&amp;"x"&amp;COLUMNS(_xlpm.b),"err"),IF(_xlpm.sa&lt;&gt;_xlpm.sb,"FAIL",IF(_xlpm.sa="err",IF(ERROR.TYPE(_xlpm.a)=ERROR.TYPE(_xlpm.b),"PASS","FAIL"),IF(AND(IFERROR(_xlpm.a=_xlpm.b,IFERROR(ERROR.TYPE(_xlpm.a)=ERROR.TYPE(_xlpm.b),FALSE))),"PASS","FAIL"))))</f>
        <v>0</v>
      </c>
    </row>
    <row r="661">
      <c r="A661">
        <v>656</v>
      </c>
      <c r="B661" s="55" t="inlineStr">
        <is>
          <t xml:space="preserve">set_d</t>
        </is>
      </c>
      <c r="C661" t="inlineStr">
        <is>
          <t xml:space="preserve">set_d!J6</t>
        </is>
      </c>
      <c r="D661" s="51" t="inlineStr">
        <is>
          <t xml:space="preserve">blank</t>
        </is>
      </c>
      <c r="E661" t="inlineStr">
        <is>
          <t xml:space="preserve">set_d(D6:D8,F6,shape_tests!$Z$1)</t>
        </is>
      </c>
      <c r="F661" s="51" cm="1">
        <f t="array" ref="F661">_xlfn.LET(_xlpm.a,set_d('set_d'!D6:D8,'set_d'!F6),_xlpm.b,set_d('set_d'!D6:D8,'set_d'!F6,shape_tests!$Z$1),_xlpm.sa,IFERROR(ROWS(_xlpm.a)&amp;"x"&amp;COLUMNS(_xlpm.a),"err"),_xlpm.sb,IFERROR(ROWS(_xlpm.b)&amp;"x"&amp;COLUMNS(_xlpm.b),"err"),IF(_xlpm.sa&lt;&gt;_xlpm.sb,"FAIL",IF(_xlpm.sa="err",IF(ERROR.TYPE(_xlpm.a)=ERROR.TYPE(_xlpm.b),"PASS","FAIL"),IF(AND(IFERROR(_xlpm.a=_xlpm.b,IFERROR(ERROR.TYPE(_xlpm.a)=ERROR.TYPE(_xlpm.b),FALSE))),"PASS","FAIL"))))</f>
        <v>0</v>
      </c>
    </row>
    <row r="662">
      <c r="A662">
        <v>657</v>
      </c>
      <c r="B662" s="55" t="inlineStr">
        <is>
          <t xml:space="preserve">set_d</t>
        </is>
      </c>
      <c r="C662" t="inlineStr">
        <is>
          <t xml:space="preserve">set_d!J10</t>
        </is>
      </c>
      <c r="D662" s="51" t="inlineStr">
        <is>
          <t xml:space="preserve">array</t>
        </is>
      </c>
      <c r="E662" t="inlineStr">
        <is>
          <t xml:space="preserve">set_d(D10:D13,CHOOSEROWS(F10:F11,SEQUENCE(ROWS(F10:F11))))</t>
        </is>
      </c>
      <c r="F662" s="51" cm="1">
        <f t="array" ref="F662">_xlfn.LET(_xlpm.a,set_d('set_d'!D10:D13,'set_d'!F10:F11),_xlpm.b,set_d('set_d'!D10:D13,_xlfn.CHOOSEROWS('set_d'!F10:F11,_xlfn.SEQUENCE(ROWS('set_d'!F10:F11)))),_xlpm.sa,IFERROR(ROWS(_xlpm.a)&amp;"x"&amp;COLUMNS(_xlpm.a),"err"),_xlpm.sb,IFERROR(ROWS(_xlpm.b)&amp;"x"&amp;COLUMNS(_xlpm.b),"err"),IF(_xlpm.sa&lt;&gt;_xlpm.sb,"FAIL",IF(_xlpm.sa="err",IF(ERROR.TYPE(_xlpm.a)=ERROR.TYPE(_xlpm.b),"PASS","FAIL"),IF(AND(IFERROR(_xlpm.a=_xlpm.b,IFERROR(ERROR.TYPE(_xlpm.a)=ERROR.TYPE(_xlpm.b),FALSE))),"PASS","FAIL"))))</f>
        <v>0</v>
      </c>
    </row>
    <row r="663">
      <c r="A663">
        <v>658</v>
      </c>
      <c r="B663" s="55" t="inlineStr">
        <is>
          <t xml:space="preserve">set_d</t>
        </is>
      </c>
      <c r="C663" t="inlineStr">
        <is>
          <t xml:space="preserve">set_d!J10</t>
        </is>
      </c>
      <c r="D663" s="51" t="inlineStr">
        <is>
          <t xml:space="preserve">blank</t>
        </is>
      </c>
      <c r="E663" t="inlineStr">
        <is>
          <t xml:space="preserve">set_d(D10:D13,F10:F11,shape_tests!$Z$1)</t>
        </is>
      </c>
      <c r="F663" s="51" cm="1">
        <f t="array" ref="F663">_xlfn.LET(_xlpm.a,set_d('set_d'!D10:D13,'set_d'!F10:F11),_xlpm.b,set_d('set_d'!D10:D13,'set_d'!F10:F11,shape_tests!$Z$1),_xlpm.sa,IFERROR(ROWS(_xlpm.a)&amp;"x"&amp;COLUMNS(_xlpm.a),"err"),_xlpm.sb,IFERROR(ROWS(_xlpm.b)&amp;"x"&amp;COLUMNS(_xlpm.b),"err"),IF(_xlpm.sa&lt;&gt;_xlpm.sb,"FAIL",IF(_xlpm.sa="err",IF(ERROR.TYPE(_xlpm.a)=ERROR.TYPE(_xlpm.b),"PASS","FAIL"),IF(AND(IFERROR(_xlpm.a=_xlpm.b,IFERROR(ERROR.TYPE(_xlpm.a)=ERROR.TYPE(_xlpm.b),FALSE))),"PASS","FAIL"))))</f>
        <v>0</v>
      </c>
    </row>
    <row r="664">
      <c r="A664">
        <v>659</v>
      </c>
      <c r="B664" s="55" t="inlineStr">
        <is>
          <t xml:space="preserve">set_d</t>
        </is>
      </c>
      <c r="C664" t="inlineStr">
        <is>
          <t xml:space="preserve">set_d!J15</t>
        </is>
      </c>
      <c r="D664" s="51" t="inlineStr">
        <is>
          <t xml:space="preserve">tocol</t>
        </is>
      </c>
      <c r="E664" t="inlineStr">
        <is>
          <t xml:space="preserve">set_d(D15:D16,TOCOL(F15))</t>
        </is>
      </c>
      <c r="F664" s="51" cm="1">
        <f t="array" ref="F664">_xlfn.LET(_xlpm.a,set_d('set_d'!D15:D16,'set_d'!F15),_xlpm.b,set_d('set_d'!D15:D16,_xlfn.TOCOL('set_d'!F15)),_xlpm.sa,IFERROR(ROWS(_xlpm.a)&amp;"x"&amp;COLUMNS(_xlpm.a),"err"),_xlpm.sb,IFERROR(ROWS(_xlpm.b)&amp;"x"&amp;COLUMNS(_xlpm.b),"err"),IF(_xlpm.sa&lt;&gt;_xlpm.sb,"FAIL",IF(_xlpm.sa="err",IF(ERROR.TYPE(_xlpm.a)=ERROR.TYPE(_xlpm.b),"PASS","FAIL"),IF(AND(IFERROR(_xlpm.a=_xlpm.b,IFERROR(ERROR.TYPE(_xlpm.a)=ERROR.TYPE(_xlpm.b),FALSE))),"PASS","FAIL"))))</f>
        <v>0</v>
      </c>
    </row>
    <row r="665">
      <c r="A665">
        <v>660</v>
      </c>
      <c r="B665" s="55" t="inlineStr">
        <is>
          <t xml:space="preserve">set_d</t>
        </is>
      </c>
      <c r="C665" t="inlineStr">
        <is>
          <t xml:space="preserve">set_d!J15</t>
        </is>
      </c>
      <c r="D665" s="51" t="inlineStr">
        <is>
          <t xml:space="preserve">array</t>
        </is>
      </c>
      <c r="E665" t="inlineStr">
        <is>
          <t xml:space="preserve">set_d(CHOOSEROWS(D15:D16,SEQUENCE(ROWS(D15:D16))),F15)</t>
        </is>
      </c>
      <c r="F665" s="51" cm="1">
        <f t="array" ref="F665">_xlfn.LET(_xlpm.a,set_d('set_d'!D15:D16,'set_d'!F15),_xlpm.b,set_d(_xlfn.CHOOSEROWS('set_d'!D15:D16,_xlfn.SEQUENCE(ROWS('set_d'!D15:D16))),'set_d'!F15),_xlpm.sa,IFERROR(ROWS(_xlpm.a)&amp;"x"&amp;COLUMNS(_xlpm.a),"err"),_xlpm.sb,IFERROR(ROWS(_xlpm.b)&amp;"x"&amp;COLUMNS(_xlpm.b),"err"),IF(_xlpm.sa&lt;&gt;_xlpm.sb,"FAIL",IF(_xlpm.sa="err",IF(ERROR.TYPE(_xlpm.a)=ERROR.TYPE(_xlpm.b),"PASS","FAIL"),IF(AND(IFERROR(_xlpm.a=_xlpm.b,IFERROR(ERROR.TYPE(_xlpm.a)=ERROR.TYPE(_xlpm.b),FALSE))),"PASS","FAIL"))))</f>
        <v>0</v>
      </c>
    </row>
    <row r="666">
      <c r="A666">
        <v>661</v>
      </c>
      <c r="B666" s="55" t="inlineStr">
        <is>
          <t xml:space="preserve">set_d</t>
        </is>
      </c>
      <c r="C666" t="inlineStr">
        <is>
          <t xml:space="preserve">set_d!J15</t>
        </is>
      </c>
      <c r="D666" s="51" t="inlineStr">
        <is>
          <t xml:space="preserve">blank</t>
        </is>
      </c>
      <c r="E666" t="inlineStr">
        <is>
          <t xml:space="preserve">set_d(D15:D16,F15,shape_tests!$Z$1)</t>
        </is>
      </c>
      <c r="F666" s="51" cm="1">
        <f t="array" ref="F666">_xlfn.LET(_xlpm.a,set_d('set_d'!D15:D16,'set_d'!F15),_xlpm.b,set_d('set_d'!D15:D16,'set_d'!F15,shape_tests!$Z$1),_xlpm.sa,IFERROR(ROWS(_xlpm.a)&amp;"x"&amp;COLUMNS(_xlpm.a),"err"),_xlpm.sb,IFERROR(ROWS(_xlpm.b)&amp;"x"&amp;COLUMNS(_xlpm.b),"err"),IF(_xlpm.sa&lt;&gt;_xlpm.sb,"FAIL",IF(_xlpm.sa="err",IF(ERROR.TYPE(_xlpm.a)=ERROR.TYPE(_xlpm.b),"PASS","FAIL"),IF(AND(IFERROR(_xlpm.a=_xlpm.b,IFERROR(ERROR.TYPE(_xlpm.a)=ERROR.TYPE(_xlpm.b),FALSE))),"PASS","FAIL"))))</f>
        <v>0</v>
      </c>
    </row>
    <row r="667">
      <c r="A667">
        <v>662</v>
      </c>
      <c r="B667" s="55" t="inlineStr">
        <is>
          <t xml:space="preserve">set_i</t>
        </is>
      </c>
      <c r="C667" t="inlineStr">
        <is>
          <t xml:space="preserve">set_i!J6</t>
        </is>
      </c>
      <c r="D667" s="51" t="inlineStr">
        <is>
          <t xml:space="preserve">array</t>
        </is>
      </c>
      <c r="E667" t="inlineStr">
        <is>
          <t xml:space="preserve">set_i(D6:D8,CHOOSEROWS(F6:F8,SEQUENCE(ROWS(F6:F8))))</t>
        </is>
      </c>
      <c r="F667" s="51" cm="1">
        <f t="array" ref="F667">_xlfn.LET(_xlpm.a,set_i('set_i'!D6:D8,'set_i'!F6:F8),_xlpm.b,set_i('set_i'!D6:D8,_xlfn.CHOOSEROWS('set_i'!F6:F8,_xlfn.SEQUENCE(ROWS('set_i'!F6:F8)))),_xlpm.sa,IFERROR(ROWS(_xlpm.a)&amp;"x"&amp;COLUMNS(_xlpm.a),"err"),_xlpm.sb,IFERROR(ROWS(_xlpm.b)&amp;"x"&amp;COLUMNS(_xlpm.b),"err"),IF(_xlpm.sa&lt;&gt;_xlpm.sb,"FAIL",IF(_xlpm.sa="err",IF(ERROR.TYPE(_xlpm.a)=ERROR.TYPE(_xlpm.b),"PASS","FAIL"),IF(AND(IFERROR(_xlpm.a=_xlpm.b,IFERROR(ERROR.TYPE(_xlpm.a)=ERROR.TYPE(_xlpm.b),FALSE))),"PASS","FAIL"))))</f>
        <v>0</v>
      </c>
    </row>
    <row r="668">
      <c r="A668">
        <v>663</v>
      </c>
      <c r="B668" s="55" t="inlineStr">
        <is>
          <t xml:space="preserve">set_i</t>
        </is>
      </c>
      <c r="C668" t="inlineStr">
        <is>
          <t xml:space="preserve">set_i!J6</t>
        </is>
      </c>
      <c r="D668" s="51" t="inlineStr">
        <is>
          <t xml:space="preserve">blank</t>
        </is>
      </c>
      <c r="E668" t="inlineStr">
        <is>
          <t xml:space="preserve">set_i(D6:D8,F6:F8,shape_tests!$Z$1)</t>
        </is>
      </c>
      <c r="F668" s="51" cm="1">
        <f t="array" ref="F668">_xlfn.LET(_xlpm.a,set_i('set_i'!D6:D8,'set_i'!F6:F8),_xlpm.b,set_i('set_i'!D6:D8,'set_i'!F6:F8,shape_tests!$Z$1),_xlpm.sa,IFERROR(ROWS(_xlpm.a)&amp;"x"&amp;COLUMNS(_xlpm.a),"err"),_xlpm.sb,IFERROR(ROWS(_xlpm.b)&amp;"x"&amp;COLUMNS(_xlpm.b),"err"),IF(_xlpm.sa&lt;&gt;_xlpm.sb,"FAIL",IF(_xlpm.sa="err",IF(ERROR.TYPE(_xlpm.a)=ERROR.TYPE(_xlpm.b),"PASS","FAIL"),IF(AND(IFERROR(_xlpm.a=_xlpm.b,IFERROR(ERROR.TYPE(_xlpm.a)=ERROR.TYPE(_xlpm.b),FALSE))),"PASS","FAIL"))))</f>
        <v>0</v>
      </c>
    </row>
    <row r="669">
      <c r="A669">
        <v>664</v>
      </c>
      <c r="B669" s="55" t="inlineStr">
        <is>
          <t xml:space="preserve">set_i</t>
        </is>
      </c>
      <c r="C669" t="inlineStr">
        <is>
          <t xml:space="preserve">set_i!J10</t>
        </is>
      </c>
      <c r="D669" s="51" t="inlineStr">
        <is>
          <t xml:space="preserve">array</t>
        </is>
      </c>
      <c r="E669" t="inlineStr">
        <is>
          <t xml:space="preserve">set_i(D10:D12,CHOOSEROWS(F10:F11,SEQUENCE(ROWS(F10:F11))))</t>
        </is>
      </c>
      <c r="F669" s="51" cm="1">
        <f t="array" ref="F669">_xlfn.LET(_xlpm.a,set_i('set_i'!D10:D12,'set_i'!F10:F11),_xlpm.b,set_i('set_i'!D10:D12,_xlfn.CHOOSEROWS('set_i'!F10:F11,_xlfn.SEQUENCE(ROWS('set_i'!F10:F11)))),_xlpm.sa,IFERROR(ROWS(_xlpm.a)&amp;"x"&amp;COLUMNS(_xlpm.a),"err"),_xlpm.sb,IFERROR(ROWS(_xlpm.b)&amp;"x"&amp;COLUMNS(_xlpm.b),"err"),IF(_xlpm.sa&lt;&gt;_xlpm.sb,"FAIL",IF(_xlpm.sa="err",IF(ERROR.TYPE(_xlpm.a)=ERROR.TYPE(_xlpm.b),"PASS","FAIL"),IF(AND(IFERROR(_xlpm.a=_xlpm.b,IFERROR(ERROR.TYPE(_xlpm.a)=ERROR.TYPE(_xlpm.b),FALSE))),"PASS","FAIL"))))</f>
        <v>0</v>
      </c>
    </row>
    <row r="670">
      <c r="A670">
        <v>665</v>
      </c>
      <c r="B670" s="55" t="inlineStr">
        <is>
          <t xml:space="preserve">set_i</t>
        </is>
      </c>
      <c r="C670" t="inlineStr">
        <is>
          <t xml:space="preserve">set_i!J10</t>
        </is>
      </c>
      <c r="D670" s="51" t="inlineStr">
        <is>
          <t xml:space="preserve">blank</t>
        </is>
      </c>
      <c r="E670" t="inlineStr">
        <is>
          <t xml:space="preserve">set_i(D10:D12,F10:F11,shape_tests!$Z$1)</t>
        </is>
      </c>
      <c r="F670" s="51" cm="1">
        <f t="array" ref="F670">_xlfn.LET(_xlpm.a,set_i('set_i'!D10:D12,'set_i'!F10:F11),_xlpm.b,set_i('set_i'!D10:D12,'set_i'!F10:F11,shape_tests!$Z$1),_xlpm.sa,IFERROR(ROWS(_xlpm.a)&amp;"x"&amp;COLUMNS(_xlpm.a),"err"),_xlpm.sb,IFERROR(ROWS(_xlpm.b)&amp;"x"&amp;COLUMNS(_xlpm.b),"err"),IF(_xlpm.sa&lt;&gt;_xlpm.sb,"FAIL",IF(_xlpm.sa="err",IF(ERROR.TYPE(_xlpm.a)=ERROR.TYPE(_xlpm.b),"PASS","FAIL"),IF(AND(IFERROR(_xlpm.a=_xlpm.b,IFERROR(ERROR.TYPE(_xlpm.a)=ERROR.TYPE(_xlpm.b),FALSE))),"PASS","FAIL"))))</f>
        <v>0</v>
      </c>
    </row>
    <row r="671">
      <c r="A671">
        <v>666</v>
      </c>
      <c r="B671" s="55" t="inlineStr">
        <is>
          <t xml:space="preserve">set_i</t>
        </is>
      </c>
      <c r="C671" t="inlineStr">
        <is>
          <t xml:space="preserve">set_i!H14</t>
        </is>
      </c>
      <c r="D671" s="51" t="inlineStr">
        <is>
          <t xml:space="preserve">array</t>
        </is>
      </c>
      <c r="E671" t="inlineStr">
        <is>
          <t xml:space="preserve">IFERROR(set_i(D14:D15,CHOOSEROWS(F14:F15,SEQUENCE(ROWS(F14:F15)))),"")</t>
        </is>
      </c>
      <c r="F671" s="51" cm="1">
        <f t="array" ref="F671">_xlfn.LET(_xlpm.a,IFERROR(set_i('set_i'!D14:D15,'set_i'!F14:F15),""),_xlpm.b,IFERROR(set_i('set_i'!D14:D15,_xlfn.CHOOSEROWS('set_i'!F14:F15,_xlfn.SEQUENCE(ROWS('set_i'!F14:F15)))),""),_xlpm.sa,IFERROR(ROWS(_xlpm.a)&amp;"x"&amp;COLUMNS(_xlpm.a),"err"),_xlpm.sb,IFERROR(ROWS(_xlpm.b)&amp;"x"&amp;COLUMNS(_xlpm.b),"err"),IF(_xlpm.sa&lt;&gt;_xlpm.sb,"FAIL",IF(_xlpm.sa="err",IF(ERROR.TYPE(_xlpm.a)=ERROR.TYPE(_xlpm.b),"PASS","FAIL"),IF(AND(IFERROR(_xlpm.a=_xlpm.b,IFERROR(ERROR.TYPE(_xlpm.a)=ERROR.TYPE(_xlpm.b),FALSE))),"PASS","FAIL"))))</f>
        <v>0</v>
      </c>
    </row>
    <row r="672">
      <c r="A672">
        <v>667</v>
      </c>
      <c r="B672" s="55" t="inlineStr">
        <is>
          <t xml:space="preserve">set_i</t>
        </is>
      </c>
      <c r="C672" t="inlineStr">
        <is>
          <t xml:space="preserve">set_i!H14</t>
        </is>
      </c>
      <c r="D672" s="51" t="inlineStr">
        <is>
          <t xml:space="preserve">blank</t>
        </is>
      </c>
      <c r="E672" t="inlineStr">
        <is>
          <t xml:space="preserve">IFERROR(set_i(D14:D15,F14:F15,shape_tests!$Z$1),"")</t>
        </is>
      </c>
      <c r="F672" s="51" cm="1">
        <f t="array" ref="F672">_xlfn.LET(_xlpm.a,IFERROR(set_i('set_i'!D14:D15,'set_i'!F14:F15),""),_xlpm.b,IFERROR(set_i('set_i'!D14:D15,'set_i'!F14:F15,shape_tests!$Z$1),""),_xlpm.sa,IFERROR(ROWS(_xlpm.a)&amp;"x"&amp;COLUMNS(_xlpm.a),"err"),_xlpm.sb,IFERROR(ROWS(_xlpm.b)&amp;"x"&amp;COLUMNS(_xlpm.b),"err"),IF(_xlpm.sa&lt;&gt;_xlpm.sb,"FAIL",IF(_xlpm.sa="err",IF(ERROR.TYPE(_xlpm.a)=ERROR.TYPE(_xlpm.b),"PASS","FAIL"),IF(AND(IFERROR(_xlpm.a=_xlpm.b,IFERROR(ERROR.TYPE(_xlpm.a)=ERROR.TYPE(_xlpm.b),FALSE))),"PASS","FAIL"))))</f>
        <v>0</v>
      </c>
    </row>
    <row r="673">
      <c r="A673">
        <v>668</v>
      </c>
      <c r="B673" s="55" t="inlineStr">
        <is>
          <t xml:space="preserve">set_i</t>
        </is>
      </c>
      <c r="C673" t="inlineStr">
        <is>
          <t xml:space="preserve">set_i!J17</t>
        </is>
      </c>
      <c r="D673" s="51" t="inlineStr">
        <is>
          <t xml:space="preserve">tocol</t>
        </is>
      </c>
      <c r="E673" t="inlineStr">
        <is>
          <t xml:space="preserve">set_i(D17:D18,TOCOL(F17))</t>
        </is>
      </c>
      <c r="F673" s="51" cm="1">
        <f t="array" ref="F673">_xlfn.LET(_xlpm.a,set_i('set_i'!D17:D18,'set_i'!F17),_xlpm.b,set_i('set_i'!D17:D18,_xlfn.TOCOL('set_i'!F17)),_xlpm.sa,IFERROR(ROWS(_xlpm.a)&amp;"x"&amp;COLUMNS(_xlpm.a),"err"),_xlpm.sb,IFERROR(ROWS(_xlpm.b)&amp;"x"&amp;COLUMNS(_xlpm.b),"err"),IF(_xlpm.sa&lt;&gt;_xlpm.sb,"FAIL",IF(_xlpm.sa="err",IF(ERROR.TYPE(_xlpm.a)=ERROR.TYPE(_xlpm.b),"PASS","FAIL"),IF(AND(IFERROR(_xlpm.a=_xlpm.b,IFERROR(ERROR.TYPE(_xlpm.a)=ERROR.TYPE(_xlpm.b),FALSE))),"PASS","FAIL"))))</f>
        <v>0</v>
      </c>
    </row>
    <row r="674">
      <c r="A674">
        <v>669</v>
      </c>
      <c r="B674" s="55" t="inlineStr">
        <is>
          <t xml:space="preserve">set_i</t>
        </is>
      </c>
      <c r="C674" t="inlineStr">
        <is>
          <t xml:space="preserve">set_i!J17</t>
        </is>
      </c>
      <c r="D674" s="51" t="inlineStr">
        <is>
          <t xml:space="preserve">array</t>
        </is>
      </c>
      <c r="E674" t="inlineStr">
        <is>
          <t xml:space="preserve">set_i(CHOOSEROWS(D17:D18,SEQUENCE(ROWS(D17:D18))),F17)</t>
        </is>
      </c>
      <c r="F674" s="51" cm="1">
        <f t="array" ref="F674">_xlfn.LET(_xlpm.a,set_i('set_i'!D17:D18,'set_i'!F17),_xlpm.b,set_i(_xlfn.CHOOSEROWS('set_i'!D17:D18,_xlfn.SEQUENCE(ROWS('set_i'!D17:D18))),'set_i'!F17),_xlpm.sa,IFERROR(ROWS(_xlpm.a)&amp;"x"&amp;COLUMNS(_xlpm.a),"err"),_xlpm.sb,IFERROR(ROWS(_xlpm.b)&amp;"x"&amp;COLUMNS(_xlpm.b),"err"),IF(_xlpm.sa&lt;&gt;_xlpm.sb,"FAIL",IF(_xlpm.sa="err",IF(ERROR.TYPE(_xlpm.a)=ERROR.TYPE(_xlpm.b),"PASS","FAIL"),IF(AND(IFERROR(_xlpm.a=_xlpm.b,IFERROR(ERROR.TYPE(_xlpm.a)=ERROR.TYPE(_xlpm.b),FALSE))),"PASS","FAIL"))))</f>
        <v>0</v>
      </c>
    </row>
    <row r="675">
      <c r="A675">
        <v>670</v>
      </c>
      <c r="B675" s="55" t="inlineStr">
        <is>
          <t xml:space="preserve">set_i</t>
        </is>
      </c>
      <c r="C675" t="inlineStr">
        <is>
          <t xml:space="preserve">set_i!J17</t>
        </is>
      </c>
      <c r="D675" s="51" t="inlineStr">
        <is>
          <t xml:space="preserve">blank</t>
        </is>
      </c>
      <c r="E675" t="inlineStr">
        <is>
          <t xml:space="preserve">set_i(D17:D18,F17,shape_tests!$Z$1)</t>
        </is>
      </c>
      <c r="F675" s="51" cm="1">
        <f t="array" ref="F675">_xlfn.LET(_xlpm.a,set_i('set_i'!D17:D18,'set_i'!F17),_xlpm.b,set_i('set_i'!D17:D18,'set_i'!F17,shape_tests!$Z$1),_xlpm.sa,IFERROR(ROWS(_xlpm.a)&amp;"x"&amp;COLUMNS(_xlpm.a),"err"),_xlpm.sb,IFERROR(ROWS(_xlpm.b)&amp;"x"&amp;COLUMNS(_xlpm.b),"err"),IF(_xlpm.sa&lt;&gt;_xlpm.sb,"FAIL",IF(_xlpm.sa="err",IF(ERROR.TYPE(_xlpm.a)=ERROR.TYPE(_xlpm.b),"PASS","FAIL"),IF(AND(IFERROR(_xlpm.a=_xlpm.b,IFERROR(ERROR.TYPE(_xlpm.a)=ERROR.TYPE(_xlpm.b),FALSE))),"PASS","FAIL"))))</f>
        <v>0</v>
      </c>
    </row>
    <row r="676">
      <c r="A676">
        <v>671</v>
      </c>
      <c r="B676" s="55" t="inlineStr">
        <is>
          <t xml:space="preserve">set_u</t>
        </is>
      </c>
      <c r="C676" t="inlineStr">
        <is>
          <t xml:space="preserve">set_u!N6</t>
        </is>
      </c>
      <c r="D676" s="51" t="inlineStr">
        <is>
          <t xml:space="preserve">array</t>
        </is>
      </c>
      <c r="E676" t="inlineStr">
        <is>
          <t xml:space="preserve">set_u(D6:D7,CHOOSEROWS(F6:F7,SEQUENCE(ROWS(F6:F7))))</t>
        </is>
      </c>
      <c r="F676" s="51" cm="1">
        <f t="array" ref="F676">_xlfn.LET(_xlpm.a,set_u('set_u'!D6:D7,'set_u'!F6:F7),_xlpm.b,set_u('set_u'!D6:D7,_xlfn.CHOOSEROWS('set_u'!F6:F7,_xlfn.SEQUENCE(ROWS('set_u'!F6:F7)))),_xlpm.sa,IFERROR(ROWS(_xlpm.a)&amp;"x"&amp;COLUMNS(_xlpm.a),"err"),_xlpm.sb,IFERROR(ROWS(_xlpm.b)&amp;"x"&amp;COLUMNS(_xlpm.b),"err"),IF(_xlpm.sa&lt;&gt;_xlpm.sb,"FAIL",IF(_xlpm.sa="err",IF(ERROR.TYPE(_xlpm.a)=ERROR.TYPE(_xlpm.b),"PASS","FAIL"),IF(AND(IFERROR(_xlpm.a=_xlpm.b,IFERROR(ERROR.TYPE(_xlpm.a)=ERROR.TYPE(_xlpm.b),FALSE))),"PASS","FAIL"))))</f>
        <v>0</v>
      </c>
    </row>
    <row r="677">
      <c r="A677">
        <v>672</v>
      </c>
      <c r="B677" s="55" t="inlineStr">
        <is>
          <t xml:space="preserve">set_u</t>
        </is>
      </c>
      <c r="C677" t="inlineStr">
        <is>
          <t xml:space="preserve">set_u!N6</t>
        </is>
      </c>
      <c r="D677" s="51" t="inlineStr">
        <is>
          <t xml:space="preserve">blank</t>
        </is>
      </c>
      <c r="E677" t="inlineStr">
        <is>
          <t xml:space="preserve">set_u(D6:D7,F6:F7,shape_tests!$Z$1)</t>
        </is>
      </c>
      <c r="F677" s="51" cm="1">
        <f t="array" ref="F677">_xlfn.LET(_xlpm.a,set_u('set_u'!D6:D7,'set_u'!F6:F7),_xlpm.b,set_u('set_u'!D6:D7,'set_u'!F6:F7,shape_tests!$Z$1),_xlpm.sa,IFERROR(ROWS(_xlpm.a)&amp;"x"&amp;COLUMNS(_xlpm.a),"err"),_xlpm.sb,IFERROR(ROWS(_xlpm.b)&amp;"x"&amp;COLUMNS(_xlpm.b),"err"),IF(_xlpm.sa&lt;&gt;_xlpm.sb,"FAIL",IF(_xlpm.sa="err",IF(ERROR.TYPE(_xlpm.a)=ERROR.TYPE(_xlpm.b),"PASS","FAIL"),IF(AND(IFERROR(_xlpm.a=_xlpm.b,IFERROR(ERROR.TYPE(_xlpm.a)=ERROR.TYPE(_xlpm.b),FALSE))),"PASS","FAIL"))))</f>
        <v>0</v>
      </c>
    </row>
    <row r="678">
      <c r="A678">
        <v>673</v>
      </c>
      <c r="B678" s="55" t="inlineStr">
        <is>
          <t xml:space="preserve">set_u</t>
        </is>
      </c>
      <c r="C678" t="inlineStr">
        <is>
          <t xml:space="preserve">set_u!N10</t>
        </is>
      </c>
      <c r="D678" s="51" t="inlineStr">
        <is>
          <t xml:space="preserve">blank</t>
        </is>
      </c>
      <c r="E678" t="inlineStr">
        <is>
          <t xml:space="preserve">set_u(D10:D11,F10:F12,shape_tests!$Z$1)</t>
        </is>
      </c>
      <c r="F678" s="51" cm="1">
        <f t="array" ref="F678">_xlfn.LET(_xlpm.a,set_u('set_u'!D10:D11,'set_u'!F10:F12),_xlpm.b,set_u('set_u'!D10:D11,'set_u'!F10:F12,shape_tests!$Z$1),_xlpm.sa,IFERROR(ROWS(_xlpm.a)&amp;"x"&amp;COLUMNS(_xlpm.a),"err"),_xlpm.sb,IFERROR(ROWS(_xlpm.b)&amp;"x"&amp;COLUMNS(_xlpm.b),"err"),IF(_xlpm.sa&lt;&gt;_xlpm.sb,"FAIL",IF(_xlpm.sa="err",IF(ERROR.TYPE(_xlpm.a)=ERROR.TYPE(_xlpm.b),"PASS","FAIL"),IF(AND(IFERROR(_xlpm.a=_xlpm.b,IFERROR(ERROR.TYPE(_xlpm.a)=ERROR.TYPE(_xlpm.b),FALSE))),"PASS","FAIL"))))</f>
        <v>0</v>
      </c>
    </row>
    <row r="679">
      <c r="A679">
        <v>674</v>
      </c>
      <c r="B679" s="55" t="inlineStr">
        <is>
          <t xml:space="preserve">set_u</t>
        </is>
      </c>
      <c r="C679" t="inlineStr">
        <is>
          <t xml:space="preserve">set_u!N15</t>
        </is>
      </c>
      <c r="D679" s="51" t="inlineStr">
        <is>
          <t xml:space="preserve">tocol</t>
        </is>
      </c>
      <c r="E679" t="inlineStr">
        <is>
          <t xml:space="preserve">set_u(D15:D16,TOCOL(F15),TOCOL(H15))</t>
        </is>
      </c>
      <c r="F679" s="51" cm="1">
        <f t="array" ref="F679">_xlfn.LET(_xlpm.a,set_u('set_u'!D15:D16,'set_u'!F15,'set_u'!H15),_xlpm.b,set_u('set_u'!D15:D16,_xlfn.TOCOL('set_u'!F15),_xlfn.TOCOL('set_u'!H15)),_xlpm.sa,IFERROR(ROWS(_xlpm.a)&amp;"x"&amp;COLUMNS(_xlpm.a),"err"),_xlpm.sb,IFERROR(ROWS(_xlpm.b)&amp;"x"&amp;COLUMNS(_xlpm.b),"err"),IF(_xlpm.sa&lt;&gt;_xlpm.sb,"FAIL",IF(_xlpm.sa="err",IF(ERROR.TYPE(_xlpm.a)=ERROR.TYPE(_xlpm.b),"PASS","FAIL"),IF(AND(IFERROR(_xlpm.a=_xlpm.b,IFERROR(ERROR.TYPE(_xlpm.a)=ERROR.TYPE(_xlpm.b),FALSE))),"PASS","FAIL"))))</f>
        <v>0</v>
      </c>
    </row>
    <row r="680">
      <c r="A680">
        <v>675</v>
      </c>
      <c r="B680" s="55" t="inlineStr">
        <is>
          <t xml:space="preserve">set_u</t>
        </is>
      </c>
      <c r="C680" t="inlineStr">
        <is>
          <t xml:space="preserve">set_u!N15</t>
        </is>
      </c>
      <c r="D680" s="51" t="inlineStr">
        <is>
          <t xml:space="preserve">textnum</t>
        </is>
      </c>
      <c r="E680" t="inlineStr">
        <is>
          <t xml:space="preserve">set_u(D15:D16,F15,(H15&amp;""))</t>
        </is>
      </c>
      <c r="F680" s="51" cm="1">
        <f t="array" ref="F680">_xlfn.LET(_xlpm.a,set_u('set_u'!D15:D16,'set_u'!F15,'set_u'!H15),_xlpm.b,set_u('set_u'!D15:D16,'set_u'!F15,('set_u'!H15&amp;"")),_xlpm.sa,IFERROR(ROWS(_xlpm.a)&amp;"x"&amp;COLUMNS(_xlpm.a),"err"),_xlpm.sb,IFERROR(ROWS(_xlpm.b)&amp;"x"&amp;COLUMNS(_xlpm.b),"err"),IF(_xlpm.sa&lt;&gt;_xlpm.sb,"FAIL",IF(_xlpm.sa="err",IF(ERROR.TYPE(_xlpm.a)=ERROR.TYPE(_xlpm.b),"PASS","FAIL"),IF(AND(IFERROR(_xlpm.a=_xlpm.b,IFERROR(ERROR.TYPE(_xlpm.a)=ERROR.TYPE(_xlpm.b),FALSE))),"PASS","FAIL"))))</f>
        <v>0</v>
      </c>
    </row>
    <row r="681">
      <c r="A681">
        <v>676</v>
      </c>
      <c r="B681" s="55" t="inlineStr">
        <is>
          <t xml:space="preserve">shift_arr</t>
        </is>
      </c>
      <c r="C681" t="inlineStr">
        <is>
          <t xml:space="preserve">shift_arr!O6</t>
        </is>
      </c>
      <c r="D681" s="51" t="inlineStr">
        <is>
          <t xml:space="preserve">tocol</t>
        </is>
      </c>
      <c r="E681" t="inlineStr">
        <is>
          <t xml:space="preserve">shift_arr(D6:D8,TOCOL(F6))</t>
        </is>
      </c>
      <c r="F681" s="51" cm="1">
        <f t="array" ref="F681">_xlfn.LET(_xlpm.a,shift_arr('shift_arr'!D6:D8,'shift_arr'!F6),_xlpm.b,shift_arr('shift_arr'!D6:D8,_xlfn.TOCOL('shift_arr'!F6)),_xlpm.sa,IFERROR(ROWS(_xlpm.a)&amp;"x"&amp;COLUMNS(_xlpm.a),"err"),_xlpm.sb,IFERROR(ROWS(_xlpm.b)&amp;"x"&amp;COLUMNS(_xlpm.b),"err"),IF(_xlpm.sa&lt;&gt;_xlpm.sb,"FAIL",IF(_xlpm.sa="err",IF(ERROR.TYPE(_xlpm.a)=ERROR.TYPE(_xlpm.b),"PASS","FAIL"),IF(AND(IFERROR(_xlpm.a=_xlpm.b,IFERROR(ERROR.TYPE(_xlpm.a)=ERROR.TYPE(_xlpm.b),FALSE))),"PASS","FAIL"))))</f>
        <v>0</v>
      </c>
    </row>
    <row r="682">
      <c r="A682">
        <v>677</v>
      </c>
      <c r="B682" s="55" t="inlineStr">
        <is>
          <t xml:space="preserve">shift_arr</t>
        </is>
      </c>
      <c r="C682" t="inlineStr">
        <is>
          <t xml:space="preserve">shift_arr!O6</t>
        </is>
      </c>
      <c r="D682" s="51" t="inlineStr">
        <is>
          <t xml:space="preserve">blank</t>
        </is>
      </c>
      <c r="E682" t="inlineStr">
        <is>
          <t xml:space="preserve">shift_arr(D6:D8,F6,shape_tests!$Z$1,shape_tests!$Z$1)</t>
        </is>
      </c>
      <c r="F682" s="51" cm="1">
        <f t="array" ref="F682">_xlfn.LET(_xlpm.a,shift_arr('shift_arr'!D6:D8,'shift_arr'!F6),_xlpm.b,shift_arr('shift_arr'!D6:D8,'shift_arr'!F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83">
      <c r="A683">
        <v>678</v>
      </c>
      <c r="B683" s="55" t="inlineStr">
        <is>
          <t xml:space="preserve">shift_arr</t>
        </is>
      </c>
      <c r="C683" t="inlineStr">
        <is>
          <t xml:space="preserve">shift_arr!O10</t>
        </is>
      </c>
      <c r="D683" s="51" t="inlineStr">
        <is>
          <t xml:space="preserve">tocol</t>
        </is>
      </c>
      <c r="E683" t="inlineStr">
        <is>
          <t xml:space="preserve">shift_arr(D10:D12,TOCOL(F10))</t>
        </is>
      </c>
      <c r="F683" s="51" cm="1">
        <f t="array" ref="F683">_xlfn.LET(_xlpm.a,shift_arr('shift_arr'!D10:D12,'shift_arr'!F10),_xlpm.b,shift_arr('shift_arr'!D10:D12,_xlfn.TOCOL('shift_arr'!F10)),_xlpm.sa,IFERROR(ROWS(_xlpm.a)&amp;"x"&amp;COLUMNS(_xlpm.a),"err"),_xlpm.sb,IFERROR(ROWS(_xlpm.b)&amp;"x"&amp;COLUMNS(_xlpm.b),"err"),IF(_xlpm.sa&lt;&gt;_xlpm.sb,"FAIL",IF(_xlpm.sa="err",IF(ERROR.TYPE(_xlpm.a)=ERROR.TYPE(_xlpm.b),"PASS","FAIL"),IF(AND(IFERROR(_xlpm.a=_xlpm.b,IFERROR(ERROR.TYPE(_xlpm.a)=ERROR.TYPE(_xlpm.b),FALSE))),"PASS","FAIL"))))</f>
        <v>0</v>
      </c>
    </row>
    <row r="684">
      <c r="A684">
        <v>679</v>
      </c>
      <c r="B684" s="55" t="inlineStr">
        <is>
          <t xml:space="preserve">shift_arr</t>
        </is>
      </c>
      <c r="C684" t="inlineStr">
        <is>
          <t xml:space="preserve">shift_arr!O10</t>
        </is>
      </c>
      <c r="D684" s="51" t="inlineStr">
        <is>
          <t xml:space="preserve">blank</t>
        </is>
      </c>
      <c r="E684" t="inlineStr">
        <is>
          <t xml:space="preserve">shift_arr(D10:D12,F10,shape_tests!$Z$1,shape_tests!$Z$1)</t>
        </is>
      </c>
      <c r="F684" s="51" cm="1">
        <f t="array" ref="F684">_xlfn.LET(_xlpm.a,shift_arr('shift_arr'!D10:D12,'shift_arr'!F10),_xlpm.b,shift_arr('shift_arr'!D10:D12,'shift_arr'!F10,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85">
      <c r="A685">
        <v>680</v>
      </c>
      <c r="B685" s="55" t="inlineStr">
        <is>
          <t xml:space="preserve">shift_arr</t>
        </is>
      </c>
      <c r="C685" t="inlineStr">
        <is>
          <t xml:space="preserve">shift_arr!O14</t>
        </is>
      </c>
      <c r="D685" s="51" t="inlineStr">
        <is>
          <t xml:space="preserve">tocol</t>
        </is>
      </c>
      <c r="E685" t="inlineStr">
        <is>
          <t xml:space="preserve">shift_arr(D14:D16,TOCOL(F14),TOCOL(H14),TOCOL(J14))</t>
        </is>
      </c>
      <c r="F685" s="51" cm="1">
        <f t="array" ref="F685">_xlfn.LET(_xlpm.a,shift_arr('shift_arr'!D14:D16,'shift_arr'!F14,'shift_arr'!H14,'shift_arr'!J14),_xlpm.b,shift_arr('shift_arr'!D14:D16,_xlfn.TOCOL('shift_arr'!F14),_xlfn.TOCOL('shift_arr'!H14),_xlfn.TOCOL('shift_arr'!J14)),_xlpm.sa,IFERROR(ROWS(_xlpm.a)&amp;"x"&amp;COLUMNS(_xlpm.a),"err"),_xlpm.sb,IFERROR(ROWS(_xlpm.b)&amp;"x"&amp;COLUMNS(_xlpm.b),"err"),IF(_xlpm.sa&lt;&gt;_xlpm.sb,"FAIL",IF(_xlpm.sa="err",IF(ERROR.TYPE(_xlpm.a)=ERROR.TYPE(_xlpm.b),"PASS","FAIL"),IF(AND(IFERROR(_xlpm.a=_xlpm.b,IFERROR(ERROR.TYPE(_xlpm.a)=ERROR.TYPE(_xlpm.b),FALSE))),"PASS","FAIL"))))</f>
        <v>0</v>
      </c>
    </row>
    <row r="686">
      <c r="A686">
        <v>681</v>
      </c>
      <c r="B686" s="55" t="inlineStr">
        <is>
          <t xml:space="preserve">shift_arr</t>
        </is>
      </c>
      <c r="C686" t="inlineStr">
        <is>
          <t xml:space="preserve">shift_arr!O14</t>
        </is>
      </c>
      <c r="D686" s="51" t="inlineStr">
        <is>
          <t xml:space="preserve">textnum</t>
        </is>
      </c>
      <c r="E686" t="inlineStr">
        <is>
          <t xml:space="preserve">shift_arr(D14:D16,F14,H14,(J14&amp;""))</t>
        </is>
      </c>
      <c r="F686" s="51" cm="1">
        <f t="array" ref="F686">_xlfn.LET(_xlpm.a,shift_arr('shift_arr'!D14:D16,'shift_arr'!F14,'shift_arr'!H14,'shift_arr'!J14),_xlpm.b,shift_arr('shift_arr'!D14:D16,'shift_arr'!F14,'shift_arr'!H14,('shift_arr'!J14&amp;"")),_xlpm.sa,IFERROR(ROWS(_xlpm.a)&amp;"x"&amp;COLUMNS(_xlpm.a),"err"),_xlpm.sb,IFERROR(ROWS(_xlpm.b)&amp;"x"&amp;COLUMNS(_xlpm.b),"err"),IF(_xlpm.sa&lt;&gt;_xlpm.sb,"FAIL",IF(_xlpm.sa="err",IF(ERROR.TYPE(_xlpm.a)=ERROR.TYPE(_xlpm.b),"PASS","FAIL"),IF(AND(IFERROR(_xlpm.a=_xlpm.b,IFERROR(ERROR.TYPE(_xlpm.a)=ERROR.TYPE(_xlpm.b),FALSE))),"PASS","FAIL"))))</f>
        <v>0</v>
      </c>
    </row>
    <row r="687">
      <c r="A687">
        <v>682</v>
      </c>
      <c r="B687" s="55" t="inlineStr">
        <is>
          <t xml:space="preserve">shift_arr</t>
        </is>
      </c>
      <c r="C687" t="inlineStr">
        <is>
          <t xml:space="preserve">shift_arr!O18</t>
        </is>
      </c>
      <c r="D687" s="51" t="inlineStr">
        <is>
          <t xml:space="preserve">tocol</t>
        </is>
      </c>
      <c r="E687" t="inlineStr">
        <is>
          <t xml:space="preserve">shift_arr(D18:E19,TOCOL(G18))</t>
        </is>
      </c>
      <c r="F687" s="51" cm="1">
        <f t="array" ref="F687">_xlfn.LET(_xlpm.a,shift_arr('shift_arr'!D18:E19,'shift_arr'!G18),_xlpm.b,shift_arr('shift_arr'!D18:E19,_xlfn.TOCOL('shift_arr'!G18)),_xlpm.sa,IFERROR(ROWS(_xlpm.a)&amp;"x"&amp;COLUMNS(_xlpm.a),"err"),_xlpm.sb,IFERROR(ROWS(_xlpm.b)&amp;"x"&amp;COLUMNS(_xlpm.b),"err"),IF(_xlpm.sa&lt;&gt;_xlpm.sb,"FAIL",IF(_xlpm.sa="err",IF(ERROR.TYPE(_xlpm.a)=ERROR.TYPE(_xlpm.b),"PASS","FAIL"),IF(AND(IFERROR(_xlpm.a=_xlpm.b,IFERROR(ERROR.TYPE(_xlpm.a)=ERROR.TYPE(_xlpm.b),FALSE))),"PASS","FAIL"))))</f>
        <v>0</v>
      </c>
    </row>
    <row r="688">
      <c r="A688">
        <v>683</v>
      </c>
      <c r="B688" s="55" t="inlineStr">
        <is>
          <t xml:space="preserve">shift_arr</t>
        </is>
      </c>
      <c r="C688" t="inlineStr">
        <is>
          <t xml:space="preserve">shift_arr!O18</t>
        </is>
      </c>
      <c r="D688" s="51" t="inlineStr">
        <is>
          <t xml:space="preserve">blank</t>
        </is>
      </c>
      <c r="E688" t="inlineStr">
        <is>
          <t xml:space="preserve">shift_arr(D18:E19,G18,shape_tests!$Z$1,shape_tests!$Z$1)</t>
        </is>
      </c>
      <c r="F688" s="51" cm="1">
        <f t="array" ref="F688">_xlfn.LET(_xlpm.a,shift_arr('shift_arr'!D18:E19,'shift_arr'!G18),_xlpm.b,shift_arr('shift_arr'!D18:E19,'shift_arr'!G18,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89">
      <c r="A689">
        <v>684</v>
      </c>
      <c r="B689" s="55" t="inlineStr">
        <is>
          <t xml:space="preserve">shift_arr</t>
        </is>
      </c>
      <c r="C689" t="inlineStr">
        <is>
          <t xml:space="preserve">shift_arr!O21</t>
        </is>
      </c>
      <c r="D689" s="51" t="inlineStr">
        <is>
          <t xml:space="preserve">tocol</t>
        </is>
      </c>
      <c r="E689" t="inlineStr">
        <is>
          <t xml:space="preserve">shift_arr(TOCOL(D21),TOCOL(F21))</t>
        </is>
      </c>
      <c r="F689" s="51" cm="1">
        <f t="array" ref="F689">_xlfn.LET(_xlpm.a,shift_arr('shift_arr'!D21,'shift_arr'!F21),_xlpm.b,shift_arr(_xlfn.TOCOL('shift_arr'!D21),_xlfn.TOCOL('shift_arr'!F21)),_xlpm.sa,IFERROR(ROWS(_xlpm.a)&amp;"x"&amp;COLUMNS(_xlpm.a),"err"),_xlpm.sb,IFERROR(ROWS(_xlpm.b)&amp;"x"&amp;COLUMNS(_xlpm.b),"err"),IF(_xlpm.sa&lt;&gt;_xlpm.sb,"FAIL",IF(_xlpm.sa="err",IF(ERROR.TYPE(_xlpm.a)=ERROR.TYPE(_xlpm.b),"PASS","FAIL"),IF(AND(IFERROR(_xlpm.a=_xlpm.b,IFERROR(ERROR.TYPE(_xlpm.a)=ERROR.TYPE(_xlpm.b),FALSE))),"PASS","FAIL"))))</f>
        <v>0</v>
      </c>
    </row>
    <row r="690">
      <c r="A690">
        <v>685</v>
      </c>
      <c r="B690" s="55" t="inlineStr">
        <is>
          <t xml:space="preserve">shift_arr</t>
        </is>
      </c>
      <c r="C690" t="inlineStr">
        <is>
          <t xml:space="preserve">shift_arr!O21</t>
        </is>
      </c>
      <c r="D690" s="51" t="inlineStr">
        <is>
          <t xml:space="preserve">textnum</t>
        </is>
      </c>
      <c r="E690" t="inlineStr">
        <is>
          <t xml:space="preserve">shift_arr((D21&amp;""),F21)</t>
        </is>
      </c>
      <c r="F690" s="51" cm="1">
        <f t="array" ref="F690">_xlfn.LET(_xlpm.a,shift_arr('shift_arr'!D21,'shift_arr'!F21),_xlpm.b,shift_arr(('shift_arr'!D21&amp;""),'shift_arr'!F21),_xlpm.sa,IFERROR(ROWS(_xlpm.a)&amp;"x"&amp;COLUMNS(_xlpm.a),"err"),_xlpm.sb,IFERROR(ROWS(_xlpm.b)&amp;"x"&amp;COLUMNS(_xlpm.b),"err"),IF(_xlpm.sa&lt;&gt;_xlpm.sb,"FAIL",IF(_xlpm.sa="err",IF(ERROR.TYPE(_xlpm.a)=ERROR.TYPE(_xlpm.b),"PASS","FAIL"),IF(AND(IFERROR(_xlpm.a=_xlpm.b,IFERROR(ERROR.TYPE(_xlpm.a)=ERROR.TYPE(_xlpm.b),FALSE))),"PASS","FAIL"))))</f>
        <v>0</v>
      </c>
    </row>
    <row r="691">
      <c r="A691">
        <v>686</v>
      </c>
      <c r="B691" s="55" t="inlineStr">
        <is>
          <t xml:space="preserve">shift_arr</t>
        </is>
      </c>
      <c r="C691" t="inlineStr">
        <is>
          <t xml:space="preserve">shift_arr!O21</t>
        </is>
      </c>
      <c r="D691" s="51" t="inlineStr">
        <is>
          <t xml:space="preserve">blank</t>
        </is>
      </c>
      <c r="E691" t="inlineStr">
        <is>
          <t xml:space="preserve">shift_arr(D21,F21,shape_tests!$Z$1,shape_tests!$Z$1)</t>
        </is>
      </c>
      <c r="F691" s="51" cm="1">
        <f t="array" ref="F691">_xlfn.LET(_xlpm.a,shift_arr('shift_arr'!D21,'shift_arr'!F21),_xlpm.b,shift_arr('shift_arr'!D21,'shift_arr'!F21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92">
      <c r="A692">
        <v>687</v>
      </c>
      <c r="B692" s="55" t="inlineStr">
        <is>
          <t xml:space="preserve">shift_arr</t>
        </is>
      </c>
      <c r="C692" t="inlineStr">
        <is>
          <t xml:space="preserve">shift_arr!O23</t>
        </is>
      </c>
      <c r="D692" s="51" t="inlineStr">
        <is>
          <t xml:space="preserve">tocol</t>
        </is>
      </c>
      <c r="E692" t="inlineStr">
        <is>
          <t xml:space="preserve">shift_arr(D23:D25,TOCOL(F23))</t>
        </is>
      </c>
      <c r="F692" s="51" cm="1">
        <f t="array" ref="F692">_xlfn.LET(_xlpm.a,shift_arr('shift_arr'!D23:D25,'shift_arr'!F23),_xlpm.b,shift_arr('shift_arr'!D23:D25,_xlfn.TOCOL('shift_arr'!F23)),_xlpm.sa,IFERROR(ROWS(_xlpm.a)&amp;"x"&amp;COLUMNS(_xlpm.a),"err"),_xlpm.sb,IFERROR(ROWS(_xlpm.b)&amp;"x"&amp;COLUMNS(_xlpm.b),"err"),IF(_xlpm.sa&lt;&gt;_xlpm.sb,"FAIL",IF(_xlpm.sa="err",IF(ERROR.TYPE(_xlpm.a)=ERROR.TYPE(_xlpm.b),"PASS","FAIL"),IF(AND(IFERROR(_xlpm.a=_xlpm.b,IFERROR(ERROR.TYPE(_xlpm.a)=ERROR.TYPE(_xlpm.b),FALSE))),"PASS","FAIL"))))</f>
        <v>0</v>
      </c>
    </row>
    <row r="693">
      <c r="A693">
        <v>688</v>
      </c>
      <c r="B693" s="55" t="inlineStr">
        <is>
          <t xml:space="preserve">shift_arr</t>
        </is>
      </c>
      <c r="C693" t="inlineStr">
        <is>
          <t xml:space="preserve">shift_arr!O23</t>
        </is>
      </c>
      <c r="D693" s="51" t="inlineStr">
        <is>
          <t xml:space="preserve">textnum</t>
        </is>
      </c>
      <c r="E693" t="inlineStr">
        <is>
          <t xml:space="preserve">shift_arr(D23:D25,(F23&amp;""))</t>
        </is>
      </c>
      <c r="F693" s="51" cm="1">
        <f t="array" ref="F693">_xlfn.LET(_xlpm.a,shift_arr('shift_arr'!D23:D25,'shift_arr'!F23),_xlpm.b,shift_arr('shift_arr'!D23:D25,('shift_arr'!F23&amp;"")),_xlpm.sa,IFERROR(ROWS(_xlpm.a)&amp;"x"&amp;COLUMNS(_xlpm.a),"err"),_xlpm.sb,IFERROR(ROWS(_xlpm.b)&amp;"x"&amp;COLUMNS(_xlpm.b),"err"),IF(_xlpm.sa&lt;&gt;_xlpm.sb,"FAIL",IF(_xlpm.sa="err",IF(ERROR.TYPE(_xlpm.a)=ERROR.TYPE(_xlpm.b),"PASS","FAIL"),IF(AND(IFERROR(_xlpm.a=_xlpm.b,IFERROR(ERROR.TYPE(_xlpm.a)=ERROR.TYPE(_xlpm.b),FALSE))),"PASS","FAIL"))))</f>
        <v>0</v>
      </c>
    </row>
    <row r="694">
      <c r="A694">
        <v>689</v>
      </c>
      <c r="B694" s="55" t="inlineStr">
        <is>
          <t xml:space="preserve">shift_arr</t>
        </is>
      </c>
      <c r="C694" t="inlineStr">
        <is>
          <t xml:space="preserve">shift_arr!O23</t>
        </is>
      </c>
      <c r="D694" s="51" t="inlineStr">
        <is>
          <t xml:space="preserve">array</t>
        </is>
      </c>
      <c r="E694" t="inlineStr">
        <is>
          <t xml:space="preserve">shift_arr(CHOOSEROWS(D23:D25,SEQUENCE(ROWS(D23:D25))),F23)</t>
        </is>
      </c>
      <c r="F694" s="51" cm="1">
        <f t="array" ref="F694">_xlfn.LET(_xlpm.a,shift_arr('shift_arr'!D23:D25,'shift_arr'!F23),_xlpm.b,shift_arr(_xlfn.CHOOSEROWS('shift_arr'!D23:D25,_xlfn.SEQUENCE(ROWS('shift_arr'!D23:D25))),'shift_arr'!F23),_xlpm.sa,IFERROR(ROWS(_xlpm.a)&amp;"x"&amp;COLUMNS(_xlpm.a),"err"),_xlpm.sb,IFERROR(ROWS(_xlpm.b)&amp;"x"&amp;COLUMNS(_xlpm.b),"err"),IF(_xlpm.sa&lt;&gt;_xlpm.sb,"FAIL",IF(_xlpm.sa="err",IF(ERROR.TYPE(_xlpm.a)=ERROR.TYPE(_xlpm.b),"PASS","FAIL"),IF(AND(IFERROR(_xlpm.a=_xlpm.b,IFERROR(ERROR.TYPE(_xlpm.a)=ERROR.TYPE(_xlpm.b),FALSE))),"PASS","FAIL"))))</f>
        <v>0</v>
      </c>
    </row>
    <row r="695">
      <c r="A695">
        <v>690</v>
      </c>
      <c r="B695" s="55" t="inlineStr">
        <is>
          <t xml:space="preserve">shift_arr</t>
        </is>
      </c>
      <c r="C695" t="inlineStr">
        <is>
          <t xml:space="preserve">shift_arr!O23</t>
        </is>
      </c>
      <c r="D695" s="51" t="inlineStr">
        <is>
          <t xml:space="preserve">blank</t>
        </is>
      </c>
      <c r="E695" t="inlineStr">
        <is>
          <t xml:space="preserve">shift_arr(D23:D25,F23,shape_tests!$Z$1,shape_tests!$Z$1)</t>
        </is>
      </c>
      <c r="F695" s="51" cm="1">
        <f t="array" ref="F695">_xlfn.LET(_xlpm.a,shift_arr('shift_arr'!D23:D25,'shift_arr'!F23),_xlpm.b,shift_arr('shift_arr'!D23:D25,'shift_arr'!F23,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96">
      <c r="A696">
        <v>691</v>
      </c>
      <c r="B696" s="55" t="inlineStr">
        <is>
          <t xml:space="preserve">shift_arr</t>
        </is>
      </c>
      <c r="C696" t="inlineStr">
        <is>
          <t xml:space="preserve">shift_arr!O27</t>
        </is>
      </c>
      <c r="D696" s="51" t="inlineStr">
        <is>
          <t xml:space="preserve">tocol</t>
        </is>
      </c>
      <c r="E696" t="inlineStr">
        <is>
          <t xml:space="preserve">shift_arr(D27:D29,TOCOL(F27),TOCOL(H27),TOCOL(J27))</t>
        </is>
      </c>
      <c r="F696" s="51" cm="1">
        <f t="array" ref="F696">_xlfn.LET(_xlpm.a,shift_arr('shift_arr'!D27:D29,'shift_arr'!F27,'shift_arr'!H27,'shift_arr'!J27),_xlpm.b,shift_arr('shift_arr'!D27:D29,_xlfn.TOCOL('shift_arr'!F27),_xlfn.TOCOL('shift_arr'!H27),_xlfn.TOCOL('shift_arr'!J27)),_xlpm.sa,IFERROR(ROWS(_xlpm.a)&amp;"x"&amp;COLUMNS(_xlpm.a),"err"),_xlpm.sb,IFERROR(ROWS(_xlpm.b)&amp;"x"&amp;COLUMNS(_xlpm.b),"err"),IF(_xlpm.sa&lt;&gt;_xlpm.sb,"FAIL",IF(_xlpm.sa="err",IF(ERROR.TYPE(_xlpm.a)=ERROR.TYPE(_xlpm.b),"PASS","FAIL"),IF(AND(IFERROR(_xlpm.a=_xlpm.b,IFERROR(ERROR.TYPE(_xlpm.a)=ERROR.TYPE(_xlpm.b),FALSE))),"PASS","FAIL"))))</f>
        <v>0</v>
      </c>
    </row>
    <row r="697">
      <c r="A697">
        <v>692</v>
      </c>
      <c r="B697" s="55" t="inlineStr">
        <is>
          <t xml:space="preserve">shift_arr</t>
        </is>
      </c>
      <c r="C697" t="inlineStr">
        <is>
          <t xml:space="preserve">shift_arr!O27</t>
        </is>
      </c>
      <c r="D697" s="51" t="inlineStr">
        <is>
          <t xml:space="preserve">textnum</t>
        </is>
      </c>
      <c r="E697" t="inlineStr">
        <is>
          <t xml:space="preserve">shift_arr(D27:D29,F27,H27,(J27&amp;""))</t>
        </is>
      </c>
      <c r="F697" s="51" cm="1">
        <f t="array" ref="F697">_xlfn.LET(_xlpm.a,shift_arr('shift_arr'!D27:D29,'shift_arr'!F27,'shift_arr'!H27,'shift_arr'!J27),_xlpm.b,shift_arr('shift_arr'!D27:D29,'shift_arr'!F27,'shift_arr'!H27,('shift_arr'!J27&amp;"")),_xlpm.sa,IFERROR(ROWS(_xlpm.a)&amp;"x"&amp;COLUMNS(_xlpm.a),"err"),_xlpm.sb,IFERROR(ROWS(_xlpm.b)&amp;"x"&amp;COLUMNS(_xlpm.b),"err"),IF(_xlpm.sa&lt;&gt;_xlpm.sb,"FAIL",IF(_xlpm.sa="err",IF(ERROR.TYPE(_xlpm.a)=ERROR.TYPE(_xlpm.b),"PASS","FAIL"),IF(AND(IFERROR(_xlpm.a=_xlpm.b,IFERROR(ERROR.TYPE(_xlpm.a)=ERROR.TYPE(_xlpm.b),FALSE))),"PASS","FAIL"))))</f>
        <v>0</v>
      </c>
    </row>
    <row r="698">
      <c r="A698">
        <v>693</v>
      </c>
      <c r="B698" s="55" t="inlineStr">
        <is>
          <t xml:space="preserve">shift_arr</t>
        </is>
      </c>
      <c r="C698" t="inlineStr">
        <is>
          <t xml:space="preserve">shift_arr!O27</t>
        </is>
      </c>
      <c r="D698" s="51" t="inlineStr">
        <is>
          <t xml:space="preserve">array</t>
        </is>
      </c>
      <c r="E698" t="inlineStr">
        <is>
          <t xml:space="preserve">shift_arr(CHOOSEROWS(D27:D29,SEQUENCE(ROWS(D27:D29))),F27,H27,J27)</t>
        </is>
      </c>
      <c r="F698" s="51" cm="1">
        <f t="array" ref="F698">_xlfn.LET(_xlpm.a,shift_arr('shift_arr'!D27:D29,'shift_arr'!F27,'shift_arr'!H27,'shift_arr'!J27),_xlpm.b,shift_arr(_xlfn.CHOOSEROWS('shift_arr'!D27:D29,_xlfn.SEQUENCE(ROWS('shift_arr'!D27:D29))),'shift_arr'!F27,'shift_arr'!H27,'shift_arr'!J27),_xlpm.sa,IFERROR(ROWS(_xlpm.a)&amp;"x"&amp;COLUMNS(_xlpm.a),"err"),_xlpm.sb,IFERROR(ROWS(_xlpm.b)&amp;"x"&amp;COLUMNS(_xlpm.b),"err"),IF(_xlpm.sa&lt;&gt;_xlpm.sb,"FAIL",IF(_xlpm.sa="err",IF(ERROR.TYPE(_xlpm.a)=ERROR.TYPE(_xlpm.b),"PASS","FAIL"),IF(AND(IFERROR(_xlpm.a=_xlpm.b,IFERROR(ERROR.TYPE(_xlpm.a)=ERROR.TYPE(_xlpm.b),FALSE))),"PASS","FAIL"))))</f>
        <v>0</v>
      </c>
    </row>
    <row r="699">
      <c r="A699">
        <v>694</v>
      </c>
      <c r="B699" s="55" t="inlineStr">
        <is>
          <t xml:space="preserve">shift_arr</t>
        </is>
      </c>
      <c r="C699" t="inlineStr">
        <is>
          <t xml:space="preserve">shift_arr!O32</t>
        </is>
      </c>
      <c r="D699" s="51" t="inlineStr">
        <is>
          <t xml:space="preserve">tocol</t>
        </is>
      </c>
      <c r="E699" t="inlineStr">
        <is>
          <t xml:space="preserve">shift_arr(D32:D33,TOCOL(F32))</t>
        </is>
      </c>
      <c r="F699" s="51" cm="1">
        <f t="array" ref="F699">_xlfn.LET(_xlpm.a,shift_arr('shift_arr'!D32:D33,'shift_arr'!F32),_xlpm.b,shift_arr('shift_arr'!D32:D33,_xlfn.TOCOL('shift_arr'!F32)),_xlpm.sa,IFERROR(ROWS(_xlpm.a)&amp;"x"&amp;COLUMNS(_xlpm.a),"err"),_xlpm.sb,IFERROR(ROWS(_xlpm.b)&amp;"x"&amp;COLUMNS(_xlpm.b),"err"),IF(_xlpm.sa&lt;&gt;_xlpm.sb,"FAIL",IF(_xlpm.sa="err",IF(ERROR.TYPE(_xlpm.a)=ERROR.TYPE(_xlpm.b),"PASS","FAIL"),IF(AND(IFERROR(_xlpm.a=_xlpm.b,IFERROR(ERROR.TYPE(_xlpm.a)=ERROR.TYPE(_xlpm.b),FALSE))),"PASS","FAIL"))))</f>
        <v>0</v>
      </c>
    </row>
    <row r="700">
      <c r="A700">
        <v>695</v>
      </c>
      <c r="B700" s="55" t="inlineStr">
        <is>
          <t xml:space="preserve">shift_arr</t>
        </is>
      </c>
      <c r="C700" t="inlineStr">
        <is>
          <t xml:space="preserve">shift_arr!O32</t>
        </is>
      </c>
      <c r="D700" s="51" t="inlineStr">
        <is>
          <t xml:space="preserve">array</t>
        </is>
      </c>
      <c r="E700" t="inlineStr">
        <is>
          <t xml:space="preserve">shift_arr(CHOOSEROWS(D32:D33,SEQUENCE(ROWS(D32:D33))),F32)</t>
        </is>
      </c>
      <c r="F700" s="51" cm="1">
        <f t="array" ref="F700">_xlfn.LET(_xlpm.a,shift_arr('shift_arr'!D32:D33,'shift_arr'!F32),_xlpm.b,shift_arr(_xlfn.CHOOSEROWS('shift_arr'!D32:D33,_xlfn.SEQUENCE(ROWS('shift_arr'!D32:D33))),'shift_arr'!F32),_xlpm.sa,IFERROR(ROWS(_xlpm.a)&amp;"x"&amp;COLUMNS(_xlpm.a),"err"),_xlpm.sb,IFERROR(ROWS(_xlpm.b)&amp;"x"&amp;COLUMNS(_xlpm.b),"err"),IF(_xlpm.sa&lt;&gt;_xlpm.sb,"FAIL",IF(_xlpm.sa="err",IF(ERROR.TYPE(_xlpm.a)=ERROR.TYPE(_xlpm.b),"PASS","FAIL"),IF(AND(IFERROR(_xlpm.a=_xlpm.b,IFERROR(ERROR.TYPE(_xlpm.a)=ERROR.TYPE(_xlpm.b),FALSE))),"PASS","FAIL"))))</f>
        <v>0</v>
      </c>
    </row>
    <row r="701">
      <c r="A701">
        <v>696</v>
      </c>
      <c r="B701" s="55" t="inlineStr">
        <is>
          <t xml:space="preserve">shift_arr</t>
        </is>
      </c>
      <c r="C701" t="inlineStr">
        <is>
          <t xml:space="preserve">shift_arr!O32</t>
        </is>
      </c>
      <c r="D701" s="51" t="inlineStr">
        <is>
          <t xml:space="preserve">blank</t>
        </is>
      </c>
      <c r="E701" t="inlineStr">
        <is>
          <t xml:space="preserve">shift_arr(D32:D33,F32,shape_tests!$Z$1,shape_tests!$Z$1)</t>
        </is>
      </c>
      <c r="F701" s="51" cm="1">
        <f t="array" ref="F701">_xlfn.LET(_xlpm.a,shift_arr('shift_arr'!D32:D33,'shift_arr'!F32),_xlpm.b,shift_arr('shift_arr'!D32:D33,'shift_arr'!F32,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02">
      <c r="A702">
        <v>697</v>
      </c>
      <c r="B702" s="55" t="inlineStr">
        <is>
          <t xml:space="preserve">smallest</t>
        </is>
      </c>
      <c r="C702" t="inlineStr">
        <is>
          <t xml:space="preserve">smallest!J6</t>
        </is>
      </c>
      <c r="D702" s="51" t="inlineStr">
        <is>
          <t xml:space="preserve">array</t>
        </is>
      </c>
      <c r="E702" t="inlineStr">
        <is>
          <t xml:space="preserve">smallest(D6:D8,CHOOSEROWS(F6:F8,SEQUENCE(ROWS(F6:F8))))</t>
        </is>
      </c>
      <c r="F702" s="51" cm="1">
        <f t="array" ref="F702">_xlfn.LET(_xlpm.a,smallest('smallest'!D6:D8,'smallest'!F6:F8),_xlpm.b,smallest('smallest'!D6:D8,_xlfn.CHOOSEROWS('smallest'!F6:F8,_xlfn.SEQUENCE(ROWS('smallest'!F6:F8)))),_xlpm.sa,IFERROR(ROWS(_xlpm.a)&amp;"x"&amp;COLUMNS(_xlpm.a),"err"),_xlpm.sb,IFERROR(ROWS(_xlpm.b)&amp;"x"&amp;COLUMNS(_xlpm.b),"err"),IF(_xlpm.sa&lt;&gt;_xlpm.sb,"FAIL",IF(_xlpm.sa="err",IF(ERROR.TYPE(_xlpm.a)=ERROR.TYPE(_xlpm.b),"PASS","FAIL"),IF(AND(IFERROR(_xlpm.a=_xlpm.b,IFERROR(ERROR.TYPE(_xlpm.a)=ERROR.TYPE(_xlpm.b),FALSE))),"PASS","FAIL"))))</f>
        <v>0</v>
      </c>
    </row>
    <row r="703">
      <c r="A703">
        <v>698</v>
      </c>
      <c r="B703" s="55" t="inlineStr">
        <is>
          <t xml:space="preserve">smallest</t>
        </is>
      </c>
      <c r="C703" t="inlineStr">
        <is>
          <t xml:space="preserve">smallest!J10</t>
        </is>
      </c>
      <c r="D703" s="51" t="inlineStr">
        <is>
          <t xml:space="preserve">array</t>
        </is>
      </c>
      <c r="E703" t="inlineStr">
        <is>
          <t xml:space="preserve">smallest(D10:D13,CHOOSEROWS(F10:F13,SEQUENCE(ROWS(F10:F13))))</t>
        </is>
      </c>
      <c r="F703" s="51" cm="1">
        <f t="array" ref="F703">_xlfn.LET(_xlpm.a,smallest('smallest'!D10:D13,'smallest'!F10:F13),_xlpm.b,smallest('smallest'!D10:D13,_xlfn.CHOOSEROWS('smallest'!F10:F13,_xlfn.SEQUENCE(ROWS('smallest'!F10:F13)))),_xlpm.sa,IFERROR(ROWS(_xlpm.a)&amp;"x"&amp;COLUMNS(_xlpm.a),"err"),_xlpm.sb,IFERROR(ROWS(_xlpm.b)&amp;"x"&amp;COLUMNS(_xlpm.b),"err"),IF(_xlpm.sa&lt;&gt;_xlpm.sb,"FAIL",IF(_xlpm.sa="err",IF(ERROR.TYPE(_xlpm.a)=ERROR.TYPE(_xlpm.b),"PASS","FAIL"),IF(AND(IFERROR(_xlpm.a=_xlpm.b,IFERROR(ERROR.TYPE(_xlpm.a)=ERROR.TYPE(_xlpm.b),FALSE))),"PASS","FAIL"))))</f>
        <v>0</v>
      </c>
    </row>
    <row r="704">
      <c r="A704">
        <v>699</v>
      </c>
      <c r="B704" s="55" t="inlineStr">
        <is>
          <t xml:space="preserve">smallest</t>
        </is>
      </c>
      <c r="C704" t="inlineStr">
        <is>
          <t xml:space="preserve">smallest!J15</t>
        </is>
      </c>
      <c r="D704" s="51" t="inlineStr">
        <is>
          <t xml:space="preserve">tocol</t>
        </is>
      </c>
      <c r="E704" t="inlineStr">
        <is>
          <t xml:space="preserve">smallest(TOCOL(D15),TOCOL(F15))</t>
        </is>
      </c>
      <c r="F704" s="51" cm="1">
        <f t="array" ref="F704">_xlfn.LET(_xlpm.a,smallest('smallest'!D15,'smallest'!F15),_xlpm.b,smallest(_xlfn.TOCOL('smallest'!D15),_xlfn.TOCOL('smallest'!F15)),_xlpm.sa,IFERROR(ROWS(_xlpm.a)&amp;"x"&amp;COLUMNS(_xlpm.a),"err"),_xlpm.sb,IFERROR(ROWS(_xlpm.b)&amp;"x"&amp;COLUMNS(_xlpm.b),"err"),IF(_xlpm.sa&lt;&gt;_xlpm.sb,"FAIL",IF(_xlpm.sa="err",IF(ERROR.TYPE(_xlpm.a)=ERROR.TYPE(_xlpm.b),"PASS","FAIL"),IF(AND(IFERROR(_xlpm.a=_xlpm.b,IFERROR(ERROR.TYPE(_xlpm.a)=ERROR.TYPE(_xlpm.b),FALSE))),"PASS","FAIL"))))</f>
        <v>0</v>
      </c>
    </row>
    <row r="705">
      <c r="A705">
        <v>700</v>
      </c>
      <c r="B705" s="55" t="inlineStr">
        <is>
          <t xml:space="preserve">str_ad</t>
        </is>
      </c>
      <c r="C705" t="inlineStr">
        <is>
          <t xml:space="preserve">str_ad!H6</t>
        </is>
      </c>
      <c r="D705" s="51" t="inlineStr">
        <is>
          <t xml:space="preserve">tocol</t>
        </is>
      </c>
      <c r="E705" t="inlineStr">
        <is>
          <t xml:space="preserve">str_ad(TOCOL(D6))</t>
        </is>
      </c>
      <c r="F705" s="51" cm="1">
        <f t="array" ref="F705">_xlfn.LET(_xlpm.a,str_ad('str_ad'!D6),_xlpm.b,str_ad(_xlfn.TOCOL('str_ad'!D6)),_xlpm.sa,IFERROR(ROWS(_xlpm.a)&amp;"x"&amp;COLUMNS(_xlpm.a),"err"),_xlpm.sb,IFERROR(ROWS(_xlpm.b)&amp;"x"&amp;COLUMNS(_xlpm.b),"err"),IF(_xlpm.sa&lt;&gt;_xlpm.sb,"FAIL",IF(_xlpm.sa="err",IF(ERROR.TYPE(_xlpm.a)=ERROR.TYPE(_xlpm.b),"PASS","FAIL"),IF(AND(IFERROR(_xlpm.a=_xlpm.b,IFERROR(ERROR.TYPE(_xlpm.a)=ERROR.TYPE(_xlpm.b),FALSE))),"PASS","FAIL"))))</f>
        <v>0</v>
      </c>
    </row>
    <row r="706">
      <c r="A706">
        <v>701</v>
      </c>
      <c r="B706" s="55" t="inlineStr">
        <is>
          <t xml:space="preserve">str_ad</t>
        </is>
      </c>
      <c r="C706" t="inlineStr">
        <is>
          <t xml:space="preserve">str_ad!H6</t>
        </is>
      </c>
      <c r="D706" s="51" t="inlineStr">
        <is>
          <t xml:space="preserve">textnum</t>
        </is>
      </c>
      <c r="E706" t="inlineStr">
        <is>
          <t xml:space="preserve">str_ad((D6&amp;""))</t>
        </is>
      </c>
      <c r="F706" s="51" cm="1">
        <f t="array" ref="F706">_xlfn.LET(_xlpm.a,str_ad('str_ad'!D6),_xlpm.b,str_ad(('str_ad'!D6&amp;"")),_xlpm.sa,IFERROR(ROWS(_xlpm.a)&amp;"x"&amp;COLUMNS(_xlpm.a),"err"),_xlpm.sb,IFERROR(ROWS(_xlpm.b)&amp;"x"&amp;COLUMNS(_xlpm.b),"err"),IF(_xlpm.sa&lt;&gt;_xlpm.sb,"FAIL",IF(_xlpm.sa="err",IF(ERROR.TYPE(_xlpm.a)=ERROR.TYPE(_xlpm.b),"PASS","FAIL"),IF(AND(IFERROR(_xlpm.a=_xlpm.b,IFERROR(ERROR.TYPE(_xlpm.a)=ERROR.TYPE(_xlpm.b),FALSE))),"PASS","FAIL"))))</f>
        <v>0</v>
      </c>
    </row>
    <row r="707">
      <c r="A707">
        <v>702</v>
      </c>
      <c r="B707" s="55" t="inlineStr">
        <is>
          <t xml:space="preserve">str_ad</t>
        </is>
      </c>
      <c r="C707" t="inlineStr">
        <is>
          <t xml:space="preserve">str_ad!H8</t>
        </is>
      </c>
      <c r="D707" s="51" t="inlineStr">
        <is>
          <t xml:space="preserve">tocol</t>
        </is>
      </c>
      <c r="E707" t="inlineStr">
        <is>
          <t xml:space="preserve">str_ad(TOCOL(D8))</t>
        </is>
      </c>
      <c r="F707" s="51" cm="1">
        <f t="array" ref="F707">_xlfn.LET(_xlpm.a,str_ad('str_ad'!D8),_xlpm.b,str_ad(_xlfn.TOCOL('str_ad'!D8)),_xlpm.sa,IFERROR(ROWS(_xlpm.a)&amp;"x"&amp;COLUMNS(_xlpm.a),"err"),_xlpm.sb,IFERROR(ROWS(_xlpm.b)&amp;"x"&amp;COLUMNS(_xlpm.b),"err"),IF(_xlpm.sa&lt;&gt;_xlpm.sb,"FAIL",IF(_xlpm.sa="err",IF(ERROR.TYPE(_xlpm.a)=ERROR.TYPE(_xlpm.b),"PASS","FAIL"),IF(AND(IFERROR(_xlpm.a=_xlpm.b,IFERROR(ERROR.TYPE(_xlpm.a)=ERROR.TYPE(_xlpm.b),FALSE))),"PASS","FAIL"))))</f>
        <v>0</v>
      </c>
    </row>
    <row r="708">
      <c r="A708">
        <v>703</v>
      </c>
      <c r="B708" s="55" t="inlineStr">
        <is>
          <t xml:space="preserve">str_ad</t>
        </is>
      </c>
      <c r="C708" t="inlineStr">
        <is>
          <t xml:space="preserve">str_ad!H10</t>
        </is>
      </c>
      <c r="D708" s="51" t="inlineStr">
        <is>
          <t xml:space="preserve">tocol</t>
        </is>
      </c>
      <c r="E708" t="inlineStr">
        <is>
          <t xml:space="preserve">str_ad(TOCOL(D10))</t>
        </is>
      </c>
      <c r="F708" s="51" cm="1">
        <f t="array" ref="F708">_xlfn.LET(_xlpm.a,str_ad('str_ad'!D10),_xlpm.b,str_ad(_xlfn.TOCOL('str_ad'!D10)),_xlpm.sa,IFERROR(ROWS(_xlpm.a)&amp;"x"&amp;COLUMNS(_xlpm.a),"err"),_xlpm.sb,IFERROR(ROWS(_xlpm.b)&amp;"x"&amp;COLUMNS(_xlpm.b),"err"),IF(_xlpm.sa&lt;&gt;_xlpm.sb,"FAIL",IF(_xlpm.sa="err",IF(ERROR.TYPE(_xlpm.a)=ERROR.TYPE(_xlpm.b),"PASS","FAIL"),IF(AND(IFERROR(_xlpm.a=_xlpm.b,IFERROR(ERROR.TYPE(_xlpm.a)=ERROR.TYPE(_xlpm.b),FALSE))),"PASS","FAIL"))))</f>
        <v>0</v>
      </c>
    </row>
    <row r="709">
      <c r="A709">
        <v>704</v>
      </c>
      <c r="B709" s="55" t="inlineStr">
        <is>
          <t xml:space="preserve">str_ad</t>
        </is>
      </c>
      <c r="C709" t="inlineStr">
        <is>
          <t xml:space="preserve">str_ad!H15</t>
        </is>
      </c>
      <c r="D709" s="51" t="inlineStr">
        <is>
          <t xml:space="preserve">tocol</t>
        </is>
      </c>
      <c r="E709" t="inlineStr">
        <is>
          <t xml:space="preserve">str_ad(TOCOL(D15))</t>
        </is>
      </c>
      <c r="F709" s="51" cm="1">
        <f t="array" ref="F709">_xlfn.LET(_xlpm.a,str_ad('str_ad'!D15),_xlpm.b,str_ad(_xlfn.TOCOL('str_ad'!D15)),_xlpm.sa,IFERROR(ROWS(_xlpm.a)&amp;"x"&amp;COLUMNS(_xlpm.a),"err"),_xlpm.sb,IFERROR(ROWS(_xlpm.b)&amp;"x"&amp;COLUMNS(_xlpm.b),"err"),IF(_xlpm.sa&lt;&gt;_xlpm.sb,"FAIL",IF(_xlpm.sa="err",IF(ERROR.TYPE(_xlpm.a)=ERROR.TYPE(_xlpm.b),"PASS","FAIL"),IF(AND(IFERROR(_xlpm.a=_xlpm.b,IFERROR(ERROR.TYPE(_xlpm.a)=ERROR.TYPE(_xlpm.b),FALSE))),"PASS","FAIL"))))</f>
        <v>0</v>
      </c>
    </row>
    <row r="710">
      <c r="A710">
        <v>705</v>
      </c>
      <c r="B710" s="55" t="inlineStr">
        <is>
          <t xml:space="preserve">str_ad</t>
        </is>
      </c>
      <c r="C710" t="inlineStr">
        <is>
          <t xml:space="preserve">str_ad!H18</t>
        </is>
      </c>
      <c r="D710" s="51" t="inlineStr">
        <is>
          <t xml:space="preserve">tocol</t>
        </is>
      </c>
      <c r="E710" t="inlineStr">
        <is>
          <t xml:space="preserve">str_ad(TOCOL(D18))</t>
        </is>
      </c>
      <c r="F710" s="51" cm="1">
        <f t="array" ref="F710">_xlfn.LET(_xlpm.a,str_ad('str_ad'!D18),_xlpm.b,str_ad(_xlfn.TOCOL('str_ad'!D18)),_xlpm.sa,IFERROR(ROWS(_xlpm.a)&amp;"x"&amp;COLUMNS(_xlpm.a),"err"),_xlpm.sb,IFERROR(ROWS(_xlpm.b)&amp;"x"&amp;COLUMNS(_xlpm.b),"err"),IF(_xlpm.sa&lt;&gt;_xlpm.sb,"FAIL",IF(_xlpm.sa="err",IF(ERROR.TYPE(_xlpm.a)=ERROR.TYPE(_xlpm.b),"PASS","FAIL"),IF(AND(IFERROR(_xlpm.a=_xlpm.b,IFERROR(ERROR.TYPE(_xlpm.a)=ERROR.TYPE(_xlpm.b),FALSE))),"PASS","FAIL"))))</f>
        <v>0</v>
      </c>
    </row>
    <row r="711">
      <c r="A711">
        <v>706</v>
      </c>
      <c r="B711" s="55" t="inlineStr">
        <is>
          <t xml:space="preserve">str_ad</t>
        </is>
      </c>
      <c r="C711" t="inlineStr">
        <is>
          <t xml:space="preserve">str_ad!H20</t>
        </is>
      </c>
      <c r="D711" s="51" t="inlineStr">
        <is>
          <t xml:space="preserve">tocol</t>
        </is>
      </c>
      <c r="E711" t="inlineStr">
        <is>
          <t xml:space="preserve">str_ad(TOCOL(D20))</t>
        </is>
      </c>
      <c r="F711" s="51" cm="1">
        <f t="array" ref="F711">_xlfn.LET(_xlpm.a,str_ad('str_ad'!D20),_xlpm.b,str_ad(_xlfn.TOCOL('str_ad'!D20)),_xlpm.sa,IFERROR(ROWS(_xlpm.a)&amp;"x"&amp;COLUMNS(_xlpm.a),"err"),_xlpm.sb,IFERROR(ROWS(_xlpm.b)&amp;"x"&amp;COLUMNS(_xlpm.b),"err"),IF(_xlpm.sa&lt;&gt;_xlpm.sb,"FAIL",IF(_xlpm.sa="err",IF(ERROR.TYPE(_xlpm.a)=ERROR.TYPE(_xlpm.b),"PASS","FAIL"),IF(AND(IFERROR(_xlpm.a=_xlpm.b,IFERROR(ERROR.TYPE(_xlpm.a)=ERROR.TYPE(_xlpm.b),FALSE))),"PASS","FAIL"))))</f>
        <v>0</v>
      </c>
    </row>
    <row r="712">
      <c r="A712">
        <v>707</v>
      </c>
      <c r="B712" s="55" t="inlineStr">
        <is>
          <t xml:space="preserve">str_rev</t>
        </is>
      </c>
      <c r="C712" t="inlineStr">
        <is>
          <t xml:space="preserve">str_rev!H6</t>
        </is>
      </c>
      <c r="D712" s="51" t="inlineStr">
        <is>
          <t xml:space="preserve">tocol</t>
        </is>
      </c>
      <c r="E712" t="inlineStr">
        <is>
          <t xml:space="preserve">str_rev(TOCOL(D6))</t>
        </is>
      </c>
      <c r="F712" s="51" cm="1">
        <f t="array" ref="F712">_xlfn.LET(_xlpm.a,str_rev('str_rev'!D6),_xlpm.b,str_rev(_xlfn.TOCOL('str_rev'!D6)),_xlpm.sa,IFERROR(ROWS(_xlpm.a)&amp;"x"&amp;COLUMNS(_xlpm.a),"err"),_xlpm.sb,IFERROR(ROWS(_xlpm.b)&amp;"x"&amp;COLUMNS(_xlpm.b),"err"),IF(_xlpm.sa&lt;&gt;_xlpm.sb,"FAIL",IF(_xlpm.sa="err",IF(ERROR.TYPE(_xlpm.a)=ERROR.TYPE(_xlpm.b),"PASS","FAIL"),IF(AND(IFERROR(_xlpm.a=_xlpm.b,IFERROR(ERROR.TYPE(_xlpm.a)=ERROR.TYPE(_xlpm.b),FALSE))),"PASS","FAIL"))))</f>
        <v>0</v>
      </c>
    </row>
    <row r="713">
      <c r="A713">
        <v>708</v>
      </c>
      <c r="B713" s="55" t="inlineStr">
        <is>
          <t xml:space="preserve">str_rev</t>
        </is>
      </c>
      <c r="C713" t="inlineStr">
        <is>
          <t xml:space="preserve">str_rev!H8</t>
        </is>
      </c>
      <c r="D713" s="51" t="inlineStr">
        <is>
          <t xml:space="preserve">tocol</t>
        </is>
      </c>
      <c r="E713" t="inlineStr">
        <is>
          <t xml:space="preserve">str_rev(TOCOL(D8))</t>
        </is>
      </c>
      <c r="F713" s="51" cm="1">
        <f t="array" ref="F713">_xlfn.LET(_xlpm.a,str_rev('str_rev'!D8),_xlpm.b,str_rev(_xlfn.TOCOL('str_rev'!D8)),_xlpm.sa,IFERROR(ROWS(_xlpm.a)&amp;"x"&amp;COLUMNS(_xlpm.a),"err"),_xlpm.sb,IFERROR(ROWS(_xlpm.b)&amp;"x"&amp;COLUMNS(_xlpm.b),"err"),IF(_xlpm.sa&lt;&gt;_xlpm.sb,"FAIL",IF(_xlpm.sa="err",IF(ERROR.TYPE(_xlpm.a)=ERROR.TYPE(_xlpm.b),"PASS","FAIL"),IF(AND(IFERROR(_xlpm.a=_xlpm.b,IFERROR(ERROR.TYPE(_xlpm.a)=ERROR.TYPE(_xlpm.b),FALSE))),"PASS","FAIL"))))</f>
        <v>0</v>
      </c>
    </row>
    <row r="714">
      <c r="A714">
        <v>709</v>
      </c>
      <c r="B714" s="55" t="inlineStr">
        <is>
          <t xml:space="preserve">str_rev</t>
        </is>
      </c>
      <c r="C714" t="inlineStr">
        <is>
          <t xml:space="preserve">str_rev!H10</t>
        </is>
      </c>
      <c r="D714" s="51" t="inlineStr">
        <is>
          <t xml:space="preserve">tocol</t>
        </is>
      </c>
      <c r="E714" t="inlineStr">
        <is>
          <t xml:space="preserve">str_rev(TOCOL(D10))</t>
        </is>
      </c>
      <c r="F714" s="51" cm="1">
        <f t="array" ref="F714">_xlfn.LET(_xlpm.a,str_rev('str_rev'!D10),_xlpm.b,str_rev(_xlfn.TOCOL('str_rev'!D10)),_xlpm.sa,IFERROR(ROWS(_xlpm.a)&amp;"x"&amp;COLUMNS(_xlpm.a),"err"),_xlpm.sb,IFERROR(ROWS(_xlpm.b)&amp;"x"&amp;COLUMNS(_xlpm.b),"err"),IF(_xlpm.sa&lt;&gt;_xlpm.sb,"FAIL",IF(_xlpm.sa="err",IF(ERROR.TYPE(_xlpm.a)=ERROR.TYPE(_xlpm.b),"PASS","FAIL"),IF(AND(IFERROR(_xlpm.a=_xlpm.b,IFERROR(ERROR.TYPE(_xlpm.a)=ERROR.TYPE(_xlpm.b),FALSE))),"PASS","FAIL"))))</f>
        <v>0</v>
      </c>
    </row>
    <row r="715">
      <c r="A715">
        <v>710</v>
      </c>
      <c r="B715" s="55" t="inlineStr">
        <is>
          <t xml:space="preserve">str_to_arr</t>
        </is>
      </c>
      <c r="C715" t="inlineStr">
        <is>
          <t xml:space="preserve">str_to_arr!L6</t>
        </is>
      </c>
      <c r="D715" s="51" t="inlineStr">
        <is>
          <t xml:space="preserve">tocol</t>
        </is>
      </c>
      <c r="E715" t="inlineStr">
        <is>
          <t xml:space="preserve">str_to_arr(TOCOL(D6))</t>
        </is>
      </c>
      <c r="F715" s="51" cm="1">
        <f t="array" ref="F715">_xlfn.LET(_xlpm.a,str_to_arr('str_to_arr'!D6),_xlpm.b,str_to_arr(_xlfn.TOCOL('str_to_arr'!D6)),_xlpm.sa,IFERROR(ROWS(_xlpm.a)&amp;"x"&amp;COLUMNS(_xlpm.a),"err"),_xlpm.sb,IFERROR(ROWS(_xlpm.b)&amp;"x"&amp;COLUMNS(_xlpm.b),"err"),IF(_xlpm.sa&lt;&gt;_xlpm.sb,"FAIL",IF(_xlpm.sa="err",IF(ERROR.TYPE(_xlpm.a)=ERROR.TYPE(_xlpm.b),"PASS","FAIL"),IF(AND(IFERROR(_xlpm.a=_xlpm.b,IFERROR(ERROR.TYPE(_xlpm.a)=ERROR.TYPE(_xlpm.b),FALSE))),"PASS","FAIL"))))</f>
        <v>0</v>
      </c>
    </row>
    <row r="716">
      <c r="A716">
        <v>711</v>
      </c>
      <c r="B716" s="55" t="inlineStr">
        <is>
          <t xml:space="preserve">str_to_arr</t>
        </is>
      </c>
      <c r="C716" t="inlineStr">
        <is>
          <t xml:space="preserve">str_to_arr!L6</t>
        </is>
      </c>
      <c r="D716" s="51" t="inlineStr">
        <is>
          <t xml:space="preserve">blank</t>
        </is>
      </c>
      <c r="E716" t="inlineStr">
        <is>
          <t xml:space="preserve">str_to_arr(D6,shape_tests!$Z$1)</t>
        </is>
      </c>
      <c r="F716" s="51" cm="1">
        <f t="array" ref="F716">_xlfn.LET(_xlpm.a,str_to_arr('str_to_arr'!D6),_xlpm.b,str_to_arr('str_to_arr'!D6,shape_tests!$Z$1),_xlpm.sa,IFERROR(ROWS(_xlpm.a)&amp;"x"&amp;COLUMNS(_xlpm.a),"err"),_xlpm.sb,IFERROR(ROWS(_xlpm.b)&amp;"x"&amp;COLUMNS(_xlpm.b),"err"),IF(_xlpm.sa&lt;&gt;_xlpm.sb,"FAIL",IF(_xlpm.sa="err",IF(ERROR.TYPE(_xlpm.a)=ERROR.TYPE(_xlpm.b),"PASS","FAIL"),IF(AND(IFERROR(_xlpm.a=_xlpm.b,IFERROR(ERROR.TYPE(_xlpm.a)=ERROR.TYPE(_xlpm.b),FALSE))),"PASS","FAIL"))))</f>
        <v>0</v>
      </c>
    </row>
    <row r="717">
      <c r="A717">
        <v>712</v>
      </c>
      <c r="B717" s="55" t="inlineStr">
        <is>
          <t xml:space="preserve">str_to_arr</t>
        </is>
      </c>
      <c r="C717" t="inlineStr">
        <is>
          <t xml:space="preserve">str_to_arr!L10</t>
        </is>
      </c>
      <c r="D717" s="51" t="inlineStr">
        <is>
          <t xml:space="preserve">tocol</t>
        </is>
      </c>
      <c r="E717" t="inlineStr">
        <is>
          <t xml:space="preserve">str_to_arr(TOCOL(D10))</t>
        </is>
      </c>
      <c r="F717" s="51" cm="1">
        <f t="array" ref="F717">_xlfn.LET(_xlpm.a,str_to_arr('str_to_arr'!D10),_xlpm.b,str_to_arr(_xlfn.TOCOL('str_to_arr'!D10)),_xlpm.sa,IFERROR(ROWS(_xlpm.a)&amp;"x"&amp;COLUMNS(_xlpm.a),"err"),_xlpm.sb,IFERROR(ROWS(_xlpm.b)&amp;"x"&amp;COLUMNS(_xlpm.b),"err"),IF(_xlpm.sa&lt;&gt;_xlpm.sb,"FAIL",IF(_xlpm.sa="err",IF(ERROR.TYPE(_xlpm.a)=ERROR.TYPE(_xlpm.b),"PASS","FAIL"),IF(AND(IFERROR(_xlpm.a=_xlpm.b,IFERROR(ERROR.TYPE(_xlpm.a)=ERROR.TYPE(_xlpm.b),FALSE))),"PASS","FAIL"))))</f>
        <v>0</v>
      </c>
    </row>
    <row r="718">
      <c r="A718">
        <v>713</v>
      </c>
      <c r="B718" s="55" t="inlineStr">
        <is>
          <t xml:space="preserve">str_to_arr</t>
        </is>
      </c>
      <c r="C718" t="inlineStr">
        <is>
          <t xml:space="preserve">str_to_arr!L10</t>
        </is>
      </c>
      <c r="D718" s="51" t="inlineStr">
        <is>
          <t xml:space="preserve">blank</t>
        </is>
      </c>
      <c r="E718" t="inlineStr">
        <is>
          <t xml:space="preserve">str_to_arr(D10,shape_tests!$Z$1)</t>
        </is>
      </c>
      <c r="F718" s="51" cm="1">
        <f t="array" ref="F718">_xlfn.LET(_xlpm.a,str_to_arr('str_to_arr'!D10),_xlpm.b,str_to_arr('str_to_arr'!D10,shape_tests!$Z$1),_xlpm.sa,IFERROR(ROWS(_xlpm.a)&amp;"x"&amp;COLUMNS(_xlpm.a),"err"),_xlpm.sb,IFERROR(ROWS(_xlpm.b)&amp;"x"&amp;COLUMNS(_xlpm.b),"err"),IF(_xlpm.sa&lt;&gt;_xlpm.sb,"FAIL",IF(_xlpm.sa="err",IF(ERROR.TYPE(_xlpm.a)=ERROR.TYPE(_xlpm.b),"PASS","FAIL"),IF(AND(IFERROR(_xlpm.a=_xlpm.b,IFERROR(ERROR.TYPE(_xlpm.a)=ERROR.TYPE(_xlpm.b),FALSE))),"PASS","FAIL"))))</f>
        <v>0</v>
      </c>
    </row>
    <row r="719">
      <c r="A719">
        <v>714</v>
      </c>
      <c r="B719" s="55" t="inlineStr">
        <is>
          <t xml:space="preserve">str_to_arr</t>
        </is>
      </c>
      <c r="C719" t="inlineStr">
        <is>
          <t xml:space="preserve">str_to_arr!L14</t>
        </is>
      </c>
      <c r="D719" s="51" t="inlineStr">
        <is>
          <t xml:space="preserve">tocol</t>
        </is>
      </c>
      <c r="E719" t="inlineStr">
        <is>
          <t xml:space="preserve">str_to_arr(TOCOL(D14),TOCOL(F14))</t>
        </is>
      </c>
      <c r="F719" s="51" cm="1">
        <f t="array" ref="F719">_xlfn.LET(_xlpm.a,str_to_arr('str_to_arr'!D14,'str_to_arr'!F14),_xlpm.b,str_to_arr(_xlfn.TOCOL('str_to_arr'!D14),_xlfn.TOCOL('str_to_arr'!F14)),_xlpm.sa,IFERROR(ROWS(_xlpm.a)&amp;"x"&amp;COLUMNS(_xlpm.a),"err"),_xlpm.sb,IFERROR(ROWS(_xlpm.b)&amp;"x"&amp;COLUMNS(_xlpm.b),"err"),IF(_xlpm.sa&lt;&gt;_xlpm.sb,"FAIL",IF(_xlpm.sa="err",IF(ERROR.TYPE(_xlpm.a)=ERROR.TYPE(_xlpm.b),"PASS","FAIL"),IF(AND(IFERROR(_xlpm.a=_xlpm.b,IFERROR(ERROR.TYPE(_xlpm.a)=ERROR.TYPE(_xlpm.b),FALSE))),"PASS","FAIL"))))</f>
        <v>0</v>
      </c>
    </row>
    <row r="720">
      <c r="A720">
        <v>715</v>
      </c>
      <c r="B720" s="55" t="inlineStr">
        <is>
          <t xml:space="preserve">str_to_arr</t>
        </is>
      </c>
      <c r="C720" t="inlineStr">
        <is>
          <t xml:space="preserve">str_to_arr!L14</t>
        </is>
      </c>
      <c r="D720" s="51" t="inlineStr">
        <is>
          <t xml:space="preserve">textnum</t>
        </is>
      </c>
      <c r="E720" t="inlineStr">
        <is>
          <t xml:space="preserve">str_to_arr(D14,(F14&amp;""))</t>
        </is>
      </c>
      <c r="F720" s="51" cm="1">
        <f t="array" ref="F720">_xlfn.LET(_xlpm.a,str_to_arr('str_to_arr'!D14,'str_to_arr'!F14),_xlpm.b,str_to_arr('str_to_arr'!D14,('str_to_arr'!F14&amp;"")),_xlpm.sa,IFERROR(ROWS(_xlpm.a)&amp;"x"&amp;COLUMNS(_xlpm.a),"err"),_xlpm.sb,IFERROR(ROWS(_xlpm.b)&amp;"x"&amp;COLUMNS(_xlpm.b),"err"),IF(_xlpm.sa&lt;&gt;_xlpm.sb,"FAIL",IF(_xlpm.sa="err",IF(ERROR.TYPE(_xlpm.a)=ERROR.TYPE(_xlpm.b),"PASS","FAIL"),IF(AND(IFERROR(_xlpm.a=_xlpm.b,IFERROR(ERROR.TYPE(_xlpm.a)=ERROR.TYPE(_xlpm.b),FALSE))),"PASS","FAIL"))))</f>
        <v>0</v>
      </c>
    </row>
    <row r="721">
      <c r="A721">
        <v>716</v>
      </c>
      <c r="B721" s="55" t="inlineStr">
        <is>
          <t xml:space="preserve">str_to_arr</t>
        </is>
      </c>
      <c r="C721" t="inlineStr">
        <is>
          <t xml:space="preserve">str_to_arr!L16</t>
        </is>
      </c>
      <c r="D721" s="51" t="inlineStr">
        <is>
          <t xml:space="preserve">blank</t>
        </is>
      </c>
      <c r="E721" t="inlineStr">
        <is>
          <t xml:space="preserve">str_to_arr(TOCOL(D16),shape_tests!$Z$1)</t>
        </is>
      </c>
      <c r="F721" s="51" cm="1">
        <f t="array" ref="F721">_xlfn.LET(_xlpm.a,str_to_arr(_xlfn.TOCOL('str_to_arr'!D16)),_xlpm.b,str_to_arr(_xlfn.TOCOL('str_to_arr'!D16),shape_tests!$Z$1),_xlpm.sa,IFERROR(ROWS(_xlpm.a)&amp;"x"&amp;COLUMNS(_xlpm.a),"err"),_xlpm.sb,IFERROR(ROWS(_xlpm.b)&amp;"x"&amp;COLUMNS(_xlpm.b),"err"),IF(_xlpm.sa&lt;&gt;_xlpm.sb,"FAIL",IF(_xlpm.sa="err",IF(ERROR.TYPE(_xlpm.a)=ERROR.TYPE(_xlpm.b),"PASS","FAIL"),IF(AND(IFERROR(_xlpm.a=_xlpm.b,IFERROR(ERROR.TYPE(_xlpm.a)=ERROR.TYPE(_xlpm.b),FALSE))),"PASS","FAIL"))))</f>
        <v>0</v>
      </c>
    </row>
    <row r="722">
      <c r="A722">
        <v>717</v>
      </c>
      <c r="B722" s="55" t="inlineStr">
        <is>
          <t xml:space="preserve">streak</t>
        </is>
      </c>
      <c r="C722" t="inlineStr">
        <is>
          <t xml:space="preserve">streak!L16</t>
        </is>
      </c>
      <c r="D722" s="51" t="inlineStr">
        <is>
          <t xml:space="preserve">array</t>
        </is>
      </c>
      <c r="E722" t="inlineStr">
        <is>
          <t xml:space="preserve">streak(CHOOSEROWS(D16:E17,SEQUENCE(ROWS(D16:E17))))</t>
        </is>
      </c>
      <c r="F722" s="51" cm="1">
        <f t="array" ref="F722">_xlfn.LET(_xlpm.a,streak('streak'!D16:E17),_xlpm.b,streak(_xlfn.CHOOSEROWS('streak'!D16:E17,_xlfn.SEQUENCE(ROWS('streak'!D16:E17)))),_xlpm.sa,IFERROR(ROWS(_xlpm.a)&amp;"x"&amp;COLUMNS(_xlpm.a),"err"),_xlpm.sb,IFERROR(ROWS(_xlpm.b)&amp;"x"&amp;COLUMNS(_xlpm.b),"err"),IF(_xlpm.sa&lt;&gt;_xlpm.sb,"FAIL",IF(_xlpm.sa="err",IF(ERROR.TYPE(_xlpm.a)=ERROR.TYPE(_xlpm.b),"PASS","FAIL"),IF(AND(IFERROR(_xlpm.a=_xlpm.b,IFERROR(ERROR.TYPE(_xlpm.a)=ERROR.TYPE(_xlpm.b),FALSE))),"PASS","FAIL"))))</f>
        <v>0</v>
      </c>
    </row>
    <row r="723">
      <c r="A723">
        <v>718</v>
      </c>
      <c r="B723" s="55" t="inlineStr">
        <is>
          <t xml:space="preserve">streak</t>
        </is>
      </c>
      <c r="C723" t="inlineStr">
        <is>
          <t xml:space="preserve">streak!L20</t>
        </is>
      </c>
      <c r="D723" s="51" t="inlineStr">
        <is>
          <t xml:space="preserve">array</t>
        </is>
      </c>
      <c r="E723" t="inlineStr">
        <is>
          <t xml:space="preserve">streak(CHOOSEROWS(D20:D22,SEQUENCE(ROWS(D20:D22))))</t>
        </is>
      </c>
      <c r="F723" s="51" cm="1">
        <f t="array" ref="F723">_xlfn.LET(_xlpm.a,streak('streak'!D20:D22),_xlpm.b,streak(_xlfn.CHOOSEROWS('streak'!D20:D22,_xlfn.SEQUENCE(ROWS('streak'!D20:D22)))),_xlpm.sa,IFERROR(ROWS(_xlpm.a)&amp;"x"&amp;COLUMNS(_xlpm.a),"err"),_xlpm.sb,IFERROR(ROWS(_xlpm.b)&amp;"x"&amp;COLUMNS(_xlpm.b),"err"),IF(_xlpm.sa&lt;&gt;_xlpm.sb,"FAIL",IF(_xlpm.sa="err",IF(ERROR.TYPE(_xlpm.a)=ERROR.TYPE(_xlpm.b),"PASS","FAIL"),IF(AND(IFERROR(_xlpm.a=_xlpm.b,IFERROR(ERROR.TYPE(_xlpm.a)=ERROR.TYPE(_xlpm.b),FALSE))),"PASS","FAIL"))))</f>
        <v>0</v>
      </c>
    </row>
    <row r="724">
      <c r="A724">
        <v>719</v>
      </c>
      <c r="B724" s="55" t="inlineStr">
        <is>
          <t xml:space="preserve">streak</t>
        </is>
      </c>
      <c r="C724" t="inlineStr">
        <is>
          <t xml:space="preserve">streak!L25</t>
        </is>
      </c>
      <c r="D724" s="51" t="inlineStr">
        <is>
          <t xml:space="preserve">array</t>
        </is>
      </c>
      <c r="E724" t="inlineStr">
        <is>
          <t xml:space="preserve">streak(CHOOSEROWS(D25:D27,SEQUENCE(ROWS(D25:D27))))</t>
        </is>
      </c>
      <c r="F724" s="51" cm="1">
        <f t="array" ref="F724">_xlfn.LET(_xlpm.a,streak('streak'!D25:D27),_xlpm.b,streak(_xlfn.CHOOSEROWS('streak'!D25:D27,_xlfn.SEQUENCE(ROWS('streak'!D25:D27)))),_xlpm.sa,IFERROR(ROWS(_xlpm.a)&amp;"x"&amp;COLUMNS(_xlpm.a),"err"),_xlpm.sb,IFERROR(ROWS(_xlpm.b)&amp;"x"&amp;COLUMNS(_xlpm.b),"err"),IF(_xlpm.sa&lt;&gt;_xlpm.sb,"FAIL",IF(_xlpm.sa="err",IF(ERROR.TYPE(_xlpm.a)=ERROR.TYPE(_xlpm.b),"PASS","FAIL"),IF(AND(IFERROR(_xlpm.a=_xlpm.b,IFERROR(ERROR.TYPE(_xlpm.a)=ERROR.TYPE(_xlpm.b),FALSE))),"PASS","FAIL"))))</f>
        <v>0</v>
      </c>
    </row>
    <row r="725">
      <c r="A725">
        <v>720</v>
      </c>
      <c r="B725" s="55" t="inlineStr">
        <is>
          <t xml:space="preserve">streak</t>
        </is>
      </c>
      <c r="C725" t="inlineStr">
        <is>
          <t xml:space="preserve">streak!L30</t>
        </is>
      </c>
      <c r="D725" s="51" t="inlineStr">
        <is>
          <t xml:space="preserve">array</t>
        </is>
      </c>
      <c r="E725" t="inlineStr">
        <is>
          <t xml:space="preserve">COLUMNS(streak(CHOOSEROWS(D30:F30,SEQUENCE(ROWS(D30:F30)))))</t>
        </is>
      </c>
      <c r="F725" s="51" cm="1">
        <f t="array" ref="F725">_xlfn.LET(_xlpm.a,COLUMNS(streak('streak'!D30:F30)),_xlpm.b,COLUMNS(streak(_xlfn.CHOOSEROWS('streak'!D30:F30,_xlfn.SEQUENCE(ROWS('streak'!D30:F30))))),_xlpm.sa,IFERROR(ROWS(_xlpm.a)&amp;"x"&amp;COLUMNS(_xlpm.a),"err"),_xlpm.sb,IFERROR(ROWS(_xlpm.b)&amp;"x"&amp;COLUMNS(_xlpm.b),"err"),IF(_xlpm.sa&lt;&gt;_xlpm.sb,"FAIL",IF(_xlpm.sa="err",IF(ERROR.TYPE(_xlpm.a)=ERROR.TYPE(_xlpm.b),"PASS","FAIL"),IF(AND(IFERROR(_xlpm.a=_xlpm.b,IFERROR(ERROR.TYPE(_xlpm.a)=ERROR.TYPE(_xlpm.b),FALSE))),"PASS","FAIL"))))</f>
        <v>0</v>
      </c>
    </row>
    <row r="726">
      <c r="A726">
        <v>721</v>
      </c>
      <c r="B726" s="55" t="inlineStr">
        <is>
          <t xml:space="preserve">textbetween</t>
        </is>
      </c>
      <c r="C726" t="inlineStr">
        <is>
          <t xml:space="preserve">textbetween!L6</t>
        </is>
      </c>
      <c r="D726" s="51" t="inlineStr">
        <is>
          <t xml:space="preserve">tocol</t>
        </is>
      </c>
      <c r="E726" t="inlineStr">
        <is>
          <t xml:space="preserve">textbetween(TOCOL(D6),TOCOL(F6),TOCOL(H6))</t>
        </is>
      </c>
      <c r="F726" s="51" cm="1">
        <f t="array" ref="F726">_xlfn.LET(_xlpm.a,textbetween('textbetween'!D6,'textbetween'!F6,'textbetween'!H6),_xlpm.b,textbetween(_xlfn.TOCOL('textbetween'!D6),_xlfn.TOCOL('textbetween'!F6),_xlfn.TOCOL('textbetween'!H6)),_xlpm.sa,IFERROR(ROWS(_xlpm.a)&amp;"x"&amp;COLUMNS(_xlpm.a),"err"),_xlpm.sb,IFERROR(ROWS(_xlpm.b)&amp;"x"&amp;COLUMNS(_xlpm.b),"err"),IF(_xlpm.sa&lt;&gt;_xlpm.sb,"FAIL",IF(_xlpm.sa="err",IF(ERROR.TYPE(_xlpm.a)=ERROR.TYPE(_xlpm.b),"PASS","FAIL"),IF(AND(IFERROR(_xlpm.a=_xlpm.b,IFERROR(ERROR.TYPE(_xlpm.a)=ERROR.TYPE(_xlpm.b),FALSE))),"PASS","FAIL"))))</f>
        <v>0</v>
      </c>
    </row>
    <row r="727">
      <c r="A727">
        <v>722</v>
      </c>
      <c r="B727" s="55" t="inlineStr">
        <is>
          <t xml:space="preserve">textbetween</t>
        </is>
      </c>
      <c r="C727" t="inlineStr">
        <is>
          <t xml:space="preserve">textbetween!L8</t>
        </is>
      </c>
      <c r="D727" s="51" t="inlineStr">
        <is>
          <t xml:space="preserve">tocol</t>
        </is>
      </c>
      <c r="E727" t="inlineStr">
        <is>
          <t xml:space="preserve">textbetween(TOCOL(D8),TOCOL(F8),TOCOL(H8))</t>
        </is>
      </c>
      <c r="F727" s="51" cm="1">
        <f t="array" ref="F727">_xlfn.LET(_xlpm.a,textbetween('textbetween'!D8,'textbetween'!F8,'textbetween'!H8),_xlpm.b,textbetween(_xlfn.TOCOL('textbetween'!D8),_xlfn.TOCOL('textbetween'!F8),_xlfn.TOCOL('textbetween'!H8)),_xlpm.sa,IFERROR(ROWS(_xlpm.a)&amp;"x"&amp;COLUMNS(_xlpm.a),"err"),_xlpm.sb,IFERROR(ROWS(_xlpm.b)&amp;"x"&amp;COLUMNS(_xlpm.b),"err"),IF(_xlpm.sa&lt;&gt;_xlpm.sb,"FAIL",IF(_xlpm.sa="err",IF(ERROR.TYPE(_xlpm.a)=ERROR.TYPE(_xlpm.b),"PASS","FAIL"),IF(AND(IFERROR(_xlpm.a=_xlpm.b,IFERROR(ERROR.TYPE(_xlpm.a)=ERROR.TYPE(_xlpm.b),FALSE))),"PASS","FAIL"))))</f>
        <v>0</v>
      </c>
    </row>
    <row r="728">
      <c r="A728">
        <v>723</v>
      </c>
      <c r="B728" s="55" t="inlineStr">
        <is>
          <t xml:space="preserve">textbetween</t>
        </is>
      </c>
      <c r="C728" t="inlineStr">
        <is>
          <t xml:space="preserve">textbetween!L10</t>
        </is>
      </c>
      <c r="D728" s="51" t="inlineStr">
        <is>
          <t xml:space="preserve">tocol</t>
        </is>
      </c>
      <c r="E728" t="inlineStr">
        <is>
          <t xml:space="preserve">textbetween(TOCOL(D10),TOCOL(F10),TOCOL(H10))</t>
        </is>
      </c>
      <c r="F728" s="51" cm="1">
        <f t="array" ref="F728">_xlfn.LET(_xlpm.a,textbetween('textbetween'!D10,'textbetween'!F10,'textbetween'!H10),_xlpm.b,textbetween(_xlfn.TOCOL('textbetween'!D10),_xlfn.TOCOL('textbetween'!F10),_xlfn.TOCOL('textbetween'!H10)),_xlpm.sa,IFERROR(ROWS(_xlpm.a)&amp;"x"&amp;COLUMNS(_xlpm.a),"err"),_xlpm.sb,IFERROR(ROWS(_xlpm.b)&amp;"x"&amp;COLUMNS(_xlpm.b),"err"),IF(_xlpm.sa&lt;&gt;_xlpm.sb,"FAIL",IF(_xlpm.sa="err",IF(ERROR.TYPE(_xlpm.a)=ERROR.TYPE(_xlpm.b),"PASS","FAIL"),IF(AND(IFERROR(_xlpm.a=_xlpm.b,IFERROR(ERROR.TYPE(_xlpm.a)=ERROR.TYPE(_xlpm.b),FALSE))),"PASS","FAIL"))))</f>
        <v>0</v>
      </c>
    </row>
    <row r="729">
      <c r="A729">
        <v>724</v>
      </c>
      <c r="B729" s="55" t="inlineStr">
        <is>
          <t xml:space="preserve">textbetween</t>
        </is>
      </c>
      <c r="C729" t="inlineStr">
        <is>
          <t xml:space="preserve">textbetween!J12</t>
        </is>
      </c>
      <c r="D729" s="51" t="inlineStr">
        <is>
          <t xml:space="preserve">tocol</t>
        </is>
      </c>
      <c r="E729" t="inlineStr">
        <is>
          <t xml:space="preserve">textbetween(TOCOL(D12),TOCOL(F12),TOCOL(H12))</t>
        </is>
      </c>
      <c r="F729" s="51" cm="1">
        <f t="array" ref="F729">_xlfn.LET(_xlpm.a,textbetween('textbetween'!D12,'textbetween'!F12,'textbetween'!H12),_xlpm.b,textbetween(_xlfn.TOCOL('textbetween'!D12),_xlfn.TOCOL('textbetween'!F12),_xlfn.TOCOL('textbetween'!H12)),_xlpm.sa,IFERROR(ROWS(_xlpm.a)&amp;"x"&amp;COLUMNS(_xlpm.a),"err"),_xlpm.sb,IFERROR(ROWS(_xlpm.b)&amp;"x"&amp;COLUMNS(_xlpm.b),"err"),IF(_xlpm.sa&lt;&gt;_xlpm.sb,"FAIL",IF(_xlpm.sa="err",IF(ERROR.TYPE(_xlpm.a)=ERROR.TYPE(_xlpm.b),"PASS","FAIL"),IF(AND(IFERROR(_xlpm.a=_xlpm.b,IFERROR(ERROR.TYPE(_xlpm.a)=ERROR.TYPE(_xlpm.b),FALSE))),"PASS","FAIL"))))</f>
        <v>0</v>
      </c>
    </row>
    <row r="730">
      <c r="A730">
        <v>725</v>
      </c>
      <c r="B730" s="55" t="inlineStr">
        <is>
          <t xml:space="preserve">textbetween</t>
        </is>
      </c>
      <c r="C730" t="inlineStr">
        <is>
          <t xml:space="preserve">textbetween!L14</t>
        </is>
      </c>
      <c r="D730" s="51" t="inlineStr">
        <is>
          <t xml:space="preserve">tocol</t>
        </is>
      </c>
      <c r="E730" t="inlineStr">
        <is>
          <t xml:space="preserve">textbetween(D14:D15,TOCOL(F14),TOCOL(H14))</t>
        </is>
      </c>
      <c r="F730" s="51" cm="1">
        <f t="array" ref="F730">_xlfn.LET(_xlpm.a,textbetween('textbetween'!D14:D15,'textbetween'!F14,'textbetween'!H14),_xlpm.b,textbetween('textbetween'!D14:D15,_xlfn.TOCOL('textbetween'!F14),_xlfn.TOCOL('textbetween'!H14)),_xlpm.sa,IFERROR(ROWS(_xlpm.a)&amp;"x"&amp;COLUMNS(_xlpm.a),"err"),_xlpm.sb,IFERROR(ROWS(_xlpm.b)&amp;"x"&amp;COLUMNS(_xlpm.b),"err"),IF(_xlpm.sa&lt;&gt;_xlpm.sb,"FAIL",IF(_xlpm.sa="err",IF(ERROR.TYPE(_xlpm.a)=ERROR.TYPE(_xlpm.b),"PASS","FAIL"),IF(AND(IFERROR(_xlpm.a=_xlpm.b,IFERROR(ERROR.TYPE(_xlpm.a)=ERROR.TYPE(_xlpm.b),FALSE))),"PASS","FAIL"))))</f>
        <v>0</v>
      </c>
    </row>
    <row r="731">
      <c r="A731">
        <v>726</v>
      </c>
      <c r="B731" s="55" t="inlineStr">
        <is>
          <t xml:space="preserve">transform_array</t>
        </is>
      </c>
      <c r="C731" t="inlineStr">
        <is>
          <t xml:space="preserve">transform_array!M6</t>
        </is>
      </c>
      <c r="D731" s="51" t="inlineStr">
        <is>
          <t xml:space="preserve">tocol</t>
        </is>
      </c>
      <c r="E731" t="inlineStr">
        <is>
          <t xml:space="preserve">transform_array(D6:E7,TOCOL(G6))</t>
        </is>
      </c>
      <c r="F731" s="51" cm="1">
        <f t="array" ref="F731">_xlfn.LET(_xlpm.a,transform_array('transform_array'!D6:E7,'transform_array'!G6),_xlpm.b,transform_array('transform_array'!D6:E7,_xlfn.TOCOL('transform_array'!G6)),_xlpm.sa,IFERROR(ROWS(_xlpm.a)&amp;"x"&amp;COLUMNS(_xlpm.a),"err"),_xlpm.sb,IFERROR(ROWS(_xlpm.b)&amp;"x"&amp;COLUMNS(_xlpm.b),"err"),IF(_xlpm.sa&lt;&gt;_xlpm.sb,"FAIL",IF(_xlpm.sa="err",IF(ERROR.TYPE(_xlpm.a)=ERROR.TYPE(_xlpm.b),"PASS","FAIL"),IF(AND(IFERROR(_xlpm.a=_xlpm.b,IFERROR(ERROR.TYPE(_xlpm.a)=ERROR.TYPE(_xlpm.b),FALSE))),"PASS","FAIL"))))</f>
        <v>0</v>
      </c>
    </row>
    <row r="732">
      <c r="A732">
        <v>727</v>
      </c>
      <c r="B732" s="55" t="inlineStr">
        <is>
          <t xml:space="preserve">transform_array</t>
        </is>
      </c>
      <c r="C732" t="inlineStr">
        <is>
          <t xml:space="preserve">transform_array!M9</t>
        </is>
      </c>
      <c r="D732" s="51" t="inlineStr">
        <is>
          <t xml:space="preserve">tocol</t>
        </is>
      </c>
      <c r="E732" t="inlineStr">
        <is>
          <t xml:space="preserve">transform_array(D9:E10,TOCOL(G9))</t>
        </is>
      </c>
      <c r="F732" s="51" cm="1">
        <f t="array" ref="F732">_xlfn.LET(_xlpm.a,transform_array('transform_array'!D9:E10,'transform_array'!G9),_xlpm.b,transform_array('transform_array'!D9:E10,_xlfn.TOCOL('transform_array'!G9)),_xlpm.sa,IFERROR(ROWS(_xlpm.a)&amp;"x"&amp;COLUMNS(_xlpm.a),"err"),_xlpm.sb,IFERROR(ROWS(_xlpm.b)&amp;"x"&amp;COLUMNS(_xlpm.b),"err"),IF(_xlpm.sa&lt;&gt;_xlpm.sb,"FAIL",IF(_xlpm.sa="err",IF(ERROR.TYPE(_xlpm.a)=ERROR.TYPE(_xlpm.b),"PASS","FAIL"),IF(AND(IFERROR(_xlpm.a=_xlpm.b,IFERROR(ERROR.TYPE(_xlpm.a)=ERROR.TYPE(_xlpm.b),FALSE))),"PASS","FAIL"))))</f>
        <v>0</v>
      </c>
    </row>
    <row r="733">
      <c r="A733">
        <v>728</v>
      </c>
      <c r="B733" s="55" t="inlineStr">
        <is>
          <t xml:space="preserve">transform_array</t>
        </is>
      </c>
      <c r="C733" t="inlineStr">
        <is>
          <t xml:space="preserve">transform_array!M12</t>
        </is>
      </c>
      <c r="D733" s="51" t="inlineStr">
        <is>
          <t xml:space="preserve">tocol</t>
        </is>
      </c>
      <c r="E733" t="inlineStr">
        <is>
          <t xml:space="preserve">transform_array(D12:E13,TOCOL(G12))</t>
        </is>
      </c>
      <c r="F733" s="51" cm="1">
        <f t="array" ref="F733">_xlfn.LET(_xlpm.a,transform_array('transform_array'!D12:E13,'transform_array'!G12),_xlpm.b,transform_array('transform_array'!D12:E13,_xlfn.TOCOL('transform_array'!G12)),_xlpm.sa,IFERROR(ROWS(_xlpm.a)&amp;"x"&amp;COLUMNS(_xlpm.a),"err"),_xlpm.sb,IFERROR(ROWS(_xlpm.b)&amp;"x"&amp;COLUMNS(_xlpm.b),"err"),IF(_xlpm.sa&lt;&gt;_xlpm.sb,"FAIL",IF(_xlpm.sa="err",IF(ERROR.TYPE(_xlpm.a)=ERROR.TYPE(_xlpm.b),"PASS","FAIL"),IF(AND(IFERROR(_xlpm.a=_xlpm.b,IFERROR(ERROR.TYPE(_xlpm.a)=ERROR.TYPE(_xlpm.b),FALSE))),"PASS","FAIL"))))</f>
        <v>0</v>
      </c>
    </row>
    <row r="734">
      <c r="A734">
        <v>729</v>
      </c>
      <c r="B734" s="55" t="inlineStr">
        <is>
          <t xml:space="preserve">transform_array</t>
        </is>
      </c>
      <c r="C734" t="inlineStr">
        <is>
          <t xml:space="preserve">transform_array!M15</t>
        </is>
      </c>
      <c r="D734" s="51" t="inlineStr">
        <is>
          <t xml:space="preserve">tocol</t>
        </is>
      </c>
      <c r="E734" t="inlineStr">
        <is>
          <t xml:space="preserve">transform_array(D15:E16,TOCOL(G15))</t>
        </is>
      </c>
      <c r="F734" s="51" cm="1">
        <f t="array" ref="F734">_xlfn.LET(_xlpm.a,transform_array('transform_array'!D15:E16,'transform_array'!G15),_xlpm.b,transform_array('transform_array'!D15:E16,_xlfn.TOCOL('transform_array'!G15)),_xlpm.sa,IFERROR(ROWS(_xlpm.a)&amp;"x"&amp;COLUMNS(_xlpm.a),"err"),_xlpm.sb,IFERROR(ROWS(_xlpm.b)&amp;"x"&amp;COLUMNS(_xlpm.b),"err"),IF(_xlpm.sa&lt;&gt;_xlpm.sb,"FAIL",IF(_xlpm.sa="err",IF(ERROR.TYPE(_xlpm.a)=ERROR.TYPE(_xlpm.b),"PASS","FAIL"),IF(AND(IFERROR(_xlpm.a=_xlpm.b,IFERROR(ERROR.TYPE(_xlpm.a)=ERROR.TYPE(_xlpm.b),FALSE))),"PASS","FAIL"))))</f>
        <v>0</v>
      </c>
    </row>
    <row r="735">
      <c r="A735">
        <v>730</v>
      </c>
      <c r="B735" s="55" t="inlineStr">
        <is>
          <t xml:space="preserve">transform_array</t>
        </is>
      </c>
      <c r="C735" t="inlineStr">
        <is>
          <t xml:space="preserve">transform_array!M18</t>
        </is>
      </c>
      <c r="D735" s="51" t="inlineStr">
        <is>
          <t xml:space="preserve">tocol</t>
        </is>
      </c>
      <c r="E735" t="inlineStr">
        <is>
          <t xml:space="preserve">transform_array(D18:E19,TOCOL(G18))</t>
        </is>
      </c>
      <c r="F735" s="51" cm="1">
        <f t="array" ref="F735">_xlfn.LET(_xlpm.a,transform_array('transform_array'!D18:E19,'transform_array'!G18),_xlpm.b,transform_array('transform_array'!D18:E19,_xlfn.TOCOL('transform_array'!G18)),_xlpm.sa,IFERROR(ROWS(_xlpm.a)&amp;"x"&amp;COLUMNS(_xlpm.a),"err"),_xlpm.sb,IFERROR(ROWS(_xlpm.b)&amp;"x"&amp;COLUMNS(_xlpm.b),"err"),IF(_xlpm.sa&lt;&gt;_xlpm.sb,"FAIL",IF(_xlpm.sa="err",IF(ERROR.TYPE(_xlpm.a)=ERROR.TYPE(_xlpm.b),"PASS","FAIL"),IF(AND(IFERROR(_xlpm.a=_xlpm.b,IFERROR(ERROR.TYPE(_xlpm.a)=ERROR.TYPE(_xlpm.b),FALSE))),"PASS","FAIL"))))</f>
        <v>0</v>
      </c>
    </row>
    <row r="736">
      <c r="A736">
        <v>731</v>
      </c>
      <c r="B736" s="55" t="inlineStr">
        <is>
          <t xml:space="preserve">transform_array</t>
        </is>
      </c>
      <c r="C736" t="inlineStr">
        <is>
          <t xml:space="preserve">transform_array!M21</t>
        </is>
      </c>
      <c r="D736" s="51" t="inlineStr">
        <is>
          <t xml:space="preserve">tocol</t>
        </is>
      </c>
      <c r="E736" t="inlineStr">
        <is>
          <t xml:space="preserve">transform_array(D21:F22,TOCOL(H21))</t>
        </is>
      </c>
      <c r="F736" s="51" cm="1">
        <f t="array" ref="F736">_xlfn.LET(_xlpm.a,transform_array('transform_array'!D21:F22,'transform_array'!H21),_xlpm.b,transform_array('transform_array'!D21:F22,_xlfn.TOCOL('transform_array'!H21)),_xlpm.sa,IFERROR(ROWS(_xlpm.a)&amp;"x"&amp;COLUMNS(_xlpm.a),"err"),_xlpm.sb,IFERROR(ROWS(_xlpm.b)&amp;"x"&amp;COLUMNS(_xlpm.b),"err"),IF(_xlpm.sa&lt;&gt;_xlpm.sb,"FAIL",IF(_xlpm.sa="err",IF(ERROR.TYPE(_xlpm.a)=ERROR.TYPE(_xlpm.b),"PASS","FAIL"),IF(AND(IFERROR(_xlpm.a=_xlpm.b,IFERROR(ERROR.TYPE(_xlpm.a)=ERROR.TYPE(_xlpm.b),FALSE))),"PASS","FAIL"))))</f>
        <v>0</v>
      </c>
    </row>
    <row r="737">
      <c r="A737">
        <v>732</v>
      </c>
      <c r="B737" s="55" t="inlineStr">
        <is>
          <t xml:space="preserve">transform_array</t>
        </is>
      </c>
      <c r="C737" t="inlineStr">
        <is>
          <t xml:space="preserve">transform_array!M25</t>
        </is>
      </c>
      <c r="D737" s="51" t="inlineStr">
        <is>
          <t xml:space="preserve">tocol</t>
        </is>
      </c>
      <c r="E737" t="inlineStr">
        <is>
          <t xml:space="preserve">transform_array({1,2;3,4},TOCOL("Z"))</t>
        </is>
      </c>
      <c r="F737" s="51" cm="1">
        <f t="array" ref="F737">_xlfn.LET(_xlpm.a,transform_array({1,2;3,4},"Z"),_xlpm.b,transform_array({1,2;3,4},_xlfn.TOCOL("Z")),_xlpm.sa,IFERROR(ROWS(_xlpm.a)&amp;"x"&amp;COLUMNS(_xlpm.a),"err"),_xlpm.sb,IFERROR(ROWS(_xlpm.b)&amp;"x"&amp;COLUMNS(_xlpm.b),"err"),IF(_xlpm.sa&lt;&gt;_xlpm.sb,"FAIL",IF(_xlpm.sa="err",IF(ERROR.TYPE(_xlpm.a)=ERROR.TYPE(_xlpm.b),"PASS","FAIL"),IF(AND(IFERROR(_xlpm.a=_xlpm.b,IFERROR(ERROR.TYPE(_xlpm.a)=ERROR.TYPE(_xlpm.b),FALSE))),"PASS","FAIL"))))</f>
        <v>0</v>
      </c>
    </row>
    <row r="738">
      <c r="A738">
        <v>733</v>
      </c>
      <c r="B738" s="55" t="inlineStr">
        <is>
          <t xml:space="preserve">transform_array</t>
        </is>
      </c>
      <c r="C738" t="inlineStr">
        <is>
          <t xml:space="preserve">transform_array!M25</t>
        </is>
      </c>
      <c r="D738" s="51" t="inlineStr">
        <is>
          <t xml:space="preserve">cellref</t>
        </is>
      </c>
      <c r="E738" t="inlineStr">
        <is>
          <t xml:space="preserve">transform_array({1,2;3,4},shape_tests!$H$738)</t>
        </is>
      </c>
      <c r="F738" s="51" cm="1">
        <f t="array" ref="F738">_xlfn.LET(_xlpm.a,transform_array({1,2;3,4},"Z"),_xlpm.b,transform_array({1,2;3,4},shape_tests!$H$738),_xlpm.sa,IFERROR(ROWS(_xlpm.a)&amp;"x"&amp;COLUMNS(_xlpm.a),"err"),_xlpm.sb,IFERROR(ROWS(_xlpm.b)&amp;"x"&amp;COLUMNS(_xlpm.b),"err"),IF(_xlpm.sa&lt;&gt;_xlpm.sb,"FAIL",IF(_xlpm.sa="err",IF(ERROR.TYPE(_xlpm.a)=ERROR.TYPE(_xlpm.b),"PASS","FAIL"),IF(AND(IFERROR(_xlpm.a=_xlpm.b,IFERROR(ERROR.TYPE(_xlpm.a)=ERROR.TYPE(_xlpm.b),FALSE))),"PASS","FAIL"))))</f>
        <v>0</v>
      </c>
      <c r="H738" t="inlineStr">
        <is>
          <t xml:space="preserve">Z</t>
        </is>
      </c>
    </row>
    <row r="739">
      <c r="A739">
        <v>734</v>
      </c>
      <c r="B739" s="55" t="inlineStr">
        <is>
          <t xml:space="preserve">update_arr</t>
        </is>
      </c>
      <c r="C739" t="inlineStr">
        <is>
          <t xml:space="preserve">update_arr!R6</t>
        </is>
      </c>
      <c r="D739" s="51" t="inlineStr">
        <is>
          <t xml:space="preserve">tocol</t>
        </is>
      </c>
      <c r="E739" t="inlineStr">
        <is>
          <t xml:space="preserve">update_arr(D6:E7,TOCOL(G6),TOCOL(I6),TOCOL(K6))</t>
        </is>
      </c>
      <c r="F739" s="51" cm="1">
        <f t="array" ref="F739">_xlfn.LET(_xlpm.a,update_arr('update_arr'!D6:E7,'update_arr'!G6,'update_arr'!I6,'update_arr'!K6),_xlpm.b,update_arr('update_arr'!D6:E7,_xlfn.TOCOL('update_arr'!G6),_xlfn.TOCOL('update_arr'!I6),_xlfn.TOCOL('update_arr'!K6)),_xlpm.sa,IFERROR(ROWS(_xlpm.a)&amp;"x"&amp;COLUMNS(_xlpm.a),"err"),_xlpm.sb,IFERROR(ROWS(_xlpm.b)&amp;"x"&amp;COLUMNS(_xlpm.b),"err"),IF(_xlpm.sa&lt;&gt;_xlpm.sb,"FAIL",IF(_xlpm.sa="err",IF(ERROR.TYPE(_xlpm.a)=ERROR.TYPE(_xlpm.b),"PASS","FAIL"),IF(AND(IFERROR(_xlpm.a=_xlpm.b,IFERROR(ERROR.TYPE(_xlpm.a)=ERROR.TYPE(_xlpm.b),FALSE))),"PASS","FAIL"))))</f>
        <v>0</v>
      </c>
    </row>
    <row r="740">
      <c r="A740">
        <v>735</v>
      </c>
      <c r="B740" s="55" t="inlineStr">
        <is>
          <t xml:space="preserve">update_arr</t>
        </is>
      </c>
      <c r="C740" t="inlineStr">
        <is>
          <t xml:space="preserve">update_arr!R6</t>
        </is>
      </c>
      <c r="D740" s="51" t="inlineStr">
        <is>
          <t xml:space="preserve">textnum</t>
        </is>
      </c>
      <c r="E740" t="inlineStr">
        <is>
          <t xml:space="preserve">update_arr(D6:E7,(G6&amp;""),(I6&amp;""),K6)</t>
        </is>
      </c>
      <c r="F740" s="51" cm="1">
        <f t="array" ref="F740">_xlfn.LET(_xlpm.a,update_arr('update_arr'!D6:E7,'update_arr'!G6,'update_arr'!I6,'update_arr'!K6),_xlpm.b,update_arr('update_arr'!D6:E7,('update_arr'!G6&amp;""),('update_arr'!I6&amp;""),'update_arr'!K6),_xlpm.sa,IFERROR(ROWS(_xlpm.a)&amp;"x"&amp;COLUMNS(_xlpm.a),"err"),_xlpm.sb,IFERROR(ROWS(_xlpm.b)&amp;"x"&amp;COLUMNS(_xlpm.b),"err"),IF(_xlpm.sa&lt;&gt;_xlpm.sb,"FAIL",IF(_xlpm.sa="err",IF(ERROR.TYPE(_xlpm.a)=ERROR.TYPE(_xlpm.b),"PASS","FAIL"),IF(AND(IFERROR(_xlpm.a=_xlpm.b,IFERROR(ERROR.TYPE(_xlpm.a)=ERROR.TYPE(_xlpm.b),FALSE))),"PASS","FAIL"))))</f>
        <v>0</v>
      </c>
    </row>
    <row r="741">
      <c r="A741">
        <v>736</v>
      </c>
      <c r="B741" s="55" t="inlineStr">
        <is>
          <t xml:space="preserve">update_arr</t>
        </is>
      </c>
      <c r="C741" t="inlineStr">
        <is>
          <t xml:space="preserve">update_arr!R9</t>
        </is>
      </c>
      <c r="D741" s="51" t="inlineStr">
        <is>
          <t xml:space="preserve">tocol</t>
        </is>
      </c>
      <c r="E741" t="inlineStr">
        <is>
          <t xml:space="preserve">update_arr(D9:F9,TOCOL(H9),TOCOL(J9),TOCOL(L9))</t>
        </is>
      </c>
      <c r="F741" s="51" cm="1">
        <f t="array" ref="F741">_xlfn.LET(_xlpm.a,update_arr('update_arr'!D9:F9,'update_arr'!H9,'update_arr'!J9,'update_arr'!L9),_xlpm.b,update_arr('update_arr'!D9:F9,_xlfn.TOCOL('update_arr'!H9),_xlfn.TOCOL('update_arr'!J9),_xlfn.TOCOL('update_arr'!L9)),_xlpm.sa,IFERROR(ROWS(_xlpm.a)&amp;"x"&amp;COLUMNS(_xlpm.a),"err"),_xlpm.sb,IFERROR(ROWS(_xlpm.b)&amp;"x"&amp;COLUMNS(_xlpm.b),"err"),IF(_xlpm.sa&lt;&gt;_xlpm.sb,"FAIL",IF(_xlpm.sa="err",IF(ERROR.TYPE(_xlpm.a)=ERROR.TYPE(_xlpm.b),"PASS","FAIL"),IF(AND(IFERROR(_xlpm.a=_xlpm.b,IFERROR(ERROR.TYPE(_xlpm.a)=ERROR.TYPE(_xlpm.b),FALSE))),"PASS","FAIL"))))</f>
        <v>0</v>
      </c>
    </row>
    <row r="742">
      <c r="A742">
        <v>737</v>
      </c>
      <c r="B742" s="55" t="inlineStr">
        <is>
          <t xml:space="preserve">update_arr</t>
        </is>
      </c>
      <c r="C742" t="inlineStr">
        <is>
          <t xml:space="preserve">update_arr!R9</t>
        </is>
      </c>
      <c r="D742" s="51" t="inlineStr">
        <is>
          <t xml:space="preserve">textnum</t>
        </is>
      </c>
      <c r="E742" t="inlineStr">
        <is>
          <t xml:space="preserve">update_arr(D9:F9,(H9&amp;""),(J9&amp;""),L9)</t>
        </is>
      </c>
      <c r="F742" s="51" cm="1">
        <f t="array" ref="F742">_xlfn.LET(_xlpm.a,update_arr('update_arr'!D9:F9,'update_arr'!H9,'update_arr'!J9,'update_arr'!L9),_xlpm.b,update_arr('update_arr'!D9:F9,('update_arr'!H9&amp;""),('update_arr'!J9&amp;""),'update_arr'!L9),_xlpm.sa,IFERROR(ROWS(_xlpm.a)&amp;"x"&amp;COLUMNS(_xlpm.a),"err"),_xlpm.sb,IFERROR(ROWS(_xlpm.b)&amp;"x"&amp;COLUMNS(_xlpm.b),"err"),IF(_xlpm.sa&lt;&gt;_xlpm.sb,"FAIL",IF(_xlpm.sa="err",IF(ERROR.TYPE(_xlpm.a)=ERROR.TYPE(_xlpm.b),"PASS","FAIL"),IF(AND(IFERROR(_xlpm.a=_xlpm.b,IFERROR(ERROR.TYPE(_xlpm.a)=ERROR.TYPE(_xlpm.b),FALSE))),"PASS","FAIL"))))</f>
        <v>0</v>
      </c>
    </row>
    <row r="743">
      <c r="A743">
        <v>738</v>
      </c>
      <c r="B743" s="55" t="inlineStr">
        <is>
          <t xml:space="preserve">update_arr</t>
        </is>
      </c>
      <c r="C743" t="inlineStr">
        <is>
          <t xml:space="preserve">update_arr!R9</t>
        </is>
      </c>
      <c r="D743" s="51" t="inlineStr">
        <is>
          <t xml:space="preserve">array</t>
        </is>
      </c>
      <c r="E743" t="inlineStr">
        <is>
          <t xml:space="preserve">update_arr(CHOOSEROWS(D9:F9,SEQUENCE(ROWS(D9:F9))),H9,J9,L9)</t>
        </is>
      </c>
      <c r="F743" s="51" cm="1">
        <f t="array" ref="F743">_xlfn.LET(_xlpm.a,update_arr('update_arr'!D9:F9,'update_arr'!H9,'update_arr'!J9,'update_arr'!L9),_xlpm.b,update_arr(_xlfn.CHOOSEROWS('update_arr'!D9:F9,_xlfn.SEQUENCE(ROWS('update_arr'!D9:F9))),'update_arr'!H9,'update_arr'!J9,'update_arr'!L9),_xlpm.sa,IFERROR(ROWS(_xlpm.a)&amp;"x"&amp;COLUMNS(_xlpm.a),"err"),_xlpm.sb,IFERROR(ROWS(_xlpm.b)&amp;"x"&amp;COLUMNS(_xlpm.b),"err"),IF(_xlpm.sa&lt;&gt;_xlpm.sb,"FAIL",IF(_xlpm.sa="err",IF(ERROR.TYPE(_xlpm.a)=ERROR.TYPE(_xlpm.b),"PASS","FAIL"),IF(AND(IFERROR(_xlpm.a=_xlpm.b,IFERROR(ERROR.TYPE(_xlpm.a)=ERROR.TYPE(_xlpm.b),FALSE))),"PASS","FAIL"))))</f>
        <v>0</v>
      </c>
    </row>
    <row r="744">
      <c r="A744">
        <v>739</v>
      </c>
      <c r="B744" s="55" t="inlineStr">
        <is>
          <t xml:space="preserve">xbycol</t>
        </is>
      </c>
      <c r="C744" t="inlineStr">
        <is>
          <t xml:space="preserve">xbycol!P6</t>
        </is>
      </c>
      <c r="D744" s="51" t="inlineStr">
        <is>
          <t xml:space="preserve">array</t>
        </is>
      </c>
      <c r="E744" t="inlineStr">
        <is>
          <t xml:space="preserve">xbycol(CHOOSEROWS(D6:F6,SEQUENCE(ROWS(D6:F6))),LAMBDA(x,x*10))</t>
        </is>
      </c>
      <c r="F744" s="51" cm="1">
        <f t="array" ref="F744">_xlfn.LET(_xlpm.a,xbycol('xbycol'!D6:F6,_xlfn.LAMBDA(_xlpm.x,_xlpm.x*10)),_xlpm.b,xbycol(_xlfn.CHOOSEROWS('xbycol'!D6:F6,_xlfn.SEQUENCE(ROWS('xbycol'!D6:F6))),_xlfn.LAMBDA(_xlpm.x,_xlpm.x*10)),_xlpm.sa,IFERROR(ROWS(_xlpm.a)&amp;"x"&amp;COLUMNS(_xlpm.a),"err"),_xlpm.sb,IFERROR(ROWS(_xlpm.b)&amp;"x"&amp;COLUMNS(_xlpm.b),"err"),IF(_xlpm.sa&lt;&gt;_xlpm.sb,"FAIL",IF(_xlpm.sa="err",IF(ERROR.TYPE(_xlpm.a)=ERROR.TYPE(_xlpm.b),"PASS","FAIL"),IF(AND(IFERROR(_xlpm.a=_xlpm.b,IFERROR(ERROR.TYPE(_xlpm.a)=ERROR.TYPE(_xlpm.b),FALSE))),"PASS","FAIL"))))</f>
        <v>0</v>
      </c>
    </row>
    <row r="745">
      <c r="A745">
        <v>740</v>
      </c>
      <c r="B745" s="55" t="inlineStr">
        <is>
          <t xml:space="preserve">xbycol</t>
        </is>
      </c>
      <c r="C745" t="inlineStr">
        <is>
          <t xml:space="preserve">xbycol!P9</t>
        </is>
      </c>
      <c r="D745" s="51" t="inlineStr">
        <is>
          <t xml:space="preserve">array</t>
        </is>
      </c>
      <c r="E745" t="inlineStr">
        <is>
          <t xml:space="preserve">xbycol(CHOOSEROWS(D9:F9,SEQUENCE(ROWS(D9:F9))),LAMBDA(x,SEQUENCE(2,1,x)))</t>
        </is>
      </c>
      <c r="F745" s="51" cm="1">
        <f t="array" ref="F745">_xlfn.LET(_xlpm.a,xbycol('xbycol'!D9:F9,_xlfn.LAMBDA(_xlpm.x,_xlfn.SEQUENCE(2,1,_xlpm.x))),_xlpm.b,xbycol(_xlfn.CHOOSEROWS('xbycol'!D9:F9,_xlfn.SEQUENCE(ROWS('xbycol'!D9:F9))),_xlfn.LAMBDA(_xlpm.x,_xlfn.SEQUENCE(2,1,_xlpm.x))),_xlpm.sa,IFERROR(ROWS(_xlpm.a)&amp;"x"&amp;COLUMNS(_xlpm.a),"err"),_xlpm.sb,IFERROR(ROWS(_xlpm.b)&amp;"x"&amp;COLUMNS(_xlpm.b),"err"),IF(_xlpm.sa&lt;&gt;_xlpm.sb,"FAIL",IF(_xlpm.sa="err",IF(ERROR.TYPE(_xlpm.a)=ERROR.TYPE(_xlpm.b),"PASS","FAIL"),IF(AND(IFERROR(_xlpm.a=_xlpm.b,IFERROR(ERROR.TYPE(_xlpm.a)=ERROR.TYPE(_xlpm.b),FALSE))),"PASS","FAIL"))))</f>
        <v>0</v>
      </c>
    </row>
    <row r="746">
      <c r="A746">
        <v>741</v>
      </c>
      <c r="B746" s="55" t="inlineStr">
        <is>
          <t xml:space="preserve">xbycol</t>
        </is>
      </c>
      <c r="C746" t="inlineStr">
        <is>
          <t xml:space="preserve">xbycol!P22</t>
        </is>
      </c>
      <c r="D746" s="51" t="inlineStr">
        <is>
          <t xml:space="preserve">array</t>
        </is>
      </c>
      <c r="E746" t="inlineStr">
        <is>
          <t xml:space="preserve">xbycol(CHOOSEROWS(D22:E22,SEQUENCE(ROWS(D22:E22))),LAMBDA(c,c))</t>
        </is>
      </c>
      <c r="F746" s="51" cm="1">
        <f t="array" ref="F746">_xlfn.LET(_xlpm.a,xbycol('xbycol'!D22:E22,_xlfn.LAMBDA(_xlpm.c,_xlpm.c)),_xlpm.b,xbycol(_xlfn.CHOOSEROWS('xbycol'!D22:E22,_xlfn.SEQUENCE(ROWS('xbycol'!D22:E22))),_xlfn.LAMBDA(_xlpm.c,_xlpm.c)),_xlpm.sa,IFERROR(ROWS(_xlpm.a)&amp;"x"&amp;COLUMNS(_xlpm.a),"err"),_xlpm.sb,IFERROR(ROWS(_xlpm.b)&amp;"x"&amp;COLUMNS(_xlpm.b),"err"),IF(_xlpm.sa&lt;&gt;_xlpm.sb,"FAIL",IF(_xlpm.sa="err",IF(ERROR.TYPE(_xlpm.a)=ERROR.TYPE(_xlpm.b),"PASS","FAIL"),IF(AND(IFERROR(_xlpm.a=_xlpm.b,IFERROR(ERROR.TYPE(_xlpm.a)=ERROR.TYPE(_xlpm.b),FALSE))),"PASS","FAIL"))))</f>
        <v>0</v>
      </c>
    </row>
    <row r="747">
      <c r="A747">
        <v>742</v>
      </c>
      <c r="B747" s="55" t="inlineStr">
        <is>
          <t xml:space="preserve">xbyrow</t>
        </is>
      </c>
      <c r="C747" t="inlineStr">
        <is>
          <t xml:space="preserve">xbyrow!P22</t>
        </is>
      </c>
      <c r="D747" s="51" t="inlineStr">
        <is>
          <t xml:space="preserve">array</t>
        </is>
      </c>
      <c r="E747" t="inlineStr">
        <is>
          <t xml:space="preserve">xbyrow(CHOOSEROWS(D22:D23,SEQUENCE(ROWS(D22:D23))),LAMBDA(x,x))</t>
        </is>
      </c>
      <c r="F747" s="51" cm="1">
        <f t="array" ref="F747">_xlfn.LET(_xlpm.a,xbyrow('xbyrow'!D22:D23,_xlfn.LAMBDA(_xlpm.x,_xlpm.x)),_xlpm.b,xbyrow(_xlfn.CHOOSEROWS('xbyrow'!D22:D23,_xlfn.SEQUENCE(ROWS('xbyrow'!D22:D23))),_xlfn.LAMBDA(_xlpm.x,_xlpm.x)),_xlpm.sa,IFERROR(ROWS(_xlpm.a)&amp;"x"&amp;COLUMNS(_xlpm.a),"err"),_xlpm.sb,IFERROR(ROWS(_xlpm.b)&amp;"x"&amp;COLUMNS(_xlpm.b),"err"),IF(_xlpm.sa&lt;&gt;_xlpm.sb,"FAIL",IF(_xlpm.sa="err",IF(ERROR.TYPE(_xlpm.a)=ERROR.TYPE(_xlpm.b),"PASS","FAIL"),IF(AND(IFERROR(_xlpm.a=_xlpm.b,IFERROR(ERROR.TYPE(_xlpm.a)=ERROR.TYPE(_xlpm.b),FALSE))),"PASS","FAIL"))))</f>
        <v>0</v>
      </c>
    </row>
    <row r="748">
      <c r="A748">
        <v>743</v>
      </c>
      <c r="B748" s="55" t="inlineStr">
        <is>
          <t xml:space="preserve">xcountif</t>
        </is>
      </c>
      <c r="C748" t="inlineStr">
        <is>
          <t xml:space="preserve">xcountif!J6</t>
        </is>
      </c>
      <c r="D748" s="51" t="inlineStr">
        <is>
          <t xml:space="preserve">tocol</t>
        </is>
      </c>
      <c r="E748" t="inlineStr">
        <is>
          <t xml:space="preserve">xcountif(D6:D9,TOCOL(F6))</t>
        </is>
      </c>
      <c r="F748" s="51" cm="1">
        <f t="array" ref="F748">_xlfn.LET(_xlpm.a,xcountif('xcountif'!D6:D9,'xcountif'!F6),_xlpm.b,xcountif('xcountif'!D6:D9,_xlfn.TOCOL('xcountif'!F6)),_xlpm.sa,IFERROR(ROWS(_xlpm.a)&amp;"x"&amp;COLUMNS(_xlpm.a),"err"),_xlpm.sb,IFERROR(ROWS(_xlpm.b)&amp;"x"&amp;COLUMNS(_xlpm.b),"err"),IF(_xlpm.sa&lt;&gt;_xlpm.sb,"FAIL",IF(_xlpm.sa="err",IF(ERROR.TYPE(_xlpm.a)=ERROR.TYPE(_xlpm.b),"PASS","FAIL"),IF(AND(IFERROR(_xlpm.a=_xlpm.b,IFERROR(ERROR.TYPE(_xlpm.a)=ERROR.TYPE(_xlpm.b),FALSE))),"PASS","FAIL"))))</f>
        <v>0</v>
      </c>
    </row>
    <row r="749">
      <c r="A749">
        <v>744</v>
      </c>
      <c r="B749" s="55" t="inlineStr">
        <is>
          <t xml:space="preserve">xcountif</t>
        </is>
      </c>
      <c r="C749" t="inlineStr">
        <is>
          <t xml:space="preserve">xcountif!J11</t>
        </is>
      </c>
      <c r="D749" s="51" t="inlineStr">
        <is>
          <t xml:space="preserve">tocol</t>
        </is>
      </c>
      <c r="E749" t="inlineStr">
        <is>
          <t xml:space="preserve">xcountif(D11:D13,TOCOL(F11))</t>
        </is>
      </c>
      <c r="F749" s="51" cm="1">
        <f t="array" ref="F749">_xlfn.LET(_xlpm.a,xcountif('xcountif'!D11:D13,'xcountif'!F11),_xlpm.b,xcountif('xcountif'!D11:D13,_xlfn.TOCOL('xcountif'!F11)),_xlpm.sa,IFERROR(ROWS(_xlpm.a)&amp;"x"&amp;COLUMNS(_xlpm.a),"err"),_xlpm.sb,IFERROR(ROWS(_xlpm.b)&amp;"x"&amp;COLUMNS(_xlpm.b),"err"),IF(_xlpm.sa&lt;&gt;_xlpm.sb,"FAIL",IF(_xlpm.sa="err",IF(ERROR.TYPE(_xlpm.a)=ERROR.TYPE(_xlpm.b),"PASS","FAIL"),IF(AND(IFERROR(_xlpm.a=_xlpm.b,IFERROR(ERROR.TYPE(_xlpm.a)=ERROR.TYPE(_xlpm.b),FALSE))),"PASS","FAIL"))))</f>
        <v>0</v>
      </c>
    </row>
    <row r="750">
      <c r="A750">
        <v>745</v>
      </c>
      <c r="B750" s="55" t="inlineStr">
        <is>
          <t xml:space="preserve">xcountif</t>
        </is>
      </c>
      <c r="C750" t="inlineStr">
        <is>
          <t xml:space="preserve">xcountif!J15</t>
        </is>
      </c>
      <c r="D750" s="51" t="inlineStr">
        <is>
          <t xml:space="preserve">array</t>
        </is>
      </c>
      <c r="E750" t="inlineStr">
        <is>
          <t xml:space="preserve">xcountif(D15:D18,CHOOSEROWS(F15:F16,SEQUENCE(ROWS(F15:F16))))</t>
        </is>
      </c>
      <c r="F750" s="51" cm="1">
        <f t="array" ref="F750">_xlfn.LET(_xlpm.a,xcountif('xcountif'!D15:D18,'xcountif'!F15:F16),_xlpm.b,xcountif('xcountif'!D15:D18,_xlfn.CHOOSEROWS('xcountif'!F15:F16,_xlfn.SEQUENCE(ROWS('xcountif'!F15:F16)))),_xlpm.sa,IFERROR(ROWS(_xlpm.a)&amp;"x"&amp;COLUMNS(_xlpm.a),"err"),_xlpm.sb,IFERROR(ROWS(_xlpm.b)&amp;"x"&amp;COLUMNS(_xlpm.b),"err"),IF(_xlpm.sa&lt;&gt;_xlpm.sb,"FAIL",IF(_xlpm.sa="err",IF(ERROR.TYPE(_xlpm.a)=ERROR.TYPE(_xlpm.b),"PASS","FAIL"),IF(AND(IFERROR(_xlpm.a=_xlpm.b,IFERROR(ERROR.TYPE(_xlpm.a)=ERROR.TYPE(_xlpm.b),FALSE))),"PASS","FAIL"))))</f>
        <v>0</v>
      </c>
    </row>
    <row r="751">
      <c r="A751">
        <v>746</v>
      </c>
      <c r="B751" s="55" t="inlineStr">
        <is>
          <t xml:space="preserve">xcountif</t>
        </is>
      </c>
      <c r="C751" t="inlineStr">
        <is>
          <t xml:space="preserve">xcountif!J20</t>
        </is>
      </c>
      <c r="D751" s="51" t="inlineStr">
        <is>
          <t xml:space="preserve">tocol</t>
        </is>
      </c>
      <c r="E751" t="inlineStr">
        <is>
          <t xml:space="preserve">xcountif(D20:D23,TOCOL(F20))</t>
        </is>
      </c>
      <c r="F751" s="51" cm="1">
        <f t="array" ref="F751">_xlfn.LET(_xlpm.a,xcountif('xcountif'!D20:D23,'xcountif'!F20),_xlpm.b,xcountif('xcountif'!D20:D23,_xlfn.TOCOL('xcountif'!F20)),_xlpm.sa,IFERROR(ROWS(_xlpm.a)&amp;"x"&amp;COLUMNS(_xlpm.a),"err"),_xlpm.sb,IFERROR(ROWS(_xlpm.b)&amp;"x"&amp;COLUMNS(_xlpm.b),"err"),IF(_xlpm.sa&lt;&gt;_xlpm.sb,"FAIL",IF(_xlpm.sa="err",IF(ERROR.TYPE(_xlpm.a)=ERROR.TYPE(_xlpm.b),"PASS","FAIL"),IF(AND(IFERROR(_xlpm.a=_xlpm.b,IFERROR(ERROR.TYPE(_xlpm.a)=ERROR.TYPE(_xlpm.b),FALSE))),"PASS","FAIL"))))</f>
        <v>0</v>
      </c>
    </row>
    <row r="752">
      <c r="A752">
        <v>747</v>
      </c>
      <c r="B752" s="55" t="inlineStr">
        <is>
          <t xml:space="preserve">xcountif</t>
        </is>
      </c>
      <c r="C752" t="inlineStr">
        <is>
          <t xml:space="preserve">xcountif!J25</t>
        </is>
      </c>
      <c r="D752" s="51" t="inlineStr">
        <is>
          <t xml:space="preserve">tocol</t>
        </is>
      </c>
      <c r="E752" t="inlineStr">
        <is>
          <t xml:space="preserve">xcountif(D25:D27,TOCOL(F25))</t>
        </is>
      </c>
      <c r="F752" s="51" cm="1">
        <f t="array" ref="F752">_xlfn.LET(_xlpm.a,xcountif('xcountif'!D25:D27,'xcountif'!F25),_xlpm.b,xcountif('xcountif'!D25:D27,_xlfn.TOCOL('xcountif'!F25)),_xlpm.sa,IFERROR(ROWS(_xlpm.a)&amp;"x"&amp;COLUMNS(_xlpm.a),"err"),_xlpm.sb,IFERROR(ROWS(_xlpm.b)&amp;"x"&amp;COLUMNS(_xlpm.b),"err"),IF(_xlpm.sa&lt;&gt;_xlpm.sb,"FAIL",IF(_xlpm.sa="err",IF(ERROR.TYPE(_xlpm.a)=ERROR.TYPE(_xlpm.b),"PASS","FAIL"),IF(AND(IFERROR(_xlpm.a=_xlpm.b,IFERROR(ERROR.TYPE(_xlpm.a)=ERROR.TYPE(_xlpm.b),FALSE))),"PASS","FAIL"))))</f>
        <v>0</v>
      </c>
    </row>
    <row r="753">
      <c r="A753">
        <v>748</v>
      </c>
      <c r="B753" s="55" t="inlineStr">
        <is>
          <t xml:space="preserve">xdec2bin</t>
        </is>
      </c>
      <c r="C753" t="inlineStr">
        <is>
          <t xml:space="preserve">xdec2bin!J6</t>
        </is>
      </c>
      <c r="D753" s="51" t="inlineStr">
        <is>
          <t xml:space="preserve">tocol</t>
        </is>
      </c>
      <c r="E753" t="inlineStr">
        <is>
          <t xml:space="preserve">xdec2bin(TOCOL(D6))</t>
        </is>
      </c>
      <c r="F753" s="51" cm="1">
        <f t="array" ref="F753">_xlfn.LET(_xlpm.a,xdec2bin('xdec2bin'!D6),_xlpm.b,xdec2bin(_xlfn.TOCOL('xdec2bin'!D6)),_xlpm.sa,IFERROR(ROWS(_xlpm.a)&amp;"x"&amp;COLUMNS(_xlpm.a),"err"),_xlpm.sb,IFERROR(ROWS(_xlpm.b)&amp;"x"&amp;COLUMNS(_xlpm.b),"err"),IF(_xlpm.sa&lt;&gt;_xlpm.sb,"FAIL",IF(_xlpm.sa="err",IF(ERROR.TYPE(_xlpm.a)=ERROR.TYPE(_xlpm.b),"PASS","FAIL"),IF(AND(IFERROR(_xlpm.a=_xlpm.b,IFERROR(ERROR.TYPE(_xlpm.a)=ERROR.TYPE(_xlpm.b),FALSE))),"PASS","FAIL"))))</f>
        <v>0</v>
      </c>
    </row>
    <row r="754">
      <c r="A754">
        <v>749</v>
      </c>
      <c r="B754" s="55" t="inlineStr">
        <is>
          <t xml:space="preserve">xdec2bin</t>
        </is>
      </c>
      <c r="C754" t="inlineStr">
        <is>
          <t xml:space="preserve">xdec2bin!J6</t>
        </is>
      </c>
      <c r="D754" s="51" t="inlineStr">
        <is>
          <t xml:space="preserve">textnum</t>
        </is>
      </c>
      <c r="E754" t="inlineStr">
        <is>
          <t xml:space="preserve">xdec2bin((D6&amp;""))</t>
        </is>
      </c>
      <c r="F754" s="51" cm="1">
        <f t="array" ref="F754">_xlfn.LET(_xlpm.a,xdec2bin('xdec2bin'!D6),_xlpm.b,xdec2bin(('xdec2bin'!D6&amp;"")),_xlpm.sa,IFERROR(ROWS(_xlpm.a)&amp;"x"&amp;COLUMNS(_xlpm.a),"err"),_xlpm.sb,IFERROR(ROWS(_xlpm.b)&amp;"x"&amp;COLUMNS(_xlpm.b),"err"),IF(_xlpm.sa&lt;&gt;_xlpm.sb,"FAIL",IF(_xlpm.sa="err",IF(ERROR.TYPE(_xlpm.a)=ERROR.TYPE(_xlpm.b),"PASS","FAIL"),IF(AND(IFERROR(_xlpm.a=_xlpm.b,IFERROR(ERROR.TYPE(_xlpm.a)=ERROR.TYPE(_xlpm.b),FALSE))),"PASS","FAIL"))))</f>
        <v>0</v>
      </c>
    </row>
    <row r="755">
      <c r="A755">
        <v>750</v>
      </c>
      <c r="B755" s="55" t="inlineStr">
        <is>
          <t xml:space="preserve">xdec2bin</t>
        </is>
      </c>
      <c r="C755" t="inlineStr">
        <is>
          <t xml:space="preserve">xdec2bin!J6</t>
        </is>
      </c>
      <c r="D755" s="51" t="inlineStr">
        <is>
          <t xml:space="preserve">blank</t>
        </is>
      </c>
      <c r="E755" t="inlineStr">
        <is>
          <t xml:space="preserve">xdec2bin(D6,shape_tests!$Z$1)</t>
        </is>
      </c>
      <c r="F755" s="51" cm="1">
        <f t="array" ref="F755">_xlfn.LET(_xlpm.a,xdec2bin('xdec2bin'!D6),_xlpm.b,xdec2bin('xdec2bin'!D6,shape_tests!$Z$1),_xlpm.sa,IFERROR(ROWS(_xlpm.a)&amp;"x"&amp;COLUMNS(_xlpm.a),"err"),_xlpm.sb,IFERROR(ROWS(_xlpm.b)&amp;"x"&amp;COLUMNS(_xlpm.b),"err"),IF(_xlpm.sa&lt;&gt;_xlpm.sb,"FAIL",IF(_xlpm.sa="err",IF(ERROR.TYPE(_xlpm.a)=ERROR.TYPE(_xlpm.b),"PASS","FAIL"),IF(AND(IFERROR(_xlpm.a=_xlpm.b,IFERROR(ERROR.TYPE(_xlpm.a)=ERROR.TYPE(_xlpm.b),FALSE))),"PASS","FAIL"))))</f>
        <v>0</v>
      </c>
    </row>
    <row r="756">
      <c r="A756">
        <v>751</v>
      </c>
      <c r="B756" s="55" t="inlineStr">
        <is>
          <t xml:space="preserve">xdec2bin</t>
        </is>
      </c>
      <c r="C756" t="inlineStr">
        <is>
          <t xml:space="preserve">xdec2bin!J8</t>
        </is>
      </c>
      <c r="D756" s="51" t="inlineStr">
        <is>
          <t xml:space="preserve">tocol</t>
        </is>
      </c>
      <c r="E756" t="inlineStr">
        <is>
          <t xml:space="preserve">xdec2bin(TOCOL(D8),TOCOL(F8))</t>
        </is>
      </c>
      <c r="F756" s="51" cm="1">
        <f t="array" ref="F756">_xlfn.LET(_xlpm.a,xdec2bin('xdec2bin'!D8,'xdec2bin'!F8),_xlpm.b,xdec2bin(_xlfn.TOCOL('xdec2bin'!D8),_xlfn.TOCOL('xdec2bin'!F8)),_xlpm.sa,IFERROR(ROWS(_xlpm.a)&amp;"x"&amp;COLUMNS(_xlpm.a),"err"),_xlpm.sb,IFERROR(ROWS(_xlpm.b)&amp;"x"&amp;COLUMNS(_xlpm.b),"err"),IF(_xlpm.sa&lt;&gt;_xlpm.sb,"FAIL",IF(_xlpm.sa="err",IF(ERROR.TYPE(_xlpm.a)=ERROR.TYPE(_xlpm.b),"PASS","FAIL"),IF(AND(IFERROR(_xlpm.a=_xlpm.b,IFERROR(ERROR.TYPE(_xlpm.a)=ERROR.TYPE(_xlpm.b),FALSE))),"PASS","FAIL"))))</f>
        <v>0</v>
      </c>
    </row>
    <row r="757">
      <c r="A757">
        <v>752</v>
      </c>
      <c r="B757" s="55" t="inlineStr">
        <is>
          <t xml:space="preserve">xdec2bin</t>
        </is>
      </c>
      <c r="C757" t="inlineStr">
        <is>
          <t xml:space="preserve">xdec2bin!J8</t>
        </is>
      </c>
      <c r="D757" s="51" t="inlineStr">
        <is>
          <t xml:space="preserve">textnum</t>
        </is>
      </c>
      <c r="E757" t="inlineStr">
        <is>
          <t xml:space="preserve">xdec2bin((D8&amp;""),(F8&amp;""))</t>
        </is>
      </c>
      <c r="F757" s="51" cm="1">
        <f t="array" ref="F757">_xlfn.LET(_xlpm.a,xdec2bin('xdec2bin'!D8,'xdec2bin'!F8),_xlpm.b,xdec2bin(('xdec2bin'!D8&amp;""),('xdec2bin'!F8&amp;"")),_xlpm.sa,IFERROR(ROWS(_xlpm.a)&amp;"x"&amp;COLUMNS(_xlpm.a),"err"),_xlpm.sb,IFERROR(ROWS(_xlpm.b)&amp;"x"&amp;COLUMNS(_xlpm.b),"err"),IF(_xlpm.sa&lt;&gt;_xlpm.sb,"FAIL",IF(_xlpm.sa="err",IF(ERROR.TYPE(_xlpm.a)=ERROR.TYPE(_xlpm.b),"PASS","FAIL"),IF(AND(IFERROR(_xlpm.a=_xlpm.b,IFERROR(ERROR.TYPE(_xlpm.a)=ERROR.TYPE(_xlpm.b),FALSE))),"PASS","FAIL"))))</f>
        <v>0</v>
      </c>
    </row>
    <row r="758">
      <c r="A758">
        <v>753</v>
      </c>
      <c r="B758" s="55" t="inlineStr">
        <is>
          <t xml:space="preserve">xdec2bin</t>
        </is>
      </c>
      <c r="C758" t="inlineStr">
        <is>
          <t xml:space="preserve">xdec2bin!J10</t>
        </is>
      </c>
      <c r="D758" s="51" t="inlineStr">
        <is>
          <t xml:space="preserve">tocol</t>
        </is>
      </c>
      <c r="E758" t="inlineStr">
        <is>
          <t xml:space="preserve">xdec2bin(TOCOL(D10))</t>
        </is>
      </c>
      <c r="F758" s="51" cm="1">
        <f t="array" ref="F758">_xlfn.LET(_xlpm.a,xdec2bin('xdec2bin'!D10),_xlpm.b,xdec2bin(_xlfn.TOCOL('xdec2bin'!D10)),_xlpm.sa,IFERROR(ROWS(_xlpm.a)&amp;"x"&amp;COLUMNS(_xlpm.a),"err"),_xlpm.sb,IFERROR(ROWS(_xlpm.b)&amp;"x"&amp;COLUMNS(_xlpm.b),"err"),IF(_xlpm.sa&lt;&gt;_xlpm.sb,"FAIL",IF(_xlpm.sa="err",IF(ERROR.TYPE(_xlpm.a)=ERROR.TYPE(_xlpm.b),"PASS","FAIL"),IF(AND(IFERROR(_xlpm.a=_xlpm.b,IFERROR(ERROR.TYPE(_xlpm.a)=ERROR.TYPE(_xlpm.b),FALSE))),"PASS","FAIL"))))</f>
        <v>0</v>
      </c>
    </row>
    <row r="759">
      <c r="A759">
        <v>754</v>
      </c>
      <c r="B759" s="55" t="inlineStr">
        <is>
          <t xml:space="preserve">xdec2bin</t>
        </is>
      </c>
      <c r="C759" t="inlineStr">
        <is>
          <t xml:space="preserve">xdec2bin!J10</t>
        </is>
      </c>
      <c r="D759" s="51" t="inlineStr">
        <is>
          <t xml:space="preserve">textnum</t>
        </is>
      </c>
      <c r="E759" t="inlineStr">
        <is>
          <t xml:space="preserve">xdec2bin((D10&amp;""))</t>
        </is>
      </c>
      <c r="F759" s="51" cm="1">
        <f t="array" ref="F759">_xlfn.LET(_xlpm.a,xdec2bin('xdec2bin'!D10),_xlpm.b,xdec2bin(('xdec2bin'!D10&amp;"")),_xlpm.sa,IFERROR(ROWS(_xlpm.a)&amp;"x"&amp;COLUMNS(_xlpm.a),"err"),_xlpm.sb,IFERROR(ROWS(_xlpm.b)&amp;"x"&amp;COLUMNS(_xlpm.b),"err"),IF(_xlpm.sa&lt;&gt;_xlpm.sb,"FAIL",IF(_xlpm.sa="err",IF(ERROR.TYPE(_xlpm.a)=ERROR.TYPE(_xlpm.b),"PASS","FAIL"),IF(AND(IFERROR(_xlpm.a=_xlpm.b,IFERROR(ERROR.TYPE(_xlpm.a)=ERROR.TYPE(_xlpm.b),FALSE))),"PASS","FAIL"))))</f>
        <v>0</v>
      </c>
    </row>
    <row r="760">
      <c r="A760">
        <v>755</v>
      </c>
      <c r="B760" s="55" t="inlineStr">
        <is>
          <t xml:space="preserve">xdec2bin</t>
        </is>
      </c>
      <c r="C760" t="inlineStr">
        <is>
          <t xml:space="preserve">xdec2bin!J10</t>
        </is>
      </c>
      <c r="D760" s="51" t="inlineStr">
        <is>
          <t xml:space="preserve">blank</t>
        </is>
      </c>
      <c r="E760" t="inlineStr">
        <is>
          <t xml:space="preserve">xdec2bin(D10,shape_tests!$Z$1)</t>
        </is>
      </c>
      <c r="F760" s="51" cm="1">
        <f t="array" ref="F760">_xlfn.LET(_xlpm.a,xdec2bin('xdec2bin'!D10),_xlpm.b,xdec2bin('xdec2bin'!D10,shape_tests!$Z$1),_xlpm.sa,IFERROR(ROWS(_xlpm.a)&amp;"x"&amp;COLUMNS(_xlpm.a),"err"),_xlpm.sb,IFERROR(ROWS(_xlpm.b)&amp;"x"&amp;COLUMNS(_xlpm.b),"err"),IF(_xlpm.sa&lt;&gt;_xlpm.sb,"FAIL",IF(_xlpm.sa="err",IF(ERROR.TYPE(_xlpm.a)=ERROR.TYPE(_xlpm.b),"PASS","FAIL"),IF(AND(IFERROR(_xlpm.a=_xlpm.b,IFERROR(ERROR.TYPE(_xlpm.a)=ERROR.TYPE(_xlpm.b),FALSE))),"PASS","FAIL"))))</f>
        <v>0</v>
      </c>
    </row>
    <row r="761">
      <c r="A761">
        <v>756</v>
      </c>
      <c r="B761" s="55" t="inlineStr">
        <is>
          <t xml:space="preserve">xdec2bin</t>
        </is>
      </c>
      <c r="C761" t="inlineStr">
        <is>
          <t xml:space="preserve">xdec2bin!J12</t>
        </is>
      </c>
      <c r="D761" s="51" t="inlineStr">
        <is>
          <t xml:space="preserve">tocol</t>
        </is>
      </c>
      <c r="E761" t="inlineStr">
        <is>
          <t xml:space="preserve">xdec2bin(TOCOL(D12),TOCOL(F12))</t>
        </is>
      </c>
      <c r="F761" s="51" cm="1">
        <f t="array" ref="F761">_xlfn.LET(_xlpm.a,xdec2bin('xdec2bin'!D12,'xdec2bin'!F12),_xlpm.b,xdec2bin(_xlfn.TOCOL('xdec2bin'!D12),_xlfn.TOCOL('xdec2bin'!F12)),_xlpm.sa,IFERROR(ROWS(_xlpm.a)&amp;"x"&amp;COLUMNS(_xlpm.a),"err"),_xlpm.sb,IFERROR(ROWS(_xlpm.b)&amp;"x"&amp;COLUMNS(_xlpm.b),"err"),IF(_xlpm.sa&lt;&gt;_xlpm.sb,"FAIL",IF(_xlpm.sa="err",IF(ERROR.TYPE(_xlpm.a)=ERROR.TYPE(_xlpm.b),"PASS","FAIL"),IF(AND(IFERROR(_xlpm.a=_xlpm.b,IFERROR(ERROR.TYPE(_xlpm.a)=ERROR.TYPE(_xlpm.b),FALSE))),"PASS","FAIL"))))</f>
        <v>0</v>
      </c>
    </row>
    <row r="762">
      <c r="A762">
        <v>757</v>
      </c>
      <c r="B762" s="55" t="inlineStr">
        <is>
          <t xml:space="preserve">xdec2bin</t>
        </is>
      </c>
      <c r="C762" t="inlineStr">
        <is>
          <t xml:space="preserve">xdec2bin!J12</t>
        </is>
      </c>
      <c r="D762" s="51" t="inlineStr">
        <is>
          <t xml:space="preserve">textnum</t>
        </is>
      </c>
      <c r="E762" t="inlineStr">
        <is>
          <t xml:space="preserve">xdec2bin((D12&amp;""),(F12&amp;""))</t>
        </is>
      </c>
      <c r="F762" s="51" cm="1">
        <f t="array" ref="F762">_xlfn.LET(_xlpm.a,xdec2bin('xdec2bin'!D12,'xdec2bin'!F12),_xlpm.b,xdec2bin(('xdec2bin'!D12&amp;""),('xdec2bin'!F12&amp;"")),_xlpm.sa,IFERROR(ROWS(_xlpm.a)&amp;"x"&amp;COLUMNS(_xlpm.a),"err"),_xlpm.sb,IFERROR(ROWS(_xlpm.b)&amp;"x"&amp;COLUMNS(_xlpm.b),"err"),IF(_xlpm.sa&lt;&gt;_xlpm.sb,"FAIL",IF(_xlpm.sa="err",IF(ERROR.TYPE(_xlpm.a)=ERROR.TYPE(_xlpm.b),"PASS","FAIL"),IF(AND(IFERROR(_xlpm.a=_xlpm.b,IFERROR(ERROR.TYPE(_xlpm.a)=ERROR.TYPE(_xlpm.b),FALSE))),"PASS","FAIL"))))</f>
        <v>0</v>
      </c>
    </row>
    <row r="763">
      <c r="A763">
        <v>758</v>
      </c>
      <c r="B763" s="55" t="inlineStr">
        <is>
          <t xml:space="preserve">xdec2bin</t>
        </is>
      </c>
      <c r="C763" t="inlineStr">
        <is>
          <t xml:space="preserve">xdec2bin!J14</t>
        </is>
      </c>
      <c r="D763" s="51" t="inlineStr">
        <is>
          <t xml:space="preserve">tocol</t>
        </is>
      </c>
      <c r="E763" t="inlineStr">
        <is>
          <t xml:space="preserve">xdec2bin(TOCOL(D14))</t>
        </is>
      </c>
      <c r="F763" s="51" cm="1">
        <f t="array" ref="F763">_xlfn.LET(_xlpm.a,xdec2bin('xdec2bin'!D14),_xlpm.b,xdec2bin(_xlfn.TOCOL('xdec2bin'!D14)),_xlpm.sa,IFERROR(ROWS(_xlpm.a)&amp;"x"&amp;COLUMNS(_xlpm.a),"err"),_xlpm.sb,IFERROR(ROWS(_xlpm.b)&amp;"x"&amp;COLUMNS(_xlpm.b),"err"),IF(_xlpm.sa&lt;&gt;_xlpm.sb,"FAIL",IF(_xlpm.sa="err",IF(ERROR.TYPE(_xlpm.a)=ERROR.TYPE(_xlpm.b),"PASS","FAIL"),IF(AND(IFERROR(_xlpm.a=_xlpm.b,IFERROR(ERROR.TYPE(_xlpm.a)=ERROR.TYPE(_xlpm.b),FALSE))),"PASS","FAIL"))))</f>
        <v>0</v>
      </c>
    </row>
    <row r="764">
      <c r="A764">
        <v>759</v>
      </c>
      <c r="B764" s="55" t="inlineStr">
        <is>
          <t xml:space="preserve">xdec2bin</t>
        </is>
      </c>
      <c r="C764" t="inlineStr">
        <is>
          <t xml:space="preserve">xdec2bin!J14</t>
        </is>
      </c>
      <c r="D764" s="51" t="inlineStr">
        <is>
          <t xml:space="preserve">textnum</t>
        </is>
      </c>
      <c r="E764" t="inlineStr">
        <is>
          <t xml:space="preserve">xdec2bin((D14&amp;""))</t>
        </is>
      </c>
      <c r="F764" s="51" cm="1">
        <f t="array" ref="F764">_xlfn.LET(_xlpm.a,xdec2bin('xdec2bin'!D14),_xlpm.b,xdec2bin(('xdec2bin'!D14&amp;"")),_xlpm.sa,IFERROR(ROWS(_xlpm.a)&amp;"x"&amp;COLUMNS(_xlpm.a),"err"),_xlpm.sb,IFERROR(ROWS(_xlpm.b)&amp;"x"&amp;COLUMNS(_xlpm.b),"err"),IF(_xlpm.sa&lt;&gt;_xlpm.sb,"FAIL",IF(_xlpm.sa="err",IF(ERROR.TYPE(_xlpm.a)=ERROR.TYPE(_xlpm.b),"PASS","FAIL"),IF(AND(IFERROR(_xlpm.a=_xlpm.b,IFERROR(ERROR.TYPE(_xlpm.a)=ERROR.TYPE(_xlpm.b),FALSE))),"PASS","FAIL"))))</f>
        <v>0</v>
      </c>
    </row>
    <row r="765">
      <c r="A765">
        <v>760</v>
      </c>
      <c r="B765" s="55" t="inlineStr">
        <is>
          <t xml:space="preserve">xdec2bin</t>
        </is>
      </c>
      <c r="C765" t="inlineStr">
        <is>
          <t xml:space="preserve">xdec2bin!J14</t>
        </is>
      </c>
      <c r="D765" s="51" t="inlineStr">
        <is>
          <t xml:space="preserve">blank</t>
        </is>
      </c>
      <c r="E765" t="inlineStr">
        <is>
          <t xml:space="preserve">xdec2bin(D14,shape_tests!$Z$1)</t>
        </is>
      </c>
      <c r="F765" s="51" cm="1">
        <f t="array" ref="F765">_xlfn.LET(_xlpm.a,xdec2bin('xdec2bin'!D14),_xlpm.b,xdec2bin('xdec2bin'!D14,shape_tests!$Z$1),_xlpm.sa,IFERROR(ROWS(_xlpm.a)&amp;"x"&amp;COLUMNS(_xlpm.a),"err"),_xlpm.sb,IFERROR(ROWS(_xlpm.b)&amp;"x"&amp;COLUMNS(_xlpm.b),"err"),IF(_xlpm.sa&lt;&gt;_xlpm.sb,"FAIL",IF(_xlpm.sa="err",IF(ERROR.TYPE(_xlpm.a)=ERROR.TYPE(_xlpm.b),"PASS","FAIL"),IF(AND(IFERROR(_xlpm.a=_xlpm.b,IFERROR(ERROR.TYPE(_xlpm.a)=ERROR.TYPE(_xlpm.b),FALSE))),"PASS","FAIL"))))</f>
        <v>0</v>
      </c>
    </row>
    <row r="766">
      <c r="A766">
        <v>761</v>
      </c>
      <c r="B766" s="55" t="inlineStr">
        <is>
          <t xml:space="preserve">xdec2bin</t>
        </is>
      </c>
      <c r="C766" t="inlineStr">
        <is>
          <t xml:space="preserve">xdec2bin!J16</t>
        </is>
      </c>
      <c r="D766" s="51" t="inlineStr">
        <is>
          <t xml:space="preserve">tocol</t>
        </is>
      </c>
      <c r="E766" t="inlineStr">
        <is>
          <t xml:space="preserve">xdec2bin(TOCOL(D16),TOCOL(F16))</t>
        </is>
      </c>
      <c r="F766" s="51" cm="1">
        <f t="array" ref="F766">_xlfn.LET(_xlpm.a,xdec2bin('xdec2bin'!D16,'xdec2bin'!F16),_xlpm.b,xdec2bin(_xlfn.TOCOL('xdec2bin'!D16),_xlfn.TOCOL('xdec2bin'!F16)),_xlpm.sa,IFERROR(ROWS(_xlpm.a)&amp;"x"&amp;COLUMNS(_xlpm.a),"err"),_xlpm.sb,IFERROR(ROWS(_xlpm.b)&amp;"x"&amp;COLUMNS(_xlpm.b),"err"),IF(_xlpm.sa&lt;&gt;_xlpm.sb,"FAIL",IF(_xlpm.sa="err",IF(ERROR.TYPE(_xlpm.a)=ERROR.TYPE(_xlpm.b),"PASS","FAIL"),IF(AND(IFERROR(_xlpm.a=_xlpm.b,IFERROR(ERROR.TYPE(_xlpm.a)=ERROR.TYPE(_xlpm.b),FALSE))),"PASS","FAIL"))))</f>
        <v>0</v>
      </c>
    </row>
    <row r="767">
      <c r="A767">
        <v>762</v>
      </c>
      <c r="B767" s="55" t="inlineStr">
        <is>
          <t xml:space="preserve">xdec2bin</t>
        </is>
      </c>
      <c r="C767" t="inlineStr">
        <is>
          <t xml:space="preserve">xdec2bin!J16</t>
        </is>
      </c>
      <c r="D767" s="51" t="inlineStr">
        <is>
          <t xml:space="preserve">textnum</t>
        </is>
      </c>
      <c r="E767" t="inlineStr">
        <is>
          <t xml:space="preserve">xdec2bin((D16&amp;""),(F16&amp;""))</t>
        </is>
      </c>
      <c r="F767" s="51" cm="1">
        <f t="array" ref="F767">_xlfn.LET(_xlpm.a,xdec2bin('xdec2bin'!D16,'xdec2bin'!F16),_xlpm.b,xdec2bin(('xdec2bin'!D16&amp;""),('xdec2bin'!F16&amp;"")),_xlpm.sa,IFERROR(ROWS(_xlpm.a)&amp;"x"&amp;COLUMNS(_xlpm.a),"err"),_xlpm.sb,IFERROR(ROWS(_xlpm.b)&amp;"x"&amp;COLUMNS(_xlpm.b),"err"),IF(_xlpm.sa&lt;&gt;_xlpm.sb,"FAIL",IF(_xlpm.sa="err",IF(ERROR.TYPE(_xlpm.a)=ERROR.TYPE(_xlpm.b),"PASS","FAIL"),IF(AND(IFERROR(_xlpm.a=_xlpm.b,IFERROR(ERROR.TYPE(_xlpm.a)=ERROR.TYPE(_xlpm.b),FALSE))),"PASS","FAIL"))))</f>
        <v>0</v>
      </c>
    </row>
    <row r="768">
      <c r="A768">
        <v>763</v>
      </c>
      <c r="B768" s="55" t="inlineStr">
        <is>
          <t xml:space="preserve">xfilter</t>
        </is>
      </c>
      <c r="C768" t="inlineStr">
        <is>
          <t xml:space="preserve">xfilter!R6</t>
        </is>
      </c>
      <c r="D768" s="51" t="inlineStr">
        <is>
          <t xml:space="preserve">array</t>
        </is>
      </c>
      <c r="E768" t="inlineStr">
        <is>
          <t xml:space="preserve">xfilter(D6:F9,CHOOSEROWS(H6:H9,SEQUENCE(ROWS(H6:H9))))</t>
        </is>
      </c>
      <c r="F768" s="51" cm="1">
        <f t="array" ref="F768">_xlfn.LET(_xlpm.a,xfilter('xfilter'!D6:F9,'xfilter'!H6:H9),_xlpm.b,xfilter('xfilter'!D6:F9,_xlfn.CHOOSEROWS('xfilter'!H6:H9,_xlfn.SEQUENCE(ROWS('xfilter'!H6:H9)))),_xlpm.sa,IFERROR(ROWS(_xlpm.a)&amp;"x"&amp;COLUMNS(_xlpm.a),"err"),_xlpm.sb,IFERROR(ROWS(_xlpm.b)&amp;"x"&amp;COLUMNS(_xlpm.b),"err"),IF(_xlpm.sa&lt;&gt;_xlpm.sb,"FAIL",IF(_xlpm.sa="err",IF(ERROR.TYPE(_xlpm.a)=ERROR.TYPE(_xlpm.b),"PASS","FAIL"),IF(AND(IFERROR(_xlpm.a=_xlpm.b,IFERROR(ERROR.TYPE(_xlpm.a)=ERROR.TYPE(_xlpm.b),FALSE))),"PASS","FAIL"))))</f>
        <v>0</v>
      </c>
    </row>
    <row r="769">
      <c r="A769">
        <v>764</v>
      </c>
      <c r="B769" s="55" t="inlineStr">
        <is>
          <t xml:space="preserve">xfilter</t>
        </is>
      </c>
      <c r="C769" t="inlineStr">
        <is>
          <t xml:space="preserve">xfilter!R6</t>
        </is>
      </c>
      <c r="D769" s="51" t="inlineStr">
        <is>
          <t xml:space="preserve">blank</t>
        </is>
      </c>
      <c r="E769" t="inlineStr">
        <is>
          <t xml:space="preserve">xfilter(D6:F9,H6:H9,shape_tests!$Z$1,shape_tests!$Z$1,shape_tests!$Z$1,shape_tests!$Z$1)</t>
        </is>
      </c>
      <c r="F769" s="51" cm="1">
        <f t="array" ref="F769">_xlfn.LET(_xlpm.a,xfilter('xfilter'!D6:F9,'xfilter'!H6:H9),_xlpm.b,xfilter('xfilter'!D6:F9,'xfilter'!H6:H9,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70">
      <c r="A770">
        <v>765</v>
      </c>
      <c r="B770" s="55" t="inlineStr">
        <is>
          <t xml:space="preserve">xfilter</t>
        </is>
      </c>
      <c r="C770" t="inlineStr">
        <is>
          <t xml:space="preserve">xfilter!R11</t>
        </is>
      </c>
      <c r="D770" s="51" t="inlineStr">
        <is>
          <t xml:space="preserve">array</t>
        </is>
      </c>
      <c r="E770" t="inlineStr">
        <is>
          <t xml:space="preserve">xfilter(D11:F14,CHOOSEROWS(H11:H14,SEQUENCE(ROWS(H11:H14))),CHOOSEROWS(J11:J14,SEQUENCE(ROWS(J11:J14))))</t>
        </is>
      </c>
      <c r="F770" s="51" cm="1">
        <f t="array" ref="F770">_xlfn.LET(_xlpm.a,xfilter('xfilter'!D11:F14,'xfilter'!H11:H14,'xfilter'!J11:J14),_xlpm.b,xfilter('xfilter'!D11:F14,_xlfn.CHOOSEROWS('xfilter'!H11:H14,_xlfn.SEQUENCE(ROWS('xfilter'!H11:H14))),_xlfn.CHOOSEROWS('xfilter'!J11:J14,_xlfn.SEQUENCE(ROWS('xfilter'!J11:J14)))),_xlpm.sa,IFERROR(ROWS(_xlpm.a)&amp;"x"&amp;COLUMNS(_xlpm.a),"err"),_xlpm.sb,IFERROR(ROWS(_xlpm.b)&amp;"x"&amp;COLUMNS(_xlpm.b),"err"),IF(_xlpm.sa&lt;&gt;_xlpm.sb,"FAIL",IF(_xlpm.sa="err",IF(ERROR.TYPE(_xlpm.a)=ERROR.TYPE(_xlpm.b),"PASS","FAIL"),IF(AND(IFERROR(_xlpm.a=_xlpm.b,IFERROR(ERROR.TYPE(_xlpm.a)=ERROR.TYPE(_xlpm.b),FALSE))),"PASS","FAIL"))))</f>
        <v>0</v>
      </c>
    </row>
    <row r="771">
      <c r="A771">
        <v>766</v>
      </c>
      <c r="B771" s="55" t="inlineStr">
        <is>
          <t xml:space="preserve">xfilter</t>
        </is>
      </c>
      <c r="C771" t="inlineStr">
        <is>
          <t xml:space="preserve">xfilter!R11</t>
        </is>
      </c>
      <c r="D771" s="51" t="inlineStr">
        <is>
          <t xml:space="preserve">blank</t>
        </is>
      </c>
      <c r="E771" t="inlineStr">
        <is>
          <t xml:space="preserve">xfilter(D11:F14,H11:H14,J11:J14,shape_tests!$Z$1,shape_tests!$Z$1,shape_tests!$Z$1)</t>
        </is>
      </c>
      <c r="F771" s="51" cm="1">
        <f t="array" ref="F771">_xlfn.LET(_xlpm.a,xfilter('xfilter'!D11:F14,'xfilter'!H11:H14,'xfilter'!J11:J14),_xlpm.b,xfilter('xfilter'!D11:F14,'xfilter'!H11:H14,'xfilter'!J11:J14,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72">
      <c r="A772">
        <v>767</v>
      </c>
      <c r="B772" s="55" t="inlineStr">
        <is>
          <t xml:space="preserve">xfilter</t>
        </is>
      </c>
      <c r="C772" t="inlineStr">
        <is>
          <t xml:space="preserve">xfilter!R16</t>
        </is>
      </c>
      <c r="D772" s="51" t="inlineStr">
        <is>
          <t xml:space="preserve">array</t>
        </is>
      </c>
      <c r="E772" t="inlineStr">
        <is>
          <t xml:space="preserve">xfilter(D16:F19,CHOOSEROWS(H16:J16,SEQUENCE(ROWS(H16:J16))))</t>
        </is>
      </c>
      <c r="F772" s="51" cm="1">
        <f t="array" ref="F772">_xlfn.LET(_xlpm.a,xfilter('xfilter'!D16:F19,'xfilter'!H16:J16),_xlpm.b,xfilter('xfilter'!D16:F19,_xlfn.CHOOSEROWS('xfilter'!H16:J16,_xlfn.SEQUENCE(ROWS('xfilter'!H16:J16)))),_xlpm.sa,IFERROR(ROWS(_xlpm.a)&amp;"x"&amp;COLUMNS(_xlpm.a),"err"),_xlpm.sb,IFERROR(ROWS(_xlpm.b)&amp;"x"&amp;COLUMNS(_xlpm.b),"err"),IF(_xlpm.sa&lt;&gt;_xlpm.sb,"FAIL",IF(_xlpm.sa="err",IF(ERROR.TYPE(_xlpm.a)=ERROR.TYPE(_xlpm.b),"PASS","FAIL"),IF(AND(IFERROR(_xlpm.a=_xlpm.b,IFERROR(ERROR.TYPE(_xlpm.a)=ERROR.TYPE(_xlpm.b),FALSE))),"PASS","FAIL"))))</f>
        <v>0</v>
      </c>
    </row>
    <row r="773">
      <c r="A773">
        <v>768</v>
      </c>
      <c r="B773" s="55" t="inlineStr">
        <is>
          <t xml:space="preserve">xfilter</t>
        </is>
      </c>
      <c r="C773" t="inlineStr">
        <is>
          <t xml:space="preserve">xfilter!R16</t>
        </is>
      </c>
      <c r="D773" s="51" t="inlineStr">
        <is>
          <t xml:space="preserve">blank</t>
        </is>
      </c>
      <c r="E773" t="inlineStr">
        <is>
          <t xml:space="preserve">xfilter(D16:F19,H16:J16,shape_tests!$Z$1,shape_tests!$Z$1,shape_tests!$Z$1,shape_tests!$Z$1)</t>
        </is>
      </c>
      <c r="F773" s="51" cm="1">
        <f t="array" ref="F773">_xlfn.LET(_xlpm.a,xfilter('xfilter'!D16:F19,'xfilter'!H16:J16),_xlpm.b,xfilter('xfilter'!D16:F19,'xfilter'!H16:J16,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74">
      <c r="A774">
        <v>769</v>
      </c>
      <c r="B774" s="55" t="inlineStr">
        <is>
          <t xml:space="preserve">xfilter</t>
        </is>
      </c>
      <c r="C774" t="inlineStr">
        <is>
          <t xml:space="preserve">xfilter!R21</t>
        </is>
      </c>
      <c r="D774" s="51" t="inlineStr">
        <is>
          <t xml:space="preserve">array</t>
        </is>
      </c>
      <c r="E774" t="inlineStr">
        <is>
          <t xml:space="preserve">xfilter(D21:F24,CHOOSEROWS(H21:H24,SEQUENCE(ROWS(H21:H24))),CHOOSEROWS(J21:L21,SEQUENCE(ROWS(J21:L21))))</t>
        </is>
      </c>
      <c r="F774" s="51" cm="1">
        <f t="array" ref="F774">_xlfn.LET(_xlpm.a,xfilter('xfilter'!D21:F24,'xfilter'!H21:H24,'xfilter'!J21:L21),_xlpm.b,xfilter('xfilter'!D21:F24,_xlfn.CHOOSEROWS('xfilter'!H21:H24,_xlfn.SEQUENCE(ROWS('xfilter'!H21:H24))),_xlfn.CHOOSEROWS('xfilter'!J21:L21,_xlfn.SEQUENCE(ROWS('xfilter'!J21:L21)))),_xlpm.sa,IFERROR(ROWS(_xlpm.a)&amp;"x"&amp;COLUMNS(_xlpm.a),"err"),_xlpm.sb,IFERROR(ROWS(_xlpm.b)&amp;"x"&amp;COLUMNS(_xlpm.b),"err"),IF(_xlpm.sa&lt;&gt;_xlpm.sb,"FAIL",IF(_xlpm.sa="err",IF(ERROR.TYPE(_xlpm.a)=ERROR.TYPE(_xlpm.b),"PASS","FAIL"),IF(AND(IFERROR(_xlpm.a=_xlpm.b,IFERROR(ERROR.TYPE(_xlpm.a)=ERROR.TYPE(_xlpm.b),FALSE))),"PASS","FAIL"))))</f>
        <v>0</v>
      </c>
    </row>
    <row r="775">
      <c r="A775">
        <v>770</v>
      </c>
      <c r="B775" s="55" t="inlineStr">
        <is>
          <t xml:space="preserve">xfilter</t>
        </is>
      </c>
      <c r="C775" t="inlineStr">
        <is>
          <t xml:space="preserve">xfilter!R21</t>
        </is>
      </c>
      <c r="D775" s="51" t="inlineStr">
        <is>
          <t xml:space="preserve">blank</t>
        </is>
      </c>
      <c r="E775" t="inlineStr">
        <is>
          <t xml:space="preserve">xfilter(D21:F24,H21:H24,J21:L21,shape_tests!$Z$1,shape_tests!$Z$1,shape_tests!$Z$1)</t>
        </is>
      </c>
      <c r="F775" s="51" cm="1">
        <f t="array" ref="F775">_xlfn.LET(_xlpm.a,xfilter('xfilter'!D21:F24,'xfilter'!H21:H24,'xfilter'!J21:L21),_xlpm.b,xfilter('xfilter'!D21:F24,'xfilter'!H21:H24,'xfilter'!J21:L21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76">
      <c r="A776">
        <v>771</v>
      </c>
      <c r="B776" s="55" t="inlineStr">
        <is>
          <t xml:space="preserve">xfilter</t>
        </is>
      </c>
      <c r="C776" t="inlineStr">
        <is>
          <t xml:space="preserve">xfilter!R26</t>
        </is>
      </c>
      <c r="D776" s="51" t="inlineStr">
        <is>
          <t xml:space="preserve">array</t>
        </is>
      </c>
      <c r="E776" t="inlineStr">
        <is>
          <t xml:space="preserve">xfilter(D26:D29,CHOOSEROWS(F26:F29,SEQUENCE(ROWS(F26:F29))))</t>
        </is>
      </c>
      <c r="F776" s="51" cm="1">
        <f t="array" ref="F776">_xlfn.LET(_xlpm.a,xfilter('xfilter'!D26:D29,'xfilter'!F26:F29),_xlpm.b,xfilter('xfilter'!D26:D29,_xlfn.CHOOSEROWS('xfilter'!F26:F29,_xlfn.SEQUENCE(ROWS('xfilter'!F26:F29)))),_xlpm.sa,IFERROR(ROWS(_xlpm.a)&amp;"x"&amp;COLUMNS(_xlpm.a),"err"),_xlpm.sb,IFERROR(ROWS(_xlpm.b)&amp;"x"&amp;COLUMNS(_xlpm.b),"err"),IF(_xlpm.sa&lt;&gt;_xlpm.sb,"FAIL",IF(_xlpm.sa="err",IF(ERROR.TYPE(_xlpm.a)=ERROR.TYPE(_xlpm.b),"PASS","FAIL"),IF(AND(IFERROR(_xlpm.a=_xlpm.b,IFERROR(ERROR.TYPE(_xlpm.a)=ERROR.TYPE(_xlpm.b),FALSE))),"PASS","FAIL"))))</f>
        <v>0</v>
      </c>
    </row>
    <row r="777">
      <c r="A777">
        <v>772</v>
      </c>
      <c r="B777" s="55" t="inlineStr">
        <is>
          <t xml:space="preserve">xfilter</t>
        </is>
      </c>
      <c r="C777" t="inlineStr">
        <is>
          <t xml:space="preserve">xfilter!R26</t>
        </is>
      </c>
      <c r="D777" s="51" t="inlineStr">
        <is>
          <t xml:space="preserve">blank</t>
        </is>
      </c>
      <c r="E777" t="inlineStr">
        <is>
          <t xml:space="preserve">xfilter(D26:D29,F26:F29,shape_tests!$Z$1,shape_tests!$Z$1,shape_tests!$Z$1,shape_tests!$Z$1)</t>
        </is>
      </c>
      <c r="F777" s="51" cm="1">
        <f t="array" ref="F777">_xlfn.LET(_xlpm.a,xfilter('xfilter'!D26:D29,'xfilter'!F26:F29),_xlpm.b,xfilter('xfilter'!D26:D29,'xfilter'!F26:F29,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78">
      <c r="A778">
        <v>773</v>
      </c>
      <c r="B778" s="55" t="inlineStr">
        <is>
          <t xml:space="preserve">xfilter</t>
        </is>
      </c>
      <c r="C778" t="inlineStr">
        <is>
          <t xml:space="preserve">xfilter!N31</t>
        </is>
      </c>
      <c r="D778" s="51" t="inlineStr">
        <is>
          <t xml:space="preserve">array</t>
        </is>
      </c>
      <c r="E778" t="inlineStr">
        <is>
          <t xml:space="preserve">xfilter(D31:F34,CHOOSEROWS(H31:H34,SEQUENCE(ROWS(H31:H34))))</t>
        </is>
      </c>
      <c r="F778" s="51" cm="1">
        <f t="array" ref="F778">_xlfn.LET(_xlpm.a,xfilter('xfilter'!D31:F34,'xfilter'!H31:H34),_xlpm.b,xfilter('xfilter'!D31:F34,_xlfn.CHOOSEROWS('xfilter'!H31:H34,_xlfn.SEQUENCE(ROWS('xfilter'!H31:H34)))),_xlpm.sa,IFERROR(ROWS(_xlpm.a)&amp;"x"&amp;COLUMNS(_xlpm.a),"err"),_xlpm.sb,IFERROR(ROWS(_xlpm.b)&amp;"x"&amp;COLUMNS(_xlpm.b),"err"),IF(_xlpm.sa&lt;&gt;_xlpm.sb,"FAIL",IF(_xlpm.sa="err",IF(ERROR.TYPE(_xlpm.a)=ERROR.TYPE(_xlpm.b),"PASS","FAIL"),IF(AND(IFERROR(_xlpm.a=_xlpm.b,IFERROR(ERROR.TYPE(_xlpm.a)=ERROR.TYPE(_xlpm.b),FALSE))),"PASS","FAIL"))))</f>
        <v>0</v>
      </c>
    </row>
    <row r="779">
      <c r="A779">
        <v>774</v>
      </c>
      <c r="B779" s="55" t="inlineStr">
        <is>
          <t xml:space="preserve">xfilter</t>
        </is>
      </c>
      <c r="C779" t="inlineStr">
        <is>
          <t xml:space="preserve">xfilter!N31</t>
        </is>
      </c>
      <c r="D779" s="51" t="inlineStr">
        <is>
          <t xml:space="preserve">blank</t>
        </is>
      </c>
      <c r="E779" t="inlineStr">
        <is>
          <t xml:space="preserve">xfilter(D31:F34,H31:H34,shape_tests!$Z$1,shape_tests!$Z$1,shape_tests!$Z$1,shape_tests!$Z$1)</t>
        </is>
      </c>
      <c r="F779" s="51" cm="1">
        <f t="array" ref="F779">_xlfn.LET(_xlpm.a,xfilter('xfilter'!D31:F34,'xfilter'!H31:H34),_xlpm.b,xfilter('xfilter'!D31:F34,'xfilter'!H31:H34,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80">
      <c r="A780">
        <v>775</v>
      </c>
      <c r="B780" s="55" t="inlineStr">
        <is>
          <t xml:space="preserve">xfilter</t>
        </is>
      </c>
      <c r="C780" t="inlineStr">
        <is>
          <t xml:space="preserve">xfilter!R36</t>
        </is>
      </c>
      <c r="D780" s="51" t="inlineStr">
        <is>
          <t xml:space="preserve">array</t>
        </is>
      </c>
      <c r="E780" t="inlineStr">
        <is>
          <t xml:space="preserve">xfilter(CHOOSEROWS(D36:D37,SEQUENCE(ROWS(D36:D37))),CHOOSEROWS(H36:H37,SEQUENCE(ROWS(H36:H37))))</t>
        </is>
      </c>
      <c r="F780" s="51" cm="1">
        <f t="array" ref="F780">_xlfn.LET(_xlpm.a,xfilter('xfilter'!D36:D37,'xfilter'!H36:H37),_xlpm.b,xfilter(_xlfn.CHOOSEROWS('xfilter'!D36:D37,_xlfn.SEQUENCE(ROWS('xfilter'!D36:D37))),_xlfn.CHOOSEROWS('xfilter'!H36:H37,_xlfn.SEQUENCE(ROWS('xfilter'!H36:H37)))),_xlpm.sa,IFERROR(ROWS(_xlpm.a)&amp;"x"&amp;COLUMNS(_xlpm.a),"err"),_xlpm.sb,IFERROR(ROWS(_xlpm.b)&amp;"x"&amp;COLUMNS(_xlpm.b),"err"),IF(_xlpm.sa&lt;&gt;_xlpm.sb,"FAIL",IF(_xlpm.sa="err",IF(ERROR.TYPE(_xlpm.a)=ERROR.TYPE(_xlpm.b),"PASS","FAIL"),IF(AND(IFERROR(_xlpm.a=_xlpm.b,IFERROR(ERROR.TYPE(_xlpm.a)=ERROR.TYPE(_xlpm.b),FALSE))),"PASS","FAIL"))))</f>
        <v>0</v>
      </c>
    </row>
    <row r="781">
      <c r="A781">
        <v>776</v>
      </c>
      <c r="B781" s="55" t="inlineStr">
        <is>
          <t xml:space="preserve">xfilter</t>
        </is>
      </c>
      <c r="C781" t="inlineStr">
        <is>
          <t xml:space="preserve">xfilter!R36</t>
        </is>
      </c>
      <c r="D781" s="51" t="inlineStr">
        <is>
          <t xml:space="preserve">blank</t>
        </is>
      </c>
      <c r="E781" t="inlineStr">
        <is>
          <t xml:space="preserve">xfilter(D36:D37,H36:H37,shape_tests!$Z$1,shape_tests!$Z$1,shape_tests!$Z$1,shape_tests!$Z$1)</t>
        </is>
      </c>
      <c r="F781" s="51" cm="1">
        <f t="array" ref="F781">_xlfn.LET(_xlpm.a,xfilter('xfilter'!D36:D37,'xfilter'!H36:H37),_xlpm.b,xfilter('xfilter'!D36:D37,'xfilter'!H36:H37,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82">
      <c r="A782">
        <v>777</v>
      </c>
      <c r="B782" s="55" t="inlineStr">
        <is>
          <t xml:space="preserve">xfilter</t>
        </is>
      </c>
      <c r="C782" t="inlineStr">
        <is>
          <t xml:space="preserve">xfilter!R41</t>
        </is>
      </c>
      <c r="D782" s="51" t="inlineStr">
        <is>
          <t xml:space="preserve">tocol</t>
        </is>
      </c>
      <c r="E782" t="inlineStr">
        <is>
          <t xml:space="preserve">xfilter(TOCOL(D41),TOCOL(H41))</t>
        </is>
      </c>
      <c r="F782" s="51" cm="1">
        <f t="array" ref="F782">_xlfn.LET(_xlpm.a,xfilter('xfilter'!D41,'xfilter'!H41),_xlpm.b,xfilter(_xlfn.TOCOL('xfilter'!D41),_xlfn.TOCOL('xfilter'!H41)),_xlpm.sa,IFERROR(ROWS(_xlpm.a)&amp;"x"&amp;COLUMNS(_xlpm.a),"err"),_xlpm.sb,IFERROR(ROWS(_xlpm.b)&amp;"x"&amp;COLUMNS(_xlpm.b),"err"),IF(_xlpm.sa&lt;&gt;_xlpm.sb,"FAIL",IF(_xlpm.sa="err",IF(ERROR.TYPE(_xlpm.a)=ERROR.TYPE(_xlpm.b),"PASS","FAIL"),IF(AND(IFERROR(_xlpm.a=_xlpm.b,IFERROR(ERROR.TYPE(_xlpm.a)=ERROR.TYPE(_xlpm.b),FALSE))),"PASS","FAIL"))))</f>
        <v>0</v>
      </c>
    </row>
    <row r="783">
      <c r="A783">
        <v>778</v>
      </c>
      <c r="B783" s="55" t="inlineStr">
        <is>
          <t xml:space="preserve">xfilter</t>
        </is>
      </c>
      <c r="C783" t="inlineStr">
        <is>
          <t xml:space="preserve">xfilter!R41</t>
        </is>
      </c>
      <c r="D783" s="51" t="inlineStr">
        <is>
          <t xml:space="preserve">textnum</t>
        </is>
      </c>
      <c r="E783" t="inlineStr">
        <is>
          <t xml:space="preserve">xfilter(D41,(H41&amp;""))</t>
        </is>
      </c>
      <c r="F783" s="51" cm="1">
        <f t="array" ref="F783">_xlfn.LET(_xlpm.a,xfilter('xfilter'!D41,'xfilter'!H41),_xlpm.b,xfilter('xfilter'!D41,('xfilter'!H41&amp;"")),_xlpm.sa,IFERROR(ROWS(_xlpm.a)&amp;"x"&amp;COLUMNS(_xlpm.a),"err"),_xlpm.sb,IFERROR(ROWS(_xlpm.b)&amp;"x"&amp;COLUMNS(_xlpm.b),"err"),IF(_xlpm.sa&lt;&gt;_xlpm.sb,"FAIL",IF(_xlpm.sa="err",IF(ERROR.TYPE(_xlpm.a)=ERROR.TYPE(_xlpm.b),"PASS","FAIL"),IF(AND(IFERROR(_xlpm.a=_xlpm.b,IFERROR(ERROR.TYPE(_xlpm.a)=ERROR.TYPE(_xlpm.b),FALSE))),"PASS","FAIL"))))</f>
        <v>0</v>
      </c>
    </row>
    <row r="784">
      <c r="A784">
        <v>779</v>
      </c>
      <c r="B784" s="55" t="inlineStr">
        <is>
          <t xml:space="preserve">xfilter</t>
        </is>
      </c>
      <c r="C784" t="inlineStr">
        <is>
          <t xml:space="preserve">xfilter!R41</t>
        </is>
      </c>
      <c r="D784" s="51" t="inlineStr">
        <is>
          <t xml:space="preserve">blank</t>
        </is>
      </c>
      <c r="E784" t="inlineStr">
        <is>
          <t xml:space="preserve">xfilter(D41,H41,shape_tests!$Z$1,shape_tests!$Z$1,shape_tests!$Z$1,shape_tests!$Z$1)</t>
        </is>
      </c>
      <c r="F784" s="51" cm="1">
        <f t="array" ref="F784">_xlfn.LET(_xlpm.a,xfilter('xfilter'!D41,'xfilter'!H41),_xlpm.b,xfilter('xfilter'!D41,'xfilter'!H41,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85">
      <c r="A785">
        <v>780</v>
      </c>
      <c r="B785" s="55" t="inlineStr">
        <is>
          <t xml:space="preserve">xfilter</t>
        </is>
      </c>
      <c r="C785" t="inlineStr">
        <is>
          <t xml:space="preserve">xfilter!R43</t>
        </is>
      </c>
      <c r="D785" s="51" t="inlineStr">
        <is>
          <t xml:space="preserve">tocol</t>
        </is>
      </c>
      <c r="E785" t="inlineStr">
        <is>
          <t xml:space="preserve">xfilter(TOCOL(D43),TOCOL(H43))</t>
        </is>
      </c>
      <c r="F785" s="51" cm="1">
        <f t="array" ref="F785">_xlfn.LET(_xlpm.a,xfilter('xfilter'!D43,'xfilter'!H43),_xlpm.b,xfilter(_xlfn.TOCOL('xfilter'!D43),_xlfn.TOCOL('xfilter'!H43)),_xlpm.sa,IFERROR(ROWS(_xlpm.a)&amp;"x"&amp;COLUMNS(_xlpm.a),"err"),_xlpm.sb,IFERROR(ROWS(_xlpm.b)&amp;"x"&amp;COLUMNS(_xlpm.b),"err"),IF(_xlpm.sa&lt;&gt;_xlpm.sb,"FAIL",IF(_xlpm.sa="err",IF(ERROR.TYPE(_xlpm.a)=ERROR.TYPE(_xlpm.b),"PASS","FAIL"),IF(AND(IFERROR(_xlpm.a=_xlpm.b,IFERROR(ERROR.TYPE(_xlpm.a)=ERROR.TYPE(_xlpm.b),FALSE))),"PASS","FAIL"))))</f>
        <v>0</v>
      </c>
    </row>
    <row r="786">
      <c r="A786">
        <v>781</v>
      </c>
      <c r="B786" s="55" t="inlineStr">
        <is>
          <t xml:space="preserve">xfilter</t>
        </is>
      </c>
      <c r="C786" t="inlineStr">
        <is>
          <t xml:space="preserve">xfilter!R43</t>
        </is>
      </c>
      <c r="D786" s="51" t="inlineStr">
        <is>
          <t xml:space="preserve">textnum</t>
        </is>
      </c>
      <c r="E786" t="inlineStr">
        <is>
          <t xml:space="preserve">xfilter(D43,(H43&amp;""))</t>
        </is>
      </c>
      <c r="F786" s="51" cm="1">
        <f t="array" ref="F786">_xlfn.LET(_xlpm.a,xfilter('xfilter'!D43,'xfilter'!H43),_xlpm.b,xfilter('xfilter'!D43,('xfilter'!H43&amp;"")),_xlpm.sa,IFERROR(ROWS(_xlpm.a)&amp;"x"&amp;COLUMNS(_xlpm.a),"err"),_xlpm.sb,IFERROR(ROWS(_xlpm.b)&amp;"x"&amp;COLUMNS(_xlpm.b),"err"),IF(_xlpm.sa&lt;&gt;_xlpm.sb,"FAIL",IF(_xlpm.sa="err",IF(ERROR.TYPE(_xlpm.a)=ERROR.TYPE(_xlpm.b),"PASS","FAIL"),IF(AND(IFERROR(_xlpm.a=_xlpm.b,IFERROR(ERROR.TYPE(_xlpm.a)=ERROR.TYPE(_xlpm.b),FALSE))),"PASS","FAIL"))))</f>
        <v>0</v>
      </c>
    </row>
    <row r="787">
      <c r="A787">
        <v>782</v>
      </c>
      <c r="B787" s="55" t="inlineStr">
        <is>
          <t xml:space="preserve">xfilter</t>
        </is>
      </c>
      <c r="C787" t="inlineStr">
        <is>
          <t xml:space="preserve">xfilter!R43</t>
        </is>
      </c>
      <c r="D787" s="51" t="inlineStr">
        <is>
          <t xml:space="preserve">blank</t>
        </is>
      </c>
      <c r="E787" t="inlineStr">
        <is>
          <t xml:space="preserve">xfilter(D43,H43,shape_tests!$Z$1,shape_tests!$Z$1,shape_tests!$Z$1,shape_tests!$Z$1)</t>
        </is>
      </c>
      <c r="F787" s="51" cm="1">
        <f t="array" ref="F787">_xlfn.LET(_xlpm.a,xfilter('xfilter'!D43,'xfilter'!H43),_xlpm.b,xfilter('xfilter'!D43,'xfilter'!H43,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88">
      <c r="A788">
        <v>783</v>
      </c>
      <c r="B788" s="55" t="inlineStr">
        <is>
          <t xml:space="preserve">xmod</t>
        </is>
      </c>
      <c r="C788" t="inlineStr">
        <is>
          <t xml:space="preserve">xmod!J6</t>
        </is>
      </c>
      <c r="D788" s="51" t="inlineStr">
        <is>
          <t xml:space="preserve">tocol</t>
        </is>
      </c>
      <c r="E788" t="inlineStr">
        <is>
          <t xml:space="preserve">xmod(TOCOL(D6),TOCOL(F6))</t>
        </is>
      </c>
      <c r="F788" s="51" cm="1">
        <f t="array" ref="F788">_xlfn.LET(_xlpm.a,xmod('xmod'!D6,'xmod'!F6),_xlpm.b,xmod(_xlfn.TOCOL('xmod'!D6),_xlfn.TOCOL('xmod'!F6)),_xlpm.sa,IFERROR(ROWS(_xlpm.a)&amp;"x"&amp;COLUMNS(_xlpm.a),"err"),_xlpm.sb,IFERROR(ROWS(_xlpm.b)&amp;"x"&amp;COLUMNS(_xlpm.b),"err"),IF(_xlpm.sa&lt;&gt;_xlpm.sb,"FAIL",IF(_xlpm.sa="err",IF(ERROR.TYPE(_xlpm.a)=ERROR.TYPE(_xlpm.b),"PASS","FAIL"),IF(AND(IFERROR(_xlpm.a=_xlpm.b,IFERROR(ERROR.TYPE(_xlpm.a)=ERROR.TYPE(_xlpm.b),FALSE))),"PASS","FAIL"))))</f>
        <v>0</v>
      </c>
    </row>
    <row r="789">
      <c r="A789">
        <v>784</v>
      </c>
      <c r="B789" s="55" t="inlineStr">
        <is>
          <t xml:space="preserve">xmod</t>
        </is>
      </c>
      <c r="C789" t="inlineStr">
        <is>
          <t xml:space="preserve">xmod!J6</t>
        </is>
      </c>
      <c r="D789" s="51" t="inlineStr">
        <is>
          <t xml:space="preserve">textnum</t>
        </is>
      </c>
      <c r="E789" t="inlineStr">
        <is>
          <t xml:space="preserve">xmod((D6&amp;""),(F6&amp;""))</t>
        </is>
      </c>
      <c r="F789" s="51" cm="1">
        <f t="array" ref="F789">_xlfn.LET(_xlpm.a,xmod('xmod'!D6,'xmod'!F6),_xlpm.b,xmod(('xmod'!D6&amp;""),('xmod'!F6&amp;"")),_xlpm.sa,IFERROR(ROWS(_xlpm.a)&amp;"x"&amp;COLUMNS(_xlpm.a),"err"),_xlpm.sb,IFERROR(ROWS(_xlpm.b)&amp;"x"&amp;COLUMNS(_xlpm.b),"err"),IF(_xlpm.sa&lt;&gt;_xlpm.sb,"FAIL",IF(_xlpm.sa="err",IF(ERROR.TYPE(_xlpm.a)=ERROR.TYPE(_xlpm.b),"PASS","FAIL"),IF(AND(IFERROR(_xlpm.a=_xlpm.b,IFERROR(ERROR.TYPE(_xlpm.a)=ERROR.TYPE(_xlpm.b),FALSE))),"PASS","FAIL"))))</f>
        <v>0</v>
      </c>
    </row>
    <row r="790">
      <c r="A790">
        <v>785</v>
      </c>
      <c r="B790" s="55" t="inlineStr">
        <is>
          <t xml:space="preserve">xmod</t>
        </is>
      </c>
      <c r="C790" t="inlineStr">
        <is>
          <t xml:space="preserve">xmod!J8</t>
        </is>
      </c>
      <c r="D790" s="51" t="inlineStr">
        <is>
          <t xml:space="preserve">tocol</t>
        </is>
      </c>
      <c r="E790" t="inlineStr">
        <is>
          <t xml:space="preserve">xmod(TOCOL(D8),TOCOL(F8))</t>
        </is>
      </c>
      <c r="F790" s="51" cm="1">
        <f t="array" ref="F790">_xlfn.LET(_xlpm.a,xmod('xmod'!D8,'xmod'!F8),_xlpm.b,xmod(_xlfn.TOCOL('xmod'!D8),_xlfn.TOCOL('xmod'!F8)),_xlpm.sa,IFERROR(ROWS(_xlpm.a)&amp;"x"&amp;COLUMNS(_xlpm.a),"err"),_xlpm.sb,IFERROR(ROWS(_xlpm.b)&amp;"x"&amp;COLUMNS(_xlpm.b),"err"),IF(_xlpm.sa&lt;&gt;_xlpm.sb,"FAIL",IF(_xlpm.sa="err",IF(ERROR.TYPE(_xlpm.a)=ERROR.TYPE(_xlpm.b),"PASS","FAIL"),IF(AND(IFERROR(_xlpm.a=_xlpm.b,IFERROR(ERROR.TYPE(_xlpm.a)=ERROR.TYPE(_xlpm.b),FALSE))),"PASS","FAIL"))))</f>
        <v>0</v>
      </c>
    </row>
    <row r="791">
      <c r="A791">
        <v>786</v>
      </c>
      <c r="B791" s="55" t="inlineStr">
        <is>
          <t xml:space="preserve">xmod</t>
        </is>
      </c>
      <c r="C791" t="inlineStr">
        <is>
          <t xml:space="preserve">xmod!J8</t>
        </is>
      </c>
      <c r="D791" s="51" t="inlineStr">
        <is>
          <t xml:space="preserve">textnum</t>
        </is>
      </c>
      <c r="E791" t="inlineStr">
        <is>
          <t xml:space="preserve">xmod((D8&amp;""),(F8&amp;""))</t>
        </is>
      </c>
      <c r="F791" s="51" cm="1">
        <f t="array" ref="F791">_xlfn.LET(_xlpm.a,xmod('xmod'!D8,'xmod'!F8),_xlpm.b,xmod(('xmod'!D8&amp;""),('xmod'!F8&amp;"")),_xlpm.sa,IFERROR(ROWS(_xlpm.a)&amp;"x"&amp;COLUMNS(_xlpm.a),"err"),_xlpm.sb,IFERROR(ROWS(_xlpm.b)&amp;"x"&amp;COLUMNS(_xlpm.b),"err"),IF(_xlpm.sa&lt;&gt;_xlpm.sb,"FAIL",IF(_xlpm.sa="err",IF(ERROR.TYPE(_xlpm.a)=ERROR.TYPE(_xlpm.b),"PASS","FAIL"),IF(AND(IFERROR(_xlpm.a=_xlpm.b,IFERROR(ERROR.TYPE(_xlpm.a)=ERROR.TYPE(_xlpm.b),FALSE))),"PASS","FAIL"))))</f>
        <v>0</v>
      </c>
    </row>
    <row r="792">
      <c r="A792">
        <v>787</v>
      </c>
      <c r="B792" s="55" t="inlineStr">
        <is>
          <t xml:space="preserve">xmod</t>
        </is>
      </c>
      <c r="C792" t="inlineStr">
        <is>
          <t xml:space="preserve">xmod!J10</t>
        </is>
      </c>
      <c r="D792" s="51" t="inlineStr">
        <is>
          <t xml:space="preserve">tocol</t>
        </is>
      </c>
      <c r="E792" t="inlineStr">
        <is>
          <t xml:space="preserve">xmod(TOCOL(D10),TOCOL(F10))</t>
        </is>
      </c>
      <c r="F792" s="51" cm="1">
        <f t="array" ref="F792">_xlfn.LET(_xlpm.a,xmod('xmod'!D10,'xmod'!F10),_xlpm.b,xmod(_xlfn.TOCOL('xmod'!D10),_xlfn.TOCOL('xmod'!F10)),_xlpm.sa,IFERROR(ROWS(_xlpm.a)&amp;"x"&amp;COLUMNS(_xlpm.a),"err"),_xlpm.sb,IFERROR(ROWS(_xlpm.b)&amp;"x"&amp;COLUMNS(_xlpm.b),"err"),IF(_xlpm.sa&lt;&gt;_xlpm.sb,"FAIL",IF(_xlpm.sa="err",IF(ERROR.TYPE(_xlpm.a)=ERROR.TYPE(_xlpm.b),"PASS","FAIL"),IF(AND(IFERROR(_xlpm.a=_xlpm.b,IFERROR(ERROR.TYPE(_xlpm.a)=ERROR.TYPE(_xlpm.b),FALSE))),"PASS","FAIL"))))</f>
        <v>0</v>
      </c>
    </row>
    <row r="793">
      <c r="A793">
        <v>788</v>
      </c>
      <c r="B793" s="55" t="inlineStr">
        <is>
          <t xml:space="preserve">xmod</t>
        </is>
      </c>
      <c r="C793" t="inlineStr">
        <is>
          <t xml:space="preserve">xmod!J10</t>
        </is>
      </c>
      <c r="D793" s="51" t="inlineStr">
        <is>
          <t xml:space="preserve">textnum</t>
        </is>
      </c>
      <c r="E793" t="inlineStr">
        <is>
          <t xml:space="preserve">xmod((D10&amp;""),(F10&amp;""))</t>
        </is>
      </c>
      <c r="F793" s="51" cm="1">
        <f t="array" ref="F793">_xlfn.LET(_xlpm.a,xmod('xmod'!D10,'xmod'!F10),_xlpm.b,xmod(('xmod'!D10&amp;""),('xmod'!F10&amp;"")),_xlpm.sa,IFERROR(ROWS(_xlpm.a)&amp;"x"&amp;COLUMNS(_xlpm.a),"err"),_xlpm.sb,IFERROR(ROWS(_xlpm.b)&amp;"x"&amp;COLUMNS(_xlpm.b),"err"),IF(_xlpm.sa&lt;&gt;_xlpm.sb,"FAIL",IF(_xlpm.sa="err",IF(ERROR.TYPE(_xlpm.a)=ERROR.TYPE(_xlpm.b),"PASS","FAIL"),IF(AND(IFERROR(_xlpm.a=_xlpm.b,IFERROR(ERROR.TYPE(_xlpm.a)=ERROR.TYPE(_xlpm.b),FALSE))),"PASS","FAIL"))))</f>
        <v>0</v>
      </c>
    </row>
    <row r="794">
      <c r="A794">
        <v>789</v>
      </c>
      <c r="B794" s="55" t="inlineStr">
        <is>
          <t xml:space="preserve">xmod</t>
        </is>
      </c>
      <c r="C794" t="inlineStr">
        <is>
          <t xml:space="preserve">xmod!J12</t>
        </is>
      </c>
      <c r="D794" s="51" t="inlineStr">
        <is>
          <t xml:space="preserve">tocol</t>
        </is>
      </c>
      <c r="E794" t="inlineStr">
        <is>
          <t xml:space="preserve">xmod(TOCOL(D12),TOCOL(F12))</t>
        </is>
      </c>
      <c r="F794" s="51" cm="1">
        <f t="array" ref="F794">_xlfn.LET(_xlpm.a,xmod('xmod'!D12,'xmod'!F12),_xlpm.b,xmod(_xlfn.TOCOL('xmod'!D12),_xlfn.TOCOL('xmod'!F12)),_xlpm.sa,IFERROR(ROWS(_xlpm.a)&amp;"x"&amp;COLUMNS(_xlpm.a),"err"),_xlpm.sb,IFERROR(ROWS(_xlpm.b)&amp;"x"&amp;COLUMNS(_xlpm.b),"err"),IF(_xlpm.sa&lt;&gt;_xlpm.sb,"FAIL",IF(_xlpm.sa="err",IF(ERROR.TYPE(_xlpm.a)=ERROR.TYPE(_xlpm.b),"PASS","FAIL"),IF(AND(IFERROR(_xlpm.a=_xlpm.b,IFERROR(ERROR.TYPE(_xlpm.a)=ERROR.TYPE(_xlpm.b),FALSE))),"PASS","FAIL"))))</f>
        <v>0</v>
      </c>
    </row>
    <row r="795">
      <c r="A795">
        <v>790</v>
      </c>
      <c r="B795" s="55" t="inlineStr">
        <is>
          <t xml:space="preserve">xmod</t>
        </is>
      </c>
      <c r="C795" t="inlineStr">
        <is>
          <t xml:space="preserve">xmod!J12</t>
        </is>
      </c>
      <c r="D795" s="51" t="inlineStr">
        <is>
          <t xml:space="preserve">textnum</t>
        </is>
      </c>
      <c r="E795" t="inlineStr">
        <is>
          <t xml:space="preserve">xmod((D12&amp;""),(F12&amp;""))</t>
        </is>
      </c>
      <c r="F795" s="51" cm="1">
        <f t="array" ref="F795">_xlfn.LET(_xlpm.a,xmod('xmod'!D12,'xmod'!F12),_xlpm.b,xmod(('xmod'!D12&amp;""),('xmod'!F12&amp;"")),_xlpm.sa,IFERROR(ROWS(_xlpm.a)&amp;"x"&amp;COLUMNS(_xlpm.a),"err"),_xlpm.sb,IFERROR(ROWS(_xlpm.b)&amp;"x"&amp;COLUMNS(_xlpm.b),"err"),IF(_xlpm.sa&lt;&gt;_xlpm.sb,"FAIL",IF(_xlpm.sa="err",IF(ERROR.TYPE(_xlpm.a)=ERROR.TYPE(_xlpm.b),"PASS","FAIL"),IF(AND(IFERROR(_xlpm.a=_xlpm.b,IFERROR(ERROR.TYPE(_xlpm.a)=ERROR.TYPE(_xlpm.b),FALSE))),"PASS","FAIL"))))</f>
        <v>0</v>
      </c>
    </row>
    <row r="796">
      <c r="A796">
        <v>791</v>
      </c>
      <c r="B796" s="55" t="inlineStr">
        <is>
          <t xml:space="preserve">xmod</t>
        </is>
      </c>
      <c r="C796" t="inlineStr">
        <is>
          <t xml:space="preserve">xmod!J14</t>
        </is>
      </c>
      <c r="D796" s="51" t="inlineStr">
        <is>
          <t xml:space="preserve">tocol</t>
        </is>
      </c>
      <c r="E796" t="inlineStr">
        <is>
          <t xml:space="preserve">xmod(TOCOL(D14),TOCOL(F14))</t>
        </is>
      </c>
      <c r="F796" s="51" cm="1">
        <f t="array" ref="F796">_xlfn.LET(_xlpm.a,xmod('xmod'!D14,'xmod'!F14),_xlpm.b,xmod(_xlfn.TOCOL('xmod'!D14),_xlfn.TOCOL('xmod'!F14)),_xlpm.sa,IFERROR(ROWS(_xlpm.a)&amp;"x"&amp;COLUMNS(_xlpm.a),"err"),_xlpm.sb,IFERROR(ROWS(_xlpm.b)&amp;"x"&amp;COLUMNS(_xlpm.b),"err"),IF(_xlpm.sa&lt;&gt;_xlpm.sb,"FAIL",IF(_xlpm.sa="err",IF(ERROR.TYPE(_xlpm.a)=ERROR.TYPE(_xlpm.b),"PASS","FAIL"),IF(AND(IFERROR(_xlpm.a=_xlpm.b,IFERROR(ERROR.TYPE(_xlpm.a)=ERROR.TYPE(_xlpm.b),FALSE))),"PASS","FAIL"))))</f>
        <v>0</v>
      </c>
    </row>
    <row r="797">
      <c r="A797">
        <v>792</v>
      </c>
      <c r="B797" s="55" t="inlineStr">
        <is>
          <t xml:space="preserve">xmod</t>
        </is>
      </c>
      <c r="C797" t="inlineStr">
        <is>
          <t xml:space="preserve">xmod!J14</t>
        </is>
      </c>
      <c r="D797" s="51" t="inlineStr">
        <is>
          <t xml:space="preserve">textnum</t>
        </is>
      </c>
      <c r="E797" t="inlineStr">
        <is>
          <t xml:space="preserve">xmod((D14&amp;""),(F14&amp;""))</t>
        </is>
      </c>
      <c r="F797" s="51" cm="1">
        <f t="array" ref="F797">_xlfn.LET(_xlpm.a,xmod('xmod'!D14,'xmod'!F14),_xlpm.b,xmod(('xmod'!D14&amp;""),('xmod'!F14&amp;"")),_xlpm.sa,IFERROR(ROWS(_xlpm.a)&amp;"x"&amp;COLUMNS(_xlpm.a),"err"),_xlpm.sb,IFERROR(ROWS(_xlpm.b)&amp;"x"&amp;COLUMNS(_xlpm.b),"err"),IF(_xlpm.sa&lt;&gt;_xlpm.sb,"FAIL",IF(_xlpm.sa="err",IF(ERROR.TYPE(_xlpm.a)=ERROR.TYPE(_xlpm.b),"PASS","FAIL"),IF(AND(IFERROR(_xlpm.a=_xlpm.b,IFERROR(ERROR.TYPE(_xlpm.a)=ERROR.TYPE(_xlpm.b),FALSE))),"PASS","FAIL"))))</f>
        <v>0</v>
      </c>
    </row>
    <row r="798">
      <c r="A798">
        <v>793</v>
      </c>
      <c r="B798" s="55" t="inlineStr">
        <is>
          <t xml:space="preserve">xmod</t>
        </is>
      </c>
      <c r="C798" t="inlineStr">
        <is>
          <t xml:space="preserve">xmod!J16</t>
        </is>
      </c>
      <c r="D798" s="51" t="inlineStr">
        <is>
          <t xml:space="preserve">tocol</t>
        </is>
      </c>
      <c r="E798" t="inlineStr">
        <is>
          <t xml:space="preserve">xmod(TOCOL(D16),TOCOL(F16))</t>
        </is>
      </c>
      <c r="F798" s="51" cm="1">
        <f t="array" ref="F798">_xlfn.LET(_xlpm.a,xmod('xmod'!D16,'xmod'!F16),_xlpm.b,xmod(_xlfn.TOCOL('xmod'!D16),_xlfn.TOCOL('xmod'!F16)),_xlpm.sa,IFERROR(ROWS(_xlpm.a)&amp;"x"&amp;COLUMNS(_xlpm.a),"err"),_xlpm.sb,IFERROR(ROWS(_xlpm.b)&amp;"x"&amp;COLUMNS(_xlpm.b),"err"),IF(_xlpm.sa&lt;&gt;_xlpm.sb,"FAIL",IF(_xlpm.sa="err",IF(ERROR.TYPE(_xlpm.a)=ERROR.TYPE(_xlpm.b),"PASS","FAIL"),IF(AND(IFERROR(_xlpm.a=_xlpm.b,IFERROR(ERROR.TYPE(_xlpm.a)=ERROR.TYPE(_xlpm.b),FALSE))),"PASS","FAIL"))))</f>
        <v>0</v>
      </c>
    </row>
    <row r="799">
      <c r="A799">
        <v>794</v>
      </c>
      <c r="B799" s="55" t="inlineStr">
        <is>
          <t xml:space="preserve">xmod</t>
        </is>
      </c>
      <c r="C799" t="inlineStr">
        <is>
          <t xml:space="preserve">xmod!J16</t>
        </is>
      </c>
      <c r="D799" s="51" t="inlineStr">
        <is>
          <t xml:space="preserve">textnum</t>
        </is>
      </c>
      <c r="E799" t="inlineStr">
        <is>
          <t xml:space="preserve">xmod((D16&amp;""),(F16&amp;""))</t>
        </is>
      </c>
      <c r="F799" s="51" cm="1">
        <f t="array" ref="F799">_xlfn.LET(_xlpm.a,xmod('xmod'!D16,'xmod'!F16),_xlpm.b,xmod(('xmod'!D16&amp;""),('xmod'!F16&amp;"")),_xlpm.sa,IFERROR(ROWS(_xlpm.a)&amp;"x"&amp;COLUMNS(_xlpm.a),"err"),_xlpm.sb,IFERROR(ROWS(_xlpm.b)&amp;"x"&amp;COLUMNS(_xlpm.b),"err"),IF(_xlpm.sa&lt;&gt;_xlpm.sb,"FAIL",IF(_xlpm.sa="err",IF(ERROR.TYPE(_xlpm.a)=ERROR.TYPE(_xlpm.b),"PASS","FAIL"),IF(AND(IFERROR(_xlpm.a=_xlpm.b,IFERROR(ERROR.TYPE(_xlpm.a)=ERROR.TYPE(_xlpm.b),FALSE))),"PASS","FAIL"))))</f>
        <v>0</v>
      </c>
    </row>
    <row r="800">
      <c r="A800">
        <v>795</v>
      </c>
      <c r="B800" s="55" t="inlineStr">
        <is>
          <t xml:space="preserve">xn</t>
        </is>
      </c>
      <c r="C800" t="inlineStr">
        <is>
          <t xml:space="preserve">xn!H6</t>
        </is>
      </c>
      <c r="D800" s="51" t="inlineStr">
        <is>
          <t xml:space="preserve">tocol</t>
        </is>
      </c>
      <c r="E800" t="inlineStr">
        <is>
          <t xml:space="preserve">xn(TOCOL(D6))</t>
        </is>
      </c>
      <c r="F800" s="51" cm="1">
        <f t="array" ref="F800">_xlfn.LET(_xlpm.a,xn('xn'!D6),_xlpm.b,xn(_xlfn.TOCOL('xn'!D6)),_xlpm.sa,IFERROR(ROWS(_xlpm.a)&amp;"x"&amp;COLUMNS(_xlpm.a),"err"),_xlpm.sb,IFERROR(ROWS(_xlpm.b)&amp;"x"&amp;COLUMNS(_xlpm.b),"err"),IF(_xlpm.sa&lt;&gt;_xlpm.sb,"FAIL",IF(_xlpm.sa="err",IF(ERROR.TYPE(_xlpm.a)=ERROR.TYPE(_xlpm.b),"PASS","FAIL"),IF(AND(IFERROR(_xlpm.a=_xlpm.b,IFERROR(ERROR.TYPE(_xlpm.a)=ERROR.TYPE(_xlpm.b),FALSE))),"PASS","FAIL"))))</f>
        <v>0</v>
      </c>
    </row>
    <row r="801">
      <c r="A801">
        <v>796</v>
      </c>
      <c r="B801" s="55" t="inlineStr">
        <is>
          <t xml:space="preserve">xn</t>
        </is>
      </c>
      <c r="C801" t="inlineStr">
        <is>
          <t xml:space="preserve">xn!H8</t>
        </is>
      </c>
      <c r="D801" s="51" t="inlineStr">
        <is>
          <t xml:space="preserve">tocol</t>
        </is>
      </c>
      <c r="E801" t="inlineStr">
        <is>
          <t xml:space="preserve">xn(TOCOL(D8))</t>
        </is>
      </c>
      <c r="F801" s="51" cm="1">
        <f t="array" ref="F801">_xlfn.LET(_xlpm.a,xn('xn'!D8),_xlpm.b,xn(_xlfn.TOCOL('xn'!D8)),_xlpm.sa,IFERROR(ROWS(_xlpm.a)&amp;"x"&amp;COLUMNS(_xlpm.a),"err"),_xlpm.sb,IFERROR(ROWS(_xlpm.b)&amp;"x"&amp;COLUMNS(_xlpm.b),"err"),IF(_xlpm.sa&lt;&gt;_xlpm.sb,"FAIL",IF(_xlpm.sa="err",IF(ERROR.TYPE(_xlpm.a)=ERROR.TYPE(_xlpm.b),"PASS","FAIL"),IF(AND(IFERROR(_xlpm.a=_xlpm.b,IFERROR(ERROR.TYPE(_xlpm.a)=ERROR.TYPE(_xlpm.b),FALSE))),"PASS","FAIL"))))</f>
        <v>0</v>
      </c>
    </row>
    <row r="802">
      <c r="A802">
        <v>797</v>
      </c>
      <c r="B802" s="55" t="inlineStr">
        <is>
          <t xml:space="preserve">xn</t>
        </is>
      </c>
      <c r="C802" t="inlineStr">
        <is>
          <t xml:space="preserve">xn!H10</t>
        </is>
      </c>
      <c r="D802" s="51" t="inlineStr">
        <is>
          <t xml:space="preserve">tocol</t>
        </is>
      </c>
      <c r="E802" t="inlineStr">
        <is>
          <t xml:space="preserve">xn(TOCOL(D10))</t>
        </is>
      </c>
      <c r="F802" s="51" cm="1">
        <f t="array" ref="F802">_xlfn.LET(_xlpm.a,xn('xn'!D10),_xlpm.b,xn(_xlfn.TOCOL('xn'!D10)),_xlpm.sa,IFERROR(ROWS(_xlpm.a)&amp;"x"&amp;COLUMNS(_xlpm.a),"err"),_xlpm.sb,IFERROR(ROWS(_xlpm.b)&amp;"x"&amp;COLUMNS(_xlpm.b),"err"),IF(_xlpm.sa&lt;&gt;_xlpm.sb,"FAIL",IF(_xlpm.sa="err",IF(ERROR.TYPE(_xlpm.a)=ERROR.TYPE(_xlpm.b),"PASS","FAIL"),IF(AND(IFERROR(_xlpm.a=_xlpm.b,IFERROR(ERROR.TYPE(_xlpm.a)=ERROR.TYPE(_xlpm.b),FALSE))),"PASS","FAIL"))))</f>
        <v>0</v>
      </c>
    </row>
    <row r="803">
      <c r="A803">
        <v>798</v>
      </c>
      <c r="B803" s="55" t="inlineStr">
        <is>
          <t xml:space="preserve">xn</t>
        </is>
      </c>
      <c r="C803" t="inlineStr">
        <is>
          <t xml:space="preserve">xn!D12</t>
        </is>
      </c>
      <c r="D803" s="51" t="inlineStr">
        <is>
          <t xml:space="preserve">tocol</t>
        </is>
      </c>
      <c r="E803" t="inlineStr">
        <is>
          <t xml:space="preserve">xn(TOCOL(D12))</t>
        </is>
      </c>
      <c r="F803" s="51" cm="1">
        <f t="array" ref="F803">_xlfn.LET(_xlpm.a,xn('xn'!D12),_xlpm.b,xn(_xlfn.TOCOL('xn'!D12)),_xlpm.sa,IFERROR(ROWS(_xlpm.a)&amp;"x"&amp;COLUMNS(_xlpm.a),"err"),_xlpm.sb,IFERROR(ROWS(_xlpm.b)&amp;"x"&amp;COLUMNS(_xlpm.b),"err"),IF(_xlpm.sa&lt;&gt;_xlpm.sb,"FAIL",IF(_xlpm.sa="err",IF(ERROR.TYPE(_xlpm.a)=ERROR.TYPE(_xlpm.b),"PASS","FAIL"),IF(AND(IFERROR(_xlpm.a=_xlpm.b,IFERROR(ERROR.TYPE(_xlpm.a)=ERROR.TYPE(_xlpm.b),FALSE))),"PASS","FAIL"))))</f>
        <v>0</v>
      </c>
    </row>
    <row r="804">
      <c r="A804">
        <v>799</v>
      </c>
      <c r="B804" s="55" t="inlineStr">
        <is>
          <t xml:space="preserve">xrank</t>
        </is>
      </c>
      <c r="C804" t="inlineStr">
        <is>
          <t xml:space="preserve">xrank!L6</t>
        </is>
      </c>
      <c r="D804" s="51" t="inlineStr">
        <is>
          <t xml:space="preserve">tocol</t>
        </is>
      </c>
      <c r="E804" t="inlineStr">
        <is>
          <t xml:space="preserve">xrank(TOCOL(D6),F6:F8)</t>
        </is>
      </c>
      <c r="F804" s="51" cm="1">
        <f t="array" ref="F804">_xlfn.LET(_xlpm.a,xrank('xrank'!D6,'xrank'!F6:F8),_xlpm.b,xrank(_xlfn.TOCOL('xrank'!D6),'xrank'!F6:F8),_xlpm.sa,IFERROR(ROWS(_xlpm.a)&amp;"x"&amp;COLUMNS(_xlpm.a),"err"),_xlpm.sb,IFERROR(ROWS(_xlpm.b)&amp;"x"&amp;COLUMNS(_xlpm.b),"err"),IF(_xlpm.sa&lt;&gt;_xlpm.sb,"FAIL",IF(_xlpm.sa="err",IF(ERROR.TYPE(_xlpm.a)=ERROR.TYPE(_xlpm.b),"PASS","FAIL"),IF(AND(IFERROR(_xlpm.a=_xlpm.b,IFERROR(ERROR.TYPE(_xlpm.a)=ERROR.TYPE(_xlpm.b),FALSE))),"PASS","FAIL"))))</f>
        <v>0</v>
      </c>
    </row>
    <row r="805">
      <c r="A805">
        <v>800</v>
      </c>
      <c r="B805" s="55" t="inlineStr">
        <is>
          <t xml:space="preserve">xrank</t>
        </is>
      </c>
      <c r="C805" t="inlineStr">
        <is>
          <t xml:space="preserve">xrank!L6</t>
        </is>
      </c>
      <c r="D805" s="51" t="inlineStr">
        <is>
          <t xml:space="preserve">blank</t>
        </is>
      </c>
      <c r="E805" t="inlineStr">
        <is>
          <t xml:space="preserve">xrank(D6,F6:F8,shape_tests!$Z$1)</t>
        </is>
      </c>
      <c r="F805" s="51" cm="1">
        <f t="array" ref="F805">_xlfn.LET(_xlpm.a,xrank('xrank'!D6,'xrank'!F6:F8),_xlpm.b,xrank('xrank'!D6,'xrank'!F6:F8,shape_tests!$Z$1),_xlpm.sa,IFERROR(ROWS(_xlpm.a)&amp;"x"&amp;COLUMNS(_xlpm.a),"err"),_xlpm.sb,IFERROR(ROWS(_xlpm.b)&amp;"x"&amp;COLUMNS(_xlpm.b),"err"),IF(_xlpm.sa&lt;&gt;_xlpm.sb,"FAIL",IF(_xlpm.sa="err",IF(ERROR.TYPE(_xlpm.a)=ERROR.TYPE(_xlpm.b),"PASS","FAIL"),IF(AND(IFERROR(_xlpm.a=_xlpm.b,IFERROR(ERROR.TYPE(_xlpm.a)=ERROR.TYPE(_xlpm.b),FALSE))),"PASS","FAIL"))))</f>
        <v>0</v>
      </c>
    </row>
    <row r="806">
      <c r="A806">
        <v>801</v>
      </c>
      <c r="B806" s="55" t="inlineStr">
        <is>
          <t xml:space="preserve">xrank</t>
        </is>
      </c>
      <c r="C806" t="inlineStr">
        <is>
          <t xml:space="preserve">xrank!L10</t>
        </is>
      </c>
      <c r="D806" s="51" t="inlineStr">
        <is>
          <t xml:space="preserve">tocol</t>
        </is>
      </c>
      <c r="E806" t="inlineStr">
        <is>
          <t xml:space="preserve">xrank(TOCOL(D10),F10:F12)</t>
        </is>
      </c>
      <c r="F806" s="51" cm="1">
        <f t="array" ref="F806">_xlfn.LET(_xlpm.a,xrank('xrank'!D10,'xrank'!F10:F12),_xlpm.b,xrank(_xlfn.TOCOL('xrank'!D10),'xrank'!F10:F12),_xlpm.sa,IFERROR(ROWS(_xlpm.a)&amp;"x"&amp;COLUMNS(_xlpm.a),"err"),_xlpm.sb,IFERROR(ROWS(_xlpm.b)&amp;"x"&amp;COLUMNS(_xlpm.b),"err"),IF(_xlpm.sa&lt;&gt;_xlpm.sb,"FAIL",IF(_xlpm.sa="err",IF(ERROR.TYPE(_xlpm.a)=ERROR.TYPE(_xlpm.b),"PASS","FAIL"),IF(AND(IFERROR(_xlpm.a=_xlpm.b,IFERROR(ERROR.TYPE(_xlpm.a)=ERROR.TYPE(_xlpm.b),FALSE))),"PASS","FAIL"))))</f>
        <v>0</v>
      </c>
    </row>
    <row r="807">
      <c r="A807">
        <v>802</v>
      </c>
      <c r="B807" s="55" t="inlineStr">
        <is>
          <t xml:space="preserve">xrank</t>
        </is>
      </c>
      <c r="C807" t="inlineStr">
        <is>
          <t xml:space="preserve">xrank!L10</t>
        </is>
      </c>
      <c r="D807" s="51" t="inlineStr">
        <is>
          <t xml:space="preserve">blank</t>
        </is>
      </c>
      <c r="E807" t="inlineStr">
        <is>
          <t xml:space="preserve">xrank(D10,F10:F12,shape_tests!$Z$1)</t>
        </is>
      </c>
      <c r="F807" s="51" cm="1">
        <f t="array" ref="F807">_xlfn.LET(_xlpm.a,xrank('xrank'!D10,'xrank'!F10:F12),_xlpm.b,xrank('xrank'!D10,'xrank'!F10:F12,shape_tests!$Z$1),_xlpm.sa,IFERROR(ROWS(_xlpm.a)&amp;"x"&amp;COLUMNS(_xlpm.a),"err"),_xlpm.sb,IFERROR(ROWS(_xlpm.b)&amp;"x"&amp;COLUMNS(_xlpm.b),"err"),IF(_xlpm.sa&lt;&gt;_xlpm.sb,"FAIL",IF(_xlpm.sa="err",IF(ERROR.TYPE(_xlpm.a)=ERROR.TYPE(_xlpm.b),"PASS","FAIL"),IF(AND(IFERROR(_xlpm.a=_xlpm.b,IFERROR(ERROR.TYPE(_xlpm.a)=ERROR.TYPE(_xlpm.b),FALSE))),"PASS","FAIL"))))</f>
        <v>0</v>
      </c>
    </row>
    <row r="808">
      <c r="A808">
        <v>803</v>
      </c>
      <c r="B808" s="55" t="inlineStr">
        <is>
          <t xml:space="preserve">xrank</t>
        </is>
      </c>
      <c r="C808" t="inlineStr">
        <is>
          <t xml:space="preserve">xrank!L14</t>
        </is>
      </c>
      <c r="D808" s="51" t="inlineStr">
        <is>
          <t xml:space="preserve">tocol</t>
        </is>
      </c>
      <c r="E808" t="inlineStr">
        <is>
          <t xml:space="preserve">xrank(TOCOL(D14),F14:F16,TOCOL(H14))</t>
        </is>
      </c>
      <c r="F808" s="51" cm="1">
        <f t="array" ref="F808">_xlfn.LET(_xlpm.a,xrank('xrank'!D14,'xrank'!F14:F16,'xrank'!H14),_xlpm.b,xrank(_xlfn.TOCOL('xrank'!D14),'xrank'!F14:F16,_xlfn.TOCOL('xrank'!H14)),_xlpm.sa,IFERROR(ROWS(_xlpm.a)&amp;"x"&amp;COLUMNS(_xlpm.a),"err"),_xlpm.sb,IFERROR(ROWS(_xlpm.b)&amp;"x"&amp;COLUMNS(_xlpm.b),"err"),IF(_xlpm.sa&lt;&gt;_xlpm.sb,"FAIL",IF(_xlpm.sa="err",IF(ERROR.TYPE(_xlpm.a)=ERROR.TYPE(_xlpm.b),"PASS","FAIL"),IF(AND(IFERROR(_xlpm.a=_xlpm.b,IFERROR(ERROR.TYPE(_xlpm.a)=ERROR.TYPE(_xlpm.b),FALSE))),"PASS","FAIL"))))</f>
        <v>0</v>
      </c>
    </row>
    <row r="809">
      <c r="A809">
        <v>804</v>
      </c>
      <c r="B809" s="55" t="inlineStr">
        <is>
          <t xml:space="preserve">xrank</t>
        </is>
      </c>
      <c r="C809" t="inlineStr">
        <is>
          <t xml:space="preserve">xrank!L14</t>
        </is>
      </c>
      <c r="D809" s="51" t="inlineStr">
        <is>
          <t xml:space="preserve">textnum</t>
        </is>
      </c>
      <c r="E809" t="inlineStr">
        <is>
          <t xml:space="preserve">xrank(D14,F14:F16,(H14&amp;""))</t>
        </is>
      </c>
      <c r="F809" s="51" cm="1">
        <f t="array" ref="F809">_xlfn.LET(_xlpm.a,xrank('xrank'!D14,'xrank'!F14:F16,'xrank'!H14),_xlpm.b,xrank('xrank'!D14,'xrank'!F14:F16,('xrank'!H14&amp;"")),_xlpm.sa,IFERROR(ROWS(_xlpm.a)&amp;"x"&amp;COLUMNS(_xlpm.a),"err"),_xlpm.sb,IFERROR(ROWS(_xlpm.b)&amp;"x"&amp;COLUMNS(_xlpm.b),"err"),IF(_xlpm.sa&lt;&gt;_xlpm.sb,"FAIL",IF(_xlpm.sa="err",IF(ERROR.TYPE(_xlpm.a)=ERROR.TYPE(_xlpm.b),"PASS","FAIL"),IF(AND(IFERROR(_xlpm.a=_xlpm.b,IFERROR(ERROR.TYPE(_xlpm.a)=ERROR.TYPE(_xlpm.b),FALSE))),"PASS","FAIL"))))</f>
        <v>0</v>
      </c>
    </row>
    <row r="810">
      <c r="A810">
        <v>805</v>
      </c>
      <c r="B810" s="55" t="inlineStr">
        <is>
          <t xml:space="preserve">xrank</t>
        </is>
      </c>
      <c r="C810" t="inlineStr">
        <is>
          <t xml:space="preserve">xrank!L18</t>
        </is>
      </c>
      <c r="D810" s="51" t="inlineStr">
        <is>
          <t xml:space="preserve">tocol</t>
        </is>
      </c>
      <c r="E810" t="inlineStr">
        <is>
          <t xml:space="preserve">xrank(TOCOL(D18),F18:H18)</t>
        </is>
      </c>
      <c r="F810" s="51" cm="1">
        <f t="array" ref="F810">_xlfn.LET(_xlpm.a,xrank('xrank'!D18,'xrank'!F18:H18),_xlpm.b,xrank(_xlfn.TOCOL('xrank'!D18),'xrank'!F18:H18),_xlpm.sa,IFERROR(ROWS(_xlpm.a)&amp;"x"&amp;COLUMNS(_xlpm.a),"err"),_xlpm.sb,IFERROR(ROWS(_xlpm.b)&amp;"x"&amp;COLUMNS(_xlpm.b),"err"),IF(_xlpm.sa&lt;&gt;_xlpm.sb,"FAIL",IF(_xlpm.sa="err",IF(ERROR.TYPE(_xlpm.a)=ERROR.TYPE(_xlpm.b),"PASS","FAIL"),IF(AND(IFERROR(_xlpm.a=_xlpm.b,IFERROR(ERROR.TYPE(_xlpm.a)=ERROR.TYPE(_xlpm.b),FALSE))),"PASS","FAIL"))))</f>
        <v>0</v>
      </c>
    </row>
    <row r="811">
      <c r="A811">
        <v>806</v>
      </c>
      <c r="B811" s="55" t="inlineStr">
        <is>
          <t xml:space="preserve">xrank</t>
        </is>
      </c>
      <c r="C811" t="inlineStr">
        <is>
          <t xml:space="preserve">xrank!L18</t>
        </is>
      </c>
      <c r="D811" s="51" t="inlineStr">
        <is>
          <t xml:space="preserve">array</t>
        </is>
      </c>
      <c r="E811" t="inlineStr">
        <is>
          <t xml:space="preserve">xrank(D18,CHOOSEROWS(F18:H18,SEQUENCE(ROWS(F18:H18))))</t>
        </is>
      </c>
      <c r="F811" s="51" cm="1">
        <f t="array" ref="F811">_xlfn.LET(_xlpm.a,xrank('xrank'!D18,'xrank'!F18:H18),_xlpm.b,xrank('xrank'!D18,_xlfn.CHOOSEROWS('xrank'!F18:H18,_xlfn.SEQUENCE(ROWS('xrank'!F18:H18)))),_xlpm.sa,IFERROR(ROWS(_xlpm.a)&amp;"x"&amp;COLUMNS(_xlpm.a),"err"),_xlpm.sb,IFERROR(ROWS(_xlpm.b)&amp;"x"&amp;COLUMNS(_xlpm.b),"err"),IF(_xlpm.sa&lt;&gt;_xlpm.sb,"FAIL",IF(_xlpm.sa="err",IF(ERROR.TYPE(_xlpm.a)=ERROR.TYPE(_xlpm.b),"PASS","FAIL"),IF(AND(IFERROR(_xlpm.a=_xlpm.b,IFERROR(ERROR.TYPE(_xlpm.a)=ERROR.TYPE(_xlpm.b),FALSE))),"PASS","FAIL"))))</f>
        <v>0</v>
      </c>
    </row>
    <row r="812">
      <c r="A812">
        <v>807</v>
      </c>
      <c r="B812" s="55" t="inlineStr">
        <is>
          <t xml:space="preserve">xrank</t>
        </is>
      </c>
      <c r="C812" t="inlineStr">
        <is>
          <t xml:space="preserve">xrank!L18</t>
        </is>
      </c>
      <c r="D812" s="51" t="inlineStr">
        <is>
          <t xml:space="preserve">blank</t>
        </is>
      </c>
      <c r="E812" t="inlineStr">
        <is>
          <t xml:space="preserve">xrank(D18,F18:H18,shape_tests!$Z$1)</t>
        </is>
      </c>
      <c r="F812" s="51" cm="1">
        <f t="array" ref="F812">_xlfn.LET(_xlpm.a,xrank('xrank'!D18,'xrank'!F18:H18),_xlpm.b,xrank('xrank'!D18,'xrank'!F18:H18,shape_tests!$Z$1),_xlpm.sa,IFERROR(ROWS(_xlpm.a)&amp;"x"&amp;COLUMNS(_xlpm.a),"err"),_xlpm.sb,IFERROR(ROWS(_xlpm.b)&amp;"x"&amp;COLUMNS(_xlpm.b),"err"),IF(_xlpm.sa&lt;&gt;_xlpm.sb,"FAIL",IF(_xlpm.sa="err",IF(ERROR.TYPE(_xlpm.a)=ERROR.TYPE(_xlpm.b),"PASS","FAIL"),IF(AND(IFERROR(_xlpm.a=_xlpm.b,IFERROR(ERROR.TYPE(_xlpm.a)=ERROR.TYPE(_xlpm.b),FALSE))),"PASS","FAIL"))))</f>
        <v>0</v>
      </c>
    </row>
    <row r="813">
      <c r="A813">
        <v>808</v>
      </c>
      <c r="B813" s="55" t="inlineStr">
        <is>
          <t xml:space="preserve">xrank</t>
        </is>
      </c>
      <c r="C813" t="inlineStr">
        <is>
          <t xml:space="preserve">xrank!L20</t>
        </is>
      </c>
      <c r="D813" s="51" t="inlineStr">
        <is>
          <t xml:space="preserve">tocol</t>
        </is>
      </c>
      <c r="E813" t="inlineStr">
        <is>
          <t xml:space="preserve">xrank(TOCOL(D20),F20:F23)</t>
        </is>
      </c>
      <c r="F813" s="51" cm="1">
        <f t="array" ref="F813">_xlfn.LET(_xlpm.a,xrank('xrank'!D20,'xrank'!F20:F23),_xlpm.b,xrank(_xlfn.TOCOL('xrank'!D20),'xrank'!F20:F23),_xlpm.sa,IFERROR(ROWS(_xlpm.a)&amp;"x"&amp;COLUMNS(_xlpm.a),"err"),_xlpm.sb,IFERROR(ROWS(_xlpm.b)&amp;"x"&amp;COLUMNS(_xlpm.b),"err"),IF(_xlpm.sa&lt;&gt;_xlpm.sb,"FAIL",IF(_xlpm.sa="err",IF(ERROR.TYPE(_xlpm.a)=ERROR.TYPE(_xlpm.b),"PASS","FAIL"),IF(AND(IFERROR(_xlpm.a=_xlpm.b,IFERROR(ERROR.TYPE(_xlpm.a)=ERROR.TYPE(_xlpm.b),FALSE))),"PASS","FAIL"))))</f>
        <v>0</v>
      </c>
    </row>
    <row r="814">
      <c r="A814">
        <v>809</v>
      </c>
      <c r="B814" s="55" t="inlineStr">
        <is>
          <t xml:space="preserve">xrank</t>
        </is>
      </c>
      <c r="C814" t="inlineStr">
        <is>
          <t xml:space="preserve">xrank!L20</t>
        </is>
      </c>
      <c r="D814" s="51" t="inlineStr">
        <is>
          <t xml:space="preserve">blank</t>
        </is>
      </c>
      <c r="E814" t="inlineStr">
        <is>
          <t xml:space="preserve">xrank(D20,F20:F23,shape_tests!$Z$1)</t>
        </is>
      </c>
      <c r="F814" s="51" cm="1">
        <f t="array" ref="F814">_xlfn.LET(_xlpm.a,xrank('xrank'!D20,'xrank'!F20:F23),_xlpm.b,xrank('xrank'!D20,'xrank'!F20:F23,shape_tests!$Z$1),_xlpm.sa,IFERROR(ROWS(_xlpm.a)&amp;"x"&amp;COLUMNS(_xlpm.a),"err"),_xlpm.sb,IFERROR(ROWS(_xlpm.b)&amp;"x"&amp;COLUMNS(_xlpm.b),"err"),IF(_xlpm.sa&lt;&gt;_xlpm.sb,"FAIL",IF(_xlpm.sa="err",IF(ERROR.TYPE(_xlpm.a)=ERROR.TYPE(_xlpm.b),"PASS","FAIL"),IF(AND(IFERROR(_xlpm.a=_xlpm.b,IFERROR(ERROR.TYPE(_xlpm.a)=ERROR.TYPE(_xlpm.b),FALSE))),"PASS","FAIL"))))</f>
        <v>0</v>
      </c>
    </row>
    <row r="815">
      <c r="A815">
        <v>810</v>
      </c>
      <c r="B815" s="55" t="inlineStr">
        <is>
          <t xml:space="preserve">xrank</t>
        </is>
      </c>
      <c r="C815" t="inlineStr">
        <is>
          <t xml:space="preserve">xrank!L25</t>
        </is>
      </c>
      <c r="D815" s="51" t="inlineStr">
        <is>
          <t xml:space="preserve">tocol</t>
        </is>
      </c>
      <c r="E815" t="inlineStr">
        <is>
          <t xml:space="preserve">xrank(TOCOL(D25),{10;20;30})</t>
        </is>
      </c>
      <c r="F815" s="51" cm="1">
        <f t="array" ref="F815">_xlfn.LET(_xlpm.a,xrank('xrank'!D25,{10;20;30}),_xlpm.b,xrank(_xlfn.TOCOL('xrank'!D25),{10;20;30}),_xlpm.sa,IFERROR(ROWS(_xlpm.a)&amp;"x"&amp;COLUMNS(_xlpm.a),"err"),_xlpm.sb,IFERROR(ROWS(_xlpm.b)&amp;"x"&amp;COLUMNS(_xlpm.b),"err"),IF(_xlpm.sa&lt;&gt;_xlpm.sb,"FAIL",IF(_xlpm.sa="err",IF(ERROR.TYPE(_xlpm.a)=ERROR.TYPE(_xlpm.b),"PASS","FAIL"),IF(AND(IFERROR(_xlpm.a=_xlpm.b,IFERROR(ERROR.TYPE(_xlpm.a)=ERROR.TYPE(_xlpm.b),FALSE))),"PASS","FAIL"))))</f>
        <v>0</v>
      </c>
    </row>
    <row r="816">
      <c r="A816">
        <v>811</v>
      </c>
      <c r="B816" s="55" t="inlineStr">
        <is>
          <t xml:space="preserve">xrank</t>
        </is>
      </c>
      <c r="C816" t="inlineStr">
        <is>
          <t xml:space="preserve">xrank!L25</t>
        </is>
      </c>
      <c r="D816" s="51" t="inlineStr">
        <is>
          <t xml:space="preserve">blank</t>
        </is>
      </c>
      <c r="E816" t="inlineStr">
        <is>
          <t xml:space="preserve">xrank(D25,{10;20;30},shape_tests!$Z$1)</t>
        </is>
      </c>
      <c r="F816" s="51" cm="1">
        <f t="array" ref="F816">_xlfn.LET(_xlpm.a,xrank('xrank'!D25,{10;20;30}),_xlpm.b,xrank('xrank'!D25,{10;20;30},shape_tests!$Z$1),_xlpm.sa,IFERROR(ROWS(_xlpm.a)&amp;"x"&amp;COLUMNS(_xlpm.a),"err"),_xlpm.sb,IFERROR(ROWS(_xlpm.b)&amp;"x"&amp;COLUMNS(_xlpm.b),"err"),IF(_xlpm.sa&lt;&gt;_xlpm.sb,"FAIL",IF(_xlpm.sa="err",IF(ERROR.TYPE(_xlpm.a)=ERROR.TYPE(_xlpm.b),"PASS","FAIL"),IF(AND(IFERROR(_xlpm.a=_xlpm.b,IFERROR(ERROR.TYPE(_xlpm.a)=ERROR.TYPE(_xlpm.b),FALSE))),"PASS","FAIL"))))</f>
        <v>0</v>
      </c>
    </row>
    <row r="817">
      <c r="A817">
        <v>812</v>
      </c>
      <c r="B817" s="55" t="inlineStr">
        <is>
          <t xml:space="preserve">xsequence</t>
        </is>
      </c>
      <c r="C817" t="inlineStr">
        <is>
          <t xml:space="preserve">xsequence!P6</t>
        </is>
      </c>
      <c r="D817" s="51" t="inlineStr">
        <is>
          <t xml:space="preserve">tocol</t>
        </is>
      </c>
      <c r="E817" t="inlineStr">
        <is>
          <t xml:space="preserve">xsequence(TOCOL(D6),TOCOL(F6))</t>
        </is>
      </c>
      <c r="F817" s="51" cm="1">
        <f t="array" ref="F817">_xlfn.LET(_xlpm.a,xsequence('xsequence'!D6,'xsequence'!F6),_xlpm.b,xsequence(_xlfn.TOCOL('xsequence'!D6),_xlfn.TOCOL('xsequence'!F6)),_xlpm.sa,IFERROR(ROWS(_xlpm.a)&amp;"x"&amp;COLUMNS(_xlpm.a),"err"),_xlpm.sb,IFERROR(ROWS(_xlpm.b)&amp;"x"&amp;COLUMNS(_xlpm.b),"err"),IF(_xlpm.sa&lt;&gt;_xlpm.sb,"FAIL",IF(_xlpm.sa="err",IF(ERROR.TYPE(_xlpm.a)=ERROR.TYPE(_xlpm.b),"PASS","FAIL"),IF(AND(IFERROR(_xlpm.a=_xlpm.b,IFERROR(ERROR.TYPE(_xlpm.a)=ERROR.TYPE(_xlpm.b),FALSE))),"PASS","FAIL"))))</f>
        <v>0</v>
      </c>
    </row>
    <row r="818">
      <c r="A818">
        <v>813</v>
      </c>
      <c r="B818" s="55" t="inlineStr">
        <is>
          <t xml:space="preserve">xsequence</t>
        </is>
      </c>
      <c r="C818" t="inlineStr">
        <is>
          <t xml:space="preserve">xsequence!P6</t>
        </is>
      </c>
      <c r="D818" s="51" t="inlineStr">
        <is>
          <t xml:space="preserve">textnum</t>
        </is>
      </c>
      <c r="E818" t="inlineStr">
        <is>
          <t xml:space="preserve">xsequence((D6&amp;""),(F6&amp;""))</t>
        </is>
      </c>
      <c r="F818" s="51" cm="1">
        <f t="array" ref="F818">_xlfn.LET(_xlpm.a,xsequence('xsequence'!D6,'xsequence'!F6),_xlpm.b,xsequence(('xsequence'!D6&amp;""),('xsequence'!F6&amp;"")),_xlpm.sa,IFERROR(ROWS(_xlpm.a)&amp;"x"&amp;COLUMNS(_xlpm.a),"err"),_xlpm.sb,IFERROR(ROWS(_xlpm.b)&amp;"x"&amp;COLUMNS(_xlpm.b),"err"),IF(_xlpm.sa&lt;&gt;_xlpm.sb,"FAIL",IF(_xlpm.sa="err",IF(ERROR.TYPE(_xlpm.a)=ERROR.TYPE(_xlpm.b),"PASS","FAIL"),IF(AND(IFERROR(_xlpm.a=_xlpm.b,IFERROR(ERROR.TYPE(_xlpm.a)=ERROR.TYPE(_xlpm.b),FALSE))),"PASS","FAIL"))))</f>
        <v>0</v>
      </c>
    </row>
    <row r="819">
      <c r="A819">
        <v>814</v>
      </c>
      <c r="B819" s="55" t="inlineStr">
        <is>
          <t xml:space="preserve">xsequence</t>
        </is>
      </c>
      <c r="C819" t="inlineStr">
        <is>
          <t xml:space="preserve">xsequence!P6</t>
        </is>
      </c>
      <c r="D819" s="51" t="inlineStr">
        <is>
          <t xml:space="preserve">blank</t>
        </is>
      </c>
      <c r="E819" t="inlineStr">
        <is>
          <t xml:space="preserve">xsequence(D6,F6,shape_tests!$Z$1,shape_tests!$Z$1,shape_tests!$Z$1)</t>
        </is>
      </c>
      <c r="F819" s="51" cm="1">
        <f t="array" ref="F819">_xlfn.LET(_xlpm.a,xsequence('xsequence'!D6,'xsequence'!F6),_xlpm.b,xsequence('xsequence'!D6,'xsequence'!F6,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20">
      <c r="A820">
        <v>815</v>
      </c>
      <c r="B820" s="55" t="inlineStr">
        <is>
          <t xml:space="preserve">xsequence</t>
        </is>
      </c>
      <c r="C820" t="inlineStr">
        <is>
          <t xml:space="preserve">xsequence!P12</t>
        </is>
      </c>
      <c r="D820" s="51" t="inlineStr">
        <is>
          <t xml:space="preserve">tocol</t>
        </is>
      </c>
      <c r="E820" t="inlineStr">
        <is>
          <t xml:space="preserve">xsequence(TOCOL(D12),TOCOL(F12),TOCOL(H12))</t>
        </is>
      </c>
      <c r="F820" s="51" cm="1">
        <f t="array" ref="F820">_xlfn.LET(_xlpm.a,xsequence('xsequence'!D12,'xsequence'!F12,'xsequence'!H12),_xlpm.b,xsequence(_xlfn.TOCOL('xsequence'!D12),_xlfn.TOCOL('xsequence'!F12),_xlfn.TOCOL('xsequence'!H12)),_xlpm.sa,IFERROR(ROWS(_xlpm.a)&amp;"x"&amp;COLUMNS(_xlpm.a),"err"),_xlpm.sb,IFERROR(ROWS(_xlpm.b)&amp;"x"&amp;COLUMNS(_xlpm.b),"err"),IF(_xlpm.sa&lt;&gt;_xlpm.sb,"FAIL",IF(_xlpm.sa="err",IF(ERROR.TYPE(_xlpm.a)=ERROR.TYPE(_xlpm.b),"PASS","FAIL"),IF(AND(IFERROR(_xlpm.a=_xlpm.b,IFERROR(ERROR.TYPE(_xlpm.a)=ERROR.TYPE(_xlpm.b),FALSE))),"PASS","FAIL"))))</f>
        <v>0</v>
      </c>
    </row>
    <row r="821">
      <c r="A821">
        <v>816</v>
      </c>
      <c r="B821" s="55" t="inlineStr">
        <is>
          <t xml:space="preserve">xsequence</t>
        </is>
      </c>
      <c r="C821" t="inlineStr">
        <is>
          <t xml:space="preserve">xsequence!P12</t>
        </is>
      </c>
      <c r="D821" s="51" t="inlineStr">
        <is>
          <t xml:space="preserve">textnum</t>
        </is>
      </c>
      <c r="E821" t="inlineStr">
        <is>
          <t xml:space="preserve">xsequence((D12&amp;""),(F12&amp;""),(H12&amp;""))</t>
        </is>
      </c>
      <c r="F821" s="51" cm="1">
        <f t="array" ref="F821">_xlfn.LET(_xlpm.a,xsequence('xsequence'!D12,'xsequence'!F12,'xsequence'!H12),_xlpm.b,xsequence(('xsequence'!D12&amp;""),('xsequence'!F12&amp;""),('xsequence'!H12&amp;"")),_xlpm.sa,IFERROR(ROWS(_xlpm.a)&amp;"x"&amp;COLUMNS(_xlpm.a),"err"),_xlpm.sb,IFERROR(ROWS(_xlpm.b)&amp;"x"&amp;COLUMNS(_xlpm.b),"err"),IF(_xlpm.sa&lt;&gt;_xlpm.sb,"FAIL",IF(_xlpm.sa="err",IF(ERROR.TYPE(_xlpm.a)=ERROR.TYPE(_xlpm.b),"PASS","FAIL"),IF(AND(IFERROR(_xlpm.a=_xlpm.b,IFERROR(ERROR.TYPE(_xlpm.a)=ERROR.TYPE(_xlpm.b),FALSE))),"PASS","FAIL"))))</f>
        <v>0</v>
      </c>
    </row>
    <row r="822">
      <c r="A822">
        <v>817</v>
      </c>
      <c r="B822" s="55" t="inlineStr">
        <is>
          <t xml:space="preserve">xsequence</t>
        </is>
      </c>
      <c r="C822" t="inlineStr">
        <is>
          <t xml:space="preserve">xsequence!P12</t>
        </is>
      </c>
      <c r="D822" s="51" t="inlineStr">
        <is>
          <t xml:space="preserve">blank</t>
        </is>
      </c>
      <c r="E822" t="inlineStr">
        <is>
          <t xml:space="preserve">xsequence(D12,F12,H12,shape_tests!$Z$1,shape_tests!$Z$1)</t>
        </is>
      </c>
      <c r="F822" s="51" cm="1">
        <f t="array" ref="F822">_xlfn.LET(_xlpm.a,xsequence('xsequence'!D12,'xsequence'!F12,'xsequence'!H12),_xlpm.b,xsequence('xsequence'!D12,'xsequence'!F12,'xsequence'!H12,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23">
      <c r="A823">
        <v>818</v>
      </c>
      <c r="B823" s="55" t="inlineStr">
        <is>
          <t xml:space="preserve">xsequence</t>
        </is>
      </c>
      <c r="C823" t="inlineStr">
        <is>
          <t xml:space="preserve">xsequence!P16</t>
        </is>
      </c>
      <c r="D823" s="51" t="inlineStr">
        <is>
          <t xml:space="preserve">tocol</t>
        </is>
      </c>
      <c r="E823" t="inlineStr">
        <is>
          <t xml:space="preserve">xsequence(TOCOL(D16),TOCOL(F16),,TOCOL(J16))</t>
        </is>
      </c>
      <c r="F823" s="51" cm="1">
        <f t="array" ref="F823">_xlfn.LET(_xlpm.a,xsequence('xsequence'!D16,'xsequence'!F16,,'xsequence'!J16),_xlpm.b,xsequence(_xlfn.TOCOL('xsequence'!D16),_xlfn.TOCOL('xsequence'!F16),,_xlfn.TOCOL('xsequence'!J16)),_xlpm.sa,IFERROR(ROWS(_xlpm.a)&amp;"x"&amp;COLUMNS(_xlpm.a),"err"),_xlpm.sb,IFERROR(ROWS(_xlpm.b)&amp;"x"&amp;COLUMNS(_xlpm.b),"err"),IF(_xlpm.sa&lt;&gt;_xlpm.sb,"FAIL",IF(_xlpm.sa="err",IF(ERROR.TYPE(_xlpm.a)=ERROR.TYPE(_xlpm.b),"PASS","FAIL"),IF(AND(IFERROR(_xlpm.a=_xlpm.b,IFERROR(ERROR.TYPE(_xlpm.a)=ERROR.TYPE(_xlpm.b),FALSE))),"PASS","FAIL"))))</f>
        <v>0</v>
      </c>
    </row>
    <row r="824">
      <c r="A824">
        <v>819</v>
      </c>
      <c r="B824" s="55" t="inlineStr">
        <is>
          <t xml:space="preserve">xsequence</t>
        </is>
      </c>
      <c r="C824" t="inlineStr">
        <is>
          <t xml:space="preserve">xsequence!P16</t>
        </is>
      </c>
      <c r="D824" s="51" t="inlineStr">
        <is>
          <t xml:space="preserve">textnum</t>
        </is>
      </c>
      <c r="E824" t="inlineStr">
        <is>
          <t xml:space="preserve">xsequence((D16&amp;""),(F16&amp;""),,J16)</t>
        </is>
      </c>
      <c r="F824" s="51" cm="1">
        <f t="array" ref="F824">_xlfn.LET(_xlpm.a,xsequence('xsequence'!D16,'xsequence'!F16,,'xsequence'!J16),_xlpm.b,xsequence(('xsequence'!D16&amp;""),('xsequence'!F16&amp;""),,'xsequence'!J16),_xlpm.sa,IFERROR(ROWS(_xlpm.a)&amp;"x"&amp;COLUMNS(_xlpm.a),"err"),_xlpm.sb,IFERROR(ROWS(_xlpm.b)&amp;"x"&amp;COLUMNS(_xlpm.b),"err"),IF(_xlpm.sa&lt;&gt;_xlpm.sb,"FAIL",IF(_xlpm.sa="err",IF(ERROR.TYPE(_xlpm.a)=ERROR.TYPE(_xlpm.b),"PASS","FAIL"),IF(AND(IFERROR(_xlpm.a=_xlpm.b,IFERROR(ERROR.TYPE(_xlpm.a)=ERROR.TYPE(_xlpm.b),FALSE))),"PASS","FAIL"))))</f>
        <v>0</v>
      </c>
    </row>
    <row r="825">
      <c r="A825">
        <v>820</v>
      </c>
      <c r="B825" s="55" t="inlineStr">
        <is>
          <t xml:space="preserve">xsequence</t>
        </is>
      </c>
      <c r="C825" t="inlineStr">
        <is>
          <t xml:space="preserve">xsequence!P16</t>
        </is>
      </c>
      <c r="D825" s="51" t="inlineStr">
        <is>
          <t xml:space="preserve">blank</t>
        </is>
      </c>
      <c r="E825" t="inlineStr">
        <is>
          <t xml:space="preserve">xsequence(D16,F16,shape_tests!$Z$1,J16,shape_tests!$Z$1)</t>
        </is>
      </c>
      <c r="F825" s="51" cm="1">
        <f t="array" ref="F825">_xlfn.LET(_xlpm.a,xsequence('xsequence'!D16,'xsequence'!F16,,'xsequence'!J16),_xlpm.b,xsequence('xsequence'!D16,'xsequence'!F16,shape_tests!$Z$1,'xsequence'!J16,shape_tests!$Z$1),_xlpm.sa,IFERROR(ROWS(_xlpm.a)&amp;"x"&amp;COLUMNS(_xlpm.a),"err"),_xlpm.sb,IFERROR(ROWS(_xlpm.b)&amp;"x"&amp;COLUMNS(_xlpm.b),"err"),IF(_xlpm.sa&lt;&gt;_xlpm.sb,"FAIL",IF(_xlpm.sa="err",IF(ERROR.TYPE(_xlpm.a)=ERROR.TYPE(_xlpm.b),"PASS","FAIL"),IF(AND(IFERROR(_xlpm.a=_xlpm.b,IFERROR(ERROR.TYPE(_xlpm.a)=ERROR.TYPE(_xlpm.b),FALSE))),"PASS","FAIL"))))</f>
        <v>0</v>
      </c>
    </row>
    <row r="826">
      <c r="A826">
        <v>821</v>
      </c>
      <c r="B826" s="55" t="inlineStr">
        <is>
          <t xml:space="preserve">xsequence</t>
        </is>
      </c>
      <c r="C826" t="inlineStr">
        <is>
          <t xml:space="preserve">xsequence!P23</t>
        </is>
      </c>
      <c r="D826" s="51" t="inlineStr">
        <is>
          <t xml:space="preserve">tocol</t>
        </is>
      </c>
      <c r="E826" t="inlineStr">
        <is>
          <t xml:space="preserve">xsequence(TOCOL(D23),TOCOL(F23),,,TOCOL(L23))</t>
        </is>
      </c>
      <c r="F826" s="51" cm="1">
        <f t="array" ref="F826">_xlfn.LET(_xlpm.a,xsequence('xsequence'!D23,'xsequence'!F23,,,'xsequence'!L23),_xlpm.b,xsequence(_xlfn.TOCOL('xsequence'!D23),_xlfn.TOCOL('xsequence'!F23),,,_xlfn.TOCOL('xsequence'!L23)),_xlpm.sa,IFERROR(ROWS(_xlpm.a)&amp;"x"&amp;COLUMNS(_xlpm.a),"err"),_xlpm.sb,IFERROR(ROWS(_xlpm.b)&amp;"x"&amp;COLUMNS(_xlpm.b),"err"),IF(_xlpm.sa&lt;&gt;_xlpm.sb,"FAIL",IF(_xlpm.sa="err",IF(ERROR.TYPE(_xlpm.a)=ERROR.TYPE(_xlpm.b),"PASS","FAIL"),IF(AND(IFERROR(_xlpm.a=_xlpm.b,IFERROR(ERROR.TYPE(_xlpm.a)=ERROR.TYPE(_xlpm.b),FALSE))),"PASS","FAIL"))))</f>
        <v>0</v>
      </c>
    </row>
    <row r="827">
      <c r="A827">
        <v>822</v>
      </c>
      <c r="B827" s="55" t="inlineStr">
        <is>
          <t xml:space="preserve">xsequence</t>
        </is>
      </c>
      <c r="C827" t="inlineStr">
        <is>
          <t xml:space="preserve">xsequence!P23</t>
        </is>
      </c>
      <c r="D827" s="51" t="inlineStr">
        <is>
          <t xml:space="preserve">textnum</t>
        </is>
      </c>
      <c r="E827" t="inlineStr">
        <is>
          <t xml:space="preserve">xsequence((D23&amp;""),(F23&amp;""),,,L23)</t>
        </is>
      </c>
      <c r="F827" s="51" cm="1">
        <f t="array" ref="F827">_xlfn.LET(_xlpm.a,xsequence('xsequence'!D23,'xsequence'!F23,,,'xsequence'!L23),_xlpm.b,xsequence(('xsequence'!D23&amp;""),('xsequence'!F23&amp;""),,,'xsequence'!L23),_xlpm.sa,IFERROR(ROWS(_xlpm.a)&amp;"x"&amp;COLUMNS(_xlpm.a),"err"),_xlpm.sb,IFERROR(ROWS(_xlpm.b)&amp;"x"&amp;COLUMNS(_xlpm.b),"err"),IF(_xlpm.sa&lt;&gt;_xlpm.sb,"FAIL",IF(_xlpm.sa="err",IF(ERROR.TYPE(_xlpm.a)=ERROR.TYPE(_xlpm.b),"PASS","FAIL"),IF(AND(IFERROR(_xlpm.a=_xlpm.b,IFERROR(ERROR.TYPE(_xlpm.a)=ERROR.TYPE(_xlpm.b),FALSE))),"PASS","FAIL"))))</f>
        <v>0</v>
      </c>
    </row>
    <row r="828">
      <c r="A828">
        <v>823</v>
      </c>
      <c r="B828" s="55" t="inlineStr">
        <is>
          <t xml:space="preserve">xsequence</t>
        </is>
      </c>
      <c r="C828" t="inlineStr">
        <is>
          <t xml:space="preserve">xsequence!P23</t>
        </is>
      </c>
      <c r="D828" s="51" t="inlineStr">
        <is>
          <t xml:space="preserve">blank</t>
        </is>
      </c>
      <c r="E828" t="inlineStr">
        <is>
          <t xml:space="preserve">xsequence(D23,F23,shape_tests!$Z$1,shape_tests!$Z$1,L23)</t>
        </is>
      </c>
      <c r="F828" s="51" cm="1">
        <f t="array" ref="F828">_xlfn.LET(_xlpm.a,xsequence('xsequence'!D23,'xsequence'!F23,,,'xsequence'!L23),_xlpm.b,xsequence('xsequence'!D23,'xsequence'!F23,shape_tests!$Z$1,shape_tests!$Z$1,'xsequence'!L23),_xlpm.sa,IFERROR(ROWS(_xlpm.a)&amp;"x"&amp;COLUMNS(_xlpm.a),"err"),_xlpm.sb,IFERROR(ROWS(_xlpm.b)&amp;"x"&amp;COLUMNS(_xlpm.b),"err"),IF(_xlpm.sa&lt;&gt;_xlpm.sb,"FAIL",IF(_xlpm.sa="err",IF(ERROR.TYPE(_xlpm.a)=ERROR.TYPE(_xlpm.b),"PASS","FAIL"),IF(AND(IFERROR(_xlpm.a=_xlpm.b,IFERROR(ERROR.TYPE(_xlpm.a)=ERROR.TYPE(_xlpm.b),FALSE))),"PASS","FAIL"))))</f>
        <v>0</v>
      </c>
    </row>
    <row r="829">
      <c r="A829">
        <v>824</v>
      </c>
      <c r="B829" s="55" t="inlineStr">
        <is>
          <t xml:space="preserve">xsequence</t>
        </is>
      </c>
      <c r="C829" t="inlineStr">
        <is>
          <t xml:space="preserve">xsequence!P30</t>
        </is>
      </c>
      <c r="D829" s="51" t="inlineStr">
        <is>
          <t xml:space="preserve">tocol</t>
        </is>
      </c>
      <c r="E829" t="inlineStr">
        <is>
          <t xml:space="preserve">xsequence(TOCOL(D30),TOCOL(F30))</t>
        </is>
      </c>
      <c r="F829" s="51" cm="1">
        <f t="array" ref="F829">_xlfn.LET(_xlpm.a,xsequence('xsequence'!D30,'xsequence'!F30),_xlpm.b,xsequence(_xlfn.TOCOL('xsequence'!D30),_xlfn.TOCOL('xsequence'!F30)),_xlpm.sa,IFERROR(ROWS(_xlpm.a)&amp;"x"&amp;COLUMNS(_xlpm.a),"err"),_xlpm.sb,IFERROR(ROWS(_xlpm.b)&amp;"x"&amp;COLUMNS(_xlpm.b),"err"),IF(_xlpm.sa&lt;&gt;_xlpm.sb,"FAIL",IF(_xlpm.sa="err",IF(ERROR.TYPE(_xlpm.a)=ERROR.TYPE(_xlpm.b),"PASS","FAIL"),IF(AND(IFERROR(_xlpm.a=_xlpm.b,IFERROR(ERROR.TYPE(_xlpm.a)=ERROR.TYPE(_xlpm.b),FALSE))),"PASS","FAIL"))))</f>
        <v>0</v>
      </c>
    </row>
    <row r="830">
      <c r="A830">
        <v>825</v>
      </c>
      <c r="B830" s="55" t="inlineStr">
        <is>
          <t xml:space="preserve">xsequence</t>
        </is>
      </c>
      <c r="C830" t="inlineStr">
        <is>
          <t xml:space="preserve">xsequence!P30</t>
        </is>
      </c>
      <c r="D830" s="51" t="inlineStr">
        <is>
          <t xml:space="preserve">textnum</t>
        </is>
      </c>
      <c r="E830" t="inlineStr">
        <is>
          <t xml:space="preserve">xsequence((D30&amp;""),(F30&amp;""))</t>
        </is>
      </c>
      <c r="F830" s="51" cm="1">
        <f t="array" ref="F830">_xlfn.LET(_xlpm.a,xsequence('xsequence'!D30,'xsequence'!F30),_xlpm.b,xsequence(('xsequence'!D30&amp;""),('xsequence'!F30&amp;"")),_xlpm.sa,IFERROR(ROWS(_xlpm.a)&amp;"x"&amp;COLUMNS(_xlpm.a),"err"),_xlpm.sb,IFERROR(ROWS(_xlpm.b)&amp;"x"&amp;COLUMNS(_xlpm.b),"err"),IF(_xlpm.sa&lt;&gt;_xlpm.sb,"FAIL",IF(_xlpm.sa="err",IF(ERROR.TYPE(_xlpm.a)=ERROR.TYPE(_xlpm.b),"PASS","FAIL"),IF(AND(IFERROR(_xlpm.a=_xlpm.b,IFERROR(ERROR.TYPE(_xlpm.a)=ERROR.TYPE(_xlpm.b),FALSE))),"PASS","FAIL"))))</f>
        <v>0</v>
      </c>
    </row>
    <row r="831">
      <c r="A831">
        <v>826</v>
      </c>
      <c r="B831" s="55" t="inlineStr">
        <is>
          <t xml:space="preserve">xsequence</t>
        </is>
      </c>
      <c r="C831" t="inlineStr">
        <is>
          <t xml:space="preserve">xsequence!P30</t>
        </is>
      </c>
      <c r="D831" s="51" t="inlineStr">
        <is>
          <t xml:space="preserve">blank</t>
        </is>
      </c>
      <c r="E831" t="inlineStr">
        <is>
          <t xml:space="preserve">xsequence(D30,F30,shape_tests!$Z$1,shape_tests!$Z$1,shape_tests!$Z$1)</t>
        </is>
      </c>
      <c r="F831" s="51" cm="1">
        <f t="array" ref="F831">_xlfn.LET(_xlpm.a,xsequence('xsequence'!D30,'xsequence'!F30),_xlpm.b,xsequence('xsequence'!D30,'xsequence'!F30,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32">
      <c r="A832">
        <v>827</v>
      </c>
      <c r="B832" s="55" t="inlineStr">
        <is>
          <t xml:space="preserve">xsequence</t>
        </is>
      </c>
      <c r="C832" t="inlineStr">
        <is>
          <t xml:space="preserve">xsequence!P36</t>
        </is>
      </c>
      <c r="D832" s="51" t="inlineStr">
        <is>
          <t xml:space="preserve">tocol</t>
        </is>
      </c>
      <c r="E832" t="inlineStr">
        <is>
          <t xml:space="preserve">xsequence(TOCOL(D36),TOCOL(F36),TOCOL(-1))</t>
        </is>
      </c>
      <c r="F832" s="51" cm="1">
        <f t="array" ref="F832">_xlfn.LET(_xlpm.a,xsequence('xsequence'!D36,'xsequence'!F36,-1),_xlpm.b,xsequence(_xlfn.TOCOL('xsequence'!D36),_xlfn.TOCOL('xsequence'!F36),_xlfn.TOCOL(-1)),_xlpm.sa,IFERROR(ROWS(_xlpm.a)&amp;"x"&amp;COLUMNS(_xlpm.a),"err"),_xlpm.sb,IFERROR(ROWS(_xlpm.b)&amp;"x"&amp;COLUMNS(_xlpm.b),"err"),IF(_xlpm.sa&lt;&gt;_xlpm.sb,"FAIL",IF(_xlpm.sa="err",IF(ERROR.TYPE(_xlpm.a)=ERROR.TYPE(_xlpm.b),"PASS","FAIL"),IF(AND(IFERROR(_xlpm.a=_xlpm.b,IFERROR(ERROR.TYPE(_xlpm.a)=ERROR.TYPE(_xlpm.b),FALSE))),"PASS","FAIL"))))</f>
        <v>0</v>
      </c>
    </row>
    <row r="833">
      <c r="A833">
        <v>828</v>
      </c>
      <c r="B833" s="55" t="inlineStr">
        <is>
          <t xml:space="preserve">xsequence</t>
        </is>
      </c>
      <c r="C833" t="inlineStr">
        <is>
          <t xml:space="preserve">xsequence!P36</t>
        </is>
      </c>
      <c r="D833" s="51" t="inlineStr">
        <is>
          <t xml:space="preserve">cellref</t>
        </is>
      </c>
      <c r="E833" t="inlineStr">
        <is>
          <t xml:space="preserve">xsequence(D36,F36,shape_tests!$H$833)</t>
        </is>
      </c>
      <c r="F833" s="51" cm="1">
        <f t="array" ref="F833">_xlfn.LET(_xlpm.a,xsequence('xsequence'!D36,'xsequence'!F36,-1),_xlpm.b,xsequence('xsequence'!D36,'xsequence'!F36,shape_tests!$H$833),_xlpm.sa,IFERROR(ROWS(_xlpm.a)&amp;"x"&amp;COLUMNS(_xlpm.a),"err"),_xlpm.sb,IFERROR(ROWS(_xlpm.b)&amp;"x"&amp;COLUMNS(_xlpm.b),"err"),IF(_xlpm.sa&lt;&gt;_xlpm.sb,"FAIL",IF(_xlpm.sa="err",IF(ERROR.TYPE(_xlpm.a)=ERROR.TYPE(_xlpm.b),"PASS","FAIL"),IF(AND(IFERROR(_xlpm.a=_xlpm.b,IFERROR(ERROR.TYPE(_xlpm.a)=ERROR.TYPE(_xlpm.b),FALSE))),"PASS","FAIL"))))</f>
        <v>0</v>
      </c>
      <c r="H833">
        <v>-1.0</v>
      </c>
    </row>
    <row r="834">
      <c r="A834">
        <v>829</v>
      </c>
      <c r="B834" s="55" t="inlineStr">
        <is>
          <t xml:space="preserve">xsequence</t>
        </is>
      </c>
      <c r="C834" t="inlineStr">
        <is>
          <t xml:space="preserve">xsequence!P36</t>
        </is>
      </c>
      <c r="D834" s="51" t="inlineStr">
        <is>
          <t xml:space="preserve">textnum</t>
        </is>
      </c>
      <c r="E834" t="inlineStr">
        <is>
          <t xml:space="preserve">xsequence((D36&amp;""),(F36&amp;""),"-1")</t>
        </is>
      </c>
      <c r="F834" s="51" cm="1">
        <f t="array" ref="F834">_xlfn.LET(_xlpm.a,xsequence('xsequence'!D36,'xsequence'!F36,-1),_xlpm.b,xsequence(('xsequence'!D36&amp;""),('xsequence'!F36&amp;""),"-1"),_xlpm.sa,IFERROR(ROWS(_xlpm.a)&amp;"x"&amp;COLUMNS(_xlpm.a),"err"),_xlpm.sb,IFERROR(ROWS(_xlpm.b)&amp;"x"&amp;COLUMNS(_xlpm.b),"err"),IF(_xlpm.sa&lt;&gt;_xlpm.sb,"FAIL",IF(_xlpm.sa="err",IF(ERROR.TYPE(_xlpm.a)=ERROR.TYPE(_xlpm.b),"PASS","FAIL"),IF(AND(IFERROR(_xlpm.a=_xlpm.b,IFERROR(ERROR.TYPE(_xlpm.a)=ERROR.TYPE(_xlpm.b),FALSE))),"PASS","FAIL"))))</f>
        <v>0</v>
      </c>
    </row>
    <row r="835">
      <c r="A835">
        <v>830</v>
      </c>
      <c r="B835" s="55" t="inlineStr">
        <is>
          <t xml:space="preserve">xsequence</t>
        </is>
      </c>
      <c r="C835" t="inlineStr">
        <is>
          <t xml:space="preserve">xsequence!P36</t>
        </is>
      </c>
      <c r="D835" s="51" t="inlineStr">
        <is>
          <t xml:space="preserve">blank</t>
        </is>
      </c>
      <c r="E835" t="inlineStr">
        <is>
          <t xml:space="preserve">xsequence(D36,F36,-1,shape_tests!$Z$1,shape_tests!$Z$1)</t>
        </is>
      </c>
      <c r="F835" s="51" cm="1">
        <f t="array" ref="F835">_xlfn.LET(_xlpm.a,xsequence('xsequence'!D36,'xsequence'!F36,-1),_xlpm.b,xsequence('xsequence'!D36,'xsequence'!F36,-1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36">
      <c r="A836">
        <v>831</v>
      </c>
      <c r="B836" s="55" t="inlineStr">
        <is>
          <t xml:space="preserve">xsequence</t>
        </is>
      </c>
      <c r="C836" t="inlineStr">
        <is>
          <t xml:space="preserve">xsequence!P38</t>
        </is>
      </c>
      <c r="D836" s="51" t="inlineStr">
        <is>
          <t xml:space="preserve">tocol</t>
        </is>
      </c>
      <c r="E836" t="inlineStr">
        <is>
          <t xml:space="preserve">ROWS(xsequence(TOCOL(D38),TOCOL(F38)))</t>
        </is>
      </c>
      <c r="F836" s="51" cm="1">
        <f t="array" ref="F836">_xlfn.LET(_xlpm.a,ROWS(xsequence('xsequence'!D38,'xsequence'!F38)),_xlpm.b,ROWS(xsequence(_xlfn.TOCOL('xsequence'!D38),_xlfn.TOCOL('xsequence'!F38))),_xlpm.sa,IFERROR(ROWS(_xlpm.a)&amp;"x"&amp;COLUMNS(_xlpm.a),"err"),_xlpm.sb,IFERROR(ROWS(_xlpm.b)&amp;"x"&amp;COLUMNS(_xlpm.b),"err"),IF(_xlpm.sa&lt;&gt;_xlpm.sb,"FAIL",IF(_xlpm.sa="err",IF(ERROR.TYPE(_xlpm.a)=ERROR.TYPE(_xlpm.b),"PASS","FAIL"),IF(AND(IFERROR(_xlpm.a=_xlpm.b,IFERROR(ERROR.TYPE(_xlpm.a)=ERROR.TYPE(_xlpm.b),FALSE))),"PASS","FAIL"))))</f>
        <v>0</v>
      </c>
    </row>
    <row r="837">
      <c r="A837">
        <v>832</v>
      </c>
      <c r="B837" s="55" t="inlineStr">
        <is>
          <t xml:space="preserve">xsequence</t>
        </is>
      </c>
      <c r="C837" t="inlineStr">
        <is>
          <t xml:space="preserve">xsequence!P38</t>
        </is>
      </c>
      <c r="D837" s="51" t="inlineStr">
        <is>
          <t xml:space="preserve">textnum</t>
        </is>
      </c>
      <c r="E837" t="inlineStr">
        <is>
          <t xml:space="preserve">ROWS(xsequence((D38&amp;""),(F38&amp;"")))</t>
        </is>
      </c>
      <c r="F837" s="51" cm="1">
        <f t="array" ref="F837">_xlfn.LET(_xlpm.a,ROWS(xsequence('xsequence'!D38,'xsequence'!F38)),_xlpm.b,ROWS(xsequence(('xsequence'!D38&amp;""),('xsequence'!F38&amp;""))),_xlpm.sa,IFERROR(ROWS(_xlpm.a)&amp;"x"&amp;COLUMNS(_xlpm.a),"err"),_xlpm.sb,IFERROR(ROWS(_xlpm.b)&amp;"x"&amp;COLUMNS(_xlpm.b),"err"),IF(_xlpm.sa&lt;&gt;_xlpm.sb,"FAIL",IF(_xlpm.sa="err",IF(ERROR.TYPE(_xlpm.a)=ERROR.TYPE(_xlpm.b),"PASS","FAIL"),IF(AND(IFERROR(_xlpm.a=_xlpm.b,IFERROR(ERROR.TYPE(_xlpm.a)=ERROR.TYPE(_xlpm.b),FALSE))),"PASS","FAIL"))))</f>
        <v>0</v>
      </c>
    </row>
    <row r="838">
      <c r="A838">
        <v>833</v>
      </c>
      <c r="B838" s="55" t="inlineStr">
        <is>
          <t xml:space="preserve">xsequence</t>
        </is>
      </c>
      <c r="C838" t="inlineStr">
        <is>
          <t xml:space="preserve">xsequence!P38</t>
        </is>
      </c>
      <c r="D838" s="51" t="inlineStr">
        <is>
          <t xml:space="preserve">blank</t>
        </is>
      </c>
      <c r="E838" t="inlineStr">
        <is>
          <t xml:space="preserve">ROWS(xsequence(D38,F38,shape_tests!$Z$1,shape_tests!$Z$1,shape_tests!$Z$1))</t>
        </is>
      </c>
      <c r="F838" s="51" cm="1">
        <f t="array" ref="F838">_xlfn.LET(_xlpm.a,ROWS(xsequence('xsequence'!D38,'xsequence'!F38)),_xlpm.b,ROWS(xsequence('xsequence'!D38,'xsequence'!F38,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39">
      <c r="A839">
        <v>834</v>
      </c>
      <c r="B839" s="55" t="inlineStr">
        <is>
          <t xml:space="preserve">xsequence</t>
        </is>
      </c>
      <c r="C839" t="inlineStr">
        <is>
          <t xml:space="preserve">xsequence!P40</t>
        </is>
      </c>
      <c r="D839" s="51" t="inlineStr">
        <is>
          <t xml:space="preserve">tocol</t>
        </is>
      </c>
      <c r="E839" t="inlineStr">
        <is>
          <t xml:space="preserve">xsequence(TOCOL(D40),TOCOL(F40))</t>
        </is>
      </c>
      <c r="F839" s="51" cm="1">
        <f t="array" ref="F839">_xlfn.LET(_xlpm.a,xsequence(_xlfn.TOCOL('xsequence'!D40),'xsequence'!F40),_xlpm.b,xsequence(_xlfn.TOCOL('xsequence'!D40),_xlfn.TOCOL('xsequence'!F40)),_xlpm.sa,IFERROR(ROWS(_xlpm.a)&amp;"x"&amp;COLUMNS(_xlpm.a),"err"),_xlpm.sb,IFERROR(ROWS(_xlpm.b)&amp;"x"&amp;COLUMNS(_xlpm.b),"err"),IF(_xlpm.sa&lt;&gt;_xlpm.sb,"FAIL",IF(_xlpm.sa="err",IF(ERROR.TYPE(_xlpm.a)=ERROR.TYPE(_xlpm.b),"PASS","FAIL"),IF(AND(IFERROR(_xlpm.a=_xlpm.b,IFERROR(ERROR.TYPE(_xlpm.a)=ERROR.TYPE(_xlpm.b),FALSE))),"PASS","FAIL"))))</f>
        <v>0</v>
      </c>
    </row>
    <row r="840">
      <c r="A840">
        <v>835</v>
      </c>
      <c r="B840" s="55" t="inlineStr">
        <is>
          <t xml:space="preserve">xsequence</t>
        </is>
      </c>
      <c r="C840" t="inlineStr">
        <is>
          <t xml:space="preserve">xsequence!P40</t>
        </is>
      </c>
      <c r="D840" s="51" t="inlineStr">
        <is>
          <t xml:space="preserve">textnum</t>
        </is>
      </c>
      <c r="E840" t="inlineStr">
        <is>
          <t xml:space="preserve">xsequence(TOCOL(D40),(F40&amp;""))</t>
        </is>
      </c>
      <c r="F840" s="51" cm="1">
        <f t="array" ref="F840">_xlfn.LET(_xlpm.a,xsequence(_xlfn.TOCOL('xsequence'!D40),'xsequence'!F40),_xlpm.b,xsequence(_xlfn.TOCOL('xsequence'!D40),('xsequence'!F40&amp;"")),_xlpm.sa,IFERROR(ROWS(_xlpm.a)&amp;"x"&amp;COLUMNS(_xlpm.a),"err"),_xlpm.sb,IFERROR(ROWS(_xlpm.b)&amp;"x"&amp;COLUMNS(_xlpm.b),"err"),IF(_xlpm.sa&lt;&gt;_xlpm.sb,"FAIL",IF(_xlpm.sa="err",IF(ERROR.TYPE(_xlpm.a)=ERROR.TYPE(_xlpm.b),"PASS","FAIL"),IF(AND(IFERROR(_xlpm.a=_xlpm.b,IFERROR(ERROR.TYPE(_xlpm.a)=ERROR.TYPE(_xlpm.b),FALSE))),"PASS","FAIL"))))</f>
        <v>0</v>
      </c>
    </row>
    <row r="841">
      <c r="A841">
        <v>836</v>
      </c>
      <c r="B841" s="55" t="inlineStr">
        <is>
          <t xml:space="preserve">xsequence</t>
        </is>
      </c>
      <c r="C841" t="inlineStr">
        <is>
          <t xml:space="preserve">xsequence!P40</t>
        </is>
      </c>
      <c r="D841" s="51" t="inlineStr">
        <is>
          <t xml:space="preserve">blank</t>
        </is>
      </c>
      <c r="E841" t="inlineStr">
        <is>
          <t xml:space="preserve">xsequence(TOCOL(D40),F40,shape_tests!$Z$1,shape_tests!$Z$1,shape_tests!$Z$1)</t>
        </is>
      </c>
      <c r="F841" s="51" cm="1">
        <f t="array" ref="F841">_xlfn.LET(_xlpm.a,xsequence(_xlfn.TOCOL('xsequence'!D40),'xsequence'!F40),_xlpm.b,xsequence(_xlfn.TOCOL('xsequence'!D40),'xsequence'!F40,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42">
      <c r="A842">
        <v>837</v>
      </c>
      <c r="B842" s="55" t="inlineStr">
        <is>
          <t xml:space="preserve">xtextjoin</t>
        </is>
      </c>
      <c r="C842" t="inlineStr">
        <is>
          <t xml:space="preserve">xtextjoin!N6</t>
        </is>
      </c>
      <c r="D842" s="51" t="inlineStr">
        <is>
          <t xml:space="preserve">blank</t>
        </is>
      </c>
      <c r="E842" t="inlineStr">
        <is>
          <t xml:space="preserve">xtextjoin(D6:D9,shape_tests!$Z$1,shape_tests!$Z$1)</t>
        </is>
      </c>
      <c r="F842" s="51" cm="1">
        <f t="array" ref="F842">_xlfn.LET(_xlpm.a,xtextjoin('xtextjoin'!D6:D9),_xlpm.b,xtextjoin('xtextjoin'!D6:D9,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43">
      <c r="A843">
        <v>838</v>
      </c>
      <c r="B843" s="55" t="inlineStr">
        <is>
          <t xml:space="preserve">xtextjoin</t>
        </is>
      </c>
      <c r="C843" t="inlineStr">
        <is>
          <t xml:space="preserve">xtextjoin!N11</t>
        </is>
      </c>
      <c r="D843" s="51" t="inlineStr">
        <is>
          <t xml:space="preserve">tocol</t>
        </is>
      </c>
      <c r="E843" t="inlineStr">
        <is>
          <t xml:space="preserve">xtextjoin(D11:D13,TOCOL(";"),TOCOL(2))</t>
        </is>
      </c>
      <c r="F843" s="51" cm="1">
        <f t="array" ref="F843">_xlfn.LET(_xlpm.a,xtextjoin('xtextjoin'!D11:D13,";",2),_xlpm.b,xtextjoin('xtextjoin'!D11:D13,_xlfn.TOCOL(";"),_xlfn.TOCOL(2)),_xlpm.sa,IFERROR(ROWS(_xlpm.a)&amp;"x"&amp;COLUMNS(_xlpm.a),"err"),_xlpm.sb,IFERROR(ROWS(_xlpm.b)&amp;"x"&amp;COLUMNS(_xlpm.b),"err"),IF(_xlpm.sa&lt;&gt;_xlpm.sb,"FAIL",IF(_xlpm.sa="err",IF(ERROR.TYPE(_xlpm.a)=ERROR.TYPE(_xlpm.b),"PASS","FAIL"),IF(AND(IFERROR(_xlpm.a=_xlpm.b,IFERROR(ERROR.TYPE(_xlpm.a)=ERROR.TYPE(_xlpm.b),FALSE))),"PASS","FAIL"))))</f>
        <v>0</v>
      </c>
    </row>
    <row r="844">
      <c r="A844">
        <v>839</v>
      </c>
      <c r="B844" s="55" t="inlineStr">
        <is>
          <t xml:space="preserve">xtextjoin</t>
        </is>
      </c>
      <c r="C844" t="inlineStr">
        <is>
          <t xml:space="preserve">xtextjoin!N11</t>
        </is>
      </c>
      <c r="D844" s="51" t="inlineStr">
        <is>
          <t xml:space="preserve">cellref</t>
        </is>
      </c>
      <c r="E844" t="inlineStr">
        <is>
          <t xml:space="preserve">xtextjoin(D11:D13,shape_tests!$H$844,shape_tests!$I$844)</t>
        </is>
      </c>
      <c r="F844" s="51" cm="1">
        <f t="array" ref="F844">_xlfn.LET(_xlpm.a,xtextjoin('xtextjoin'!D11:D13,";",2),_xlpm.b,xtextjoin('xtextjoin'!D11:D13,shape_tests!$H$844,shape_tests!$I$844),_xlpm.sa,IFERROR(ROWS(_xlpm.a)&amp;"x"&amp;COLUMNS(_xlpm.a),"err"),_xlpm.sb,IFERROR(ROWS(_xlpm.b)&amp;"x"&amp;COLUMNS(_xlpm.b),"err"),IF(_xlpm.sa&lt;&gt;_xlpm.sb,"FAIL",IF(_xlpm.sa="err",IF(ERROR.TYPE(_xlpm.a)=ERROR.TYPE(_xlpm.b),"PASS","FAIL"),IF(AND(IFERROR(_xlpm.a=_xlpm.b,IFERROR(ERROR.TYPE(_xlpm.a)=ERROR.TYPE(_xlpm.b),FALSE))),"PASS","FAIL"))))</f>
        <v>0</v>
      </c>
      <c r="H844" t="inlineStr">
        <is>
          <t xml:space="preserve">;</t>
        </is>
      </c>
      <c r="I844">
        <v>2.0</v>
      </c>
    </row>
    <row r="845">
      <c r="A845">
        <v>840</v>
      </c>
      <c r="B845" s="55" t="inlineStr">
        <is>
          <t xml:space="preserve">xtextjoin</t>
        </is>
      </c>
      <c r="C845" t="inlineStr">
        <is>
          <t xml:space="preserve">xtextjoin!N11</t>
        </is>
      </c>
      <c r="D845" s="51" t="inlineStr">
        <is>
          <t xml:space="preserve">textnum</t>
        </is>
      </c>
      <c r="E845" t="inlineStr">
        <is>
          <t xml:space="preserve">xtextjoin(D11:D13,";","2")</t>
        </is>
      </c>
      <c r="F845" s="51" cm="1">
        <f t="array" ref="F845">_xlfn.LET(_xlpm.a,xtextjoin('xtextjoin'!D11:D13,";",2),_xlpm.b,xtextjoin('xtextjoin'!D11:D13,";","2"),_xlpm.sa,IFERROR(ROWS(_xlpm.a)&amp;"x"&amp;COLUMNS(_xlpm.a),"err"),_xlpm.sb,IFERROR(ROWS(_xlpm.b)&amp;"x"&amp;COLUMNS(_xlpm.b),"err"),IF(_xlpm.sa&lt;&gt;_xlpm.sb,"FAIL",IF(_xlpm.sa="err",IF(ERROR.TYPE(_xlpm.a)=ERROR.TYPE(_xlpm.b),"PASS","FAIL"),IF(AND(IFERROR(_xlpm.a=_xlpm.b,IFERROR(ERROR.TYPE(_xlpm.a)=ERROR.TYPE(_xlpm.b),FALSE))),"PASS","FAIL"))))</f>
        <v>0</v>
      </c>
    </row>
    <row r="846">
      <c r="A846">
        <v>841</v>
      </c>
      <c r="B846" s="55" t="inlineStr">
        <is>
          <t xml:space="preserve">xtextjoin</t>
        </is>
      </c>
      <c r="C846" t="inlineStr">
        <is>
          <t xml:space="preserve">xtextjoin!N15</t>
        </is>
      </c>
      <c r="D846" s="51" t="inlineStr">
        <is>
          <t xml:space="preserve">tocol</t>
        </is>
      </c>
      <c r="E846" t="inlineStr">
        <is>
          <t xml:space="preserve">xtextjoin(D15:D16,TOCOL(";"),TOCOL(3))</t>
        </is>
      </c>
      <c r="F846" s="51" cm="1">
        <f t="array" ref="F846">_xlfn.LET(_xlpm.a,xtextjoin('xtextjoin'!D15:D16,";",3),_xlpm.b,xtextjoin('xtextjoin'!D15:D16,_xlfn.TOCOL(";"),_xlfn.TOCOL(3)),_xlpm.sa,IFERROR(ROWS(_xlpm.a)&amp;"x"&amp;COLUMNS(_xlpm.a),"err"),_xlpm.sb,IFERROR(ROWS(_xlpm.b)&amp;"x"&amp;COLUMNS(_xlpm.b),"err"),IF(_xlpm.sa&lt;&gt;_xlpm.sb,"FAIL",IF(_xlpm.sa="err",IF(ERROR.TYPE(_xlpm.a)=ERROR.TYPE(_xlpm.b),"PASS","FAIL"),IF(AND(IFERROR(_xlpm.a=_xlpm.b,IFERROR(ERROR.TYPE(_xlpm.a)=ERROR.TYPE(_xlpm.b),FALSE))),"PASS","FAIL"))))</f>
        <v>0</v>
      </c>
    </row>
    <row r="847">
      <c r="A847">
        <v>842</v>
      </c>
      <c r="B847" s="55" t="inlineStr">
        <is>
          <t xml:space="preserve">xtextjoin</t>
        </is>
      </c>
      <c r="C847" t="inlineStr">
        <is>
          <t xml:space="preserve">xtextjoin!N15</t>
        </is>
      </c>
      <c r="D847" s="51" t="inlineStr">
        <is>
          <t xml:space="preserve">cellref</t>
        </is>
      </c>
      <c r="E847" t="inlineStr">
        <is>
          <t xml:space="preserve">xtextjoin(D15:D16,shape_tests!$H$847,shape_tests!$I$847)</t>
        </is>
      </c>
      <c r="F847" s="51" cm="1">
        <f t="array" ref="F847">_xlfn.LET(_xlpm.a,xtextjoin('xtextjoin'!D15:D16,";",3),_xlpm.b,xtextjoin('xtextjoin'!D15:D16,shape_tests!$H$847,shape_tests!$I$847),_xlpm.sa,IFERROR(ROWS(_xlpm.a)&amp;"x"&amp;COLUMNS(_xlpm.a),"err"),_xlpm.sb,IFERROR(ROWS(_xlpm.b)&amp;"x"&amp;COLUMNS(_xlpm.b),"err"),IF(_xlpm.sa&lt;&gt;_xlpm.sb,"FAIL",IF(_xlpm.sa="err",IF(ERROR.TYPE(_xlpm.a)=ERROR.TYPE(_xlpm.b),"PASS","FAIL"),IF(AND(IFERROR(_xlpm.a=_xlpm.b,IFERROR(ERROR.TYPE(_xlpm.a)=ERROR.TYPE(_xlpm.b),FALSE))),"PASS","FAIL"))))</f>
        <v>0</v>
      </c>
      <c r="H847" t="inlineStr">
        <is>
          <t xml:space="preserve">;</t>
        </is>
      </c>
      <c r="I847">
        <v>3.0</v>
      </c>
    </row>
    <row r="848">
      <c r="A848">
        <v>843</v>
      </c>
      <c r="B848" s="55" t="inlineStr">
        <is>
          <t xml:space="preserve">xtextjoin</t>
        </is>
      </c>
      <c r="C848" t="inlineStr">
        <is>
          <t xml:space="preserve">xtextjoin!N15</t>
        </is>
      </c>
      <c r="D848" s="51" t="inlineStr">
        <is>
          <t xml:space="preserve">textnum</t>
        </is>
      </c>
      <c r="E848" t="inlineStr">
        <is>
          <t xml:space="preserve">xtextjoin(D15:D16,";","3")</t>
        </is>
      </c>
      <c r="F848" s="51" cm="1">
        <f t="array" ref="F848">_xlfn.LET(_xlpm.a,xtextjoin('xtextjoin'!D15:D16,";",3),_xlpm.b,xtextjoin('xtextjoin'!D15:D16,";","3"),_xlpm.sa,IFERROR(ROWS(_xlpm.a)&amp;"x"&amp;COLUMNS(_xlpm.a),"err"),_xlpm.sb,IFERROR(ROWS(_xlpm.b)&amp;"x"&amp;COLUMNS(_xlpm.b),"err"),IF(_xlpm.sa&lt;&gt;_xlpm.sb,"FAIL",IF(_xlpm.sa="err",IF(ERROR.TYPE(_xlpm.a)=ERROR.TYPE(_xlpm.b),"PASS","FAIL"),IF(AND(IFERROR(_xlpm.a=_xlpm.b,IFERROR(ERROR.TYPE(_xlpm.a)=ERROR.TYPE(_xlpm.b),FALSE))),"PASS","FAIL"))))</f>
        <v>0</v>
      </c>
    </row>
    <row r="849">
      <c r="A849">
        <v>844</v>
      </c>
      <c r="B849" s="55" t="inlineStr">
        <is>
          <t xml:space="preserve">xtextjoin</t>
        </is>
      </c>
      <c r="C849" t="inlineStr">
        <is>
          <t xml:space="preserve">xtextjoin!N19</t>
        </is>
      </c>
      <c r="D849" s="51" t="inlineStr">
        <is>
          <t xml:space="preserve">tocol</t>
        </is>
      </c>
      <c r="E849" t="inlineStr">
        <is>
          <t xml:space="preserve">xtextjoin(D19:D22,TOCOL(";"),TOCOL(2))</t>
        </is>
      </c>
      <c r="F849" s="51" cm="1">
        <f t="array" ref="F849">_xlfn.LET(_xlpm.a,xtextjoin('xtextjoin'!D19:D22,";",2),_xlpm.b,xtextjoin('xtextjoin'!D19:D22,_xlfn.TOCOL(";"),_xlfn.TOCOL(2)),_xlpm.sa,IFERROR(ROWS(_xlpm.a)&amp;"x"&amp;COLUMNS(_xlpm.a),"err"),_xlpm.sb,IFERROR(ROWS(_xlpm.b)&amp;"x"&amp;COLUMNS(_xlpm.b),"err"),IF(_xlpm.sa&lt;&gt;_xlpm.sb,"FAIL",IF(_xlpm.sa="err",IF(ERROR.TYPE(_xlpm.a)=ERROR.TYPE(_xlpm.b),"PASS","FAIL"),IF(AND(IFERROR(_xlpm.a=_xlpm.b,IFERROR(ERROR.TYPE(_xlpm.a)=ERROR.TYPE(_xlpm.b),FALSE))),"PASS","FAIL"))))</f>
        <v>0</v>
      </c>
    </row>
    <row r="850">
      <c r="A850">
        <v>845</v>
      </c>
      <c r="B850" s="55" t="inlineStr">
        <is>
          <t xml:space="preserve">xtextjoin</t>
        </is>
      </c>
      <c r="C850" t="inlineStr">
        <is>
          <t xml:space="preserve">xtextjoin!N19</t>
        </is>
      </c>
      <c r="D850" s="51" t="inlineStr">
        <is>
          <t xml:space="preserve">cellref</t>
        </is>
      </c>
      <c r="E850" t="inlineStr">
        <is>
          <t xml:space="preserve">xtextjoin(D19:D22,shape_tests!$H$850,shape_tests!$I$850)</t>
        </is>
      </c>
      <c r="F850" s="51" cm="1">
        <f t="array" ref="F850">_xlfn.LET(_xlpm.a,xtextjoin('xtextjoin'!D19:D22,";",2),_xlpm.b,xtextjoin('xtextjoin'!D19:D22,shape_tests!$H$850,shape_tests!$I$850),_xlpm.sa,IFERROR(ROWS(_xlpm.a)&amp;"x"&amp;COLUMNS(_xlpm.a),"err"),_xlpm.sb,IFERROR(ROWS(_xlpm.b)&amp;"x"&amp;COLUMNS(_xlpm.b),"err"),IF(_xlpm.sa&lt;&gt;_xlpm.sb,"FAIL",IF(_xlpm.sa="err",IF(ERROR.TYPE(_xlpm.a)=ERROR.TYPE(_xlpm.b),"PASS","FAIL"),IF(AND(IFERROR(_xlpm.a=_xlpm.b,IFERROR(ERROR.TYPE(_xlpm.a)=ERROR.TYPE(_xlpm.b),FALSE))),"PASS","FAIL"))))</f>
        <v>0</v>
      </c>
      <c r="H850" t="inlineStr">
        <is>
          <t xml:space="preserve">;</t>
        </is>
      </c>
      <c r="I850">
        <v>2.0</v>
      </c>
    </row>
    <row r="851">
      <c r="A851">
        <v>846</v>
      </c>
      <c r="B851" s="55" t="inlineStr">
        <is>
          <t xml:space="preserve">xtextjoin</t>
        </is>
      </c>
      <c r="C851" t="inlineStr">
        <is>
          <t xml:space="preserve">xtextjoin!N19</t>
        </is>
      </c>
      <c r="D851" s="51" t="inlineStr">
        <is>
          <t xml:space="preserve">textnum</t>
        </is>
      </c>
      <c r="E851" t="inlineStr">
        <is>
          <t xml:space="preserve">xtextjoin(D19:D22,";","2")</t>
        </is>
      </c>
      <c r="F851" s="51" cm="1">
        <f t="array" ref="F851">_xlfn.LET(_xlpm.a,xtextjoin('xtextjoin'!D19:D22,";",2),_xlpm.b,xtextjoin('xtextjoin'!D19:D22,";","2"),_xlpm.sa,IFERROR(ROWS(_xlpm.a)&amp;"x"&amp;COLUMNS(_xlpm.a),"err"),_xlpm.sb,IFERROR(ROWS(_xlpm.b)&amp;"x"&amp;COLUMNS(_xlpm.b),"err"),IF(_xlpm.sa&lt;&gt;_xlpm.sb,"FAIL",IF(_xlpm.sa="err",IF(ERROR.TYPE(_xlpm.a)=ERROR.TYPE(_xlpm.b),"PASS","FAIL"),IF(AND(IFERROR(_xlpm.a=_xlpm.b,IFERROR(ERROR.TYPE(_xlpm.a)=ERROR.TYPE(_xlpm.b),FALSE))),"PASS","FAIL"))))</f>
        <v>0</v>
      </c>
    </row>
    <row r="852">
      <c r="A852">
        <v>847</v>
      </c>
      <c r="B852" s="55" t="inlineStr">
        <is>
          <t xml:space="preserve">xtextjoin</t>
        </is>
      </c>
      <c r="C852" t="inlineStr">
        <is>
          <t xml:space="preserve">xtextjoin!N24</t>
        </is>
      </c>
      <c r="D852" s="51" t="inlineStr">
        <is>
          <t xml:space="preserve">tocol</t>
        </is>
      </c>
      <c r="E852" t="inlineStr">
        <is>
          <t xml:space="preserve">xtextjoin(TOCOL(D24),TOCOL(F24))</t>
        </is>
      </c>
      <c r="F852" s="51" cm="1">
        <f t="array" ref="F852">_xlfn.LET(_xlpm.a,xtextjoin('xtextjoin'!D24,'xtextjoin'!F24),_xlpm.b,xtextjoin(_xlfn.TOCOL('xtextjoin'!D24),_xlfn.TOCOL('xtextjoin'!F24)),_xlpm.sa,IFERROR(ROWS(_xlpm.a)&amp;"x"&amp;COLUMNS(_xlpm.a),"err"),_xlpm.sb,IFERROR(ROWS(_xlpm.b)&amp;"x"&amp;COLUMNS(_xlpm.b),"err"),IF(_xlpm.sa&lt;&gt;_xlpm.sb,"FAIL",IF(_xlpm.sa="err",IF(ERROR.TYPE(_xlpm.a)=ERROR.TYPE(_xlpm.b),"PASS","FAIL"),IF(AND(IFERROR(_xlpm.a=_xlpm.b,IFERROR(ERROR.TYPE(_xlpm.a)=ERROR.TYPE(_xlpm.b),FALSE))),"PASS","FAIL"))))</f>
        <v>0</v>
      </c>
    </row>
    <row r="853">
      <c r="A853">
        <v>848</v>
      </c>
      <c r="B853" s="55" t="inlineStr">
        <is>
          <t xml:space="preserve">xtextjoin</t>
        </is>
      </c>
      <c r="C853" t="inlineStr">
        <is>
          <t xml:space="preserve">xtextjoin!N24</t>
        </is>
      </c>
      <c r="D853" s="51" t="inlineStr">
        <is>
          <t xml:space="preserve">blank</t>
        </is>
      </c>
      <c r="E853" t="inlineStr">
        <is>
          <t xml:space="preserve">xtextjoin(D24,F24,shape_tests!$Z$1)</t>
        </is>
      </c>
      <c r="F853" s="51" cm="1">
        <f t="array" ref="F853">_xlfn.LET(_xlpm.a,xtextjoin('xtextjoin'!D24,'xtextjoin'!F24),_xlpm.b,xtextjoin('xtextjoin'!D24,'xtextjoin'!F24,shape_tests!$Z$1),_xlpm.sa,IFERROR(ROWS(_xlpm.a)&amp;"x"&amp;COLUMNS(_xlpm.a),"err"),_xlpm.sb,IFERROR(ROWS(_xlpm.b)&amp;"x"&amp;COLUMNS(_xlpm.b),"err"),IF(_xlpm.sa&lt;&gt;_xlpm.sb,"FAIL",IF(_xlpm.sa="err",IF(ERROR.TYPE(_xlpm.a)=ERROR.TYPE(_xlpm.b),"PASS","FAIL"),IF(AND(IFERROR(_xlpm.a=_xlpm.b,IFERROR(ERROR.TYPE(_xlpm.a)=ERROR.TYPE(_xlpm.b),FALSE))),"PASS","FAIL"))))</f>
        <v>0</v>
      </c>
    </row>
    <row r="854">
      <c r="A854">
        <v>849</v>
      </c>
      <c r="B854" s="55" t="inlineStr">
        <is>
          <t xml:space="preserve">xtextjoin</t>
        </is>
      </c>
      <c r="C854" t="inlineStr">
        <is>
          <t xml:space="preserve">xtextjoin!N26</t>
        </is>
      </c>
      <c r="D854" s="51" t="inlineStr">
        <is>
          <t xml:space="preserve">array</t>
        </is>
      </c>
      <c r="E854" t="inlineStr">
        <is>
          <t xml:space="preserve">xtextjoin(CHOOSEROWS(D26:D27,SEQUENCE(ROWS(D26:D27))))</t>
        </is>
      </c>
      <c r="F854" s="51" cm="1">
        <f t="array" ref="F854">_xlfn.LET(_xlpm.a,xtextjoin('xtextjoin'!D26:D27),_xlpm.b,xtextjoin(_xlfn.CHOOSEROWS('xtextjoin'!D26:D27,_xlfn.SEQUENCE(ROWS('xtextjoin'!D26:D27)))),_xlpm.sa,IFERROR(ROWS(_xlpm.a)&amp;"x"&amp;COLUMNS(_xlpm.a),"err"),_xlpm.sb,IFERROR(ROWS(_xlpm.b)&amp;"x"&amp;COLUMNS(_xlpm.b),"err"),IF(_xlpm.sa&lt;&gt;_xlpm.sb,"FAIL",IF(_xlpm.sa="err",IF(ERROR.TYPE(_xlpm.a)=ERROR.TYPE(_xlpm.b),"PASS","FAIL"),IF(AND(IFERROR(_xlpm.a=_xlpm.b,IFERROR(ERROR.TYPE(_xlpm.a)=ERROR.TYPE(_xlpm.b),FALSE))),"PASS","FAIL"))))</f>
        <v>0</v>
      </c>
    </row>
    <row r="855">
      <c r="A855">
        <v>850</v>
      </c>
      <c r="B855" s="55" t="inlineStr">
        <is>
          <t xml:space="preserve">xtextjoin</t>
        </is>
      </c>
      <c r="C855" t="inlineStr">
        <is>
          <t xml:space="preserve">xtextjoin!N26</t>
        </is>
      </c>
      <c r="D855" s="51" t="inlineStr">
        <is>
          <t xml:space="preserve">blank</t>
        </is>
      </c>
      <c r="E855" t="inlineStr">
        <is>
          <t xml:space="preserve">xtextjoin(D26:D27,shape_tests!$Z$1,shape_tests!$Z$1)</t>
        </is>
      </c>
      <c r="F855" s="51" cm="1">
        <f t="array" ref="F855">_xlfn.LET(_xlpm.a,xtextjoin('xtextjoin'!D26:D27),_xlpm.b,xtextjoin('xtextjoin'!D26:D27,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56">
      <c r="A856">
        <v>851</v>
      </c>
      <c r="B856" s="55" t="inlineStr">
        <is>
          <t xml:space="preserve">xtextjoin</t>
        </is>
      </c>
      <c r="C856" t="inlineStr">
        <is>
          <t xml:space="preserve">xtextjoin!N29</t>
        </is>
      </c>
      <c r="D856" s="51" t="inlineStr">
        <is>
          <t xml:space="preserve">array</t>
        </is>
      </c>
      <c r="E856" t="inlineStr">
        <is>
          <t xml:space="preserve">xtextjoin(CHOOSEROWS(D29:D30,SEQUENCE(ROWS(D29:D30))))</t>
        </is>
      </c>
      <c r="F856" s="51" cm="1">
        <f t="array" ref="F856">_xlfn.LET(_xlpm.a,xtextjoin('xtextjoin'!D29:D30),_xlpm.b,xtextjoin(_xlfn.CHOOSEROWS('xtextjoin'!D29:D30,_xlfn.SEQUENCE(ROWS('xtextjoin'!D29:D30)))),_xlpm.sa,IFERROR(ROWS(_xlpm.a)&amp;"x"&amp;COLUMNS(_xlpm.a),"err"),_xlpm.sb,IFERROR(ROWS(_xlpm.b)&amp;"x"&amp;COLUMNS(_xlpm.b),"err"),IF(_xlpm.sa&lt;&gt;_xlpm.sb,"FAIL",IF(_xlpm.sa="err",IF(ERROR.TYPE(_xlpm.a)=ERROR.TYPE(_xlpm.b),"PASS","FAIL"),IF(AND(IFERROR(_xlpm.a=_xlpm.b,IFERROR(ERROR.TYPE(_xlpm.a)=ERROR.TYPE(_xlpm.b),FALSE))),"PASS","FAIL"))))</f>
        <v>0</v>
      </c>
    </row>
    <row r="857">
      <c r="A857">
        <v>852</v>
      </c>
      <c r="B857" s="55" t="inlineStr">
        <is>
          <t xml:space="preserve">xtextjoin</t>
        </is>
      </c>
      <c r="C857" t="inlineStr">
        <is>
          <t xml:space="preserve">xtextjoin!N29</t>
        </is>
      </c>
      <c r="D857" s="51" t="inlineStr">
        <is>
          <t xml:space="preserve">blank</t>
        </is>
      </c>
      <c r="E857" t="inlineStr">
        <is>
          <t xml:space="preserve">xtextjoin(D29:D30,shape_tests!$Z$1,shape_tests!$Z$1)</t>
        </is>
      </c>
      <c r="F857" s="51" cm="1">
        <f t="array" ref="F857">_xlfn.LET(_xlpm.a,xtextjoin('xtextjoin'!D29:D30),_xlpm.b,xtextjoin('xtextjoin'!D29:D30,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58">
      <c r="A858">
        <v>853</v>
      </c>
      <c r="B858" s="55" t="inlineStr">
        <is>
          <t xml:space="preserve">xtextjoin</t>
        </is>
      </c>
      <c r="C858" t="inlineStr">
        <is>
          <t xml:space="preserve">xtextjoin!N33</t>
        </is>
      </c>
      <c r="D858" s="51" t="inlineStr">
        <is>
          <t xml:space="preserve">array</t>
        </is>
      </c>
      <c r="E858" t="inlineStr">
        <is>
          <t xml:space="preserve">xtextjoin(CHOOSEROWS(D33:E33,SEQUENCE(ROWS(D33:E33))))</t>
        </is>
      </c>
      <c r="F858" s="51" cm="1">
        <f t="array" ref="F858">_xlfn.LET(_xlpm.a,xtextjoin('xtextjoin'!D33:E33),_xlpm.b,xtextjoin(_xlfn.CHOOSEROWS('xtextjoin'!D33:E33,_xlfn.SEQUENCE(ROWS('xtextjoin'!D33:E33)))),_xlpm.sa,IFERROR(ROWS(_xlpm.a)&amp;"x"&amp;COLUMNS(_xlpm.a),"err"),_xlpm.sb,IFERROR(ROWS(_xlpm.b)&amp;"x"&amp;COLUMNS(_xlpm.b),"err"),IF(_xlpm.sa&lt;&gt;_xlpm.sb,"FAIL",IF(_xlpm.sa="err",IF(ERROR.TYPE(_xlpm.a)=ERROR.TYPE(_xlpm.b),"PASS","FAIL"),IF(AND(IFERROR(_xlpm.a=_xlpm.b,IFERROR(ERROR.TYPE(_xlpm.a)=ERROR.TYPE(_xlpm.b),FALSE))),"PASS","FAIL"))))</f>
        <v>0</v>
      </c>
    </row>
    <row r="859">
      <c r="A859">
        <v>854</v>
      </c>
      <c r="B859" s="55" t="inlineStr">
        <is>
          <t xml:space="preserve">xtextjoin</t>
        </is>
      </c>
      <c r="C859" t="inlineStr">
        <is>
          <t xml:space="preserve">xtextjoin!N33</t>
        </is>
      </c>
      <c r="D859" s="51" t="inlineStr">
        <is>
          <t xml:space="preserve">blank</t>
        </is>
      </c>
      <c r="E859" t="inlineStr">
        <is>
          <t xml:space="preserve">xtextjoin(D33:E33,shape_tests!$Z$1,shape_tests!$Z$1)</t>
        </is>
      </c>
      <c r="F859" s="51" cm="1">
        <f t="array" ref="F859">_xlfn.LET(_xlpm.a,xtextjoin('xtextjoin'!D33:E33),_xlpm.b,xtextjoin('xtextjoin'!D33:E33,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60">
      <c r="A860">
        <v>855</v>
      </c>
      <c r="B860" s="55" t="inlineStr">
        <is>
          <t xml:space="preserve">xtocol</t>
        </is>
      </c>
      <c r="C860" t="inlineStr">
        <is>
          <t xml:space="preserve">xtocol!J6</t>
        </is>
      </c>
      <c r="D860" s="51" t="inlineStr">
        <is>
          <t xml:space="preserve">tocol</t>
        </is>
      </c>
      <c r="E860" t="inlineStr">
        <is>
          <t xml:space="preserve">xtocol(D6:E7,TOCOL(0))</t>
        </is>
      </c>
      <c r="F860" s="51" cm="1">
        <f t="array" ref="F860">_xlfn.LET(_xlpm.a,xtocol('xtocol'!D6:E7,0),_xlpm.b,xtocol('xtocol'!D6:E7,_xlfn.TOCOL(0)),_xlpm.sa,IFERROR(ROWS(_xlpm.a)&amp;"x"&amp;COLUMNS(_xlpm.a),"err"),_xlpm.sb,IFERROR(ROWS(_xlpm.b)&amp;"x"&amp;COLUMNS(_xlpm.b),"err"),IF(_xlpm.sa&lt;&gt;_xlpm.sb,"FAIL",IF(_xlpm.sa="err",IF(ERROR.TYPE(_xlpm.a)=ERROR.TYPE(_xlpm.b),"PASS","FAIL"),IF(AND(IFERROR(_xlpm.a=_xlpm.b,IFERROR(ERROR.TYPE(_xlpm.a)=ERROR.TYPE(_xlpm.b),FALSE))),"PASS","FAIL"))))</f>
        <v>0</v>
      </c>
    </row>
    <row r="861">
      <c r="A861">
        <v>856</v>
      </c>
      <c r="B861" s="55" t="inlineStr">
        <is>
          <t xml:space="preserve">xtocol</t>
        </is>
      </c>
      <c r="C861" t="inlineStr">
        <is>
          <t xml:space="preserve">xtocol!J6</t>
        </is>
      </c>
      <c r="D861" s="51" t="inlineStr">
        <is>
          <t xml:space="preserve">cellref</t>
        </is>
      </c>
      <c r="E861" t="inlineStr">
        <is>
          <t xml:space="preserve">xtocol(D6:E7,shape_tests!$H$861)</t>
        </is>
      </c>
      <c r="F861" s="51" cm="1">
        <f t="array" ref="F861">_xlfn.LET(_xlpm.a,xtocol('xtocol'!D6:E7,0),_xlpm.b,xtocol('xtocol'!D6:E7,shape_tests!$H$861),_xlpm.sa,IFERROR(ROWS(_xlpm.a)&amp;"x"&amp;COLUMNS(_xlpm.a),"err"),_xlpm.sb,IFERROR(ROWS(_xlpm.b)&amp;"x"&amp;COLUMNS(_xlpm.b),"err"),IF(_xlpm.sa&lt;&gt;_xlpm.sb,"FAIL",IF(_xlpm.sa="err",IF(ERROR.TYPE(_xlpm.a)=ERROR.TYPE(_xlpm.b),"PASS","FAIL"),IF(AND(IFERROR(_xlpm.a=_xlpm.b,IFERROR(ERROR.TYPE(_xlpm.a)=ERROR.TYPE(_xlpm.b),FALSE))),"PASS","FAIL"))))</f>
        <v>0</v>
      </c>
      <c r="H861">
        <v>0.0</v>
      </c>
    </row>
    <row r="862">
      <c r="A862">
        <v>857</v>
      </c>
      <c r="B862" s="55" t="inlineStr">
        <is>
          <t xml:space="preserve">xtocol</t>
        </is>
      </c>
      <c r="C862" t="inlineStr">
        <is>
          <t xml:space="preserve">xtocol!J6</t>
        </is>
      </c>
      <c r="D862" s="51" t="inlineStr">
        <is>
          <t xml:space="preserve">textnum</t>
        </is>
      </c>
      <c r="E862" t="inlineStr">
        <is>
          <t xml:space="preserve">xtocol(D6:E7,"0")</t>
        </is>
      </c>
      <c r="F862" s="51" cm="1">
        <f t="array" ref="F862">_xlfn.LET(_xlpm.a,xtocol('xtocol'!D6:E7,0),_xlpm.b,xtocol('xtocol'!D6:E7,"0"),_xlpm.sa,IFERROR(ROWS(_xlpm.a)&amp;"x"&amp;COLUMNS(_xlpm.a),"err"),_xlpm.sb,IFERROR(ROWS(_xlpm.b)&amp;"x"&amp;COLUMNS(_xlpm.b),"err"),IF(_xlpm.sa&lt;&gt;_xlpm.sb,"FAIL",IF(_xlpm.sa="err",IF(ERROR.TYPE(_xlpm.a)=ERROR.TYPE(_xlpm.b),"PASS","FAIL"),IF(AND(IFERROR(_xlpm.a=_xlpm.b,IFERROR(ERROR.TYPE(_xlpm.a)=ERROR.TYPE(_xlpm.b),FALSE))),"PASS","FAIL"))))</f>
        <v>0</v>
      </c>
    </row>
    <row r="863">
      <c r="A863">
        <v>858</v>
      </c>
      <c r="B863" s="55" t="inlineStr">
        <is>
          <t xml:space="preserve">xtocol</t>
        </is>
      </c>
      <c r="C863" t="inlineStr">
        <is>
          <t xml:space="preserve">xtocol!J6</t>
        </is>
      </c>
      <c r="D863" s="51" t="inlineStr">
        <is>
          <t xml:space="preserve">blank</t>
        </is>
      </c>
      <c r="E863" t="inlineStr">
        <is>
          <t xml:space="preserve">xtocol(D6:E7,0,shape_tests!$Z$1,shape_tests!$Z$1,shape_tests!$Z$1)</t>
        </is>
      </c>
      <c r="F863" s="51" cm="1">
        <f t="array" ref="F863">_xlfn.LET(_xlpm.a,xtocol('xtocol'!D6:E7,0),_xlpm.b,xtocol('xtocol'!D6:E7,0,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64">
      <c r="A864">
        <v>859</v>
      </c>
      <c r="B864" s="55" t="inlineStr">
        <is>
          <t xml:space="preserve">xtocol</t>
        </is>
      </c>
      <c r="C864" t="inlineStr">
        <is>
          <t xml:space="preserve">xtocol!J11</t>
        </is>
      </c>
      <c r="D864" s="51" t="inlineStr">
        <is>
          <t xml:space="preserve">tocol</t>
        </is>
      </c>
      <c r="E864" t="inlineStr">
        <is>
          <t xml:space="preserve">xtocol(D11:E12,TOCOL(0),,TOCOL("↓→"))</t>
        </is>
      </c>
      <c r="F864" s="51" cm="1">
        <f t="array" ref="F864">_xlfn.LET(_xlpm.a,xtocol('xtocol'!D11:E12,0,,"↓→"),_xlpm.b,xtocol('xtocol'!D11:E12,_xlfn.TOCOL(0),,_xlfn.TOCOL("↓→")),_xlpm.sa,IFERROR(ROWS(_xlpm.a)&amp;"x"&amp;COLUMNS(_xlpm.a),"err"),_xlpm.sb,IFERROR(ROWS(_xlpm.b)&amp;"x"&amp;COLUMNS(_xlpm.b),"err"),IF(_xlpm.sa&lt;&gt;_xlpm.sb,"FAIL",IF(_xlpm.sa="err",IF(ERROR.TYPE(_xlpm.a)=ERROR.TYPE(_xlpm.b),"PASS","FAIL"),IF(AND(IFERROR(_xlpm.a=_xlpm.b,IFERROR(ERROR.TYPE(_xlpm.a)=ERROR.TYPE(_xlpm.b),FALSE))),"PASS","FAIL"))))</f>
        <v>0</v>
      </c>
    </row>
    <row r="865">
      <c r="A865">
        <v>860</v>
      </c>
      <c r="B865" s="55" t="inlineStr">
        <is>
          <t xml:space="preserve">xtocol</t>
        </is>
      </c>
      <c r="C865" t="inlineStr">
        <is>
          <t xml:space="preserve">xtocol!J11</t>
        </is>
      </c>
      <c r="D865" s="51" t="inlineStr">
        <is>
          <t xml:space="preserve">cellref</t>
        </is>
      </c>
      <c r="E865" t="inlineStr">
        <is>
          <t xml:space="preserve">xtocol(D11:E12,shape_tests!$H$865,,shape_tests!$I$865)</t>
        </is>
      </c>
      <c r="F865" s="51" cm="1">
        <f t="array" ref="F865">_xlfn.LET(_xlpm.a,xtocol('xtocol'!D11:E12,0,,"↓→"),_xlpm.b,xtocol('xtocol'!D11:E12,shape_tests!$H$865,,shape_tests!$I$865),_xlpm.sa,IFERROR(ROWS(_xlpm.a)&amp;"x"&amp;COLUMNS(_xlpm.a),"err"),_xlpm.sb,IFERROR(ROWS(_xlpm.b)&amp;"x"&amp;COLUMNS(_xlpm.b),"err"),IF(_xlpm.sa&lt;&gt;_xlpm.sb,"FAIL",IF(_xlpm.sa="err",IF(ERROR.TYPE(_xlpm.a)=ERROR.TYPE(_xlpm.b),"PASS","FAIL"),IF(AND(IFERROR(_xlpm.a=_xlpm.b,IFERROR(ERROR.TYPE(_xlpm.a)=ERROR.TYPE(_xlpm.b),FALSE))),"PASS","FAIL"))))</f>
        <v>0</v>
      </c>
      <c r="H865">
        <v>0.0</v>
      </c>
      <c r="I865" t="inlineStr">
        <is>
          <t xml:space="preserve">↓→</t>
        </is>
      </c>
    </row>
    <row r="866">
      <c r="A866">
        <v>861</v>
      </c>
      <c r="B866" s="55" t="inlineStr">
        <is>
          <t xml:space="preserve">xtocol</t>
        </is>
      </c>
      <c r="C866" t="inlineStr">
        <is>
          <t xml:space="preserve">xtocol!J11</t>
        </is>
      </c>
      <c r="D866" s="51" t="inlineStr">
        <is>
          <t xml:space="preserve">textnum</t>
        </is>
      </c>
      <c r="E866" t="inlineStr">
        <is>
          <t xml:space="preserve">xtocol(D11:E12,"0",,"↓→")</t>
        </is>
      </c>
      <c r="F866" s="51" cm="1">
        <f t="array" ref="F866">_xlfn.LET(_xlpm.a,xtocol('xtocol'!D11:E12,0,,"↓→"),_xlpm.b,xtocol('xtocol'!D11:E12,"0",,"↓→"),_xlpm.sa,IFERROR(ROWS(_xlpm.a)&amp;"x"&amp;COLUMNS(_xlpm.a),"err"),_xlpm.sb,IFERROR(ROWS(_xlpm.b)&amp;"x"&amp;COLUMNS(_xlpm.b),"err"),IF(_xlpm.sa&lt;&gt;_xlpm.sb,"FAIL",IF(_xlpm.sa="err",IF(ERROR.TYPE(_xlpm.a)=ERROR.TYPE(_xlpm.b),"PASS","FAIL"),IF(AND(IFERROR(_xlpm.a=_xlpm.b,IFERROR(ERROR.TYPE(_xlpm.a)=ERROR.TYPE(_xlpm.b),FALSE))),"PASS","FAIL"))))</f>
        <v>0</v>
      </c>
    </row>
    <row r="867">
      <c r="A867">
        <v>862</v>
      </c>
      <c r="B867" s="55" t="inlineStr">
        <is>
          <t xml:space="preserve">xtocol</t>
        </is>
      </c>
      <c r="C867" t="inlineStr">
        <is>
          <t xml:space="preserve">xtocol!J11</t>
        </is>
      </c>
      <c r="D867" s="51" t="inlineStr">
        <is>
          <t xml:space="preserve">blank</t>
        </is>
      </c>
      <c r="E867" t="inlineStr">
        <is>
          <t xml:space="preserve">xtocol(D11:E12,0,shape_tests!$Z$1,"↓→",shape_tests!$Z$1)</t>
        </is>
      </c>
      <c r="F867" s="51" cm="1">
        <f t="array" ref="F867">_xlfn.LET(_xlpm.a,xtocol('xtocol'!D11:E12,0,,"↓→"),_xlpm.b,xtocol('xtocol'!D11:E12,0,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68">
      <c r="A868">
        <v>863</v>
      </c>
      <c r="B868" s="55" t="inlineStr">
        <is>
          <t xml:space="preserve">xtocol</t>
        </is>
      </c>
      <c r="C868" t="inlineStr">
        <is>
          <t xml:space="preserve">xtocol!J16</t>
        </is>
      </c>
      <c r="D868" s="51" t="inlineStr">
        <is>
          <t xml:space="preserve">tocol</t>
        </is>
      </c>
      <c r="E868" t="inlineStr">
        <is>
          <t xml:space="preserve">xtocol(D16:F16,TOCOL(0))</t>
        </is>
      </c>
      <c r="F868" s="51" cm="1">
        <f t="array" ref="F868">_xlfn.LET(_xlpm.a,xtocol('xtocol'!D16:F16,0),_xlpm.b,xtocol('xtocol'!D16:F16,_xlfn.TOCOL(0)),_xlpm.sa,IFERROR(ROWS(_xlpm.a)&amp;"x"&amp;COLUMNS(_xlpm.a),"err"),_xlpm.sb,IFERROR(ROWS(_xlpm.b)&amp;"x"&amp;COLUMNS(_xlpm.b),"err"),IF(_xlpm.sa&lt;&gt;_xlpm.sb,"FAIL",IF(_xlpm.sa="err",IF(ERROR.TYPE(_xlpm.a)=ERROR.TYPE(_xlpm.b),"PASS","FAIL"),IF(AND(IFERROR(_xlpm.a=_xlpm.b,IFERROR(ERROR.TYPE(_xlpm.a)=ERROR.TYPE(_xlpm.b),FALSE))),"PASS","FAIL"))))</f>
        <v>0</v>
      </c>
    </row>
    <row r="869">
      <c r="A869">
        <v>864</v>
      </c>
      <c r="B869" s="55" t="inlineStr">
        <is>
          <t xml:space="preserve">xtocol</t>
        </is>
      </c>
      <c r="C869" t="inlineStr">
        <is>
          <t xml:space="preserve">xtocol!J16</t>
        </is>
      </c>
      <c r="D869" s="51" t="inlineStr">
        <is>
          <t xml:space="preserve">cellref</t>
        </is>
      </c>
      <c r="E869" t="inlineStr">
        <is>
          <t xml:space="preserve">xtocol(D16:F16,shape_tests!$H$869)</t>
        </is>
      </c>
      <c r="F869" s="51" cm="1">
        <f t="array" ref="F869">_xlfn.LET(_xlpm.a,xtocol('xtocol'!D16:F16,0),_xlpm.b,xtocol('xtocol'!D16:F16,shape_tests!$H$869),_xlpm.sa,IFERROR(ROWS(_xlpm.a)&amp;"x"&amp;COLUMNS(_xlpm.a),"err"),_xlpm.sb,IFERROR(ROWS(_xlpm.b)&amp;"x"&amp;COLUMNS(_xlpm.b),"err"),IF(_xlpm.sa&lt;&gt;_xlpm.sb,"FAIL",IF(_xlpm.sa="err",IF(ERROR.TYPE(_xlpm.a)=ERROR.TYPE(_xlpm.b),"PASS","FAIL"),IF(AND(IFERROR(_xlpm.a=_xlpm.b,IFERROR(ERROR.TYPE(_xlpm.a)=ERROR.TYPE(_xlpm.b),FALSE))),"PASS","FAIL"))))</f>
        <v>0</v>
      </c>
      <c r="H869">
        <v>0.0</v>
      </c>
    </row>
    <row r="870">
      <c r="A870">
        <v>865</v>
      </c>
      <c r="B870" s="55" t="inlineStr">
        <is>
          <t xml:space="preserve">xtocol</t>
        </is>
      </c>
      <c r="C870" t="inlineStr">
        <is>
          <t xml:space="preserve">xtocol!J16</t>
        </is>
      </c>
      <c r="D870" s="51" t="inlineStr">
        <is>
          <t xml:space="preserve">textnum</t>
        </is>
      </c>
      <c r="E870" t="inlineStr">
        <is>
          <t xml:space="preserve">xtocol(D16:F16,"0")</t>
        </is>
      </c>
      <c r="F870" s="51" cm="1">
        <f t="array" ref="F870">_xlfn.LET(_xlpm.a,xtocol('xtocol'!D16:F16,0),_xlpm.b,xtocol('xtocol'!D16:F16,"0"),_xlpm.sa,IFERROR(ROWS(_xlpm.a)&amp;"x"&amp;COLUMNS(_xlpm.a),"err"),_xlpm.sb,IFERROR(ROWS(_xlpm.b)&amp;"x"&amp;COLUMNS(_xlpm.b),"err"),IF(_xlpm.sa&lt;&gt;_xlpm.sb,"FAIL",IF(_xlpm.sa="err",IF(ERROR.TYPE(_xlpm.a)=ERROR.TYPE(_xlpm.b),"PASS","FAIL"),IF(AND(IFERROR(_xlpm.a=_xlpm.b,IFERROR(ERROR.TYPE(_xlpm.a)=ERROR.TYPE(_xlpm.b),FALSE))),"PASS","FAIL"))))</f>
        <v>0</v>
      </c>
    </row>
    <row r="871">
      <c r="A871">
        <v>866</v>
      </c>
      <c r="B871" s="55" t="inlineStr">
        <is>
          <t xml:space="preserve">xtocol</t>
        </is>
      </c>
      <c r="C871" t="inlineStr">
        <is>
          <t xml:space="preserve">xtocol!J16</t>
        </is>
      </c>
      <c r="D871" s="51" t="inlineStr">
        <is>
          <t xml:space="preserve">blank</t>
        </is>
      </c>
      <c r="E871" t="inlineStr">
        <is>
          <t xml:space="preserve">xtocol(D16:F16,0,shape_tests!$Z$1,shape_tests!$Z$1,shape_tests!$Z$1)</t>
        </is>
      </c>
      <c r="F871" s="51" cm="1">
        <f t="array" ref="F871">_xlfn.LET(_xlpm.a,xtocol('xtocol'!D16:F16,0),_xlpm.b,xtocol('xtocol'!D16:F16,0,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72">
      <c r="A872">
        <v>867</v>
      </c>
      <c r="B872" s="55" t="inlineStr">
        <is>
          <t xml:space="preserve">xtocol</t>
        </is>
      </c>
      <c r="C872" t="inlineStr">
        <is>
          <t xml:space="preserve">xtocol!J19</t>
        </is>
      </c>
      <c r="D872" s="51" t="inlineStr">
        <is>
          <t xml:space="preserve">tocol</t>
        </is>
      </c>
      <c r="E872" t="inlineStr">
        <is>
          <t xml:space="preserve">xtocol(D19:E20,TOCOL(0),,TOCOL("→↓"),TOCOL(1))</t>
        </is>
      </c>
      <c r="F872" s="51" cm="1">
        <f t="array" ref="F872">_xlfn.LET(_xlpm.a,xtocol('xtocol'!D19:E20,0,,"→↓",1),_xlpm.b,xtocol('xtocol'!D19:E20,_xlfn.TOCOL(0),,_xlfn.TOCOL("→↓"),_xlfn.TOCOL(1)),_xlpm.sa,IFERROR(ROWS(_xlpm.a)&amp;"x"&amp;COLUMNS(_xlpm.a),"err"),_xlpm.sb,IFERROR(ROWS(_xlpm.b)&amp;"x"&amp;COLUMNS(_xlpm.b),"err"),IF(_xlpm.sa&lt;&gt;_xlpm.sb,"FAIL",IF(_xlpm.sa="err",IF(ERROR.TYPE(_xlpm.a)=ERROR.TYPE(_xlpm.b),"PASS","FAIL"),IF(AND(IFERROR(_xlpm.a=_xlpm.b,IFERROR(ERROR.TYPE(_xlpm.a)=ERROR.TYPE(_xlpm.b),FALSE))),"PASS","FAIL"))))</f>
        <v>0</v>
      </c>
    </row>
    <row r="873">
      <c r="A873">
        <v>868</v>
      </c>
      <c r="B873" s="55" t="inlineStr">
        <is>
          <t xml:space="preserve">xtocol</t>
        </is>
      </c>
      <c r="C873" t="inlineStr">
        <is>
          <t xml:space="preserve">xtocol!J19</t>
        </is>
      </c>
      <c r="D873" s="51" t="inlineStr">
        <is>
          <t xml:space="preserve">cellref</t>
        </is>
      </c>
      <c r="E873" t="inlineStr">
        <is>
          <t xml:space="preserve">xtocol(D19:E20,shape_tests!$H$873,,shape_tests!$I$873,shape_tests!$J$873)</t>
        </is>
      </c>
      <c r="F873" s="51" cm="1">
        <f t="array" ref="F873">_xlfn.LET(_xlpm.a,xtocol('xtocol'!D19:E20,0,,"→↓",1),_xlpm.b,xtocol('xtocol'!D19:E20,shape_tests!$H$873,,shape_tests!$I$873,shape_tests!$J$873),_xlpm.sa,IFERROR(ROWS(_xlpm.a)&amp;"x"&amp;COLUMNS(_xlpm.a),"err"),_xlpm.sb,IFERROR(ROWS(_xlpm.b)&amp;"x"&amp;COLUMNS(_xlpm.b),"err"),IF(_xlpm.sa&lt;&gt;_xlpm.sb,"FAIL",IF(_xlpm.sa="err",IF(ERROR.TYPE(_xlpm.a)=ERROR.TYPE(_xlpm.b),"PASS","FAIL"),IF(AND(IFERROR(_xlpm.a=_xlpm.b,IFERROR(ERROR.TYPE(_xlpm.a)=ERROR.TYPE(_xlpm.b),FALSE))),"PASS","FAIL"))))</f>
        <v>0</v>
      </c>
      <c r="H873">
        <v>0.0</v>
      </c>
      <c r="I873" t="inlineStr">
        <is>
          <t xml:space="preserve">→↓</t>
        </is>
      </c>
      <c r="J873">
        <v>1.0</v>
      </c>
    </row>
    <row r="874">
      <c r="A874">
        <v>869</v>
      </c>
      <c r="B874" s="55" t="inlineStr">
        <is>
          <t xml:space="preserve">xtocol</t>
        </is>
      </c>
      <c r="C874" t="inlineStr">
        <is>
          <t xml:space="preserve">xtocol!J19</t>
        </is>
      </c>
      <c r="D874" s="51" t="inlineStr">
        <is>
          <t xml:space="preserve">textnum</t>
        </is>
      </c>
      <c r="E874" t="inlineStr">
        <is>
          <t xml:space="preserve">xtocol(D19:E20,"0",,"→↓","1")</t>
        </is>
      </c>
      <c r="F874" s="51" cm="1">
        <f t="array" ref="F874">_xlfn.LET(_xlpm.a,xtocol('xtocol'!D19:E20,0,,"→↓",1),_xlpm.b,xtocol('xtocol'!D19:E20,"0",,"→↓","1"),_xlpm.sa,IFERROR(ROWS(_xlpm.a)&amp;"x"&amp;COLUMNS(_xlpm.a),"err"),_xlpm.sb,IFERROR(ROWS(_xlpm.b)&amp;"x"&amp;COLUMNS(_xlpm.b),"err"),IF(_xlpm.sa&lt;&gt;_xlpm.sb,"FAIL",IF(_xlpm.sa="err",IF(ERROR.TYPE(_xlpm.a)=ERROR.TYPE(_xlpm.b),"PASS","FAIL"),IF(AND(IFERROR(_xlpm.a=_xlpm.b,IFERROR(ERROR.TYPE(_xlpm.a)=ERROR.TYPE(_xlpm.b),FALSE))),"PASS","FAIL"))))</f>
        <v>0</v>
      </c>
    </row>
    <row r="875">
      <c r="A875">
        <v>870</v>
      </c>
      <c r="B875" s="55" t="inlineStr">
        <is>
          <t xml:space="preserve">xtocol</t>
        </is>
      </c>
      <c r="C875" t="inlineStr">
        <is>
          <t xml:space="preserve">xtocol!J19</t>
        </is>
      </c>
      <c r="D875" s="51" t="inlineStr">
        <is>
          <t xml:space="preserve">blank</t>
        </is>
      </c>
      <c r="E875" t="inlineStr">
        <is>
          <t xml:space="preserve">xtocol(D19:E20,0,shape_tests!$Z$1,"→↓",1)</t>
        </is>
      </c>
      <c r="F875" s="51" cm="1">
        <f t="array" ref="F875">_xlfn.LET(_xlpm.a,xtocol('xtocol'!D19:E20,0,,"→↓",1),_xlpm.b,xtocol('xtocol'!D19:E20,0,shape_tests!$Z$1,"→↓",1),_xlpm.sa,IFERROR(ROWS(_xlpm.a)&amp;"x"&amp;COLUMNS(_xlpm.a),"err"),_xlpm.sb,IFERROR(ROWS(_xlpm.b)&amp;"x"&amp;COLUMNS(_xlpm.b),"err"),IF(_xlpm.sa&lt;&gt;_xlpm.sb,"FAIL",IF(_xlpm.sa="err",IF(ERROR.TYPE(_xlpm.a)=ERROR.TYPE(_xlpm.b),"PASS","FAIL"),IF(AND(IFERROR(_xlpm.a=_xlpm.b,IFERROR(ERROR.TYPE(_xlpm.a)=ERROR.TYPE(_xlpm.b),FALSE))),"PASS","FAIL"))))</f>
        <v>0</v>
      </c>
    </row>
    <row r="876">
      <c r="A876">
        <v>871</v>
      </c>
      <c r="B876" s="55" t="inlineStr">
        <is>
          <t xml:space="preserve">xtocol</t>
        </is>
      </c>
      <c r="C876" t="inlineStr">
        <is>
          <t xml:space="preserve">xtocol!J24</t>
        </is>
      </c>
      <c r="D876" s="51" t="inlineStr">
        <is>
          <t xml:space="preserve">tocol</t>
        </is>
      </c>
      <c r="E876" t="inlineStr">
        <is>
          <t xml:space="preserve">xtocol(D6:E7,TOCOL(1),TOCOL(1),TOCOL("Z"))</t>
        </is>
      </c>
      <c r="F876" s="51" cm="1">
        <f t="array" ref="F876">_xlfn.LET(_xlpm.a,xtocol('xtocol'!D6:E7,1,1,"Z"),_xlpm.b,xtocol('xtocol'!D6:E7,_xlfn.TOCOL(1),_xlfn.TOCOL(1),_xlfn.TOCOL("Z")),_xlpm.sa,IFERROR(ROWS(_xlpm.a)&amp;"x"&amp;COLUMNS(_xlpm.a),"err"),_xlpm.sb,IFERROR(ROWS(_xlpm.b)&amp;"x"&amp;COLUMNS(_xlpm.b),"err"),IF(_xlpm.sa&lt;&gt;_xlpm.sb,"FAIL",IF(_xlpm.sa="err",IF(ERROR.TYPE(_xlpm.a)=ERROR.TYPE(_xlpm.b),"PASS","FAIL"),IF(AND(IFERROR(_xlpm.a=_xlpm.b,IFERROR(ERROR.TYPE(_xlpm.a)=ERROR.TYPE(_xlpm.b),FALSE))),"PASS","FAIL"))))</f>
        <v>0</v>
      </c>
    </row>
    <row r="877">
      <c r="A877">
        <v>872</v>
      </c>
      <c r="B877" s="55" t="inlineStr">
        <is>
          <t xml:space="preserve">xtocol</t>
        </is>
      </c>
      <c r="C877" t="inlineStr">
        <is>
          <t xml:space="preserve">xtocol!J24</t>
        </is>
      </c>
      <c r="D877" s="51" t="inlineStr">
        <is>
          <t xml:space="preserve">cellref</t>
        </is>
      </c>
      <c r="E877" t="inlineStr">
        <is>
          <t xml:space="preserve">xtocol(D6:E7,shape_tests!$H$877,shape_tests!$I$877,shape_tests!$J$877)</t>
        </is>
      </c>
      <c r="F877" s="51" cm="1">
        <f t="array" ref="F877">_xlfn.LET(_xlpm.a,xtocol('xtocol'!D6:E7,1,1,"Z"),_xlpm.b,xtocol('xtocol'!D6:E7,shape_tests!$H$877,shape_tests!$I$877,shape_tests!$J$877),_xlpm.sa,IFERROR(ROWS(_xlpm.a)&amp;"x"&amp;COLUMNS(_xlpm.a),"err"),_xlpm.sb,IFERROR(ROWS(_xlpm.b)&amp;"x"&amp;COLUMNS(_xlpm.b),"err"),IF(_xlpm.sa&lt;&gt;_xlpm.sb,"FAIL",IF(_xlpm.sa="err",IF(ERROR.TYPE(_xlpm.a)=ERROR.TYPE(_xlpm.b),"PASS","FAIL"),IF(AND(IFERROR(_xlpm.a=_xlpm.b,IFERROR(ERROR.TYPE(_xlpm.a)=ERROR.TYPE(_xlpm.b),FALSE))),"PASS","FAIL"))))</f>
        <v>0</v>
      </c>
      <c r="H877">
        <v>1.0</v>
      </c>
      <c r="I877">
        <v>1.0</v>
      </c>
      <c r="J877" t="inlineStr">
        <is>
          <t xml:space="preserve">Z</t>
        </is>
      </c>
    </row>
    <row r="878">
      <c r="A878">
        <v>873</v>
      </c>
      <c r="B878" s="55" t="inlineStr">
        <is>
          <t xml:space="preserve">xtocol</t>
        </is>
      </c>
      <c r="C878" t="inlineStr">
        <is>
          <t xml:space="preserve">xtocol!J24</t>
        </is>
      </c>
      <c r="D878" s="51" t="inlineStr">
        <is>
          <t xml:space="preserve">textnum</t>
        </is>
      </c>
      <c r="E878" t="inlineStr">
        <is>
          <t xml:space="preserve">xtocol(D6:E7,"1","1","Z")</t>
        </is>
      </c>
      <c r="F878" s="51" cm="1">
        <f t="array" ref="F878">_xlfn.LET(_xlpm.a,xtocol('xtocol'!D6:E7,1,1,"Z"),_xlpm.b,xtocol('xtocol'!D6:E7,"1","1","Z"),_xlpm.sa,IFERROR(ROWS(_xlpm.a)&amp;"x"&amp;COLUMNS(_xlpm.a),"err"),_xlpm.sb,IFERROR(ROWS(_xlpm.b)&amp;"x"&amp;COLUMNS(_xlpm.b),"err"),IF(_xlpm.sa&lt;&gt;_xlpm.sb,"FAIL",IF(_xlpm.sa="err",IF(ERROR.TYPE(_xlpm.a)=ERROR.TYPE(_xlpm.b),"PASS","FAIL"),IF(AND(IFERROR(_xlpm.a=_xlpm.b,IFERROR(ERROR.TYPE(_xlpm.a)=ERROR.TYPE(_xlpm.b),FALSE))),"PASS","FAIL"))))</f>
        <v>0</v>
      </c>
    </row>
    <row r="879">
      <c r="A879">
        <v>874</v>
      </c>
      <c r="B879" s="55" t="inlineStr">
        <is>
          <t xml:space="preserve">xtocol</t>
        </is>
      </c>
      <c r="C879" t="inlineStr">
        <is>
          <t xml:space="preserve">xtocol!J24</t>
        </is>
      </c>
      <c r="D879" s="51" t="inlineStr">
        <is>
          <t xml:space="preserve">blank</t>
        </is>
      </c>
      <c r="E879" t="inlineStr">
        <is>
          <t xml:space="preserve">xtocol(D6:E7,1,1,"Z",shape_tests!$Z$1)</t>
        </is>
      </c>
      <c r="F879" s="51" cm="1">
        <f t="array" ref="F879">_xlfn.LET(_xlpm.a,xtocol('xtocol'!D6:E7,1,1,"Z"),_xlpm.b,xtocol('xtocol'!D6:E7,1,1,"Z",shape_tests!$Z$1),_xlpm.sa,IFERROR(ROWS(_xlpm.a)&amp;"x"&amp;COLUMNS(_xlpm.a),"err"),_xlpm.sb,IFERROR(ROWS(_xlpm.b)&amp;"x"&amp;COLUMNS(_xlpm.b),"err"),IF(_xlpm.sa&lt;&gt;_xlpm.sb,"FAIL",IF(_xlpm.sa="err",IF(ERROR.TYPE(_xlpm.a)=ERROR.TYPE(_xlpm.b),"PASS","FAIL"),IF(AND(IFERROR(_xlpm.a=_xlpm.b,IFERROR(ERROR.TYPE(_xlpm.a)=ERROR.TYPE(_xlpm.b),FALSE))),"PASS","FAIL"))))</f>
        <v>0</v>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