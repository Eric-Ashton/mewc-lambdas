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<sst xmlns="http://schemas.openxmlformats.org/spreadsheetml/2006/main" count="5826" uniqueCount="3671">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</sst>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inlineStr">
        <is>
          <t xml:space="preserve">Non-volatile INDIRECT: the contents of arr at an address or range. A single address gives one value; a range gives the array of contents where it overlaps arr; an array of addresses gives their contents element-wise. Empty cells return "" (never 0). A valid address or range lying entirely outside arr returns "oob"; a non-address - or a range that appears as an element inside an array - returns "".</t>
        </is>
      </c>
      <c r="C2" s="73" t="inlineStr">
        <is>
          <t xml:space="preserve">'=LAMBDA(ad_or_rng,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"oob",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"oob",
              LET(block, TAKE(DROP(arr, i_top - s_row, i_lft - s_col), i_bot - i_top + 1, i_rgt - i_lft + 1),
                  IF(block = "", "", block)))),
        cell_at(ad_or_rng)))
  )
)</t>
        </is>
      </c>
      <c r="D2" s="74" t="inlineStr">
        <is>
          <t xml:space="preserve">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 if that cell is empty)
  range overlapping arr            -&gt; an array of the overlapping contents (clipped to arr)
  address or range fully outside arr -&gt; "oob"
  any other single value           -&gt; ""
  an array of addresses            -&gt; element-wise contents; an out-of-bounds address -&gt; "oob"; an empty in-bounds cell -&gt; ""; anything that is not a single address (a range, junk) -&gt; ""
Empty cells come back as "" rather than 0 - fake coerced zeros corrupt later aggregates. An in-bounds empty cell is still "", so "oob" is unambiguous: it means the address had nowhere to land in arr, not that the cell was blank. Address parsing is shared with the library via z_ad_box.
Arguments:
  ad_or_rng - a numeric address, A1 string, A1 range, numeric range, or an array of single addresses.
  arr       - the source range to read from.
Returns:
  A single value, a rectangle of values, or an element-wise array of values; "oob" for a valid address/range that lands entirely outside arr, and "" for an in-bounds empty cell or a non-address.
Example:
  ad_to_cont("C3", B2:Z10)      -&gt;  the value at C3
  ad_to_cont("C3:D4", B2:Z10)   -&gt;  the 2x2 block C3:D4
  ad_to_cont(3000004, grid)     -&gt;  the value at C3... (numeric form)</t>
        </is>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s">
        <v>3616</v>
      </c>
      <c r="C5" s="73" t="s">
        <v>3617</v>
      </c>
      <c r="D5" s="74" t="s">
        <v>3618</v>
      </c>
    </row>
    <row r="6" spans="1:19" s="75" customFormat="1" ht="19.25" customHeight="1" x14ac:dyDescent="0.5">
      <c r="A6" s="71" t="s">
        <v>2751</v>
      </c>
      <c r="B6" s="72" t="s">
        <v>3619</v>
      </c>
      <c r="C6" s="73" t="s">
        <v>3620</v>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s">
        <v>2782</v>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s">
        <v>3650</v>
      </c>
      <c r="D37" s="74" t="s">
        <v>2828</v>
      </c>
    </row>
    <row r="38" spans="1:4" s="75" customFormat="1" ht="19.25" customHeight="1" x14ac:dyDescent="0.5">
      <c r="A38" s="71" t="s">
        <v>2829</v>
      </c>
      <c r="B38" s="72" t="s">
        <v>2830</v>
      </c>
      <c r="C38" s="73" t="s">
        <v>2831</v>
      </c>
      <c r="D38" s="74" t="s">
        <v>2832</v>
      </c>
    </row>
    <row r="39" spans="1:4" s="75" customFormat="1" ht="19.25" customHeight="1" x14ac:dyDescent="0.5">
      <c r="A39" s="71" t="s">
        <v>2833</v>
      </c>
      <c r="B39" s="72" t="s">
        <v>2834</v>
      </c>
      <c r="C39" s="73" t="s">
        <v>2835</v>
      </c>
      <c r="D39" s="74" t="s">
        <v>2836</v>
      </c>
    </row>
    <row r="40" spans="1:4" s="75" customFormat="1" ht="19.25" customHeight="1" x14ac:dyDescent="0.5">
      <c r="A40" s="71" t="s">
        <v>2837</v>
      </c>
      <c r="B40" s="72" t="s">
        <v>2838</v>
      </c>
      <c r="C40" s="73" t="s">
        <v>2839</v>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s">
        <v>3634</v>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s">
        <v>2865</v>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s">
        <v>5</v>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IFNA(z_xbycol_ix(arr, function, 1, COLUMNS(arr)), "")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HYPERLINK("#'expand_rng'!A1","expand_rng")</f>
      </c>
      <c r="B22" s="48">
        <f>COUNTIF(expand_rng!$A:$BZ,"PASS")</f>
      </c>
      <c r="C22" s="50">
        <f>COUNTIF(expand_rng!$A:$BZ,"FAIL")</f>
      </c>
      <c r="D22" s="45">
        <f>B22+C22</f>
      </c>
      <c r="E22" s="45">
        <f>IF(C22&gt;0,"FAIL ("&amp;C22&amp;")",IF(D22=0,"-","all pass"))</f>
      </c>
    </row>
    <row r="23" spans="1:5" x14ac:dyDescent="0.5">
      <c r="A23" s="77">
        <f>HYPERLINK("#'first_time'!A1","first_time")</f>
      </c>
      <c r="B23" s="48">
        <f>COUNTIF(first_time!$A:$BZ,"PASS")</f>
      </c>
      <c r="C23" s="50">
        <f>COUNTIF(first_time!$A:$BZ,"FAIL")</f>
      </c>
      <c r="D23" s="45">
        <f>B23+C23</f>
      </c>
      <c r="E23" s="45">
        <f>IF(C23&gt;0,"FAIL ("&amp;C23&amp;")",IF(D23=0,"-","all pass"))</f>
      </c>
    </row>
    <row r="24" spans="1:5" x14ac:dyDescent="0.5">
      <c r="A24" s="77">
        <f>HYPERLINK("#'freq_table'!A1","freq_table")</f>
      </c>
      <c r="B24" s="48">
        <f>COUNTIF(freq_table!$A:$BZ,"PASS")</f>
      </c>
      <c r="C24" s="50">
        <f>COUNTIF(freq_table!$A:$BZ,"FAIL")</f>
      </c>
      <c r="D24" s="45">
        <f>B24+C24</f>
      </c>
      <c r="E24" s="45">
        <f>IF(C24&gt;0,"FAIL ("&amp;C24&amp;")",IF(D24=0,"-","all pass"))</f>
      </c>
    </row>
    <row r="25" spans="1:5" x14ac:dyDescent="0.5">
      <c r="A25" s="77">
        <f>HYPERLINK("#'ftd_maze_cost'!A1","ftd_maze_cost")</f>
      </c>
      <c r="B25" s="48">
        <f>COUNTIF(ftd_maze_cost!$A:$BZ,"PASS")</f>
      </c>
      <c r="C25" s="50">
        <f>COUNTIF(ftd_maze_cost!$A:$BZ,"FAIL")</f>
      </c>
      <c r="D25" s="45">
        <f>B25+C25</f>
      </c>
      <c r="E25" s="45">
        <f>IF(C25&gt;0,"FAIL ("&amp;C25&amp;")",IF(D25=0,"-","all pass"))</f>
      </c>
    </row>
    <row r="26" spans="1:5" x14ac:dyDescent="0.5">
      <c r="A26" s="77">
        <f>HYPERLINK("#'is_unique'!A1","is_unique")</f>
      </c>
      <c r="B26" s="48">
        <f>COUNTIF(is_unique!$A:$BZ,"PASS")</f>
      </c>
      <c r="C26" s="50">
        <f>COUNTIF(is_unique!$A:$BZ,"FAIL")</f>
      </c>
      <c r="D26" s="45">
        <f>B26+C26</f>
      </c>
      <c r="E26" s="45">
        <f>IF(C26&gt;0,"FAIL ("&amp;C26&amp;")",IF(D26=0,"-","all pass"))</f>
      </c>
    </row>
    <row r="27" spans="1:5" x14ac:dyDescent="0.5">
      <c r="A27" s="77">
        <f>HYPERLINK("#'knight_moves'!A1","knight_moves")</f>
      </c>
      <c r="B27" s="48">
        <f>COUNTIF(knight_moves!$A:$BZ,"PASS")</f>
      </c>
      <c r="C27" s="50">
        <f>COUNTIF(knight_moves!$A:$BZ,"FAIL")</f>
      </c>
      <c r="D27" s="45">
        <f>B27+C27</f>
      </c>
      <c r="E27" s="45">
        <f>IF(C27&gt;0,"FAIL ("&amp;C27&amp;")",IF(D27=0,"-","all pass"))</f>
      </c>
    </row>
    <row r="28" spans="1:5" x14ac:dyDescent="0.5">
      <c r="A28" s="77">
        <f>HYPERLINK("#'label_lookup'!A1","label_lookup")</f>
      </c>
      <c r="B28" s="48">
        <f>COUNTIF(label_lookup!$A:$BZ,"PASS")</f>
      </c>
      <c r="C28" s="50">
        <f>COUNTIF(label_lookup!$A:$BZ,"FAIL")</f>
      </c>
      <c r="D28" s="45">
        <f>B28+C28</f>
      </c>
      <c r="E28" s="45">
        <f>IF(C28&gt;0,"FAIL ("&amp;C28&amp;")",IF(D28=0,"-","all pass"))</f>
      </c>
    </row>
    <row r="29" spans="1:5" x14ac:dyDescent="0.5">
      <c r="A29" s="77">
        <f>HYPERLINK("#'load_array'!A1","load_array")</f>
      </c>
      <c r="B29" s="48">
        <f>COUNTIF(load_array!$A:$BZ,"PASS")</f>
      </c>
      <c r="C29" s="50">
        <f>COUNTIF(load_array!$A:$BZ,"FAIL")</f>
      </c>
      <c r="D29" s="45">
        <f>B29+C29</f>
      </c>
      <c r="E29" s="45">
        <f>IF(C29&gt;0,"FAIL ("&amp;C29&amp;")",IF(D29=0,"-","all pass"))</f>
      </c>
    </row>
    <row r="30" spans="1:5" x14ac:dyDescent="0.5">
      <c r="A30" s="77">
        <f>HYPERLINK("#'make_change'!A1","make_change")</f>
      </c>
      <c r="B30" s="48">
        <f>COUNTIF(make_change!$A:$BZ,"PASS")</f>
      </c>
      <c r="C30" s="50">
        <f>COUNTIF(make_change!$A:$BZ,"FAIL")</f>
      </c>
      <c r="D30" s="45">
        <f>B30+C30</f>
      </c>
      <c r="E30" s="45">
        <f>IF(C30&gt;0,"FAIL ("&amp;C30&amp;")",IF(D30=0,"-","all pass"))</f>
      </c>
    </row>
    <row r="31" spans="1:5" x14ac:dyDescent="0.5">
      <c r="A31" s="77">
        <f>HYPERLINK("#'neighbors_count'!A1","neighbors_count")</f>
      </c>
      <c r="B31" s="48">
        <f>COUNTIF(neighbors_count!$A:$BZ,"PASS")</f>
      </c>
      <c r="C31" s="50">
        <f>COUNTIF(neighbors_count!$A:$BZ,"FAIL")</f>
      </c>
      <c r="D31" s="45">
        <f>B31+C31</f>
      </c>
      <c r="E31" s="45">
        <f>IF(C31&gt;0,"FAIL ("&amp;C31&amp;")",IF(D31=0,"-","all pass"))</f>
      </c>
    </row>
    <row r="32" spans="1:5" x14ac:dyDescent="0.5">
      <c r="A32" s="77">
        <f>HYPERLINK("#'neighbors_list'!A1","neighbors_list")</f>
      </c>
      <c r="B32" s="48">
        <f>COUNTIF(neighbors_list!$A:$BZ,"PASS")</f>
      </c>
      <c r="C32" s="50">
        <f>COUNTIF(neighbors_list!$A:$BZ,"FAIL")</f>
      </c>
      <c r="D32" s="45">
        <f>B32+C32</f>
      </c>
      <c r="E32" s="45">
        <f>IF(C32&gt;0,"FAIL ("&amp;C32&amp;")",IF(D32=0,"-","all pass"))</f>
      </c>
    </row>
    <row r="33" spans="1:5" x14ac:dyDescent="0.5">
      <c r="A33" s="77">
        <f>HYPERLINK("#'num_ad'!A1","num_ad")</f>
      </c>
      <c r="B33" s="48">
        <f>COUNTIF(num_ad!$A:$BZ,"PASS")</f>
      </c>
      <c r="C33" s="50">
        <f>COUNTIF(num_ad!$A:$BZ,"FAIL")</f>
      </c>
      <c r="D33" s="45">
        <f>B33+C33</f>
      </c>
      <c r="E33" s="45">
        <f>IF(C33&gt;0,"FAIL ("&amp;C33&amp;")",IF(D33=0,"-","all pass"))</f>
      </c>
    </row>
    <row r="34" spans="1:5" x14ac:dyDescent="0.5">
      <c r="A34" s="77">
        <f>HYPERLINK("#'offset_letter'!A1","offset_letter")</f>
      </c>
      <c r="B34" s="48">
        <f>COUNTIF(offset_letter!$A:$BZ,"PASS")</f>
      </c>
      <c r="C34" s="50">
        <f>COUNTIF(offset_letter!$A:$BZ,"FAIL")</f>
      </c>
      <c r="D34" s="45">
        <f>B34+C34</f>
      </c>
      <c r="E34" s="45">
        <f>IF(C34&gt;0,"FAIL ("&amp;C34&amp;")",IF(D34=0,"-","all pass"))</f>
      </c>
    </row>
    <row r="35" spans="1:5" x14ac:dyDescent="0.5">
      <c r="A35" s="77">
        <f>HYPERLINK("#'only_letters'!A1","only_letters")</f>
      </c>
      <c r="B35" s="48">
        <f>COUNTIF(only_letters!$A:$BZ,"PASS")</f>
      </c>
      <c r="C35" s="50">
        <f>COUNTIF(only_letters!$A:$BZ,"FAIL")</f>
      </c>
      <c r="D35" s="45">
        <f>B35+C35</f>
      </c>
      <c r="E35" s="45">
        <f>IF(C35&gt;0,"FAIL ("&amp;C35&amp;")",IF(D35=0,"-","all pass"))</f>
      </c>
    </row>
    <row r="36" spans="1:5" x14ac:dyDescent="0.5">
      <c r="A36" s="77">
        <f>HYPERLINK("#'only_numbers'!A1","only_numbers")</f>
      </c>
      <c r="B36" s="48">
        <f>COUNTIF(only_numbers!$A:$BZ,"PASS")</f>
      </c>
      <c r="C36" s="50">
        <f>COUNTIF(only_numbers!$A:$BZ,"FAIL")</f>
      </c>
      <c r="D36" s="45">
        <f>B36+C36</f>
      </c>
      <c r="E36" s="45">
        <f>IF(C36&gt;0,"FAIL ("&amp;C36&amp;")",IF(D36=0,"-","all pass"))</f>
      </c>
    </row>
    <row r="37" spans="1:5" x14ac:dyDescent="0.5">
      <c r="A37" s="77">
        <f>HYPERLINK("#'rc_to_ad'!A1","rc_to_ad")</f>
      </c>
      <c r="B37" s="48">
        <f>COUNTIF(rc_to_ad!$A:$BZ,"PASS")</f>
      </c>
      <c r="C37" s="50">
        <f>COUNTIF(rc_to_ad!$A:$BZ,"FAIL")</f>
      </c>
      <c r="D37" s="45">
        <f>B37+C37</f>
      </c>
      <c r="E37" s="45">
        <f>IF(C37&gt;0,"FAIL ("&amp;C37&amp;")",IF(D37=0,"-","all pass"))</f>
      </c>
    </row>
    <row r="38" spans="1:5" x14ac:dyDescent="0.5">
      <c r="A38" s="77">
        <f>HYPERLINK("#'rev'!A1","rev")</f>
      </c>
      <c r="B38" s="48">
        <f>COUNTIF(rev!$A:$BZ,"PASS")</f>
      </c>
      <c r="C38" s="50">
        <f>COUNTIF(rev!$A:$BZ,"FAIL")</f>
      </c>
      <c r="D38" s="45">
        <f>B38+C38</f>
      </c>
      <c r="E38" s="45">
        <f>IF(C38&gt;0,"FAIL ("&amp;C38&amp;")",IF(D38=0,"-","all pass"))</f>
      </c>
    </row>
    <row r="39" spans="1:5" x14ac:dyDescent="0.5">
      <c r="A39" s="77">
        <f>HYPERLINK("#'rotate_arrow'!A1","rotate_arrow")</f>
      </c>
      <c r="B39" s="48">
        <f>COUNTIF(rotate_arrow!$A:$BZ,"PASS")</f>
      </c>
      <c r="C39" s="50">
        <f>COUNTIF(rotate_arrow!$A:$BZ,"FAIL")</f>
      </c>
      <c r="D39" s="45">
        <f>B39+C39</f>
      </c>
      <c r="E39" s="45">
        <f>IF(C39&gt;0,"FAIL ("&amp;C39&amp;")",IF(D39=0,"-","all pass"))</f>
      </c>
    </row>
    <row r="40" spans="1:5" x14ac:dyDescent="0.5">
      <c r="A40" s="77">
        <f>HYPERLINK("#'route_cost'!A1","route_cost")</f>
      </c>
      <c r="B40" s="48">
        <f>COUNTIF(route_cost!$A:$BZ,"PASS")</f>
      </c>
      <c r="C40" s="50">
        <f>COUNTIF(route_cost!$A:$BZ,"FAIL")</f>
      </c>
      <c r="D40" s="45">
        <f>B40+C40</f>
      </c>
      <c r="E40" s="45">
        <f>IF(C40&gt;0,"FAIL ("&amp;C40&amp;")",IF(D40=0,"-","all pass"))</f>
      </c>
    </row>
    <row r="41" spans="1:5" x14ac:dyDescent="0.5">
      <c r="A41" s="77">
        <f>HYPERLINK("#'save_array'!A1","save_array")</f>
      </c>
      <c r="B41" s="48">
        <f>COUNTIF(save_array!$A:$BZ,"PASS")</f>
      </c>
      <c r="C41" s="50">
        <f>COUNTIF(save_array!$A:$BZ,"FAIL")</f>
      </c>
      <c r="D41" s="45">
        <f>B41+C41</f>
      </c>
      <c r="E41" s="45">
        <f>IF(C41&gt;0,"FAIL ("&amp;C41&amp;")",IF(D41=0,"-","all pass"))</f>
      </c>
    </row>
    <row r="42" spans="1:5" x14ac:dyDescent="0.5">
      <c r="A42" s="77">
        <f>HYPERLINK("#'scan2'!A1","scan2")</f>
      </c>
      <c r="B42" s="48">
        <f>COUNTIF(scan2!$A:$BZ,"PASS")</f>
      </c>
      <c r="C42" s="50">
        <f>COUNTIF(scan2!$A:$BZ,"FAIL")</f>
      </c>
      <c r="D42" s="45">
        <f>B42+C42</f>
      </c>
      <c r="E42" s="45">
        <f>IF(C42&gt;0,"FAIL ("&amp;C42&amp;")",IF(D42=0,"-","all pass"))</f>
      </c>
    </row>
    <row r="43" spans="1:5" x14ac:dyDescent="0.5">
      <c r="A43" s="77">
        <f>HYPERLINK("#'scan3'!A1","scan3")</f>
      </c>
      <c r="B43" s="48">
        <f>COUNTIF(scan3!$A:$BZ,"PASS")</f>
      </c>
      <c r="C43" s="50">
        <f>COUNTIF(scan3!$A:$BZ,"FAIL")</f>
      </c>
      <c r="D43" s="45">
        <f>B43+C43</f>
      </c>
      <c r="E43" s="45">
        <f>IF(C43&gt;0,"FAIL ("&amp;C43&amp;")",IF(D43=0,"-","all pass"))</f>
      </c>
    </row>
    <row r="44" spans="1:5" x14ac:dyDescent="0.5">
      <c r="A44" s="77">
        <f>HYPERLINK("#'selections'!A1","selections")</f>
      </c>
      <c r="B44" s="48">
        <f>COUNTIF(selections!$A:$BZ,"PASS")</f>
      </c>
      <c r="C44" s="50">
        <f>COUNTIF(selections!$A:$BZ,"FAIL")</f>
      </c>
      <c r="D44" s="45">
        <f>B44+C44</f>
      </c>
      <c r="E44" s="45">
        <f>IF(C44&gt;0,"FAIL ("&amp;C44&amp;")",IF(D44=0,"-","all pass"))</f>
      </c>
    </row>
    <row r="45" spans="1:5" x14ac:dyDescent="0.5">
      <c r="A45" s="77">
        <f>HYPERLINK("#'set'!A1","set")</f>
      </c>
      <c r="B45" s="48">
        <f>COUNTIF(set!$A:$BZ,"PASS")</f>
      </c>
      <c r="C45" s="50">
        <f>COUNTIF(set!$A:$BZ,"FAIL")</f>
      </c>
      <c r="D45" s="45">
        <f>B45+C45</f>
      </c>
      <c r="E45" s="45">
        <f>IF(C45&gt;0,"FAIL ("&amp;C45&amp;")",IF(D45=0,"-","all pass"))</f>
      </c>
    </row>
    <row r="46" spans="1:5" x14ac:dyDescent="0.5">
      <c r="A46" s="77">
        <f>HYPERLINK("#'set_d'!A1","set_d")</f>
      </c>
      <c r="B46" s="48">
        <f>COUNTIF(set_d!$A:$BZ,"PASS")</f>
      </c>
      <c r="C46" s="50">
        <f>COUNTIF(set_d!$A:$BZ,"FAIL")</f>
      </c>
      <c r="D46" s="45">
        <f>B46+C46</f>
      </c>
      <c r="E46" s="45">
        <f>IF(C46&gt;0,"FAIL ("&amp;C46&amp;")",IF(D46=0,"-","all pass"))</f>
      </c>
    </row>
    <row r="47" spans="1:5" x14ac:dyDescent="0.5">
      <c r="A47" s="77">
        <f>HYPERLINK("#'set_i'!A1","set_i")</f>
      </c>
      <c r="B47" s="48">
        <f>COUNTIF(set_i!$A:$BZ,"PASS")</f>
      </c>
      <c r="C47" s="50">
        <f>COUNTIF(set_i!$A:$BZ,"FAIL")</f>
      </c>
      <c r="D47" s="45">
        <f>B47+C47</f>
      </c>
      <c r="E47" s="45">
        <f>IF(C47&gt;0,"FAIL ("&amp;C47&amp;")",IF(D47=0,"-","all pass"))</f>
      </c>
    </row>
    <row r="48" spans="1:5" x14ac:dyDescent="0.5">
      <c r="A48" s="77">
        <f>HYPERLINK("#'set_u'!A1","set_u")</f>
      </c>
      <c r="B48" s="48">
        <f>COUNTIF(set_u!$A:$BZ,"PASS")</f>
      </c>
      <c r="C48" s="50">
        <f>COUNTIF(set_u!$A:$BZ,"FAIL")</f>
      </c>
      <c r="D48" s="45">
        <f>B48+C48</f>
      </c>
      <c r="E48" s="45">
        <f>IF(C48&gt;0,"FAIL ("&amp;C48&amp;")",IF(D48=0,"-","all pass"))</f>
      </c>
    </row>
    <row r="49" spans="1:5" x14ac:dyDescent="0.5">
      <c r="A49" s="77">
        <f>HYPERLINK("#'shift_arr'!A1","shift_arr")</f>
      </c>
      <c r="B49" s="48">
        <f>COUNTIF(shift_arr!$A:$BZ,"PASS")</f>
      </c>
      <c r="C49" s="50">
        <f>COUNTIF(shift_arr!$A:$BZ,"FAIL")</f>
      </c>
      <c r="D49" s="45">
        <f>B49+C49</f>
      </c>
      <c r="E49" s="45">
        <f>IF(C49&gt;0,"FAIL ("&amp;C49&amp;")",IF(D49=0,"-","all pass"))</f>
      </c>
    </row>
    <row r="50" spans="1:5" x14ac:dyDescent="0.5">
      <c r="A50" s="77">
        <f>HYPERLINK("#'smallest'!A1","smallest")</f>
      </c>
      <c r="B50" s="48">
        <f>COUNTIF(smallest!$A:$BZ,"PASS")</f>
      </c>
      <c r="C50" s="50">
        <f>COUNTIF(smallest!$A:$BZ,"FAIL")</f>
      </c>
      <c r="D50" s="45">
        <f>B50+C50</f>
      </c>
      <c r="E50" s="45">
        <f>IF(C50&gt;0,"FAIL ("&amp;C50&amp;")",IF(D50=0,"-","all pass"))</f>
      </c>
    </row>
    <row r="51" spans="1:5" x14ac:dyDescent="0.5">
      <c r="A51" s="77">
        <f>HYPERLINK("#'str_ad'!A1","str_ad")</f>
      </c>
      <c r="B51" s="48">
        <f>COUNTIF(str_ad!$A:$BZ,"PASS")</f>
      </c>
      <c r="C51" s="50">
        <f>COUNTIF(str_ad!$A:$BZ,"FAIL")</f>
      </c>
      <c r="D51" s="45">
        <f>B51+C51</f>
      </c>
      <c r="E51" s="45">
        <f>IF(C51&gt;0,"FAIL ("&amp;C51&amp;")",IF(D51=0,"-","all pass"))</f>
      </c>
    </row>
    <row r="52" spans="1:5" x14ac:dyDescent="0.5">
      <c r="A52" s="77">
        <f>HYPERLINK("#'str_rev'!A1","str_rev")</f>
      </c>
      <c r="B52" s="48">
        <f>COUNTIF(str_rev!$A:$BZ,"PASS")</f>
      </c>
      <c r="C52" s="50">
        <f>COUNTIF(str_rev!$A:$BZ,"FAIL")</f>
      </c>
      <c r="D52" s="45">
        <f>B52+C52</f>
      </c>
      <c r="E52" s="45">
        <f>IF(C52&gt;0,"FAIL ("&amp;C52&amp;")",IF(D52=0,"-","all pass"))</f>
      </c>
    </row>
    <row r="53" spans="1:5" x14ac:dyDescent="0.5">
      <c r="A53" s="77">
        <f>HYPERLINK("#'str_to_arr'!A1","str_to_arr")</f>
      </c>
      <c r="B53" s="48">
        <f>COUNTIF(str_to_arr!$A:$BZ,"PASS")</f>
      </c>
      <c r="C53" s="50">
        <f>COUNTIF(str_to_arr!$A:$BZ,"FAIL")</f>
      </c>
      <c r="D53" s="45">
        <f>B53+C53</f>
      </c>
      <c r="E53" s="45">
        <f>IF(C53&gt;0,"FAIL ("&amp;C53&amp;")",IF(D53=0,"-","all pass"))</f>
      </c>
    </row>
    <row r="54" spans="1:5" x14ac:dyDescent="0.5">
      <c r="A54" s="77">
        <f>HYPERLINK("#'streak'!A1","streak")</f>
      </c>
      <c r="B54" s="48">
        <f>COUNTIF(streak!$A:$BZ,"PASS")</f>
      </c>
      <c r="C54" s="50">
        <f>COUNTIF(streak!$A:$BZ,"FAIL")</f>
      </c>
      <c r="D54" s="45">
        <f>B54+C54</f>
      </c>
      <c r="E54" s="45">
        <f>IF(C54&gt;0,"FAIL ("&amp;C54&amp;")",IF(D54=0,"-","all pass"))</f>
      </c>
    </row>
    <row r="55" spans="1:5" x14ac:dyDescent="0.5">
      <c r="A55" s="77">
        <f>HYPERLINK("#'textbetween'!A1","textbetween")</f>
      </c>
      <c r="B55" s="48">
        <f>COUNTIF(textbetween!$A:$BZ,"PASS")</f>
      </c>
      <c r="C55" s="50">
        <f>COUNTIF(textbetween!$A:$BZ,"FAIL")</f>
      </c>
      <c r="D55" s="45">
        <f>B55+C55</f>
      </c>
      <c r="E55" s="45">
        <f>IF(C55&gt;0,"FAIL ("&amp;C55&amp;")",IF(D55=0,"-","all pass"))</f>
      </c>
    </row>
    <row r="56" spans="1:5" x14ac:dyDescent="0.5">
      <c r="A56" s="77">
        <f>HYPERLINK("#'transform_array'!A1","transform_array")</f>
      </c>
      <c r="B56" s="48">
        <f>COUNTIF(transform_array!$A:$BZ,"PASS")</f>
      </c>
      <c r="C56" s="50">
        <f>COUNTIF(transform_array!$A:$BZ,"FAIL")</f>
      </c>
      <c r="D56" s="45">
        <f>B56+C56</f>
      </c>
      <c r="E56" s="45">
        <f>IF(C56&gt;0,"FAIL ("&amp;C56&amp;")",IF(D56=0,"-","all pass"))</f>
      </c>
    </row>
    <row r="57" spans="1:5" x14ac:dyDescent="0.5">
      <c r="A57" s="77">
        <f>HYPERLINK("#'update_arr'!A1","update_arr")</f>
      </c>
      <c r="B57" s="48">
        <f>COUNTIF(update_arr!$A:$BZ,"PASS")</f>
      </c>
      <c r="C57" s="50">
        <f>COUNTIF(update_arr!$A:$BZ,"FAIL")</f>
      </c>
      <c r="D57" s="45">
        <f>B57+C57</f>
      </c>
      <c r="E57" s="45">
        <f>IF(C57&gt;0,"FAIL ("&amp;C57&amp;")",IF(D57=0,"-","all pass"))</f>
      </c>
    </row>
    <row r="58" spans="1:5" x14ac:dyDescent="0.5">
      <c r="A58" s="77">
        <f>HYPERLINK("#'xbycol'!A1","xbycol")</f>
      </c>
      <c r="B58" s="48">
        <f>COUNTIF(xbycol!$A:$BZ,"PASS")</f>
      </c>
      <c r="C58" s="50">
        <f>COUNTIF(xbycol!$A:$BZ,"FAIL")</f>
      </c>
      <c r="D58" s="45">
        <f>B58+C58</f>
      </c>
      <c r="E58" s="45">
        <f>IF(C58&gt;0,"FAIL ("&amp;C58&amp;")",IF(D58=0,"-","all pass"))</f>
      </c>
    </row>
    <row r="59" spans="1:5" x14ac:dyDescent="0.5">
      <c r="A59" s="77">
        <f>HYPERLINK("#'xbyrow'!A1","xbyrow")</f>
      </c>
      <c r="B59" s="48">
        <f>COUNTIF(xbyrow!$A:$BZ,"PASS")</f>
      </c>
      <c r="C59" s="50">
        <f>COUNTIF(xbyrow!$A:$BZ,"FAIL")</f>
      </c>
      <c r="D59" s="45">
        <f>B59+C59</f>
      </c>
      <c r="E59" s="45">
        <f>IF(C59&gt;0,"FAIL ("&amp;C59&amp;")",IF(D59=0,"-","all pass"))</f>
      </c>
    </row>
    <row r="60" spans="1:5" x14ac:dyDescent="0.5">
      <c r="A60" s="77">
        <f>HYPERLINK("#'xcountif'!A1","xcountif")</f>
      </c>
      <c r="B60" s="48">
        <f>COUNTIF(xcountif!$A:$BZ,"PASS")</f>
      </c>
      <c r="C60" s="50">
        <f>COUNTIF(xcountif!$A:$BZ,"FAIL")</f>
      </c>
      <c r="D60" s="45">
        <f>B60+C60</f>
      </c>
      <c r="E60" s="45">
        <f>IF(C60&gt;0,"FAIL ("&amp;C60&amp;")",IF(D60=0,"-","all pass"))</f>
      </c>
    </row>
    <row r="61" spans="1:5" x14ac:dyDescent="0.5">
      <c r="A61" s="77">
        <f>HYPERLINK("#'xdec2bin'!A1","xdec2bin")</f>
      </c>
      <c r="B61" s="48">
        <f>COUNTIF(xdec2bin!$A:$BZ,"PASS")</f>
      </c>
      <c r="C61" s="50">
        <f>COUNTIF(xdec2bin!$A:$BZ,"FAIL")</f>
      </c>
      <c r="D61" s="45">
        <f>B61+C61</f>
      </c>
      <c r="E61" s="45">
        <f>IF(C61&gt;0,"FAIL ("&amp;C61&amp;")",IF(D61=0,"-","all pass"))</f>
      </c>
    </row>
    <row r="62" spans="1:5" x14ac:dyDescent="0.5">
      <c r="A62" s="77">
        <f>HYPERLINK("#'xfilter'!A1","xfilter")</f>
      </c>
      <c r="B62" s="48">
        <f>COUNTIF(xfilter!$A:$BZ,"PASS")</f>
      </c>
      <c r="C62" s="50">
        <f>COUNTIF(xfilter!$A:$BZ,"FAIL")</f>
      </c>
      <c r="D62" s="45">
        <f>B62+C62</f>
      </c>
      <c r="E62" s="45">
        <f>IF(C62&gt;0,"FAIL ("&amp;C62&amp;")",IF(D62=0,"-","all pass"))</f>
      </c>
    </row>
    <row r="63" spans="1:5" x14ac:dyDescent="0.5">
      <c r="A63" s="77">
        <f>HYPERLINK("#'xmod'!A1","xmod")</f>
      </c>
      <c r="B63" s="48">
        <f>COUNTIF(xmod!$A:$BZ,"PASS")</f>
      </c>
      <c r="C63" s="50">
        <f>COUNTIF(xmod!$A:$BZ,"FAIL")</f>
      </c>
      <c r="D63" s="45">
        <f>B63+C63</f>
      </c>
      <c r="E63" s="45">
        <f>IF(C63&gt;0,"FAIL ("&amp;C63&amp;")",IF(D63=0,"-","all pass"))</f>
      </c>
    </row>
    <row r="64" spans="1:5" x14ac:dyDescent="0.5">
      <c r="A64" s="77">
        <f>HYPERLINK("#'xn'!A1","xn")</f>
      </c>
      <c r="B64" s="48">
        <f>COUNTIF(xn!$A:$BZ,"PASS")</f>
      </c>
      <c r="C64" s="50">
        <f>COUNTIF(xn!$A:$BZ,"FAIL")</f>
      </c>
      <c r="D64" s="45">
        <f>B64+C64</f>
      </c>
      <c r="E64" s="45">
        <f>IF(C64&gt;0,"FAIL ("&amp;C64&amp;")",IF(D64=0,"-","all pass"))</f>
      </c>
    </row>
    <row r="65" spans="2:5" x14ac:dyDescent="0.5">
      <c r="A65" s="77">
        <f>HYPERLINK("#'xrank'!A1","xrank")</f>
      </c>
      <c r="B65" s="48">
        <f>COUNTIF(xrank!$A:$BZ,"PASS")</f>
      </c>
      <c r="C65" s="50">
        <f>COUNTIF(xrank!$A:$BZ,"FAIL")</f>
      </c>
      <c r="D65" s="45">
        <f>B65+C65</f>
      </c>
      <c r="E65" s="45">
        <f>IF(C65&gt;0,"FAIL ("&amp;C65&amp;")",IF(D65=0,"-","all pass"))</f>
      </c>
    </row>
    <row r="66" spans="2:5" x14ac:dyDescent="0.5">
      <c r="A66" s="77">
        <f>HYPERLINK("#'xsequence'!A1","xsequence")</f>
      </c>
      <c r="B66" s="48">
        <f>COUNTIF(xsequence!$A:$BZ,"PASS")</f>
      </c>
      <c r="C66" s="50">
        <f>COUNTIF(xsequence!$A:$BZ,"FAIL")</f>
      </c>
      <c r="D66" s="45">
        <f>B66+C66</f>
      </c>
      <c r="E66" s="45">
        <f>IF(C66&gt;0,"FAIL ("&amp;C66&amp;")",IF(D66=0,"-","all pass"))</f>
      </c>
    </row>
    <row r="67">
      <c r="A67" s="77">
        <f>HYPERLINK("#'xtextjoin'!A1","xtextjoin")</f>
      </c>
      <c r="B67" s="48">
        <f>COUNTIF(xtextjoin!$A:$BZ,"PASS")</f>
      </c>
      <c r="C67" s="50">
        <f>COUNTIF(xtextjoin!$A:$BZ,"FAIL")</f>
      </c>
      <c r="D67" s="45">
        <f>B67+C67</f>
      </c>
      <c r="E67" s="45">
        <f>IF(C67&gt;0,"FAIL ("&amp;C67&amp;")",IF(D67=0,"-","all pass"))</f>
      </c>
    </row>
    <row r="68">
      <c r="A68" s="77">
        <f>HYPERLINK("#'xtocol'!A1","xtocol")</f>
      </c>
      <c r="B68" s="48">
        <f>COUNTIF(xtocol!$A:$BZ,"PASS")</f>
      </c>
      <c r="C68" s="50">
        <f>COUNTIF(xtocol!$A:$BZ,"FAIL")</f>
      </c>
      <c r="D68" s="45">
        <f>B68+C68</f>
      </c>
      <c r="E68" s="45">
        <f>IF(C68&gt;0,"FAIL ("&amp;C68&amp;")",IF(D68=0,"-","all pass"))</f>
      </c>
    </row>
    <row r="69">
      <c r="A69" s="101" t="inlineStr">
        <is>
          <t xml:space="preserve">TOTAL</t>
        </is>
      </c>
      <c r="B69" s="48">
        <f>SUM(B5:B68)</f>
      </c>
      <c r="C69" s="50">
        <f>SUM(C5:C68)</f>
      </c>
      <c r="D69" s="45">
        <f>SUM(D5:D68)</f>
      </c>
      <c r="E69" s="45">
        <f>IF(C69&gt;0,C69&amp;" FAILING","ALL PASS")</f>
      </c>
    </row>
    <row r="70">
      <c r="A70"/>
      <c r="B70" s="48"/>
      <c r="C70" s="50"/>
      <c r="D70" s="45"/>
      <c r="E70" s="45"/>
    </row>
    <row r="71">
      <c r="A71"/>
      <c r="B71" s="48"/>
      <c r="C71" s="50"/>
      <c r="D71" s="45"/>
      <c r="E71" s="45"/>
    </row>
    <row r="72">
      <c r="A72"/>
      <c r="B72" s="48"/>
      <c r="C72" s="50"/>
      <c r="D72" s="45"/>
      <c r="E72"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inlineStr">
        <is>
          <t xml:space="preserve">ad_to_cont(ad_or_rng, arr) - non-volatile INDIRECT: contents of arr at an address or range. Empty cells return "" (never 0). An address or range fully outside arr returns "oob"; a non-address returns "". Fixture: D7:F9 holds 10..90.</t>
        </is>
      </c>
      <c r="S4" s="45">
        <f>COUNTIF(S11:S60,"PASS")&amp;" / 10 PASS"</f>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K11" t="inlineStr">
        <is>
          <t xml:space="preserve">D7</t>
        </is>
      </c>
      <c r="M11" s="52">
        <v>50</v>
      </c>
      <c r="N11" s="52"/>
      <c r="P11" s="53" cm="1">
        <f t="array" ref="P11">ad_to_cont("E8",D7:F9)</f>
        <v>50</v>
      </c>
      <c r="Q11" s="53"/>
      <c r="S11" s="54" t="str">
        <f>IF(P11=M11,"PASS","FAIL")</f>
        <v>PASS</v>
      </c>
    </row>
    <row r="12" spans="1:19" x14ac:dyDescent="0.5">
      <c r="B12" s="47"/>
      <c r="E12" s="51"/>
      <c r="K12" t="inlineStr">
        <is>
          <t xml:space="preserve">Z99</t>
        </is>
      </c>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3492</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inlineStr">
        <is>
          <t xml:space="preserve">out of bounds "Z99" -&gt; "oob"</t>
        </is>
      </c>
      <c r="E24" s="51"/>
      <c r="M24" s="52" t="inlineStr">
        <is>
          <t xml:space="preserve">oob</t>
        </is>
      </c>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t="inlineStr">
        <is>
          <t xml:space="preserve">range no overlap "A1:B2" -&gt; "oob"</t>
        </is>
      </c>
      <c r="E31" s="51"/>
      <c r="M31" s="52" t="inlineStr">
        <is>
          <t xml:space="preserve">oob</t>
        </is>
      </c>
      <c r="N31" s="52"/>
      <c r="P31" s="53" cm="1">
        <f t="array" ref="P31">ad_to_cont("A1:B2",D7:F9)</f>
        <v>0</v>
      </c>
      <c r="Q31" s="53"/>
      <c r="S31" s="54">
        <f>IF(P31=M31,"PASS","FAIL")</f>
      </c>
    </row>
    <row r="32" spans="2:19" x14ac:dyDescent="0.5">
      <c r="B32" s="47"/>
      <c r="E32" s="51"/>
      <c r="M32" s="52"/>
      <c r="N32" s="52"/>
      <c r="P32" s="53"/>
      <c r="Q32" s="53"/>
      <c r="S32" s="54"/>
    </row>
    <row r="33" spans="2:19" x14ac:dyDescent="0.5">
      <c r="B33" s="47" t="inlineStr">
        <is>
          <t xml:space="preserve">addr array {D7;Z99} -&gt; {10;"oob"}</t>
        </is>
      </c>
      <c r="E33" s="51"/>
      <c r="M33" s="52">
        <v>10</v>
      </c>
      <c r="N33" s="52"/>
      <c r="P33" s="53" cm="1">
        <f t="array" ref="P33:P34">ad_to_cont(K11:K12,D7:F9)</f>
        <v>0</v>
      </c>
      <c r="Q33" s="53"/>
      <c r="S33" s="54" cm="1">
        <f t="array" ref="S33">IF(AND(M33:M34=P33:P34),"PASS","FAIL")</f>
        <v>0</v>
      </c>
    </row>
    <row r="34" spans="2:19" x14ac:dyDescent="0.5">
      <c r="B34" s="47"/>
      <c r="E34" s="51"/>
      <c r="M34" s="52" t="inlineStr">
        <is>
          <t xml:space="preserve">oob</t>
        </is>
      </c>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s">
        <v>2923</v>
      </c>
      <c r="P4" s="45" t="str">
        <f>COUNTIF(P6:P60,"PASS")&amp;" / 8 PASS"</f>
        <v>8 / 8 PASS</v>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L10" s="52">
        <v>1000001</v>
      </c>
      <c r="N10" s="53" cm="1">
        <f t="array" ref="N10">arrow_move(D10,F10,H10)</f>
        <v>1000001</v>
      </c>
      <c r="P10" s="54" t="str">
        <f>IF(N10=L10,"PASS","FAIL")</f>
        <v>PASS</v>
      </c>
    </row>
    <row r="12" spans="1:19" x14ac:dyDescent="0.5">
      <c r="A12" s="46">
        <v>4</v>
      </c>
      <c r="B12" s="47" t="s">
        <v>2929</v>
      </c>
      <c r="D12" s="51" t="s">
        <v>2928</v>
      </c>
      <c r="F12" s="51" t="s">
        <v>160</v>
      </c>
      <c r="H12" s="51">
        <v>5</v>
      </c>
      <c r="J12" s="51">
        <v>0</v>
      </c>
      <c r="L12" s="52">
        <v>3000001</v>
      </c>
      <c r="N12" s="53" cm="1">
        <f t="array" ref="N12">arrow_move(D12,F12,H12,,J12)</f>
        <v>3000001</v>
      </c>
      <c r="P12" s="54" t="str">
        <f>IF(N12=L12,"PASS","FAIL")</f>
        <v>PASS</v>
      </c>
    </row>
    <row r="14" spans="1:19" x14ac:dyDescent="0.5">
      <c r="A14" s="46">
        <v>5</v>
      </c>
      <c r="B14" s="47" t="s">
        <v>2930</v>
      </c>
      <c r="D14" s="51" t="s">
        <v>2928</v>
      </c>
      <c r="F14" s="51" t="s">
        <v>160</v>
      </c>
      <c r="H14" s="51">
        <v>5</v>
      </c>
      <c r="J14" s="51">
        <v>-1</v>
      </c>
      <c r="L14" s="52" t="s">
        <v>2931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t="str">
        <f>COUNTIF(P9:P60,"PASS")&amp;" / 7 PASS"</f>
        <v>7 / 7 PASS</v>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t="str">
        <f>COUNTIF(R6:R40,"PASS")&amp;" / 5 PASS"</f>
        <v>5 / 5 PASS</v>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COUNTIF(R6:R40,"PASS")&amp;" / 7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COUNTIF(Y6:Y40,"PASS")&amp;" / 4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