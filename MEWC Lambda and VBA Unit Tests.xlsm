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lookup" sheetId="109" r:id="rId104"/>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move_rng" sheetId="110" r:id="rId105"/>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<sst xmlns="http://schemas.openxmlformats.org/spreadsheetml/2006/main" count="5826" uniqueCount="3671">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</sst>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 Id="rId104" Type="http://schemas.openxmlformats.org/officeDocument/2006/relationships/worksheet" Target="worksheets/sheet95.xml"/><Relationship Id="rId105" Type="http://schemas.openxmlformats.org/officeDocument/2006/relationships/worksheet" Target="worksheets/sheet9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HYPERLINK("#'exlookup'!A1","exlookup")</f>
      </c>
      <c r="B22" s="48">
        <f>COUNTIF(exlookup!$A:$BZ,"PASS")</f>
      </c>
      <c r="C22" s="50">
        <f>COUNTIF(exlookup!$A:$BZ,"FAIL")</f>
      </c>
      <c r="D22" s="45">
        <f>B22+C22</f>
      </c>
      <c r="E22" s="45">
        <f>IF(C22&gt;0,"FAIL ("&amp;C22&amp;")",IF(D22=0,"-","all pass"))</f>
      </c>
    </row>
    <row r="23" spans="1:5" x14ac:dyDescent="0.5">
      <c r="A23" s="77">
        <f>HYPERLINK("#'expand_rng'!A1","expand_rng")</f>
      </c>
      <c r="B23" s="48">
        <f>COUNTIF(expand_rng!$A:$BZ,"PASS")</f>
      </c>
      <c r="C23" s="50">
        <f>COUNTIF(expand_rng!$A:$BZ,"FAIL")</f>
      </c>
      <c r="D23" s="45">
        <f>B23+C23</f>
      </c>
      <c r="E23" s="45">
        <f>IF(C23&gt;0,"FAIL ("&amp;C23&amp;")",IF(D23=0,"-","all pass"))</f>
      </c>
    </row>
    <row r="24" spans="1:5" x14ac:dyDescent="0.5">
      <c r="A24" s="77">
        <f>HYPERLINK("#'first_time'!A1","first_time")</f>
      </c>
      <c r="B24" s="48">
        <f>COUNTIF(first_time!$A:$BZ,"PASS")</f>
      </c>
      <c r="C24" s="50">
        <f>COUNTIF(first_time!$A:$BZ,"FAIL")</f>
      </c>
      <c r="D24" s="45">
        <f>B24+C24</f>
      </c>
      <c r="E24" s="45">
        <f>IF(C24&gt;0,"FAIL ("&amp;C24&amp;")",IF(D24=0,"-","all pass"))</f>
      </c>
    </row>
    <row r="25" spans="1:5" x14ac:dyDescent="0.5">
      <c r="A25" s="77">
        <f>HYPERLINK("#'freq_table'!A1","freq_table")</f>
      </c>
      <c r="B25" s="48">
        <f>COUNTIF(freq_table!$A:$BZ,"PASS")</f>
      </c>
      <c r="C25" s="50">
        <f>COUNTIF(freq_table!$A:$BZ,"FAIL")</f>
      </c>
      <c r="D25" s="45">
        <f>B25+C25</f>
      </c>
      <c r="E25" s="45">
        <f>IF(C25&gt;0,"FAIL ("&amp;C25&amp;")",IF(D25=0,"-","all pass"))</f>
      </c>
    </row>
    <row r="26" spans="1:5" x14ac:dyDescent="0.5">
      <c r="A26" s="77">
        <f>HYPERLINK("#'ftd_maze_cost'!A1","ftd_maze_cost")</f>
      </c>
      <c r="B26" s="48">
        <f>COUNTIF(ftd_maze_cost!$A:$BZ,"PASS")</f>
      </c>
      <c r="C26" s="50">
        <f>COUNTIF(ftd_maze_cost!$A:$BZ,"FAIL")</f>
      </c>
      <c r="D26" s="45">
        <f>B26+C26</f>
      </c>
      <c r="E26" s="45">
        <f>IF(C26&gt;0,"FAIL ("&amp;C26&amp;")",IF(D26=0,"-","all pass"))</f>
      </c>
    </row>
    <row r="27" spans="1:5" x14ac:dyDescent="0.5">
      <c r="A27" s="77">
        <f>HYPERLINK("#'is_unique'!A1","is_unique")</f>
      </c>
      <c r="B27" s="48">
        <f>COUNTIF(is_unique!$A:$BZ,"PASS")</f>
      </c>
      <c r="C27" s="50">
        <f>COUNTIF(is_unique!$A:$BZ,"FAIL")</f>
      </c>
      <c r="D27" s="45">
        <f>B27+C27</f>
      </c>
      <c r="E27" s="45">
        <f>IF(C27&gt;0,"FAIL ("&amp;C27&amp;")",IF(D27=0,"-","all pass"))</f>
      </c>
    </row>
    <row r="28" spans="1:5" x14ac:dyDescent="0.5">
      <c r="A28" s="77">
        <f>HYPERLINK("#'knight_moves'!A1","knight_moves")</f>
      </c>
      <c r="B28" s="48">
        <f>COUNTIF(knight_moves!$A:$BZ,"PASS")</f>
      </c>
      <c r="C28" s="50">
        <f>COUNTIF(knight_moves!$A:$BZ,"FAIL")</f>
      </c>
      <c r="D28" s="45">
        <f>B28+C28</f>
      </c>
      <c r="E28" s="45">
        <f>IF(C28&gt;0,"FAIL ("&amp;C28&amp;")",IF(D28=0,"-","all pass"))</f>
      </c>
    </row>
    <row r="29" spans="1:5" x14ac:dyDescent="0.5">
      <c r="A29" s="77">
        <f>HYPERLINK("#'label_lookup'!A1","label_lookup")</f>
      </c>
      <c r="B29" s="48">
        <f>COUNTIF(label_lookup!$A:$BZ,"PASS")</f>
      </c>
      <c r="C29" s="50">
        <f>COUNTIF(label_lookup!$A:$BZ,"FAIL")</f>
      </c>
      <c r="D29" s="45">
        <f>B29+C29</f>
      </c>
      <c r="E29" s="45">
        <f>IF(C29&gt;0,"FAIL ("&amp;C29&amp;")",IF(D29=0,"-","all pass"))</f>
      </c>
    </row>
    <row r="30" spans="1:5" x14ac:dyDescent="0.5">
      <c r="A30" s="77">
        <f>HYPERLINK("#'load_array'!A1","load_array")</f>
      </c>
      <c r="B30" s="48">
        <f>COUNTIF(load_array!$A:$BZ,"PASS")</f>
      </c>
      <c r="C30" s="50">
        <f>COUNTIF(load_array!$A:$BZ,"FAIL")</f>
      </c>
      <c r="D30" s="45">
        <f>B30+C30</f>
      </c>
      <c r="E30" s="45">
        <f>IF(C30&gt;0,"FAIL ("&amp;C30&amp;")",IF(D30=0,"-","all pass"))</f>
      </c>
    </row>
    <row r="31" spans="1:5" x14ac:dyDescent="0.5">
      <c r="A31" s="77">
        <f>HYPERLINK("#'make_change'!A1","make_change")</f>
      </c>
      <c r="B31" s="48">
        <f>COUNTIF(make_change!$A:$BZ,"PASS")</f>
      </c>
      <c r="C31" s="50">
        <f>COUNTIF(make_change!$A:$BZ,"FAIL")</f>
      </c>
      <c r="D31" s="45">
        <f>B31+C31</f>
      </c>
      <c r="E31" s="45">
        <f>IF(C31&gt;0,"FAIL ("&amp;C31&amp;")",IF(D31=0,"-","all pass"))</f>
      </c>
    </row>
    <row r="32" spans="1:5" x14ac:dyDescent="0.5">
      <c r="A32" s="77">
        <f>HYPERLINK("#'move_rng'!A1","move_rng")</f>
      </c>
      <c r="B32" s="48">
        <f>COUNTIF(move_rng!$A:$BZ,"PASS")</f>
      </c>
      <c r="C32" s="50">
        <f>COUNTIF(move_rng!$A:$BZ,"FAIL")</f>
      </c>
      <c r="D32" s="45">
        <f>B32+C32</f>
      </c>
      <c r="E32" s="45">
        <f>IF(C32&gt;0,"FAIL ("&amp;C32&amp;")",IF(D32=0,"-","all pass"))</f>
      </c>
    </row>
    <row r="33" spans="1:5" x14ac:dyDescent="0.5">
      <c r="A33" s="77">
        <f>HYPERLINK("#'neighbors_count'!A1","neighbors_count")</f>
      </c>
      <c r="B33" s="48">
        <f>COUNTIF(neighbors_count!$A:$BZ,"PASS")</f>
      </c>
      <c r="C33" s="50">
        <f>COUNTIF(neighbors_count!$A:$BZ,"FAIL")</f>
      </c>
      <c r="D33" s="45">
        <f>B33+C33</f>
      </c>
      <c r="E33" s="45">
        <f>IF(C33&gt;0,"FAIL ("&amp;C33&amp;")",IF(D33=0,"-","all pass"))</f>
      </c>
    </row>
    <row r="34" spans="1:5" x14ac:dyDescent="0.5">
      <c r="A34" s="77">
        <f>HYPERLINK("#'neighbors_list'!A1","neighbors_list")</f>
      </c>
      <c r="B34" s="48">
        <f>COUNTIF(neighbors_list!$A:$BZ,"PASS")</f>
      </c>
      <c r="C34" s="50">
        <f>COUNTIF(neighbors_list!$A:$BZ,"FAIL")</f>
      </c>
      <c r="D34" s="45">
        <f>B34+C34</f>
      </c>
      <c r="E34" s="45">
        <f>IF(C34&gt;0,"FAIL ("&amp;C34&amp;")",IF(D34=0,"-","all pass"))</f>
      </c>
    </row>
    <row r="35" spans="1:5" x14ac:dyDescent="0.5">
      <c r="A35" s="77">
        <f>HYPERLINK("#'num_ad'!A1","num_ad")</f>
      </c>
      <c r="B35" s="48">
        <f>COUNTIF(num_ad!$A:$BZ,"PASS")</f>
      </c>
      <c r="C35" s="50">
        <f>COUNTIF(num_ad!$A:$BZ,"FAIL")</f>
      </c>
      <c r="D35" s="45">
        <f>B35+C35</f>
      </c>
      <c r="E35" s="45">
        <f>IF(C35&gt;0,"FAIL ("&amp;C35&amp;")",IF(D35=0,"-","all pass"))</f>
      </c>
    </row>
    <row r="36" spans="1:5" x14ac:dyDescent="0.5">
      <c r="A36" s="77">
        <f>HYPERLINK("#'offset_letter'!A1","offset_letter")</f>
      </c>
      <c r="B36" s="48">
        <f>COUNTIF(offset_letter!$A:$BZ,"PASS")</f>
      </c>
      <c r="C36" s="50">
        <f>COUNTIF(offset_letter!$A:$BZ,"FAIL")</f>
      </c>
      <c r="D36" s="45">
        <f>B36+C36</f>
      </c>
      <c r="E36" s="45">
        <f>IF(C36&gt;0,"FAIL ("&amp;C36&amp;")",IF(D36=0,"-","all pass"))</f>
      </c>
    </row>
    <row r="37" spans="1:5" x14ac:dyDescent="0.5">
      <c r="A37" s="77">
        <f>HYPERLINK("#'only_letters'!A1","only_letters")</f>
      </c>
      <c r="B37" s="48">
        <f>COUNTIF(only_letters!$A:$BZ,"PASS")</f>
      </c>
      <c r="C37" s="50">
        <f>COUNTIF(only_letters!$A:$BZ,"FAIL")</f>
      </c>
      <c r="D37" s="45">
        <f>B37+C37</f>
      </c>
      <c r="E37" s="45">
        <f>IF(C37&gt;0,"FAIL ("&amp;C37&amp;")",IF(D37=0,"-","all pass"))</f>
      </c>
    </row>
    <row r="38" spans="1:5" x14ac:dyDescent="0.5">
      <c r="A38" s="77">
        <f>HYPERLINK("#'only_numbers'!A1","only_numbers")</f>
      </c>
      <c r="B38" s="48">
        <f>COUNTIF(only_numbers!$A:$BZ,"PASS")</f>
      </c>
      <c r="C38" s="50">
        <f>COUNTIF(only_numbers!$A:$BZ,"FAIL")</f>
      </c>
      <c r="D38" s="45">
        <f>B38+C38</f>
      </c>
      <c r="E38" s="45">
        <f>IF(C38&gt;0,"FAIL ("&amp;C38&amp;")",IF(D38=0,"-","all pass"))</f>
      </c>
    </row>
    <row r="39" spans="1:5" x14ac:dyDescent="0.5">
      <c r="A39" s="77">
        <f>HYPERLINK("#'prng'!A1","prng")</f>
      </c>
      <c r="B39" s="48">
        <f>COUNTIF(prng!$A:$BZ,"PASS")</f>
      </c>
      <c r="C39" s="50">
        <f>COUNTIF(prng!$A:$BZ,"FAIL")</f>
      </c>
      <c r="D39" s="45">
        <f>B39+C39</f>
      </c>
      <c r="E39" s="45">
        <f>IF(C39&gt;0,"FAIL ("&amp;C39&amp;")",IF(D39=0,"-","all pass"))</f>
      </c>
    </row>
    <row r="40" spans="1:5" x14ac:dyDescent="0.5">
      <c r="A40" s="77">
        <f>HYPERLINK("#'rc_to_ad'!A1","rc_to_ad")</f>
      </c>
      <c r="B40" s="48">
        <f>COUNTIF(rc_to_ad!$A:$BZ,"PASS")</f>
      </c>
      <c r="C40" s="50">
        <f>COUNTIF(rc_to_ad!$A:$BZ,"FAIL")</f>
      </c>
      <c r="D40" s="45">
        <f>B40+C40</f>
      </c>
      <c r="E40" s="45">
        <f>IF(C40&gt;0,"FAIL ("&amp;C40&amp;")",IF(D40=0,"-","all pass"))</f>
      </c>
    </row>
    <row r="41" spans="1:5" x14ac:dyDescent="0.5">
      <c r="A41" s="77">
        <f>HYPERLINK("#'rev'!A1","rev")</f>
      </c>
      <c r="B41" s="48">
        <f>COUNTIF(rev!$A:$BZ,"PASS")</f>
      </c>
      <c r="C41" s="50">
        <f>COUNTIF(rev!$A:$BZ,"FAIL")</f>
      </c>
      <c r="D41" s="45">
        <f>B41+C41</f>
      </c>
      <c r="E41" s="45">
        <f>IF(C41&gt;0,"FAIL ("&amp;C41&amp;")",IF(D41=0,"-","all pass"))</f>
      </c>
    </row>
    <row r="42" spans="1:5" x14ac:dyDescent="0.5">
      <c r="A42" s="77">
        <f>HYPERLINK("#'rotate_arrow'!A1","rotate_arrow")</f>
      </c>
      <c r="B42" s="48">
        <f>COUNTIF(rotate_arrow!$A:$BZ,"PASS")</f>
      </c>
      <c r="C42" s="50">
        <f>COUNTIF(rotate_arrow!$A:$BZ,"FAIL")</f>
      </c>
      <c r="D42" s="45">
        <f>B42+C42</f>
      </c>
      <c r="E42" s="45">
        <f>IF(C42&gt;0,"FAIL ("&amp;C42&amp;")",IF(D42=0,"-","all pass"))</f>
      </c>
    </row>
    <row r="43" spans="1:5" x14ac:dyDescent="0.5">
      <c r="A43" s="77">
        <f>HYPERLINK("#'route_cost'!A1","route_cost")</f>
      </c>
      <c r="B43" s="48">
        <f>COUNTIF(route_cost!$A:$BZ,"PASS")</f>
      </c>
      <c r="C43" s="50">
        <f>COUNTIF(route_cost!$A:$BZ,"FAIL")</f>
      </c>
      <c r="D43" s="45">
        <f>B43+C43</f>
      </c>
      <c r="E43" s="45">
        <f>IF(C43&gt;0,"FAIL ("&amp;C43&amp;")",IF(D43=0,"-","all pass"))</f>
      </c>
    </row>
    <row r="44" spans="1:5" x14ac:dyDescent="0.5">
      <c r="A44" s="77">
        <f>HYPERLINK("#'save_array'!A1","save_array")</f>
      </c>
      <c r="B44" s="48">
        <f>COUNTIF(save_array!$A:$BZ,"PASS")</f>
      </c>
      <c r="C44" s="50">
        <f>COUNTIF(save_array!$A:$BZ,"FAIL")</f>
      </c>
      <c r="D44" s="45">
        <f>B44+C44</f>
      </c>
      <c r="E44" s="45">
        <f>IF(C44&gt;0,"FAIL ("&amp;C44&amp;")",IF(D44=0,"-","all pass"))</f>
      </c>
    </row>
    <row r="45" spans="1:5" x14ac:dyDescent="0.5">
      <c r="A45" s="77">
        <f>HYPERLINK("#'scan2'!A1","scan2")</f>
      </c>
      <c r="B45" s="48">
        <f>COUNTIF(scan2!$A:$BZ,"PASS")</f>
      </c>
      <c r="C45" s="50">
        <f>COUNTIF(scan2!$A:$BZ,"FAIL")</f>
      </c>
      <c r="D45" s="45">
        <f>B45+C45</f>
      </c>
      <c r="E45" s="45">
        <f>IF(C45&gt;0,"FAIL ("&amp;C45&amp;")",IF(D45=0,"-","all pass"))</f>
      </c>
    </row>
    <row r="46" spans="1:5" x14ac:dyDescent="0.5">
      <c r="A46" s="77">
        <f>HYPERLINK("#'scan3'!A1","scan3")</f>
      </c>
      <c r="B46" s="48">
        <f>COUNTIF(scan3!$A:$BZ,"PASS")</f>
      </c>
      <c r="C46" s="50">
        <f>COUNTIF(scan3!$A:$BZ,"FAIL")</f>
      </c>
      <c r="D46" s="45">
        <f>B46+C46</f>
      </c>
      <c r="E46" s="45">
        <f>IF(C46&gt;0,"FAIL ("&amp;C46&amp;")",IF(D46=0,"-","all pass"))</f>
      </c>
    </row>
    <row r="47" spans="1:5" x14ac:dyDescent="0.5">
      <c r="A47" s="77">
        <f>HYPERLINK("#'selections'!A1","selections")</f>
      </c>
      <c r="B47" s="48">
        <f>COUNTIF(selections!$A:$BZ,"PASS")</f>
      </c>
      <c r="C47" s="50">
        <f>COUNTIF(selections!$A:$BZ,"FAIL")</f>
      </c>
      <c r="D47" s="45">
        <f>B47+C47</f>
      </c>
      <c r="E47" s="45">
        <f>IF(C47&gt;0,"FAIL ("&amp;C47&amp;")",IF(D47=0,"-","all pass"))</f>
      </c>
    </row>
    <row r="48" spans="1:5" x14ac:dyDescent="0.5">
      <c r="A48" s="77">
        <f>HYPERLINK("#'set'!A1","set")</f>
      </c>
      <c r="B48" s="48">
        <f>COUNTIF(set!$A:$BZ,"PASS")</f>
      </c>
      <c r="C48" s="50">
        <f>COUNTIF(set!$A:$BZ,"FAIL")</f>
      </c>
      <c r="D48" s="45">
        <f>B48+C48</f>
      </c>
      <c r="E48" s="45">
        <f>IF(C48&gt;0,"FAIL ("&amp;C48&amp;")",IF(D48=0,"-","all pass"))</f>
      </c>
    </row>
    <row r="49" spans="1:5" x14ac:dyDescent="0.5">
      <c r="A49" s="77">
        <f>HYPERLINK("#'set_d'!A1","set_d")</f>
      </c>
      <c r="B49" s="48">
        <f>COUNTIF(set_d!$A:$BZ,"PASS")</f>
      </c>
      <c r="C49" s="50">
        <f>COUNTIF(set_d!$A:$BZ,"FAIL")</f>
      </c>
      <c r="D49" s="45">
        <f>B49+C49</f>
      </c>
      <c r="E49" s="45">
        <f>IF(C49&gt;0,"FAIL ("&amp;C49&amp;")",IF(D49=0,"-","all pass"))</f>
      </c>
    </row>
    <row r="50" spans="1:5" x14ac:dyDescent="0.5">
      <c r="A50" s="77">
        <f>HYPERLINK("#'set_i'!A1","set_i")</f>
      </c>
      <c r="B50" s="48">
        <f>COUNTIF(set_i!$A:$BZ,"PASS")</f>
      </c>
      <c r="C50" s="50">
        <f>COUNTIF(set_i!$A:$BZ,"FAIL")</f>
      </c>
      <c r="D50" s="45">
        <f>B50+C50</f>
      </c>
      <c r="E50" s="45">
        <f>IF(C50&gt;0,"FAIL ("&amp;C50&amp;")",IF(D50=0,"-","all pass"))</f>
      </c>
    </row>
    <row r="51" spans="1:5" x14ac:dyDescent="0.5">
      <c r="A51" s="77">
        <f>HYPERLINK("#'set_u'!A1","set_u")</f>
      </c>
      <c r="B51" s="48">
        <f>COUNTIF(set_u!$A:$BZ,"PASS")</f>
      </c>
      <c r="C51" s="50">
        <f>COUNTIF(set_u!$A:$BZ,"FAIL")</f>
      </c>
      <c r="D51" s="45">
        <f>B51+C51</f>
      </c>
      <c r="E51" s="45">
        <f>IF(C51&gt;0,"FAIL ("&amp;C51&amp;")",IF(D51=0,"-","all pass"))</f>
      </c>
    </row>
    <row r="52" spans="1:5" x14ac:dyDescent="0.5">
      <c r="A52" s="77">
        <f>HYPERLINK("#'shift_arr'!A1","shift_arr")</f>
      </c>
      <c r="B52" s="48">
        <f>COUNTIF(shift_arr!$A:$BZ,"PASS")</f>
      </c>
      <c r="C52" s="50">
        <f>COUNTIF(shift_arr!$A:$BZ,"FAIL")</f>
      </c>
      <c r="D52" s="45">
        <f>B52+C52</f>
      </c>
      <c r="E52" s="45">
        <f>IF(C52&gt;0,"FAIL ("&amp;C52&amp;")",IF(D52=0,"-","all pass"))</f>
      </c>
    </row>
    <row r="53" spans="1:5" x14ac:dyDescent="0.5">
      <c r="A53" s="77">
        <f>HYPERLINK("#'smallest'!A1","smallest")</f>
      </c>
      <c r="B53" s="48">
        <f>COUNTIF(smallest!$A:$BZ,"PASS")</f>
      </c>
      <c r="C53" s="50">
        <f>COUNTIF(smallest!$A:$BZ,"FAIL")</f>
      </c>
      <c r="D53" s="45">
        <f>B53+C53</f>
      </c>
      <c r="E53" s="45">
        <f>IF(C53&gt;0,"FAIL ("&amp;C53&amp;")",IF(D53=0,"-","all pass"))</f>
      </c>
    </row>
    <row r="54" spans="1:5" x14ac:dyDescent="0.5">
      <c r="A54" s="77">
        <f>HYPERLINK("#'str_ad'!A1","str_ad")</f>
      </c>
      <c r="B54" s="48">
        <f>COUNTIF(str_ad!$A:$BZ,"PASS")</f>
      </c>
      <c r="C54" s="50">
        <f>COUNTIF(str_ad!$A:$BZ,"FAIL")</f>
      </c>
      <c r="D54" s="45">
        <f>B54+C54</f>
      </c>
      <c r="E54" s="45">
        <f>IF(C54&gt;0,"FAIL ("&amp;C54&amp;")",IF(D54=0,"-","all pass"))</f>
      </c>
    </row>
    <row r="55" spans="1:5" x14ac:dyDescent="0.5">
      <c r="A55" s="77">
        <f>HYPERLINK("#'str_rev'!A1","str_rev")</f>
      </c>
      <c r="B55" s="48">
        <f>COUNTIF(str_rev!$A:$BZ,"PASS")</f>
      </c>
      <c r="C55" s="50">
        <f>COUNTIF(str_rev!$A:$BZ,"FAIL")</f>
      </c>
      <c r="D55" s="45">
        <f>B55+C55</f>
      </c>
      <c r="E55" s="45">
        <f>IF(C55&gt;0,"FAIL ("&amp;C55&amp;")",IF(D55=0,"-","all pass"))</f>
      </c>
    </row>
    <row r="56" spans="1:5" x14ac:dyDescent="0.5">
      <c r="A56" s="77">
        <f>HYPERLINK("#'str_to_arr'!A1","str_to_arr")</f>
      </c>
      <c r="B56" s="48">
        <f>COUNTIF(str_to_arr!$A:$BZ,"PASS")</f>
      </c>
      <c r="C56" s="50">
        <f>COUNTIF(str_to_arr!$A:$BZ,"FAIL")</f>
      </c>
      <c r="D56" s="45">
        <f>B56+C56</f>
      </c>
      <c r="E56" s="45">
        <f>IF(C56&gt;0,"FAIL ("&amp;C56&amp;")",IF(D56=0,"-","all pass"))</f>
      </c>
    </row>
    <row r="57" spans="1:5" x14ac:dyDescent="0.5">
      <c r="A57" s="77">
        <f>HYPERLINK("#'streak'!A1","streak")</f>
      </c>
      <c r="B57" s="48">
        <f>COUNTIF(streak!$A:$BZ,"PASS")</f>
      </c>
      <c r="C57" s="50">
        <f>COUNTIF(streak!$A:$BZ,"FAIL")</f>
      </c>
      <c r="D57" s="45">
        <f>B57+C57</f>
      </c>
      <c r="E57" s="45">
        <f>IF(C57&gt;0,"FAIL ("&amp;C57&amp;")",IF(D57=0,"-","all pass"))</f>
      </c>
    </row>
    <row r="58" spans="1:5" x14ac:dyDescent="0.5">
      <c r="A58" s="77">
        <f>HYPERLINK("#'textbetween'!A1","textbetween")</f>
      </c>
      <c r="B58" s="48">
        <f>COUNTIF(textbetween!$A:$BZ,"PASS")</f>
      </c>
      <c r="C58" s="50">
        <f>COUNTIF(textbetween!$A:$BZ,"FAIL")</f>
      </c>
      <c r="D58" s="45">
        <f>B58+C58</f>
      </c>
      <c r="E58" s="45">
        <f>IF(C58&gt;0,"FAIL ("&amp;C58&amp;")",IF(D58=0,"-","all pass"))</f>
      </c>
    </row>
    <row r="59" spans="1:5" x14ac:dyDescent="0.5">
      <c r="A59" s="77">
        <f>HYPERLINK("#'transform_array'!A1","transform_array")</f>
      </c>
      <c r="B59" s="48">
        <f>COUNTIF(transform_array!$A:$BZ,"PASS")</f>
      </c>
      <c r="C59" s="50">
        <f>COUNTIF(transform_array!$A:$BZ,"FAIL")</f>
      </c>
      <c r="D59" s="45">
        <f>B59+C59</f>
      </c>
      <c r="E59" s="45">
        <f>IF(C59&gt;0,"FAIL ("&amp;C59&amp;")",IF(D59=0,"-","all pass"))</f>
      </c>
    </row>
    <row r="60" spans="1:5" x14ac:dyDescent="0.5">
      <c r="A60" s="77">
        <f>HYPERLINK("#'update_arr'!A1","update_arr")</f>
      </c>
      <c r="B60" s="48">
        <f>COUNTIF(update_arr!$A:$BZ,"PASS")</f>
      </c>
      <c r="C60" s="50">
        <f>COUNTIF(update_arr!$A:$BZ,"FAIL")</f>
      </c>
      <c r="D60" s="45">
        <f>B60+C60</f>
      </c>
      <c r="E60" s="45">
        <f>IF(C60&gt;0,"FAIL ("&amp;C60&amp;")",IF(D60=0,"-","all pass"))</f>
      </c>
    </row>
    <row r="61" spans="1:5" x14ac:dyDescent="0.5">
      <c r="A61" s="77">
        <f>HYPERLINK("#'xbycol'!A1","xbycol")</f>
      </c>
      <c r="B61" s="48">
        <f>COUNTIF(xbycol!$A:$BZ,"PASS")</f>
      </c>
      <c r="C61" s="50">
        <f>COUNTIF(xbycol!$A:$BZ,"FAIL")</f>
      </c>
      <c r="D61" s="45">
        <f>B61+C61</f>
      </c>
      <c r="E61" s="45">
        <f>IF(C61&gt;0,"FAIL ("&amp;C61&amp;")",IF(D61=0,"-","all pass"))</f>
      </c>
    </row>
    <row r="62" spans="1:5" x14ac:dyDescent="0.5">
      <c r="A62" s="77">
        <f>HYPERLINK("#'xbyrow'!A1","xbyrow")</f>
      </c>
      <c r="B62" s="48">
        <f>COUNTIF(xbyrow!$A:$BZ,"PASS")</f>
      </c>
      <c r="C62" s="50">
        <f>COUNTIF(xbyrow!$A:$BZ,"FAIL")</f>
      </c>
      <c r="D62" s="45">
        <f>B62+C62</f>
      </c>
      <c r="E62" s="45">
        <f>IF(C62&gt;0,"FAIL ("&amp;C62&amp;")",IF(D62=0,"-","all pass"))</f>
      </c>
    </row>
    <row r="63" spans="1:5" x14ac:dyDescent="0.5">
      <c r="A63" s="77">
        <f>HYPERLINK("#'xcountif'!A1","xcountif")</f>
      </c>
      <c r="B63" s="48">
        <f>COUNTIF(xcountif!$A:$BZ,"PASS")</f>
      </c>
      <c r="C63" s="50">
        <f>COUNTIF(xcountif!$A:$BZ,"FAIL")</f>
      </c>
      <c r="D63" s="45">
        <f>B63+C63</f>
      </c>
      <c r="E63" s="45">
        <f>IF(C63&gt;0,"FAIL ("&amp;C63&amp;")",IF(D63=0,"-","all pass"))</f>
      </c>
    </row>
    <row r="64" spans="1:5" x14ac:dyDescent="0.5">
      <c r="A64" s="77">
        <f>HYPERLINK("#'xdec2bin'!A1","xdec2bin")</f>
      </c>
      <c r="B64" s="48">
        <f>COUNTIF(xdec2bin!$A:$BZ,"PASS")</f>
      </c>
      <c r="C64" s="50">
        <f>COUNTIF(xdec2bin!$A:$BZ,"FAIL")</f>
      </c>
      <c r="D64" s="45">
        <f>B64+C64</f>
      </c>
      <c r="E64" s="45">
        <f>IF(C64&gt;0,"FAIL ("&amp;C64&amp;")",IF(D64=0,"-","all pass"))</f>
      </c>
    </row>
    <row r="65" spans="2:5" x14ac:dyDescent="0.5">
      <c r="A65" s="77">
        <f>HYPERLINK("#'xfilter'!A1","xfilter")</f>
      </c>
      <c r="B65" s="48">
        <f>COUNTIF(xfilter!$A:$BZ,"PASS")</f>
      </c>
      <c r="C65" s="50">
        <f>COUNTIF(xfilter!$A:$BZ,"FAIL")</f>
      </c>
      <c r="D65" s="45">
        <f>B65+C65</f>
      </c>
      <c r="E65" s="45">
        <f>IF(C65&gt;0,"FAIL ("&amp;C65&amp;")",IF(D65=0,"-","all pass"))</f>
      </c>
    </row>
    <row r="66" spans="2:5" x14ac:dyDescent="0.5">
      <c r="A66" s="77">
        <f>HYPERLINK("#'xmod'!A1","xmod")</f>
      </c>
      <c r="B66" s="48">
        <f>COUNTIF(xmod!$A:$BZ,"PASS")</f>
      </c>
      <c r="C66" s="50">
        <f>COUNTIF(xmod!$A:$BZ,"FAIL")</f>
      </c>
      <c r="D66" s="45">
        <f>B66+C66</f>
      </c>
      <c r="E66" s="45">
        <f>IF(C66&gt;0,"FAIL ("&amp;C66&amp;")",IF(D66=0,"-","all pass"))</f>
      </c>
    </row>
    <row r="67">
      <c r="A67" s="77">
        <f>HYPERLINK("#'xn'!A1","xn")</f>
      </c>
      <c r="B67" s="48">
        <f>COUNTIF(xn!$A:$BZ,"PASS")</f>
      </c>
      <c r="C67" s="50">
        <f>COUNTIF(xn!$A:$BZ,"FAIL")</f>
      </c>
      <c r="D67" s="45">
        <f>B67+C67</f>
      </c>
      <c r="E67" s="45">
        <f>IF(C67&gt;0,"FAIL ("&amp;C67&amp;")",IF(D67=0,"-","all pass"))</f>
      </c>
    </row>
    <row r="68">
      <c r="A68" s="77">
        <f>HYPERLINK("#'xrank'!A1","xrank")</f>
      </c>
      <c r="B68" s="48">
        <f>COUNTIF(xrank!$A:$BZ,"PASS")</f>
      </c>
      <c r="C68" s="50">
        <f>COUNTIF(xrank!$A:$BZ,"FAIL")</f>
      </c>
      <c r="D68" s="45">
        <f>B68+C68</f>
      </c>
      <c r="E68" s="45">
        <f>IF(C68&gt;0,"FAIL ("&amp;C68&amp;")",IF(D68=0,"-","all pass"))</f>
      </c>
    </row>
    <row r="69">
      <c r="A69" s="77">
        <f>HYPERLINK("#'xsequence'!A1","xsequence")</f>
      </c>
      <c r="B69" s="48">
        <f>COUNTIF(xsequence!$A:$BZ,"PASS")</f>
      </c>
      <c r="C69" s="50">
        <f>COUNTIF(xsequence!$A:$BZ,"FAIL")</f>
      </c>
      <c r="D69" s="45">
        <f>B69+C69</f>
      </c>
      <c r="E69" s="45">
        <f>IF(C69&gt;0,"FAIL ("&amp;C69&amp;")",IF(D69=0,"-","all pass"))</f>
      </c>
    </row>
    <row r="70">
      <c r="A70" s="77">
        <f>HYPERLINK("#'xtextjoin'!A1","xtextjoin")</f>
      </c>
      <c r="B70" s="48">
        <f>COUNTIF(xtextjoin!$A:$BZ,"PASS")</f>
      </c>
      <c r="C70" s="50">
        <f>COUNTIF(xtextjoin!$A:$BZ,"FAIL")</f>
      </c>
      <c r="D70" s="45">
        <f>B70+C70</f>
      </c>
      <c r="E70" s="45">
        <f>IF(C70&gt;0,"FAIL ("&amp;C70&amp;")",IF(D70=0,"-","all pass"))</f>
      </c>
    </row>
    <row r="71">
      <c r="A71" s="77">
        <f>HYPERLINK("#'xtocol'!A1","xtocol")</f>
      </c>
      <c r="B71" s="48">
        <f>COUNTIF(xtocol!$A:$BZ,"PASS")</f>
      </c>
      <c r="C71" s="50">
        <f>COUNTIF(xtocol!$A:$BZ,"FAIL")</f>
      </c>
      <c r="D71" s="45">
        <f>B71+C71</f>
      </c>
      <c r="E71" s="45">
        <f>IF(C71&gt;0,"FAIL ("&amp;C71&amp;")",IF(D71=0,"-","all pass"))</f>
      </c>
    </row>
    <row r="72">
      <c r="A72" s="101" t="inlineStr">
        <is>
          <t xml:space="preserve">TOTAL</t>
        </is>
      </c>
      <c r="B72" s="48">
        <f>SUM(B5:B71)</f>
      </c>
      <c r="C72" s="50">
        <f>SUM(C5:C71)</f>
      </c>
      <c r="D72" s="45">
        <f>SUM(D5:D71)</f>
      </c>
      <c r="E72" s="45">
        <f>IF(C72&gt;0,C72&amp;" FAILING","ALL PASS")</f>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17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expand_rng(ad_or_rng,[r_down],[c_right],[r_up],[c_left]) - grow (positive) or shrink (negative) an address/range; range string in the input's format, a single address when 1x1. Clamps at row 1 / col 1. Array input, non-integer, or 0 rows/cols -&gt; #VALUE!.</t>
        </is>
      </c>
      <c r="J4">
        <f>COUNTIF(J6:J40,"PASS")&amp;" / 15 PASS"</f>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single numeric, no grow -&gt; 3000004 (1x1 -&gt; single address, numeric form)</t>
        </is>
      </c>
      <c r="D14" s="51" t="s">
        <v>3520</v>
      </c>
      <c r="F14" s="52">
        <v>3000004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shrink "B3" down 1 -&gt; 0 rows -&gt; #VALUE!</t>
        </is>
      </c>
      <c r="D18" s="51" t="inlineStr">
        <is>
          <t xml:space="preserve">shrink "B3" down 1</t>
        </is>
      </c>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shrink "B2:D6" bottom 2 -&gt; "B2:D4"</t>
        </is>
      </c>
      <c r="D20" s="51" t="inlineStr">
        <is>
          <t xml:space="preserve">shrink "B2:D6" -2 down</t>
        </is>
      </c>
      <c r="F20" s="51" t="inlineStr">
        <is>
          <t xml:space="preserve">B2:D4</t>
        </is>
      </c>
      <c r="H20" s="52" cm="1">
        <f t="array" ref="H20">expand_rng("B2:D6",-2)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shrink "B2:D6" top 1 + right 1 -&gt; "B3:C6"</t>
        </is>
      </c>
      <c r="D22" s="51" t="inlineStr">
        <is>
          <t xml:space="preserve">shrink 0,-1,-1,0</t>
        </is>
      </c>
      <c r="F22" s="51" t="inlineStr">
        <is>
          <t xml:space="preserve">B3:C6</t>
        </is>
      </c>
      <c r="H22" s="52" cm="1">
        <f t="array" ref="H22">expand_rng("B2:D6",0,-1,-1,0)</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shrink "B2:B3" bottom 1 -&gt; single address "B2" (no colon)</t>
        </is>
      </c>
      <c r="D24" s="51" t="inlineStr">
        <is>
          <t xml:space="preserve">shrink "B2:B3" -1 down</t>
        </is>
      </c>
      <c r="F24" s="51" t="inlineStr">
        <is>
          <t xml:space="preserve">B2</t>
        </is>
      </c>
      <c r="H24" s="52" cm="1">
        <f t="array" ref="H24">expand_rng("B2:B3",-1)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numeric "3000004:4000004" shrink bottom 1 -&gt; 3000004 (number)</t>
        </is>
      </c>
      <c r="D26" s="51" t="inlineStr">
        <is>
          <t xml:space="preserve">numeric shrink -1 down</t>
        </is>
      </c>
      <c r="F26" s="51">
        <v>3000004</v>
      </c>
      <c r="H26" s="52" cm="1">
        <f t="array" ref="H26">expand_rng("3000004:4000004",-1)</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shrink "B2:D6" bottom 5 -&gt; 0 rows -&gt; #VALUE!</t>
        </is>
      </c>
      <c r="D28" s="51" t="inlineStr">
        <is>
          <t xml:space="preserve">shrink -5 down</t>
        </is>
      </c>
      <c r="F28" s="51">
        <v>3</v>
      </c>
      <c r="H28" s="52" cm="1">
        <f t="array" ref="H28">ERROR.TYPE(expand_rng("B2:D6",-5))</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shrink "B2:D6" left 3 -&gt; 0 cols -&gt; #VALUE!</t>
        </is>
      </c>
      <c r="D30" s="51" t="inlineStr">
        <is>
          <t xml:space="preserve">shrink 0,0,0,-3</t>
        </is>
      </c>
      <c r="F30" s="51">
        <v>3</v>
      </c>
      <c r="H30" s="52" cm="1">
        <f t="array" ref="H30">ERROR.TYPE(expand_rng("B2:D6",0,0,0,-3))</f>
        <v>0</v>
      </c>
      <c r="I30" s="52"/>
      <c r="J30" s="52">
        <f>IF(H30=F30,"PASS","FAIL")</f>
      </c>
      <c r="L30" s="53"/>
      <c r="M30" s="53"/>
      <c r="N30" s="53"/>
      <c r="P30" s="54"/>
    </row>
    <row r="32">
      <c r="A32">
        <v>14</v>
      </c>
      <c r="B32" s="47" t="inlineStr">
        <is>
          <t xml:space="preserve">mixed grow/shrink "B2:D6" 1,-1,-1,1 -&gt; "A3:C7"</t>
        </is>
      </c>
      <c r="D32" s="51" t="inlineStr">
        <is>
          <t xml:space="preserve">mixed 1,-1,-1,1</t>
        </is>
      </c>
      <c r="F32" s="51" t="inlineStr">
        <is>
          <t xml:space="preserve">A3:C7</t>
        </is>
      </c>
      <c r="H32" s="52" cm="1">
        <f t="array" ref="H32">expand_rng("B2:D6",1,-1,-1,1)</f>
        <v>0</v>
      </c>
      <c r="J32" s="52">
        <f>IF(H32=F32,"PASS","FAIL")</f>
      </c>
    </row>
    <row r="34">
      <c r="A34">
        <v>15</v>
      </c>
      <c r="B34" s="47" t="inlineStr">
        <is>
          <t xml:space="preserve">non-integer arg 0.5 -&gt; #VALUE!</t>
        </is>
      </c>
      <c r="D34" s="51" t="inlineStr">
        <is>
          <t xml:space="preserve">grow "B3" 0.5</t>
        </is>
      </c>
      <c r="F34" s="51">
        <v>3</v>
      </c>
      <c r="H34" s="52" cm="1">
        <f t="array" ref="H34">ERROR.TYPE(expand_rng("B3",0.5))</f>
        <v>0</v>
      </c>
      <c r="J34" s="52">
        <f>IF(H34=F34,"PASS","FAIL")</f>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COUNTIF(L6:L70,"PASS")&amp;" / 13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cm="1">
        <f t="array" ref="R4">COUNTIF(R6:R60,"PASS")&amp;" / 12 PASS"</f>
        <v>0</v>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sheetData>
  <mergeCells count="3">
    <mergeCell ref="I1:R1"/>
    <mergeCell ref="B2:R2"/>
    <mergeCell ref="B1:F1"/>
  </mergeCells>
  <pageMargins left="0.75" right="0.75" top="1" bottom="1" header="0.5" footer="0.5"/>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4"/>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exlookup(lookup_value, lookup_array, return_array, [if_not_found], [match_mode], [search_mode]) - case-sensitive XLOOKUP (EXACT). match_mode 2 = case-sensitive wildcard; -1/1 = exact case hit first, else XLOOKUP's next smaller/larger</t>
        </is>
      </c>
      <c r="N4" s="45">
        <f>COUNTIF(N6:N60,"PASS")&amp;" / 14 PASS"</f>
      </c>
    </row>
    <row r="5" spans="1:19" x14ac:dyDescent="0.5">
      <c r="A5" s="45" t="inlineStr">
        <is>
          <t xml:space="preserve">#</t>
        </is>
      </c>
      <c r="B5" s="45" t="inlineStr">
        <is>
          <t xml:space="preserve">Case</t>
        </is>
      </c>
      <c r="D5" s="45" t="inlineStr">
        <is>
          <t xml:space="preserve">Inputs</t>
        </is>
      </c>
      <c r="J5" s="48" t="inlineStr">
        <is>
          <t xml:space="preserve">Expected</t>
        </is>
      </c>
      <c r="L5" s="49" t="inlineStr">
        <is>
          <t xml:space="preserve">Actual</t>
        </is>
      </c>
      <c r="N5" s="50" t="inlineStr">
        <is>
          <t xml:space="preserve">Match</t>
        </is>
      </c>
    </row>
    <row r="6" spans="1:19" x14ac:dyDescent="0.5">
      <c r="A6" s="46">
        <v>1</v>
      </c>
      <c r="B6" s="47" t="inlineStr">
        <is>
          <t xml:space="preserve">case-sensitive hit: "b" in {A;B;b;C} -&gt; 3 (XLOOKUP would give 2)</t>
        </is>
      </c>
      <c r="D6" s="51" t="inlineStr">
        <is>
          <t xml:space="preserve">"b" / {A;B;b;C} / {1;2;3;4}</t>
        </is>
      </c>
      <c r="F6" s="51"/>
      <c r="J6" s="52">
        <v>3</v>
      </c>
      <c r="L6" s="53" cm="1">
        <f t="array" ref="L6">exlookup("b",{"A";"B";"b";"C"},{1;2;3;4})</f>
        <v>0</v>
      </c>
      <c r="N6" s="54">
        <f>IF(L6=J6,"PASS","FAIL")</f>
      </c>
    </row>
    <row r="8" spans="1:19" x14ac:dyDescent="0.5">
      <c r="A8" s="46">
        <v>2</v>
      </c>
      <c r="B8" s="47" t="inlineStr">
        <is>
          <t xml:space="preserve">no case-exact match -&gt; #N/A</t>
        </is>
      </c>
      <c r="D8" s="51" t="inlineStr">
        <is>
          <t xml:space="preserve">"c" / {A;B;C}</t>
        </is>
      </c>
      <c r="F8" s="51"/>
      <c r="J8" s="52">
        <v>7</v>
      </c>
      <c r="L8" s="53" cm="1">
        <f t="array" ref="L8">ERROR.TYPE(exlookup("c",{"A";"B";"C"},{1;2;3}))</f>
        <v>0</v>
      </c>
      <c r="N8" s="54">
        <f>IF(L8=J8,"PASS","FAIL")</f>
      </c>
    </row>
    <row r="10" spans="1:19" x14ac:dyDescent="0.5">
      <c r="A10" s="46">
        <v>3</v>
      </c>
      <c r="B10" s="47" t="inlineStr">
        <is>
          <t xml:space="preserve">if_not_found returned</t>
        </is>
      </c>
      <c r="D10" s="51" t="inlineStr">
        <is>
          <t xml:space="preserve">"c" / {A;B;C} / "none"</t>
        </is>
      </c>
      <c r="F10" s="51"/>
      <c r="H10" s="51"/>
      <c r="J10" s="52" t="inlineStr">
        <is>
          <t xml:space="preserve">none</t>
        </is>
      </c>
      <c r="L10" s="53" cm="1">
        <f t="array" ref="L10">exlookup("c",{"A";"B";"C"},{1;2;3},"none")</f>
        <v>0</v>
      </c>
      <c r="N10" s="54">
        <f>IF(L10=J10,"PASS","FAIL")</f>
      </c>
    </row>
    <row r="12" spans="1:19" x14ac:dyDescent="0.5">
      <c r="A12" s="46">
        <v>4</v>
      </c>
      <c r="B12" s="47" t="inlineStr">
        <is>
          <t xml:space="preserve">search_mode -1 (last to first)</t>
        </is>
      </c>
      <c r="D12" s="51" t="inlineStr">
        <is>
          <t xml:space="preserve">"b" / {b;B;b} / -1</t>
        </is>
      </c>
      <c r="F12" s="51"/>
      <c r="J12" s="52">
        <v>3</v>
      </c>
      <c r="L12" s="53" cm="1">
        <f t="array" ref="L12">exlookup("b",{"b";"B";"b"},{1;2;3},,,-1)</f>
        <v>0</v>
      </c>
      <c r="N12" s="54">
        <f>IF(L12=J12,"PASS","FAIL")</f>
      </c>
    </row>
    <row r="14" spans="1:19" x14ac:dyDescent="0.5">
      <c r="A14" s="46">
        <v>5</v>
      </c>
      <c r="B14" s="47" t="inlineStr">
        <is>
          <t xml:space="preserve">horizontal vectors</t>
        </is>
      </c>
      <c r="D14" s="51" t="inlineStr">
        <is>
          <t xml:space="preserve">"b" / {A,b,B}</t>
        </is>
      </c>
      <c r="F14" s="51"/>
      <c r="J14" s="52">
        <v>2</v>
      </c>
      <c r="L14" s="53" cm="1">
        <f t="array" ref="L14">exlookup("b",{"A","b","B"},{1,2,3})</f>
        <v>0</v>
      </c>
      <c r="N14" s="54">
        <f>IF(L14=J14,"PASS","FAIL")</f>
      </c>
    </row>
    <row r="15" spans="1:19" x14ac:dyDescent="0.5">
      <c r="A15" s="55"/>
      <c r="B15" s="55"/>
      <c r="F15" s="51"/>
      <c r="J15" s="52"/>
      <c r="L15" s="53"/>
    </row>
    <row r="16">
      <c r="A16">
        <v>6</v>
      </c>
      <c r="B16" s="55" t="inlineStr">
        <is>
          <t xml:space="preserve">multi-column return spills</t>
        </is>
      </c>
      <c r="D16" t="inlineStr">
        <is>
          <t xml:space="preserve">"b" / {A;b} / {1,10;2,20}</t>
        </is>
      </c>
      <c r="J16" s="52">
        <v>2</v>
      </c>
      <c r="K16">
        <v>20</v>
      </c>
      <c r="L16" s="53" cm="1">
        <f t="array" ref="L16:M16">exlookup("b",{"A";"b"},{1,10;2,20})</f>
        <v>0</v>
      </c>
      <c r="N16" cm="1">
        <f t="array" ref="N16">IF(AND(J16:K16=L16:M16),"PASS","FAIL")</f>
        <v>0</v>
      </c>
    </row>
    <row r="17" spans="1:14" x14ac:dyDescent="0.5">
      <c r="A17" s="46"/>
      <c r="B17" s="47"/>
      <c r="D17" s="51"/>
      <c r="F17" s="51"/>
      <c r="J17" s="52"/>
      <c r="L17" s="53"/>
      <c r="N17" s="54"/>
    </row>
    <row r="18" spans="1:14" x14ac:dyDescent="0.5">
      <c r="A18" s="55">
        <v>7</v>
      </c>
      <c r="B18" s="55" t="inlineStr">
        <is>
          <t xml:space="preserve">array of lookup values (element-wise)</t>
        </is>
      </c>
      <c r="D18" s="51" t="inlineStr">
        <is>
          <t xml:space="preserve">{b;A} / {A;b} / {1;2}</t>
        </is>
      </c>
      <c r="J18" s="52">
        <v>2</v>
      </c>
      <c r="L18" s="53" cm="1">
        <f t="array" ref="L18:L19">exlookup({"b";"A"},{"A";"b"},{1;2})</f>
        <v>0</v>
      </c>
      <c r="N18" s="54" cm="1">
        <f t="array" ref="N18">IF(AND(J18:J19=L18:L19),"PASS","FAIL")</f>
        <v>0</v>
      </c>
    </row>
    <row r="19">
      <c r="J19">
        <v>1</v>
      </c>
    </row>
    <row r="21">
      <c r="A21">
        <v>8</v>
      </c>
      <c r="B21" t="inlineStr">
        <is>
          <t xml:space="preserve">numbers behave as in XLOOKUP</t>
        </is>
      </c>
      <c r="D21" t="inlineStr">
        <is>
          <t xml:space="preserve">2 / {1;2;3} / {x;y;z}</t>
        </is>
      </c>
      <c r="J21" t="inlineStr">
        <is>
          <t xml:space="preserve">y</t>
        </is>
      </c>
      <c r="L21" cm="1">
        <f t="array" ref="L21">exlookup(2,{1;2;3},{"x";"y";"z"})</f>
        <v>0</v>
      </c>
      <c r="N21">
        <f>IF(L21=J21,"PASS","FAIL")</f>
      </c>
    </row>
    <row r="23">
      <c r="A23">
        <v>9</v>
      </c>
      <c r="B23" t="inlineStr">
        <is>
          <t xml:space="preserve">wildcard mode 2 is case-sensitive: "b*t" -&gt; bat not Bat</t>
        </is>
      </c>
      <c r="D23" t="inlineStr">
        <is>
          <t xml:space="preserve">"b*t" / {Bat;bat;cat} / mode 2</t>
        </is>
      </c>
      <c r="J23">
        <v>2</v>
      </c>
      <c r="L23" cm="1">
        <f t="array" ref="L23">exlookup("b*t",{"Bat";"bat";"cat"},{1;2;3},,2)</f>
        <v>0</v>
      </c>
      <c r="N23">
        <f>IF(L23=J23,"PASS","FAIL")</f>
      </c>
    </row>
    <row r="25">
      <c r="A25">
        <v>10</v>
      </c>
      <c r="B25" t="inlineStr">
        <is>
          <t xml:space="preserve">wildcard: "a.c" is literal (regex dot escaped) -&gt; no match</t>
        </is>
      </c>
      <c r="D25" t="inlineStr">
        <is>
          <t xml:space="preserve">"a.c" / {abc;xyz} / "none" / mode 2</t>
        </is>
      </c>
      <c r="J25" t="inlineStr">
        <is>
          <t xml:space="preserve">none</t>
        </is>
      </c>
      <c r="L25" cm="1">
        <f t="array" ref="L25">exlookup("a.c",{"abc";"xyz"},{1;2},"none",2)</f>
        <v>0</v>
      </c>
      <c r="N25">
        <f>IF(L25=J25,"PASS","FAIL")</f>
      </c>
    </row>
    <row r="27">
      <c r="A27">
        <v>11</v>
      </c>
      <c r="B27" t="inlineStr">
        <is>
          <t xml:space="preserve">mode -1: next smaller when no exact</t>
        </is>
      </c>
      <c r="D27" t="inlineStr">
        <is>
          <t xml:space="preserve">2.5 / {1;2;3} / mode -1</t>
        </is>
      </c>
      <c r="J27" t="inlineStr">
        <is>
          <t xml:space="preserve">b</t>
        </is>
      </c>
      <c r="L27" cm="1">
        <f t="array" ref="L27">exlookup(2.5,{1;2;3},{"a";"b";"c"},,-1)</f>
        <v>0</v>
      </c>
      <c r="N27">
        <f>IF(L27=J27,"PASS","FAIL")</f>
      </c>
    </row>
    <row r="29">
      <c r="A29">
        <v>12</v>
      </c>
      <c r="B29" t="inlineStr">
        <is>
          <t xml:space="preserve">mode 1: next larger when no exact</t>
        </is>
      </c>
      <c r="D29" t="inlineStr">
        <is>
          <t xml:space="preserve">2.5 / {1;2;3} / mode 1</t>
        </is>
      </c>
      <c r="J29" t="inlineStr">
        <is>
          <t xml:space="preserve">c</t>
        </is>
      </c>
      <c r="L29" cm="1">
        <f t="array" ref="L29">exlookup(2.5,{1;2;3},{"a";"b";"c"},,1)</f>
        <v>0</v>
      </c>
      <c r="N29">
        <f>IF(L29=J29,"PASS","FAIL")</f>
      </c>
    </row>
    <row r="31">
      <c r="A31">
        <v>13</v>
      </c>
      <c r="B31" t="inlineStr">
        <is>
          <t xml:space="preserve">mode -1 still prefers the exact case-sensitive text hit</t>
        </is>
      </c>
      <c r="D31" t="inlineStr">
        <is>
          <t xml:space="preserve">"b" / {B;b} / mode -1</t>
        </is>
      </c>
      <c r="J31">
        <v>2</v>
      </c>
      <c r="L31" cm="1">
        <f t="array" ref="L31">exlookup("b",{"B";"b"},{1;2},,-1)</f>
        <v>0</v>
      </c>
      <c r="N31">
        <f>IF(L31=J31,"PASS","FAIL")</f>
      </c>
    </row>
    <row r="33">
      <c r="A33">
        <v>14</v>
      </c>
      <c r="B33" t="inlineStr">
        <is>
          <t xml:space="preserve">tilde-escaped "~*x" matches the literal "*x"</t>
        </is>
      </c>
      <c r="D33" t="inlineStr">
        <is>
          <t xml:space="preserve">"~*x" / {ax;*x} / mode 2</t>
        </is>
      </c>
      <c r="J33">
        <v>2</v>
      </c>
      <c r="L33" cm="1">
        <f t="array" ref="L33">exlookup("~*x",{"ax";"*x"},{1;2},,2)</f>
        <v>0</v>
      </c>
      <c r="N33">
        <f>IF(L33=J33,"PASS","FAIL")</f>
      </c>
    </row>
  </sheetData>
  <mergeCells count="3">
    <mergeCell ref="I1:R1"/>
    <mergeCell ref="B2:R2"/>
    <mergeCell ref="B1:F1"/>
  </mergeCells>
  <pageMargins left="0.75" right="0.75" top="1" bottom="1" header="0.5" footer="0.5"/>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145"/>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move_rng(ad_or_rng, arrow, [distance]) - slide an address/range in an arrow direction; text in -&gt; moved range as text (same format), real range in -&gt; destination CONTENTS; clipped to the sheet, nothing left -&gt; "oob"</t>
        </is>
      </c>
      <c r="J4">
        <f>COUNTIF(J6:J60,"PASS")&amp;" / 15 PASS"</f>
      </c>
      <c r="P4" s="45"/>
    </row>
    <row r="5" spans="1:19"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t="inlineStr">
        <is>
          <t xml:space="preserve">Match</t>
        </is>
      </c>
      <c r="L5" s="49"/>
      <c r="P5" s="50"/>
    </row>
    <row r="6" spans="1:19" x14ac:dyDescent="0.5">
      <c r="A6" s="46">
        <v>1</v>
      </c>
      <c r="B6" s="47" t="inlineStr">
        <is>
          <t xml:space="preserve">"B2:C10" up-left 1 -&gt; "A1:B9"</t>
        </is>
      </c>
      <c r="D6" s="51" t="inlineStr">
        <is>
          <t xml:space="preserve">"B2:C10" ↖</t>
        </is>
      </c>
      <c r="F6" s="52" t="inlineStr">
        <is>
          <t xml:space="preserve">A1:B9</t>
        </is>
      </c>
      <c r="H6" s="53" cm="1">
        <f t="array" ref="H6">move_rng("B2:C10","↖")</f>
        <v>0</v>
      </c>
      <c r="I6" s="52"/>
      <c r="J6" s="54">
        <f>IF(H6=F6,"PASS","FAIL")</f>
      </c>
      <c r="L6" s="53"/>
      <c r="M6" s="53"/>
      <c r="P6" s="54"/>
    </row>
    <row r="7" spans="1:19" x14ac:dyDescent="0.5">
      <c r="A7" s="55"/>
      <c r="B7" s="47"/>
      <c r="D7" s="51"/>
      <c r="F7" s="52"/>
      <c r="H7" s="53"/>
      <c r="I7" s="52"/>
      <c r="J7" s="54"/>
      <c r="L7" s="53"/>
      <c r="M7" s="53"/>
      <c r="P7" s="54"/>
    </row>
    <row r="8" spans="1:19" x14ac:dyDescent="0.5">
      <c r="A8">
        <v>2</v>
      </c>
      <c r="B8" s="47" t="inlineStr">
        <is>
          <t xml:space="preserve">"B2:C10" up-left 2 -&gt; "A1:A8" (row 0 / col 0 fall off)</t>
        </is>
      </c>
      <c r="D8" s="51" t="inlineStr">
        <is>
          <t xml:space="preserve">"B2:C10" ↖ 2</t>
        </is>
      </c>
      <c r="F8" s="52" t="inlineStr">
        <is>
          <t xml:space="preserve">A1:A8</t>
        </is>
      </c>
      <c r="H8" s="53" cm="1">
        <f t="array" ref="H8">move_rng("B2:C10","↖",2)</f>
        <v>0</v>
      </c>
      <c r="I8" s="52"/>
      <c r="J8" s="54">
        <f>IF(H8=F8,"PASS","FAIL")</f>
      </c>
      <c r="L8" s="53"/>
      <c r="M8" s="53"/>
      <c r="P8" s="54"/>
    </row>
    <row r="9" spans="1:19" x14ac:dyDescent="0.5">
      <c r="A9" s="46"/>
      <c r="B9" s="47"/>
      <c r="D9" s="51"/>
      <c r="F9" s="52"/>
      <c r="H9" s="53"/>
      <c r="I9" s="52"/>
      <c r="J9" s="54"/>
      <c r="L9" s="53"/>
      <c r="M9" s="53"/>
      <c r="P9" s="54"/>
    </row>
    <row r="10" spans="1:19" x14ac:dyDescent="0.5">
      <c r="A10" s="55">
        <v>3</v>
      </c>
      <c r="B10" s="47" t="inlineStr">
        <is>
          <t xml:space="preserve">"B2" right 3 -&gt; "E2" (single address, no colon)</t>
        </is>
      </c>
      <c r="D10" s="51" t="inlineStr">
        <is>
          <t xml:space="preserve">"B2" → 3</t>
        </is>
      </c>
      <c r="F10" s="52" t="inlineStr">
        <is>
          <t xml:space="preserve">E2</t>
        </is>
      </c>
      <c r="H10" s="53" cm="1">
        <f t="array" ref="H10">move_rng("B2","→",3)</f>
        <v>0</v>
      </c>
      <c r="I10" s="52"/>
      <c r="J10" s="54">
        <f>IF(H10=F10,"PASS","FAIL")</f>
      </c>
      <c r="L10" s="53"/>
      <c r="M10" s="53"/>
      <c r="P10" s="54"/>
    </row>
    <row r="11" spans="1:19" x14ac:dyDescent="0.5">
      <c r="B11" s="47"/>
      <c r="D11" s="51"/>
      <c r="F11" s="52"/>
      <c r="H11" s="53"/>
      <c r="I11" s="52"/>
      <c r="J11" s="54"/>
      <c r="L11" s="53"/>
      <c r="M11" s="53"/>
      <c r="P11" s="54"/>
    </row>
    <row r="12" spans="1:19" ht="32" x14ac:dyDescent="0.5">
      <c r="A12" s="46">
        <v>4</v>
      </c>
      <c r="B12" s="47" t="inlineStr">
        <is>
          <t xml:space="preserve">"A1:B2" left 1 -&gt; partial overlap "A1:A2"</t>
        </is>
      </c>
      <c r="D12" s="51" t="inlineStr">
        <is>
          <t xml:space="preserve">"A1:B2" ←</t>
        </is>
      </c>
      <c r="F12" s="52" t="inlineStr">
        <is>
          <t xml:space="preserve">A1:A2</t>
        </is>
      </c>
      <c r="H12" s="53" cm="1">
        <f t="array" ref="H12">move_rng("A1:B2","←")</f>
        <v>0</v>
      </c>
      <c r="I12" s="52"/>
      <c r="J12" s="54">
        <f>IF(H12=F12,"PASS","FAIL")</f>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"A1" up 1 -&gt; entirely off the sheet -&gt; "oob"</t>
        </is>
      </c>
      <c r="D14" s="51" t="inlineStr">
        <is>
          <t xml:space="preserve">"A1" ↑</t>
        </is>
      </c>
      <c r="F14" s="52" t="inlineStr">
        <is>
          <t xml:space="preserve">oob</t>
        </is>
      </c>
      <c r="H14" s="53" cm="1">
        <f t="array" ref="H14">move_rng("A1","↑")</f>
        <v>0</v>
      </c>
      <c r="I14" s="52"/>
      <c r="J14" s="54">
        <f>IF(H14=F14,"PASS","FAIL")</f>
      </c>
      <c r="L14" s="53"/>
      <c r="M14" s="53"/>
      <c r="P14" s="54"/>
    </row>
    <row r="15" spans="1:19" x14ac:dyDescent="0.5">
      <c r="B15" s="47"/>
      <c r="D15" s="51"/>
      <c r="F15" s="52"/>
      <c r="H15" s="53"/>
      <c r="I15" s="52"/>
      <c r="J15" s="54"/>
      <c r="L15" s="53"/>
      <c r="M15" s="53"/>
      <c r="P15" s="54"/>
    </row>
    <row r="16" spans="1:19" x14ac:dyDescent="0.5">
      <c r="A16" s="46">
        <v>6</v>
      </c>
      <c r="B16" s="47" t="inlineStr">
        <is>
          <t xml:space="preserve">clipped at the bottom of the sheet</t>
        </is>
      </c>
      <c r="D16" s="51" t="inlineStr">
        <is>
          <t xml:space="preserve">"B2:C10" ↓ 1048570</t>
        </is>
      </c>
      <c r="F16" s="52" t="inlineStr">
        <is>
          <t xml:space="preserve">B1048572:C1048576</t>
        </is>
      </c>
      <c r="H16" s="53" cm="1">
        <f t="array" ref="H16">move_rng("B2:C10","↓",1048570)</f>
        <v>0</v>
      </c>
      <c r="I16" s="52"/>
      <c r="J16" s="54">
        <f>IF(H16=F16,"PASS","FAIL")</f>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numeric range stays numeric</t>
        </is>
      </c>
      <c r="D18" s="51" t="inlineStr">
        <is>
          <t xml:space="preserve">"2000002:10000003" ↖</t>
        </is>
      </c>
      <c r="F18" s="52" t="inlineStr">
        <is>
          <t xml:space="preserve">1000001:9000002</t>
        </is>
      </c>
      <c r="H18" s="53" cm="1">
        <f t="array" ref="H18">move_rng("2000002:10000003","↖")</f>
        <v>0</v>
      </c>
      <c r="I18" s="52"/>
      <c r="J18" s="54">
        <f>IF(H18=F18,"PASS","FAIL")</f>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numeric single address -&gt; number</t>
        </is>
      </c>
      <c r="D20" s="51" t="inlineStr">
        <is>
          <t xml:space="preserve">2000002 ↘</t>
        </is>
      </c>
      <c r="F20" s="51">
        <v>3000003</v>
      </c>
      <c r="H20" s="52" cm="1">
        <f t="array" ref="H20">move_rng(2000002,"↘")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letter code UL, distance 2</t>
        </is>
      </c>
      <c r="D22" s="51" t="inlineStr">
        <is>
          <t xml:space="preserve">"D4" UL 2</t>
        </is>
      </c>
      <c r="F22" s="51" t="inlineStr">
        <is>
          <t xml:space="preserve">B2</t>
        </is>
      </c>
      <c r="H22" s="52" cm="1">
        <f t="array" ref="H22">move_rng("D4","UL",2)</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negative distance moves the opposite way</t>
        </is>
      </c>
      <c r="D24" s="51" t="inlineStr">
        <is>
          <t xml:space="preserve">"B2" → -1</t>
        </is>
      </c>
      <c r="F24" s="51" t="inlineStr">
        <is>
          <t xml:space="preserve">A2</t>
        </is>
      </c>
      <c r="H24" s="52" cm="1">
        <f t="array" ref="H24">move_rng("B2","→",-1)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range text held in a cell (D26)</t>
        </is>
      </c>
      <c r="D26" s="51" t="inlineStr">
        <is>
          <t xml:space="preserve">B2:C10</t>
        </is>
      </c>
      <c r="F26" s="51" t="inlineStr">
        <is>
          <t xml:space="preserve">A1:B9</t>
        </is>
      </c>
      <c r="H26" s="52" cm="1">
        <f t="array" ref="H26">move_rng(D26,"↖")</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unrecognised arrow -&gt; #VALUE!</t>
        </is>
      </c>
      <c r="D28" s="51" t="inlineStr">
        <is>
          <t xml:space="preserve">"B2" "x"</t>
        </is>
      </c>
      <c r="F28" s="51">
        <v>3</v>
      </c>
      <c r="H28" s="52" cm="1">
        <f t="array" ref="H28">ERROR.TYPE(move_rng("B2","x"))</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non-integer distance -&gt; #VALUE!</t>
        </is>
      </c>
      <c r="D30" s="51" t="inlineStr">
        <is>
          <t xml:space="preserve">"B2" → 1.5</t>
        </is>
      </c>
      <c r="F30" s="51">
        <v>3</v>
      </c>
      <c r="H30" s="52" cm="1">
        <f t="array" ref="H30">ERROR.TYPE(move_rng("B2","→",1.5))</f>
        <v>0</v>
      </c>
      <c r="I30" s="52"/>
      <c r="J30" s="52">
        <f>IF(H30=F30,"PASS","FAIL")</f>
      </c>
      <c r="L30" s="53"/>
      <c r="M30" s="53"/>
      <c r="N30" s="53"/>
      <c r="P30" s="54"/>
    </row>
    <row r="32">
      <c r="A32">
        <v>14</v>
      </c>
      <c r="B32" s="47" t="inlineStr">
        <is>
          <t xml:space="preserve">real range Q33:R34 up-left 1 -&gt; the CONTENTS of P32:Q33 (data block in P32:Q33)</t>
        </is>
      </c>
      <c r="D32" s="51" t="inlineStr">
        <is>
          <t xml:space="preserve">Q33:R34 ↖ (reference)</t>
        </is>
      </c>
      <c r="F32" s="51">
        <v>1</v>
      </c>
      <c r="G32">
        <v>2</v>
      </c>
      <c r="H32" s="52" cm="1">
        <f t="array" ref="H32:I33">move_rng(Q33:R34,"↖")</f>
        <v>0</v>
      </c>
      <c r="J32" s="52" cm="1">
        <f t="array" ref="J32">IF(AND(F32:G33=H32:I33),"PASS","FAIL")</f>
        <v>0</v>
      </c>
      <c r="P32" s="54">
        <v>1</v>
      </c>
      <c r="Q32">
        <v>2</v>
      </c>
    </row>
    <row r="33">
      <c r="F33" s="51">
        <v>3</v>
      </c>
      <c r="G33">
        <v>4</v>
      </c>
      <c r="P33">
        <v>3</v>
      </c>
      <c r="Q33">
        <v>4</v>
      </c>
    </row>
    <row r="34">
      <c r="A34"/>
      <c r="B34" s="47"/>
      <c r="D34" s="51"/>
      <c r="F34" s="51"/>
      <c r="H34" s="52"/>
      <c r="J34" s="52"/>
    </row>
    <row r="35">
      <c r="A35">
        <v>15</v>
      </c>
      <c r="B35" s="47" t="inlineStr">
        <is>
          <t xml:space="preserve">real one-cell range A1 up 1 -&gt; "oob"</t>
        </is>
      </c>
      <c r="D35" s="51" t="inlineStr">
        <is>
          <t xml:space="preserve">A1 ↑ (reference)</t>
        </is>
      </c>
      <c r="F35" s="51" t="inlineStr">
        <is>
          <t xml:space="preserve">oob</t>
        </is>
      </c>
      <c r="H35" s="52" cm="1">
        <f t="array" ref="H35">move_rng(A1,"↑")</f>
        <v>0</v>
      </c>
      <c r="J35" s="52">
        <f>IF(H35=F35,"PASS","FAIL")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