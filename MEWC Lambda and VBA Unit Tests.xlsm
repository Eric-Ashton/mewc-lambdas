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64050-3543-4E2C-9E22-24EC2400F9DC}" xr6:coauthVersionLast="47" xr6:coauthVersionMax="47" xr10:uidLastSave="{00000000-0000-0000-0000-000000000000}"/>
  <bookViews>
    <workbookView xWindow="-110" yWindow="-110" windowWidth="38620" windowHeight="21820" firstSheet="6" activeTab="6"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req_table" sheetId="16" r:id="rId20"/>
    <sheet name="is_unique" sheetId="17" r:id="rId21"/>
    <sheet name="knight_moves" sheetId="18" r:id="rId22"/>
    <sheet name="label_lookup" sheetId="19" r:id="rId23"/>
    <sheet name="load_array" sheetId="20" r:id="rId24"/>
    <sheet name="make_change" sheetId="97" r:id="rId25"/>
    <sheet name="neighbors_count" sheetId="21" r:id="rId26"/>
    <sheet name="neighbors_list" sheetId="22" r:id="rId27"/>
    <sheet name="num_ad" sheetId="23" r:id="rId28"/>
    <sheet name="offset_letter" sheetId="24" r:id="rId29"/>
    <sheet name="only_letters" sheetId="25" r:id="rId30"/>
    <sheet name="only_numbers" sheetId="26" r:id="rId31"/>
    <sheet name="rc_to_ad" sheetId="90" r:id="rId32"/>
    <sheet name="rev" sheetId="28" r:id="rId33"/>
    <sheet name="rotate_arrow" sheetId="29" r:id="rId34"/>
    <sheet name="route_cost" sheetId="30" r:id="rId35"/>
    <sheet name="save_array" sheetId="31" r:id="rId36"/>
    <sheet name="scan2" sheetId="98" r:id="rId37"/>
    <sheet name="scan3" sheetId="99" r:id="rId38"/>
    <sheet name="selections" sheetId="32" r:id="rId39"/>
    <sheet name="set" sheetId="33" r:id="rId40"/>
    <sheet name="set_d" sheetId="34" r:id="rId41"/>
    <sheet name="set_i" sheetId="35" r:id="rId42"/>
    <sheet name="set_u" sheetId="36" r:id="rId43"/>
    <sheet name="shift_arr" sheetId="37" r:id="rId44"/>
    <sheet name="smallest" sheetId="38" r:id="rId45"/>
    <sheet name="str_ad" sheetId="40" r:id="rId46"/>
    <sheet name="str_rev" sheetId="41" r:id="rId47"/>
    <sheet name="str_to_arr" sheetId="39" r:id="rId48"/>
    <sheet name="textbetween" sheetId="42" r:id="rId49"/>
    <sheet name="transform_array" sheetId="43" r:id="rId50"/>
    <sheet name="update_arr" sheetId="44" r:id="rId51"/>
    <sheet name="xbyrow" sheetId="45" r:id="rId52"/>
    <sheet name="xcountif" sheetId="46" r:id="rId53"/>
    <sheet name="xdec2bin" sheetId="47" r:id="rId54"/>
    <sheet name="xfilter" sheetId="48" r:id="rId55"/>
    <sheet name="xmod" sheetId="49" r:id="rId56"/>
    <sheet name="xn" sheetId="50" r:id="rId57"/>
    <sheet name="xrank" sheetId="51" r:id="rId58"/>
    <sheet name="xsequence" sheetId="52" r:id="rId59"/>
    <sheet name="xtextsplit" sheetId="53" r:id="rId60"/>
    <sheet name="xtocol" sheetId="54" r:id="rId61"/>
    <sheet name="zz_bgc" sheetId="64" r:id="rId62"/>
    <sheet name="zz_ColNumToLetter" sheetId="83" r:id="rId63"/>
    <sheet name="zz_color" sheetId="59" r:id="rId64"/>
    <sheet name="zz_conv" sheetId="62" r:id="rId65"/>
    <sheet name="zz_errcells" sheetId="74" r:id="rId66"/>
    <sheet name="zz_exists" sheetId="73" r:id="rId67"/>
    <sheet name="zz_fillcolor" sheetId="65" r:id="rId68"/>
    <sheet name="zz_flood" sheetId="66" r:id="rId69"/>
    <sheet name="zz_freqcharsrc" sheetId="69" r:id="rId70"/>
    <sheet name="zz_freqsrc" sheetId="67" r:id="rId71"/>
    <sheet name="zz_fx1" sheetId="60" r:id="rId72"/>
    <sheet name="zz_fx2" sheetId="61" r:id="rId73"/>
    <sheet name="zz_is_lambda_test_sheet" sheetId="95" r:id="rId74"/>
    <sheet name="zz_lastused" sheetId="75" r:id="rId75"/>
    <sheet name="zz_lastused_empty" sheetId="88" r:id="rId76"/>
    <sheet name="zz_maze" sheetId="63" r:id="rId77"/>
    <sheet name="zz_retcol" sheetId="77" r:id="rId78"/>
    <sheet name="zz_SanitizeRow" sheetId="84" r:id="rId79"/>
    <sheet name="zz_select_sheets" sheetId="82" r:id="rId80"/>
    <sheet name="zz_sheet_names" sheetId="81" r:id="rId81"/>
    <sheet name="zz_tallsrc" sheetId="71" r:id="rId82"/>
    <sheet name="zz_tmsrc" sheetId="78" r:id="rId83"/>
    <sheet name="zz_UNICODE_SPLIT" sheetId="80" r:id="rId84"/>
    <sheet name="zz_yellow" sheetId="76" r:id="rId85"/>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lft"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it"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Fewest coins of the given denominations whose total is as close to price as possible without exceeding it. coins is a vertical array of denominations; returns a matching array of counts. Optimal (DP), so it is correct even for non-canonical denomination s">_xlfn.LAMBDA(_xlpm.coins,_xlpm.price, _xlfn.LET(
   _xlpm.cvec, _xlfn.TOCOL(_xlpm.coins),
   _xlpm.ncoins, ROWS(_xlpm.cvec),
   _xlpm.scale, 1000000,
   _xlpm.cnum, IFERROR(_xlpm.cvec * 1, 0),
   _xlpm.pnum, IFERROR(_xlpm.price * 1, 0),
   _xlpm.ds, IF(_xlpm.cnum &gt; 0, ROUND(_xlpm.cnum * _xlpm.scale, 0), 0),
   _xlpm.npos, SUM(--(_xlpm.ds &gt; 0)),
   IF(_xlpm.npos = 0,
      IF(ROWS(_xlpm.coins) &gt;= COLUMNS(_xlpm.coins), _xlfn.SEQUENCE(_xlpm.ncoins, 1, 0, 0), _xlfn.SEQUENCE(1, _xlpm.ncoins, 0, 0)),
      _xlfn.LET(
         _xlpm.posd, _xlfn._xlws.FILTER(_xlpm.ds, _xlpm.ds &gt; 0),
         _xlpm.gunit, GCD(_xlpm.posd),
         _xlpm.du, IF(_xlpm.ds &gt; 0, _xlpm.ds / _xlpm.gunit, 0),
         _xlpm.ps, ROUND(_xlpm.pnum * _xlpm.scale, 0),
         _xlpm.cap, INT(_xlpm.ps / _xlpm.gunit),
         _xlpm.best, z_change_costs(_xlpm.du, _xlpm.cap),
         _xlpm.seq, _xlfn.SEQUENCE(ROWS(_xlpm.best), 1, 0),
         _xlpm.vstar, MAX(IF(_xlpm.best &lt; 1000000000, _xlpm.seq, -1)),
         _xlpm.counts_row, z_change_counts(_xlpm.best, _xlpm.du, _xlpm.vstar, _xlpm.ncoins),
         IF(ROWS(_xlpm.coins) &gt;= COLUMNS(_xlpm.coins), TRANSPOSE(_xlpm.counts_row), _xlpm.counts_row)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range (A1 or numeric) expands to an array of numeric addresses top-left to bottom-right; empty becomes &quot;&quot;; anything else passes thr">_xlfn.LAMBDA(_xlpm.ad_or_rng,
  _xlfn.LET(
    _xlpm.to_num_1, _xlfn.LAMBDA(_xlpm.one, IF(_xlpm.one = "", "",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change_costs" comment="Private helper for make_change - do not call directly. Unbounded-coin DP: returns a column of length cap+1 where row a+1 is the fewest coins that total exactly a units, or 1000000000 (sentinel) if a is not reachable. du is the denominations in integer GCD">_xlfn.LAMBDA(_xlpm.du,_xlpm.cap, _xlfn.LET(
   _xlpm.inf, 1000000000,
   IF(_xlpm.cap &lt; 1,
      0,
      _xlfn.LET(
         _xlpm.alen, _xlpm.cap + 1,
         _xlpm.init, _xlfn.VSTACK(0, _xlfn.SEQUENCE(_xlpm.cap, 1, _xlpm.inf, 0)),
         _xlfn.REDUCE(_xlpm.init, _xlfn.SEQUENCE(_xlpm.cap), _xlfn.LAMBDA(_xlpm.best,_xlpm.pass_num,
            _xlfn.REDUCE(_xlpm.best, _xlpm.du, _xlfn.LAMBDA(_xlpm.acc,_xlpm.coin,
               IF(_xlpm.coin &lt; 1,
                  _xlpm.acc,
                  _xlfn.LET(
                     _xlpm.shifted, _xlfn.TAKE(_xlfn.VSTACK(_xlfn.SEQUENCE(_xlpm.coin, 1, _xlpm.inf, 0), _xlpm.best), _xlpm.alen),
                     IF(_xlpm.shifted + 1 &lt; _xlpm.acc, _xlpm.shifted + 1, _xlpm.acc)
                  )
               )
            ))
         ))
      )
   )
))</definedName>
    <definedName name="z_change_counts" comment="Private helper for make_change - do not call directly. Backtracks the min-coins table from amount vstar to 0, tallying how many of each of the ncoins denominations were used. Returns a 1-by-ncoins row of counts.">_xlfn.LAMBDA(_xlpm.best,_xlpm.du,_xlpm.vstar,_xlpm.ncoins, _xlfn.LET(
   _xlpm.inf, 1000000000,
   _xlpm.alen, ROWS(_xlpm.best),
   _xlpm.seq, _xlfn.SEQUENCE(_xlpm.alen, 1, 0),
   _xlpm.seqc, _xlfn.SEQUENCE(_xlpm.ncoins, 1, 1),
   _xlpm.seqr, _xlfn.SEQUENCE(1, _xlpm.ncoins),
   _xlpm.kmin, SUM(_xlpm.best * (_xlpm.seq = _xlpm.vstar)),
   _xlpm.zeros, _xlfn.SEQUENCE(1, _xlpm.ncoins, 0, 0),
   IF(OR(_xlpm.vstar &lt;= 0, _xlpm.kmin &lt;= 0, _xlpm.kmin &gt;= _xlpm.inf),
      _xlpm.zeros,
      _xlfn.DROP(
         _xlfn.REDUCE(_xlfn.HSTACK(_xlpm.vstar, _xlpm.zeros), _xlfn.SEQUENCE(_xlpm.kmin), _xlfn.LAMBDA(_xlpm.acc,_xlpm.step, _xlfn.LET(
            _xlpm.rem, INDEX(_xlpm.acc, 1, 1),
            _xlpm.cnt, _xlfn.DROP(_xlpm.acc, , 1),
            _xlpm.bestrem, SUM(_xlpm.best * (_xlpm.seq = _xlpm.rem)),
            _xlpm.prevb, _xlfn.MAP(_xlpm.du, _xlfn.LAMBDA(_xlpm.coin, IF((_xlpm.coin &gt;= 1) * (_xlpm.coin &lt;= _xlpm.rem), SUM(_xlpm.best * (_xlpm.seq = (_xlpm.rem - _xlpm.coin))), _xlpm.inf))),
            _xlpm.pick, (_xlpm.du &gt;= 1) * (_xlpm.prevb = _xlpm.bestrem - 1),
            _xlpm.hit, _xlfn.XMATCH(1, _xlpm.pick),
            _xlpm.chosen, SUM(_xlpm.du * (_xlpm.seqc = _xlpm.hit)),
            _xlfn.HSTACK(_xlpm.rem - _xlpm.chosen, _xlpm.cnt + (_xlpm.seqr = _xlpm.hit))
         ))),
         , 1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<sst xmlns="http://schemas.openxmlformats.org/spreadsheetml/2006/main" count="5732" uniqueCount="3634">
  <si>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</si>
  <si>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</si>
  <si>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</si>
  <si>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</si>
  <si>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</si>
  <si>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</si>
  <si>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</si>
  <si>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</si>
  <si>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</si>
  <si>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</si>
  <si>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</si>
  <si>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</si>
  <si>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</si>
  <si>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</si>
  <si>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</si>
  <si>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</si>
  <si>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</si>
  <si>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</si>
  <si>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</si>
  <si>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</si>
  <si>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</si>
  <si>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</si>
  <si>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</si>
  <si>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</si>
  <si>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</si>
  <si>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</si>
  <si>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</si>
  <si>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</si>
  <si>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</si>
  <si>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</si>
  <si>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</si>
  <si>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</si>
  <si>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</si>
  <si>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</si>
  <si>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</si>
  <si>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</si>
  <si>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</si>
  <si>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</si>
  <si>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</si>
  <si>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</si>
  <si>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</si>
  <si>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</si>
  <si>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</si>
  <si>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</si>
  <si>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</si>
  <si>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</si>
  <si>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</si>
  <si>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</si>
  <si>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</si>
  <si>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</si>
  <si>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</si>
  <si>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</si>
  <si>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</si>
  <si>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</si>
  <si>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</si>
  <si>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</si>
  <si>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</si>
  <si>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</si>
  <si>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</si>
  <si>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</si>
  <si>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</si>
  <si>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</si>
  <si>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</si>
  <si>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</si>
  <si>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</si>
  <si>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</si>
  <si>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</si>
  <si>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</si>
  <si>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</si>
  <si>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</si>
  <si>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</si>
  <si>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</si>
  <si>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</si>
  <si>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</si>
  <si>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</si>
  <si>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</si>
  <si>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</si>
  <si>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</si>
  <si>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</si>
  <si>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</si>
  <si>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</si>
  <si>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</si>
  <si>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</si>
  <si>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</si>
  <si>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</si>
  <si>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</si>
  <si>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</si>
  <si>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</si>
  <si>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</si>
  <si>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</si>
  <si>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</si>
  <si>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</si>
  <si>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</si>
  <si>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</si>
  <si>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</si>
  <si>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</si>
  <si>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</si>
  <si>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</si>
  <si>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</si>
  <si>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</si>
  <si>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</si>
  <si>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</si>
  <si>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</si>
  <si>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</si>
  <si>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</si>
  <si>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</si>
  <si>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</si>
  <si>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</si>
  <si>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</si>
  <si>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</si>
  <si>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</si>
  <si>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</si>
  <si>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</si>
  <si>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</si>
  <si>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</si>
  <si>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</si>
  <si>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</si>
  <si>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</si>
  <si>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</si>
  <si>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</si>
  <si>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</si>
  <si>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</si>
  <si>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</si>
  <si>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</si>
  <si>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</si>
  <si>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</si>
  <si>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</si>
  <si>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</si>
  <si>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</si>
  <si>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</si>
  <si>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</si>
  <si>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</si>
  <si>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</si>
  <si>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</si>
  <si>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</si>
  <si>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</si>
  <si>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</si>
  <si>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</si>
  <si>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</si>
  <si>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</si>
  <si>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</si>
  <si>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</si>
  <si>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</si>
  <si>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</si>
  <si>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</si>
  <si>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</si>
  <si>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</si>
  <si>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</si>
  <si>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</si>
  <si>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</si>
  <si>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</si>
  <si>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</si>
  <si>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</si>
  <si>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</si>
  <si>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</si>
  <si>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</si>
  <si>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</si>
  <si>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</si>
  <si>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</si>
  <si>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</si>
  <si>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</si>
  <si>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</si>
  <si>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</si>
  <si>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</si>
  <si>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</si>
  <si>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</si>
  <si>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</si>
  <si>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</si>
  <si>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</si>
  <si>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</si>
  <si>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</si>
  <si>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</si>
  <si>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</si>
  <si>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</si>
  <si>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</si>
  <si>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</si>
  <si>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</si>
  <si>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</si>
  <si>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</si>
  <si>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</si>
  <si>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</si>
  <si>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</si>
  <si>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</si>
  <si>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</si>
  <si>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</si>
  <si>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</si>
  <si>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</si>
  <si>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</si>
  <si>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</si>
  <si>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</si>
  <si>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</si>
  <si>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</si>
  <si>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</si>
  <si>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</si>
  <si>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</si>
  <si>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</si>
  <si>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</si>
  <si>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</si>
  <si>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</si>
  <si>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</si>
  <si>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</si>
  <si>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</si>
  <si>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</si>
  <si>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</si>
  <si>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</si>
  <si>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</si>
  <si>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</si>
  <si>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</si>
  <si>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</si>
  <si>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</si>
  <si>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</si>
  <si>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</si>
  <si>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</si>
  <si>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</si>
  <si>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</si>
  <si>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</si>
  <si>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</si>
  <si>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</si>
  <si>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</si>
  <si>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</si>
  <si>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</si>
  <si>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</si>
  <si>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</si>
  <si>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</si>
  <si>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</si>
  <si>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</si>
  <si>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</si>
  <si>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</si>
  <si>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</si>
  <si>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</si>
  <si>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</si>
  <si>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</si>
  <si>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</si>
  <si>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</si>
  <si>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</si>
  <si>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</si>
  <si>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</si>
  <si>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</si>
  <si>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</si>
  <si>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</si>
  <si>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</si>
  <si>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</si>
  <si>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</si>
  <si>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</si>
  <si>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</si>
  <si>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</si>
  <si>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</si>
  <si>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</si>
  <si>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</si>
  <si>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</si>
  <si>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</si>
  <si>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</si>
  <si>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</si>
  <si>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</si>
  <si>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</si>
  <si>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</si>
  <si>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</si>
  <si>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</si>
  <si>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</si>
  <si>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</si>
  <si>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</si>
  <si>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</si>
  <si>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</si>
  <si>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</si>
  <si>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</si>
  <si>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</si>
  <si>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</si>
  <si>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</si>
  <si>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</si>
  <si>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</si>
  <si>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</si>
  <si>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</si>
  <si>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</si>
  <si>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</si>
  <si>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</si>
  <si>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</si>
  <si>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</si>
  <si>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</si>
  <si>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</si>
  <si>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</si>
  <si>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</si>
  <si>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</si>
  <si>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</si>
  <si>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</si>
  <si>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</si>
  <si>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</si>
  <si>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</si>
  <si>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</si>
  <si>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</si>
  <si>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</si>
  <si>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</si>
  <si>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</si>
  <si>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</si>
  <si>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</si>
  <si>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</si>
  <si>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</si>
  <si>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</si>
  <si>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</si>
  <si>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</si>
  <si>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</si>
  <si>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</si>
  <si>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</si>
  <si>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</si>
  <si>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</si>
  <si>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</si>
  <si>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</si>
  <si>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</si>
  <si>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</si>
  <si>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</si>
  <si>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</si>
  <si>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</si>
  <si>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</si>
  <si>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</si>
  <si>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</si>
  <si>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</si>
  <si>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</si>
  <si>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</si>
  <si>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</si>
  <si>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</si>
  <si>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</si>
  <si>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</si>
  <si>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</si>
  <si>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</si>
  <si>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</si>
  <si>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</si>
  <si>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</si>
  <si>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</si>
  <si>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</si>
  <si>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</si>
  <si>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</si>
  <si>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</si>
  <si>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</si>
  <si>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</si>
  <si>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</si>
  <si>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</si>
  <si>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</si>
  <si>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</si>
  <si>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</si>
  <si>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</si>
  <si>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</si>
  <si>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</si>
  <si>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</si>
  <si>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</si>
  <si>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</si>
  <si>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</si>
  <si>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</si>
  <si>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</si>
  <si>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</si>
  <si>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</si>
  <si>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</si>
  <si>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</si>
  <si>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</si>
  <si>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</si>
  <si>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</si>
  <si>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</si>
  <si>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</si>
  <si>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</si>
  <si>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</si>
  <si>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</si>
  <si>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</si>
  <si>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</si>
  <si>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</si>
  <si>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</si>
  <si>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</si>
  <si>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</si>
  <si>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</si>
  <si>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</si>
  <si>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</si>
  <si>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</si>
  <si>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</si>
  <si>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</si>
  <si>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</si>
  <si>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</si>
  <si>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</si>
  <si>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</si>
  <si>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</si>
  <si>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</si>
  <si>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</si>
  <si>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</si>
  <si>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</si>
  <si>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</si>
  <si>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</si>
  <si>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</si>
  <si>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</si>
  <si>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</si>
  <si>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</si>
  <si>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</si>
  <si>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</si>
  <si>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</si>
  <si>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</si>
  <si>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</si>
  <si>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</si>
  <si>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</si>
  <si>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</si>
  <si>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</si>
  <si>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</si>
  <si>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</si>
  <si>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</si>
  <si>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</si>
  <si>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</si>
  <si>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</si>
  <si>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</si>
  <si>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</si>
  <si>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</si>
  <si>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</si>
  <si>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</si>
  <si>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</si>
  <si>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</si>
  <si>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</si>
  <si>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</si>
  <si>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</si>
  <si>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</si>
  <si>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</si>
  <si>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</si>
  <si>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</si>
  <si>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</si>
  <si>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</si>
  <si>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</si>
  <si>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</si>
  <si>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</si>
  <si>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</si>
  <si>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</si>
  <si>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</si>
  <si>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</si>
  <si>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</si>
  <si>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</si>
  <si>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</si>
  <si>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</si>
  <si>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</si>
  <si>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</si>
  <si>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</si>
  <si>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</si>
  <si>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</si>
  <si>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</si>
  <si>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</si>
  <si>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</si>
  <si>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</si>
  <si>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</si>
  <si>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</si>
  <si>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</si>
  <si>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</si>
  <si>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</si>
  <si>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</si>
  <si>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</si>
  <si>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</si>
  <si>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</si>
  <si>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</si>
  <si>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</si>
  <si>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</si>
  <si>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</si>
  <si>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</si>
  <si>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</si>
  <si>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</si>
  <si>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</si>
  <si>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</si>
  <si>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</si>
  <si>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</si>
  <si>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</si>
  <si>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</si>
  <si>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</si>
  <si>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</si>
  <si>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</si>
  <si>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</si>
  <si>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</si>
  <si>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</si>
  <si>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</si>
  <si>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</si>
  <si>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</si>
  <si>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</si>
  <si>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</si>
  <si>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</si>
  <si>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</si>
  <si>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</si>
  <si>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</si>
  <si>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</si>
  <si>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</si>
  <si>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</si>
  <si>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</si>
  <si>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</si>
  <si>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</si>
  <si>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</si>
  <si>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</si>
  <si>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</si>
  <si>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</si>
  <si>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</si>
  <si>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</si>
  <si>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</si>
  <si>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</si>
  <si>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</si>
  <si>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</si>
  <si>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</si>
  <si>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</si>
  <si>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</si>
  <si>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</si>
  <si>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</si>
  <si>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</si>
  <si>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</si>
  <si>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</si>
  <si>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</si>
  <si>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</si>
  <si>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</si>
  <si>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</si>
  <si>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</si>
  <si>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</si>
  <si>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</si>
  <si>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</si>
  <si>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</si>
  <si>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</si>
  <si>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</si>
  <si>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</si>
  <si>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</si>
  <si>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</si>
  <si>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</si>
  <si>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</si>
  <si>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</si>
  <si>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</si>
  <si>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</si>
  <si>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</si>
  <si>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</si>
  <si>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</si>
  <si>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</si>
  <si>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</si>
  <si>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</si>
  <si>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</si>
  <si>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</si>
  <si>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</si>
  <si>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</si>
  <si>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</si>
  <si>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</si>
  <si>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</si>
  <si>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</si>
  <si>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</si>
  <si>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</si>
  <si>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</si>
  <si>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</si>
  <si>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</si>
  <si>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</si>
  <si>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</si>
  <si>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</si>
  <si>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</si>
  <si>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</si>
  <si>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</si>
  <si>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</si>
  <si>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</si>
  <si>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</si>
  <si>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</si>
  <si>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</si>
  <si>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</si>
  <si>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</si>
  <si>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</si>
  <si>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</si>
  <si>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</si>
  <si>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</si>
  <si>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</si>
  <si>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</si>
  <si>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</si>
  <si>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</si>
  <si>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</si>
  <si>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</si>
  <si>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</si>
  <si>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</si>
  <si>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</si>
  <si>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</si>
  <si>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</si>
  <si>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</si>
  <si>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</si>
  <si>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</si>
  <si>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</si>
  <si>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</si>
  <si>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</si>
  <si>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</si>
  <si>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</si>
  <si>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</si>
  <si>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</si>
  <si>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</si>
  <si>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</si>
  <si>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</si>
  <si>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</si>
  <si>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</si>
  <si>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</si>
  <si>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</si>
  <si>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</si>
  <si>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</si>
  <si>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</si>
  <si>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</si>
  <si>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</si>
  <si>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</si>
  <si>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</si>
  <si>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</si>
  <si>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</si>
  <si>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</si>
  <si>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</si>
  <si>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</si>
  <si>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</si>
  <si>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</si>
  <si>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</si>
  <si>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</si>
  <si>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</si>
  <si>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</si>
  <si>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</si>
  <si>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</si>
  <si>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</si>
  <si>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</si>
  <si>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</si>
  <si>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</si>
  <si>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</si>
  <si>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</si>
  <si>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</si>
  <si>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</si>
  <si>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</si>
  <si>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</si>
  <si>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</si>
  <si>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</si>
  <si>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</si>
  <si>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</si>
  <si>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</si>
  <si>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</si>
  <si>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</si>
  <si>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</si>
  <si>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</si>
  <si>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</si>
  <si>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</si>
  <si>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</si>
  <si>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</si>
  <si>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</si>
  <si>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</si>
  <si>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</si>
  <si>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</si>
  <si>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</si>
  <si>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</si>
  <si>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</si>
  <si>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</si>
  <si>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</si>
  <si>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</si>
  <si>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</si>
  <si>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</si>
  <si>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</si>
  <si>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</si>
  <si>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</si>
  <si>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</si>
  <si>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</si>
  <si>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</si>
  <si>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</si>
  <si>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</si>
  <si>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</si>
  <si>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</si>
  <si>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</si>
  <si>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</si>
  <si>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</si>
  <si>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</si>
  <si>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</si>
  <si>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</si>
  <si>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</si>
  <si>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</si>
  <si>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</si>
  <si>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</si>
  <si>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</si>
  <si>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</si>
  <si>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</si>
  <si>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</si>
  <si>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</si>
  <si>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</si>
  <si>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</si>
  <si>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</si>
  <si>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</si>
  <si>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</si>
  <si>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</si>
  <si>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</si>
  <si>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</si>
  <si>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</si>
  <si>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</si>
  <si>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</si>
  <si>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</si>
  <si>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</si>
  <si>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</si>
  <si>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</si>
  <si>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</si>
  <si>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</si>
  <si>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</si>
  <si>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</si>
  <si>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</si>
  <si>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</si>
  <si>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</si>
  <si>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</si>
  <si>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</si>
  <si>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</si>
  <si>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</si>
  <si>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</si>
  <si>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</si>
  <si>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</si>
  <si>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</si>
  <si>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</si>
  <si>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</si>
  <si>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</si>
  <si>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</si>
  <si>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</si>
  <si>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</si>
  <si>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</si>
  <si>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</si>
  <si>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</si>
  <si>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</si>
  <si>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</si>
  <si>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</si>
  <si>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</si>
  <si>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</si>
  <si>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</si>
  <si>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</si>
  <si>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</si>
  <si>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</si>
  <si>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</si>
  <si>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</si>
  <si>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</si>
  <si>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</si>
  <si>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</si>
  <si>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</si>
  <si>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</si>
  <si>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</si>
  <si>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</si>
  <si>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</si>
  <si>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</si>
  <si>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</si>
  <si>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</si>
  <si>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</si>
  <si>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</si>
  <si>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</si>
  <si>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</si>
  <si>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</si>
  <si>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</si>
  <si>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</si>
  <si>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</si>
  <si>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</si>
  <si>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</si>
  <si>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</si>
  <si>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</si>
  <si>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</si>
  <si>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</si>
  <si>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</si>
  <si>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</si>
  <si>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</si>
  <si>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</si>
  <si>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</si>
  <si>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</si>
  <si>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</si>
  <si>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</si>
  <si>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</si>
  <si>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</si>
  <si>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</si>
  <si>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</si>
  <si>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</si>
  <si>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</si>
  <si>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</si>
  <si>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</si>
  <si>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</si>
  <si>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</si>
  <si>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</si>
  <si>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</si>
  <si>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</si>
  <si>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</si>
  <si>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</si>
  <si>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</si>
  <si>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</si>
  <si>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</si>
  <si>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</si>
  <si>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</si>
  <si>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</si>
  <si>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</si>
  <si>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</si>
  <si>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</si>
  <si>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</si>
  <si>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</si>
  <si>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</si>
  <si>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</si>
  <si>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</si>
  <si>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</si>
  <si>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</si>
  <si>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</si>
  <si>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</si>
  <si>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</si>
  <si>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</si>
  <si>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</si>
  <si>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</si>
  <si>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</si>
  <si>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</si>
  <si>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</si>
  <si>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</si>
  <si>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</si>
  <si>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</si>
  <si>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</si>
  <si>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</si>
  <si>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</si>
  <si>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</si>
  <si>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</si>
  <si>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</si>
  <si>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</si>
  <si>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</si>
  <si>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</si>
  <si>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</si>
  <si>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</si>
  <si>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</si>
  <si>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</si>
  <si>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</si>
  <si>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</si>
  <si>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</si>
  <si>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</si>
  <si>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</si>
  <si>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</si>
  <si>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</si>
  <si>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</si>
  <si>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</si>
  <si>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</si>
  <si>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</si>
  <si>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</si>
  <si>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</si>
  <si>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</si>
  <si>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</si>
  <si>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</si>
  <si>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</si>
  <si>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</si>
  <si>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</si>
  <si>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</si>
  <si>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</si>
  <si>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</si>
  <si>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</si>
  <si>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</si>
  <si>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</si>
  <si>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</si>
  <si>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</si>
  <si>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</si>
  <si>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</si>
  <si>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</si>
  <si>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</si>
  <si>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</si>
  <si>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</si>
  <si>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</si>
  <si>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</si>
  <si>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</si>
  <si>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</si>
  <si>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</si>
  <si>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</si>
  <si>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</si>
  <si>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</si>
  <si>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</si>
  <si>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</si>
  <si>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</si>
  <si>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</si>
  <si>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</si>
  <si>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</si>
  <si>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</si>
  <si>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</si>
  <si>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</si>
  <si>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</si>
  <si>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</si>
  <si>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</si>
  <si>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</si>
  <si>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</si>
  <si>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</si>
  <si>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</si>
  <si>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</si>
  <si>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</si>
  <si>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</si>
  <si>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</si>
  <si>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</si>
  <si>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</si>
  <si>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</si>
  <si>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</si>
  <si>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</si>
  <si>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</si>
  <si>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</si>
  <si>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</si>
  <si>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</si>
  <si>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</si>
  <si>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</si>
  <si>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</si>
  <si>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</si>
  <si>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</si>
  <si>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</si>
  <si>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</si>
  <si>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</si>
  <si>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</si>
  <si>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</si>
  <si>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</si>
  <si>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</si>
  <si>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</si>
  <si>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</si>
  <si>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</si>
  <si>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</si>
  <si>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</si>
  <si>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</si>
  <si>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</si>
  <si>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</si>
  <si>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</si>
  <si>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</si>
  <si>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</si>
  <si>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</si>
  <si>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</si>
  <si>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</si>
  <si>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</si>
  <si>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</si>
  <si>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</si>
  <si>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</si>
  <si>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</si>
  <si>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</si>
  <si>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</si>
  <si>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</si>
  <si>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</si>
  <si>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</si>
  <si>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</si>
  <si>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</si>
  <si>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</si>
  <si>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</si>
  <si>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</si>
  <si>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</si>
  <si>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</si>
  <si>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</si>
  <si>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</si>
  <si>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</si>
  <si>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</si>
  <si>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</si>
  <si>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</si>
  <si>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</si>
  <si>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</si>
  <si>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</si>
  <si>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</si>
  <si>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</si>
  <si>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</si>
  <si>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</si>
  <si>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</si>
  <si>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</si>
  <si>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</si>
  <si>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</si>
  <si>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</si>
  <si>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</si>
  <si>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</si>
  <si>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</si>
  <si>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</si>
  <si>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</si>
  <si>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</si>
  <si>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</si>
  <si>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</si>
  <si>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</si>
  <si>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</si>
  <si>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</si>
  <si>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</si>
  <si>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</si>
  <si>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</si>
  <si>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</si>
  <si>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</si>
  <si>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</si>
  <si>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</si>
  <si>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</si>
  <si>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</si>
  <si>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</si>
  <si>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</si>
  <si>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</si>
  <si>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</si>
  <si>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</si>
  <si>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</si>
  <si>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</si>
  <si>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</si>
  <si>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</si>
  <si>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</si>
  <si>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</si>
  <si>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</si>
  <si>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</si>
  <si>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</si>
  <si>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</si>
  <si>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</si>
  <si>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</si>
  <si>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</si>
  <si>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</si>
  <si>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</si>
  <si>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</si>
  <si>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</si>
  <si>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</si>
  <si>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</si>
  <si>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</si>
  <si>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</si>
  <si>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</si>
  <si>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</si>
  <si>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</si>
  <si>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</si>
  <si>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</si>
  <si>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</si>
  <si>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</si>
  <si>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</si>
  <si>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</si>
  <si>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</si>
  <si>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</si>
  <si>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</si>
  <si>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</si>
  <si>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</si>
  <si>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</si>
  <si>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</si>
  <si>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</si>
  <si>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</si>
  <si>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</si>
  <si>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</si>
  <si>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</si>
  <si>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</si>
  <si>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</si>
  <si>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</si>
  <si>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</si>
  <si>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</si>
  <si>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</si>
  <si>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</si>
  <si>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</si>
  <si>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</si>
  <si>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</si>
  <si>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</si>
  <si>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</si>
  <si>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</si>
  <si>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</si>
  <si>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</si>
  <si>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</si>
  <si>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</si>
  <si>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</si>
  <si>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</si>
  <si>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</si>
  <si>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</si>
  <si>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</si>
  <si>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</si>
  <si>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</si>
  <si>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</si>
  <si>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</si>
  <si>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</si>
  <si>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</si>
  <si>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</si>
  <si>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</si>
  <si>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</si>
  <si>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</si>
  <si>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</si>
  <si>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</si>
  <si>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</si>
  <si>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</si>
  <si>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</si>
  <si>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</si>
  <si>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</si>
  <si>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</si>
  <si>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</si>
  <si>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</si>
  <si>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</si>
  <si>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</si>
  <si>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</si>
  <si>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</si>
  <si>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</si>
  <si>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</si>
  <si>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</si>
  <si>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</si>
  <si>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</si>
  <si>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</si>
  <si>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</si>
  <si>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</si>
  <si>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</si>
  <si>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</si>
  <si>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</si>
  <si>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</si>
  <si>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</si>
  <si>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</si>
  <si>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</si>
  <si>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</si>
  <si>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</si>
  <si>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</si>
  <si>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</si>
  <si>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</si>
  <si>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</si>
  <si>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</si>
  <si>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</si>
  <si>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</si>
  <si>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</si>
  <si>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</si>
  <si>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</si>
  <si>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</si>
  <si>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</si>
  <si>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</si>
  <si>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</si>
  <si>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</si>
  <si>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</si>
  <si>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</si>
  <si>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</si>
  <si>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</si>
  <si>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</si>
  <si>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</si>
  <si>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</si>
  <si>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</si>
  <si>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</si>
  <si>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</si>
  <si>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</si>
  <si>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</si>
  <si>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</si>
  <si>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</si>
  <si>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</si>
  <si>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</si>
  <si>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</si>
  <si>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</si>
  <si>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</si>
  <si>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</si>
  <si>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</si>
  <si>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</si>
  <si>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</si>
  <si>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</si>
  <si>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</si>
  <si>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</si>
  <si>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</si>
  <si>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</si>
  <si>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</si>
  <si>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</si>
  <si>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</si>
  <si>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</si>
  <si>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</si>
  <si>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</si>
  <si>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</si>
  <si>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</si>
  <si>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</si>
  <si>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</si>
  <si>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</si>
  <si>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</si>
  <si>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</si>
  <si>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</si>
  <si>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</si>
  <si>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</si>
  <si>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</si>
  <si>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</si>
  <si>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</si>
  <si>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</si>
  <si>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</si>
  <si>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</si>
  <si>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</si>
  <si>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</si>
  <si>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</si>
  <si>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</si>
  <si>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</si>
  <si>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</si>
  <si>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</si>
  <si>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</si>
  <si>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</si>
  <si>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</si>
  <si>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</si>
  <si>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</si>
  <si>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</si>
  <si>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</si>
  <si>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</si>
  <si>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</si>
  <si>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</si>
  <si>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</si>
  <si>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</si>
  <si>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</si>
  <si>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</si>
  <si>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</si>
  <si>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</si>
  <si>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</si>
  <si>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</si>
  <si>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</si>
  <si>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</si>
  <si>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</si>
  <si>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</si>
  <si>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</si>
  <si>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</si>
  <si>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</si>
  <si>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</si>
  <si>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</si>
  <si>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</si>
  <si>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</si>
  <si>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</si>
  <si>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</si>
  <si>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</si>
  <si>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</si>
  <si>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</si>
  <si>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</si>
  <si>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</si>
  <si>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</si>
  <si>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</si>
  <si>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</si>
  <si>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</si>
  <si>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</si>
  <si>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</si>
  <si>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</si>
  <si>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</si>
  <si>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</si>
  <si>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</si>
  <si>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</si>
  <si>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</si>
  <si>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</si>
  <si>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</si>
  <si>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</si>
  <si>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</si>
  <si>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</si>
  <si>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</si>
  <si>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</si>
  <si>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</si>
  <si>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</si>
  <si>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</si>
  <si>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</si>
  <si>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</si>
  <si>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</si>
  <si>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</si>
  <si>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</si>
  <si>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</si>
  <si>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</si>
  <si>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</si>
  <si>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</si>
  <si>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</si>
  <si>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</si>
  <si>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</si>
  <si>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</si>
  <si>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</si>
  <si>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</si>
  <si>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</si>
  <si>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</si>
  <si>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</si>
  <si>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</si>
  <si>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</si>
  <si>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</si>
  <si>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</si>
  <si>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</si>
  <si>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</si>
  <si>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</si>
  <si>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</si>
  <si>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</si>
  <si>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</si>
  <si>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</si>
  <si>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</si>
  <si>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</si>
  <si>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</si>
  <si>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</si>
  <si>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</si>
  <si>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</si>
  <si>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</si>
  <si>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</si>
  <si>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</si>
  <si>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</si>
  <si>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</si>
  <si>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</si>
  <si>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</si>
  <si>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</si>
  <si>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</si>
  <si>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</si>
  <si>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</si>
  <si>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</si>
  <si>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</si>
  <si>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</si>
  <si>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</si>
  <si>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</si>
  <si>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</si>
  <si>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</si>
  <si>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</si>
  <si>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</si>
  <si>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</si>
  <si>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</si>
  <si>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</si>
  <si>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</si>
  <si>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</si>
  <si>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</si>
  <si>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</si>
  <si>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</si>
  <si>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</si>
  <si>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</si>
  <si>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</si>
  <si>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</si>
  <si>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</si>
  <si>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</si>
  <si>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</si>
  <si>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</si>
  <si>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</si>
  <si>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</si>
  <si>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</si>
  <si>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</si>
  <si>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</si>
  <si>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</si>
  <si>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</si>
  <si>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</si>
  <si>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</si>
  <si>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</si>
  <si>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</si>
  <si>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</si>
  <si>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</si>
  <si>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</si>
  <si>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</si>
  <si>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</si>
  <si>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</si>
  <si>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</si>
  <si>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</si>
  <si>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</si>
  <si>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</si>
  <si>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</si>
  <si>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</si>
  <si>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</si>
  <si>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</si>
  <si>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</si>
  <si>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</si>
  <si>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</si>
  <si>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</si>
  <si>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</si>
  <si>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</si>
  <si>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</si>
  <si>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</si>
  <si>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</si>
  <si>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</si>
  <si>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</si>
  <si>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</si>
  <si>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</si>
  <si>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</si>
  <si>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</si>
  <si>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</si>
  <si>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</si>
  <si>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</si>
  <si>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</si>
  <si>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</si>
  <si>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</si>
  <si>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</si>
  <si>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</si>
  <si>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</si>
  <si>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</si>
  <si>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</si>
  <si>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</si>
  <si>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</si>
  <si>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</si>
  <si>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</si>
  <si>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</si>
  <si>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</si>
  <si>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</si>
  <si>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</si>
  <si>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</si>
  <si>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</si>
  <si>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</si>
  <si>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</si>
  <si>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</si>
  <si>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</si>
  <si>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</si>
  <si>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</si>
  <si>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</si>
  <si>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</si>
  <si>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</si>
  <si>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</si>
  <si>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</si>
  <si>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</si>
  <si>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</si>
  <si>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</si>
  <si>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</si>
  <si>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</si>
  <si>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</si>
  <si>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</si>
  <si>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</si>
  <si>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</si>
  <si>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</si>
  <si>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</si>
  <si>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</si>
  <si>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</si>
  <si>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</si>
  <si>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</si>
  <si>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</si>
  <si>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</si>
  <si>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</si>
  <si>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</si>
  <si>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</si>
  <si>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</si>
  <si>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</si>
  <si>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</si>
  <si>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</si>
  <si>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</si>
  <si>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</si>
  <si>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</si>
  <si>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</si>
  <si>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</si>
  <si>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</si>
  <si>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</si>
  <si>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</si>
  <si>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</si>
  <si>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</si>
  <si>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</si>
  <si>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</si>
  <si>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</si>
  <si>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</si>
  <si>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</si>
  <si>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</si>
  <si>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</si>
  <si>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</si>
  <si>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</si>
  <si>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</si>
  <si>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</si>
  <si>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</si>
  <si>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</si>
  <si>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</si>
  <si>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</si>
  <si>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</si>
  <si>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</si>
  <si>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</si>
  <si>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</si>
  <si>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</si>
  <si>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</si>
  <si>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</si>
  <si>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</si>
  <si>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</si>
  <si>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</si>
  <si>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</si>
  <si>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</si>
  <si>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</si>
  <si>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</si>
  <si>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</si>
  <si>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</si>
  <si>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</si>
  <si>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</si>
  <si>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</si>
  <si>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</si>
  <si>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</si>
  <si>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</si>
  <si>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</si>
  <si>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</si>
  <si>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</si>
  <si>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</si>
  <si>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</si>
  <si>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</si>
  <si>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</si>
  <si>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</si>
  <si>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</si>
  <si>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</si>
  <si>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</si>
  <si>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</si>
  <si>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</si>
  <si>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</si>
  <si>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</si>
  <si>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</si>
  <si>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</si>
  <si>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</si>
  <si>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</si>
  <si>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</si>
  <si>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</si>
  <si>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</si>
  <si>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</si>
  <si>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</si>
  <si>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</si>
  <si>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</si>
  <si>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</si>
  <si>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</si>
  <si>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</si>
  <si>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</si>
  <si>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</si>
  <si>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</si>
  <si>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</si>
  <si>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</si>
  <si>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</si>
  <si>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</si>
  <si>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</si>
  <si>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</si>
  <si>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</si>
  <si>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</si>
  <si>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</si>
  <si>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</si>
  <si>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</si>
  <si>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</si>
  <si>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</si>
  <si>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</si>
  <si>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</si>
  <si>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</si>
  <si>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</si>
  <si>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</si>
  <si>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</si>
  <si>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</si>
  <si>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</si>
  <si>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</si>
  <si>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</si>
  <si>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</si>
  <si>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</si>
  <si>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</si>
  <si>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</si>
  <si>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</si>
  <si>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</si>
  <si>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</si>
  <si>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</si>
  <si>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</si>
  <si>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</si>
  <si>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</si>
  <si>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</si>
  <si>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</si>
  <si>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</si>
  <si>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</si>
  <si>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</si>
  <si>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</si>
  <si>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</si>
  <si>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</si>
  <si>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</si>
  <si>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</si>
  <si>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</si>
  <si>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</si>
  <si>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</si>
  <si>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</si>
  <si>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</si>
  <si>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</si>
  <si>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</si>
  <si>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</si>
  <si>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</si>
  <si>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</si>
  <si>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</si>
  <si>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</si>
  <si>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</si>
  <si>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</si>
  <si>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</si>
  <si>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</si>
  <si>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</si>
  <si>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</si>
  <si>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</si>
  <si>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</si>
  <si>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</si>
  <si>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</si>
  <si>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</si>
  <si>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</si>
  <si>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</si>
  <si>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</si>
  <si>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</si>
  <si>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</si>
  <si>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</si>
  <si>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</si>
  <si>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</si>
  <si>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</si>
  <si>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</si>
  <si>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</si>
  <si>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</si>
  <si>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</si>
  <si>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</si>
  <si>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</si>
  <si>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</si>
  <si>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</si>
  <si>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</si>
  <si>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</si>
  <si>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</si>
  <si>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</si>
  <si>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</si>
  <si>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</si>
  <si>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</si>
  <si>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</si>
  <si>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</si>
  <si>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</si>
  <si>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</si>
  <si>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</si>
  <si>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</si>
  <si>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</si>
  <si>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</si>
  <si>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</si>
  <si>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</si>
  <si>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</si>
  <si>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</si>
  <si>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</si>
  <si>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</si>
  <si>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</si>
  <si>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</si>
  <si>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</si>
  <si>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</si>
  <si>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</si>
  <si>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</si>
  <si>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</si>
  <si>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</si>
  <si>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</si>
  <si>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</si>
  <si>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</si>
  <si>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</si>
  <si>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</si>
  <si>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</si>
  <si>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</si>
  <si>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</si>
  <si>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</si>
  <si>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</si>
  <si>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</si>
  <si>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</si>
  <si>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</si>
  <si>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</si>
  <si>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</si>
  <si>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</si>
  <si>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</si>
  <si>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</si>
  <si>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</si>
  <si>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</si>
  <si>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</si>
  <si>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</si>
  <si>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</si>
  <si>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</si>
  <si>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</si>
  <si>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</si>
  <si>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</si>
  <si>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</si>
  <si>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</si>
  <si>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</si>
  <si>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</si>
  <si>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</si>
  <si>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</si>
  <si>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</si>
  <si>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</si>
  <si>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</si>
  <si>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</si>
  <si>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</si>
  <si>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</si>
  <si>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</si>
  <si>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</si>
  <si>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</si>
  <si>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</si>
  <si>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</si>
  <si>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</si>
  <si>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</si>
  <si>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</si>
  <si>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</si>
  <si>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</si>
  <si>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</si>
  <si>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</si>
  <si>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</si>
  <si>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</si>
  <si>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</si>
  <si>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</si>
  <si>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</si>
  <si>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</si>
  <si>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</si>
  <si>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</si>
  <si>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</si>
  <si>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</si>
  <si>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</si>
  <si>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</si>
  <si>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</si>
  <si>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</si>
  <si>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</si>
  <si>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</si>
  <si>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</si>
  <si>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</si>
  <si>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</si>
  <si>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</si>
  <si>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</si>
  <si>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</si>
  <si>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</si>
  <si>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</si>
  <si>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</si>
  <si>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</si>
  <si>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</si>
  <si>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</si>
  <si>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</si>
  <si>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</si>
  <si>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</si>
  <si>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</si>
  <si>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</si>
  <si>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</si>
  <si>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</si>
  <si>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</si>
  <si>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</si>
  <si>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</si>
  <si>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</si>
  <si>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</si>
  <si>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</si>
  <si>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</si>
  <si>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</si>
  <si>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</si>
  <si>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</si>
  <si>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</si>
  <si>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</si>
  <si>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</si>
  <si>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</si>
  <si>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</si>
  <si>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</si>
  <si>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</si>
  <si>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</si>
  <si>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</si>
  <si>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</si>
  <si>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</si>
  <si>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</si>
  <si>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</si>
  <si>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</si>
  <si>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</si>
  <si>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</si>
  <si>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</si>
  <si>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</si>
  <si>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</si>
  <si>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</si>
  <si>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</si>
  <si>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</si>
  <si>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</si>
  <si>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</si>
  <si>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</si>
  <si>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</si>
  <si>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</si>
  <si>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</si>
  <si>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</si>
  <si>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</si>
  <si>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</si>
  <si>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</si>
  <si>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</si>
  <si>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</si>
  <si>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</si>
  <si>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</si>
  <si>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</si>
  <si>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</si>
  <si>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</si>
  <si>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</si>
  <si>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</si>
  <si>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</si>
  <si>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</si>
  <si>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</si>
  <si>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</si>
  <si>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</si>
  <si>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</si>
  <si>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</si>
  <si>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</si>
  <si>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</si>
  <si>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</si>
  <si>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</si>
  <si>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</si>
  <si>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</si>
  <si>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</si>
  <si>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</si>
  <si>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</si>
  <si>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</si>
  <si>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</si>
  <si>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</si>
  <si>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</si>
  <si>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</si>
  <si>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</si>
  <si>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</si>
  <si>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</si>
  <si>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</si>
  <si>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</si>
  <si>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</si>
  <si>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</si>
  <si>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</si>
  <si>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</si>
  <si>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</si>
  <si>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</si>
  <si>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</si>
  <si>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</si>
  <si>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</si>
  <si>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</si>
  <si>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</si>
  <si>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</si>
  <si>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</si>
  <si>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</si>
  <si>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</si>
  <si>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</si>
  <si>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</si>
  <si>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</si>
  <si>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</si>
  <si>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</si>
  <si>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</si>
  <si>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</si>
  <si>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</si>
  <si>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</si>
  <si>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</si>
  <si>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</si>
  <si>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</si>
  <si>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</si>
  <si>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</si>
  <si>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</si>
  <si>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</si>
  <si>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</si>
  <si>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</si>
  <si>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</si>
  <si>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</si>
  <si>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</si>
  <si>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</si>
  <si>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</si>
  <si>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</si>
  <si>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</si>
  <si>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</si>
  <si>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</si>
  <si>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</si>
  <si>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</si>
  <si>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</si>
  <si>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</si>
  <si>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</si>
  <si>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</si>
  <si>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</si>
  <si>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</si>
  <si>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</si>
  <si>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</si>
  <si>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</si>
  <si>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</si>
  <si>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</si>
  <si>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</si>
  <si>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</si>
  <si>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</si>
  <si>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</si>
  <si>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</si>
  <si>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</si>
  <si>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</si>
  <si>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</si>
  <si>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</si>
  <si>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</si>
  <si>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</si>
  <si>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</si>
  <si>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</si>
  <si>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</si>
  <si>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</si>
  <si>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</si>
  <si>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</si>
  <si>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</si>
  <si>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</si>
  <si>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</si>
  <si>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</si>
  <si>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</si>
  <si>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</si>
  <si>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</si>
  <si>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</si>
  <si>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</si>
  <si>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</si>
  <si>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</si>
  <si>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</si>
  <si>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</si>
  <si>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</si>
  <si>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</si>
  <si>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</si>
  <si>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</si>
  <si>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</si>
  <si>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</si>
  <si>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</si>
  <si>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</si>
  <si>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</si>
  <si>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</si>
  <si>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</si>
  <si>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</si>
  <si>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</si>
  <si>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</si>
  <si>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</si>
  <si>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</si>
  <si>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</si>
  <si>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</si>
  <si>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</si>
  <si>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</si>
  <si>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</si>
  <si>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</si>
  <si>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</si>
  <si>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</si>
  <si>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</si>
  <si>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</si>
  <si>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</si>
  <si>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</si>
  <si>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</si>
  <si>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</si>
  <si>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</si>
  <si>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</si>
  <si>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</si>
  <si>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</si>
  <si>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</si>
  <si>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</si>
  <si>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</si>
  <si>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</si>
  <si>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</si>
  <si>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</si>
  <si>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</si>
  <si>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</si>
  <si>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</si>
  <si>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</si>
  <si>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</si>
  <si>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</si>
  <si>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</si>
  <si>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</si>
  <si>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</si>
  <si>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</si>
  <si>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</si>
  <si>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</si>
  <si>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</si>
  <si>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</si>
  <si>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</si>
  <si>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</si>
  <si>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</si>
  <si>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</si>
  <si>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</si>
  <si>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</si>
  <si>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</si>
  <si>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</si>
  <si>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</si>
  <si>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</si>
  <si>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</si>
  <si>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</si>
  <si>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</si>
  <si>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</si>
  <si>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</si>
  <si>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</si>
  <si>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</si>
  <si>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</si>
  <si>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</si>
  <si>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</si>
  <si>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</si>
  <si>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</si>
  <si>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</si>
  <si>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</si>
  <si>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</si>
  <si>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</si>
  <si>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</si>
  <si>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</si>
  <si>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</si>
  <si>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</si>
  <si>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</si>
  <si>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</si>
  <si>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</si>
  <si>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</si>
  <si>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</si>
  <si>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</si>
  <si>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</si>
  <si>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</si>
  <si>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</si>
  <si>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</si>
  <si>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</si>
  <si>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</si>
  <si>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</si>
  <si>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</si>
  <si>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</si>
  <si>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</si>
  <si>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</si>
  <si>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</si>
  <si>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</si>
  <si>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</si>
  <si>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</si>
  <si>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</si>
  <si>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</si>
  <si>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</si>
  <si>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</si>
  <si>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</si>
  <si>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</si>
  <si>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</si>
  <si>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</si>
  <si>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</si>
  <si>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</si>
  <si>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</si>
  <si>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</si>
  <si>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</si>
  <si>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</si>
  <si>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</si>
  <si>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</si>
  <si>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</si>
  <si>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</si>
  <si>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</si>
  <si>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</si>
  <si>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</si>
  <si>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</si>
  <si>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</si>
  <si>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</si>
  <si>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</si>
  <si>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</si>
  <si>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</si>
  <si>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</si>
  <si>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</si>
  <si>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</si>
  <si>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</si>
  <si>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</si>
  <si>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</si>
  <si>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</si>
  <si>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</si>
  <si>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</si>
  <si>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</si>
  <si>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</si>
  <si>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</si>
  <si>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</si>
  <si>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</si>
  <si>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</si>
  <si>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</si>
  <si>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</si>
  <si>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</si>
  <si>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</si>
  <si>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</si>
  <si>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</si>
  <si>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</si>
  <si>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</si>
  <si>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</si>
  <si>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</si>
  <si>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</si>
  <si>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</si>
  <si>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</si>
  <si>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</si>
  <si>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</si>
  <si>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</si>
  <si>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</si>
  <si>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</si>
  <si>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</si>
  <si>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</si>
  <si>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</si>
  <si>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</si>
  <si>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</si>
  <si>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</si>
  <si>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</si>
  <si>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</si>
  <si>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</si>
  <si>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</si>
  <si>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</si>
  <si>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</si>
  <si>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</si>
  <si>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</si>
  <si>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</si>
  <si>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</si>
  <si>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</si>
  <si>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</si>
  <si>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</si>
  <si>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</si>
  <si>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</si>
  <si>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</si>
  <si>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</si>
  <si>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</si>
  <si>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</si>
  <si>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</si>
  <si>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</si>
  <si>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</si>
  <si>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</si>
  <si>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</si>
  <si>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</si>
  <si>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</si>
  <si>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</si>
  <si>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</si>
  <si>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</si>
  <si>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</si>
  <si>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</si>
  <si>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</si>
  <si>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</si>
  <si>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</si>
  <si>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</si>
  <si>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</si>
  <si>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</si>
  <si>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</si>
  <si>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</si>
  <si>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</si>
  <si>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</si>
  <si>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</si>
  <si>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</si>
  <si>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</si>
  <si>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</si>
  <si>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</si>
  <si>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</si>
  <si>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</si>
  <si>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</si>
  <si>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</si>
  <si>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</si>
  <si>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</si>
  <si>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</si>
  <si>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</si>
  <si>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</si>
  <si>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</si>
  <si>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</si>
  <si>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</si>
  <si>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</si>
  <si>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</si>
  <si>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</si>
  <si>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</si>
  <si>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</si>
  <si>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</si>
  <si>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</si>
  <si>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</si>
  <si>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</si>
  <si>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</si>
  <si>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</si>
  <si>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</si>
  <si>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</si>
  <si>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</si>
  <si>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</si>
  <si>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</si>
  <si>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</si>
  <si>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</si>
  <si>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</si>
  <si>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</si>
  <si>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</si>
  <si>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</si>
  <si>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</si>
  <si>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</si>
  <si>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</si>
  <si>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</si>
  <si>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</si>
  <si>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</si>
  <si>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</si>
  <si>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</si>
  <si>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</si>
  <si>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</si>
  <si>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</si>
  <si>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</si>
  <si>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</si>
  <si>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</si>
  <si>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</si>
  <si>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</si>
  <si>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</si>
  <si>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</si>
  <si>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</si>
  <si>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</si>
  <si>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</si>
  <si>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</si>
  <si>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</si>
  <si>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</si>
  <si>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</si>
  <si>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</si>
  <si>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</si>
  <si>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</si>
  <si>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</si>
  <si>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</si>
  <si>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</si>
  <si>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</si>
  <si>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</si>
  <si>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</si>
  <si>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</si>
  <si>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</si>
  <si>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</si>
  <si>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</si>
  <si>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</si>
  <si>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</si>
  <si>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</si>
  <si>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</si>
  <si>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</si>
  <si>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</si>
  <si>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</si>
  <si>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</si>
  <si>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</si>
  <si>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</si>
  <si>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</si>
  <si>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</si>
  <si>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</si>
  <si>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</si>
  <si>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</si>
  <si>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</si>
  <si>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</si>
  <si>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</si>
  <si>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</si>
  <si>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</si>
  <si>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</si>
  <si>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</si>
  <si>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</si>
  <si>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</si>
  <si>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</si>
  <si>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</si>
  <si>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</si>
  <si>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</si>
  <si>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</si>
  <si>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</si>
  <si>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</si>
  <si>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</si>
  <si>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</si>
  <si>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</si>
  <si>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</si>
  <si>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</si>
  <si>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</si>
  <si>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</si>
  <si>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</si>
  <si>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</si>
  <si>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</si>
  <si>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</si>
  <si>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</si>
  <si>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</si>
  <si>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</si>
  <si>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</si>
  <si>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</si>
  <si>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</si>
  <si>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</si>
  <si>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</si>
  <si>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</si>
  <si>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</si>
  <si>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</si>
  <si>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</si>
  <si>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</si>
  <si>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</si>
  <si>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</si>
  <si>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</si>
  <si>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</si>
  <si>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</si>
  <si>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</si>
  <si>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</si>
  <si>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</si>
  <si>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</si>
  <si>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</si>
  <si>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</si>
  <si>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</si>
  <si>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</si>
  <si>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</si>
  <si>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</si>
  <si>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</si>
  <si>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</si>
  <si>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</si>
  <si>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</si>
  <si>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</si>
  <si>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</si>
  <si>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</si>
  <si>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</si>
  <si>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</si>
  <si>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</si>
  <si>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</si>
  <si>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</si>
  <si>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</si>
  <si>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</si>
  <si>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</si>
  <si>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</si>
  <si>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</si>
  <si>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</si>
  <si>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</si>
  <si>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</si>
  <si>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</si>
  <si>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</si>
  <si>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</si>
  <si>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</si>
  <si>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</si>
  <si>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</si>
  <si>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</si>
  <si>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</si>
  <si>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</si>
  <si>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</si>
  <si>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</si>
  <si>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</si>
  <si>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</si>
  <si>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</si>
  <si>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</si>
  <si>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</si>
  <si>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</si>
  <si>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</si>
  <si>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</si>
  <si>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</si>
  <si>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</si>
  <si>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</si>
  <si>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</si>
  <si>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</si>
  <si>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</si>
  <si>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</si>
  <si>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</si>
  <si>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</si>
  <si>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</si>
  <si>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</si>
  <si>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</si>
  <si>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</si>
  <si>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</si>
  <si>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</si>
  <si>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</si>
  <si>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</si>
  <si>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</si>
  <si>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</si>
  <si>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</si>
  <si>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</si>
  <si>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</si>
  <si>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</si>
  <si>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</si>
  <si>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</si>
  <si>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</si>
  <si>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</si>
  <si>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</si>
  <si>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</si>
  <si>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</si>
  <si>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</si>
  <si>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</si>
  <si>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</si>
  <si>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</si>
  <si>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</si>
  <si>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</si>
  <si>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</si>
  <si>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</si>
  <si>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</si>
  <si>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</si>
  <si>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</si>
  <si>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</si>
  <si>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</si>
  <si>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</si>
  <si>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</si>
  <si>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</si>
  <si>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</si>
  <si>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</si>
  <si>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</si>
  <si>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</si>
  <si>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</si>
  <si>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</si>
  <si>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</si>
  <si>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</si>
  <si>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</si>
  <si>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</si>
  <si>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</si>
  <si>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</si>
  <si>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</si>
  <si>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</si>
  <si>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</si>
  <si>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</si>
  <si>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</si>
  <si>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</si>
  <si>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</si>
  <si>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</si>
  <si>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</si>
  <si>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</si>
  <si>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</si>
  <si>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</si>
  <si>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</si>
  <si>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</si>
  <si>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</si>
  <si>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</si>
  <si>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</si>
  <si>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</si>
  <si>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</si>
  <si>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</si>
  <si>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</si>
  <si>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</si>
  <si>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</si>
  <si>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</si>
  <si>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</si>
  <si>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</si>
  <si>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</si>
  <si>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</si>
  <si>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</si>
  <si>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</si>
  <si>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</si>
  <si>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</si>
  <si>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</si>
  <si>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</si>
  <si>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</si>
  <si>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</si>
  <si>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</si>
  <si>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</si>
  <si>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</si>
  <si>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</si>
  <si>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</si>
  <si>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</si>
  <si>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</si>
  <si>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</si>
  <si>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</si>
  <si>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</si>
  <si>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</si>
  <si>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</si>
  <si>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</si>
  <si>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</si>
  <si>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</si>
  <si>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</si>
  <si>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</si>
  <si>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</si>
  <si>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</si>
  <si>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</si>
  <si>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</si>
  <si>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</si>
  <si>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</si>
  <si>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</si>
  <si>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</si>
  <si>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</si>
  <si>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</si>
  <si>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</si>
  <si>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</si>
  <si>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</si>
  <si>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</si>
  <si>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</si>
  <si>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</si>
  <si>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</si>
  <si>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</si>
  <si>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</si>
  <si>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</si>
  <si>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</si>
  <si>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</si>
  <si>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</si>
  <si>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</si>
  <si>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</si>
  <si>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</si>
  <si>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</si>
  <si>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</si>
  <si>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</si>
  <si>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</si>
  <si>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</si>
  <si>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</si>
  <si>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</si>
  <si>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</si>
  <si>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</si>
  <si>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</si>
  <si>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</si>
  <si>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</si>
  <si>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</si>
  <si>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</si>
  <si>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</si>
  <si>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</si>
  <si>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</si>
  <si>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</si>
  <si>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</si>
  <si>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</si>
  <si>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</si>
  <si>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</si>
  <si>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</si>
  <si>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</si>
  <si>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</si>
  <si>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</si>
  <si>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</si>
  <si>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</si>
  <si>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</si>
  <si>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</si>
  <si>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</si>
  <si>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</si>
  <si>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</si>
  <si>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</si>
  <si>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</si>
  <si>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</si>
  <si>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</si>
  <si>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</si>
  <si>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</si>
  <si>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</si>
  <si>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</si>
  <si>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</si>
  <si>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</si>
  <si>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</si>
  <si>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</si>
  <si>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</si>
  <si>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</si>
  <si>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</si>
  <si>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</si>
  <si>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</si>
  <si>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</si>
  <si>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</si>
  <si>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</si>
  <si>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</si>
  <si>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</si>
  <si>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</si>
  <si>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</si>
  <si>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</si>
  <si>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</si>
  <si>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</si>
  <si>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</si>
  <si>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</si>
  <si>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</si>
  <si>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</si>
  <si>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</si>
  <si>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</si>
  <si>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</si>
  <si>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</si>
  <si>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</si>
  <si>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</si>
  <si>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</si>
  <si>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</si>
  <si>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</si>
  <si>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</si>
  <si>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</si>
  <si>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</si>
  <si>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</si>
  <si>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</si>
  <si>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</si>
  <si>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</si>
  <si>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</si>
  <si>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</si>
  <si>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</si>
  <si>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</si>
  <si>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</si>
  <si>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</si>
  <si>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</si>
  <si>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</si>
  <si>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</si>
  <si>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</si>
  <si>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</si>
  <si>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</si>
  <si>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</si>
  <si>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</si>
  <si>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</si>
  <si>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</si>
  <si>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</si>
  <si>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</si>
  <si>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</si>
  <si>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</si>
  <si>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</si>
  <si>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</si>
  <si>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</si>
  <si>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</si>
  <si>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</si>
  <si>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</si>
  <si>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</si>
  <si>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</si>
  <si>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</si>
  <si>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</si>
  <si>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</si>
  <si>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</si>
  <si>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</si>
  <si>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</si>
  <si>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</si>
  <si>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</si>
  <si>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</si>
  <si>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</si>
  <si>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</si>
  <si>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</si>
  <si>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</si>
  <si>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</si>
  <si>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</si>
  <si>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</si>
  <si>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</si>
  <si>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</si>
  <si>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</si>
  <si>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</si>
  <si>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</si>
  <si>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</si>
  <si>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</si>
  <si>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</si>
  <si>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</si>
  <si>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</si>
  <si>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</si>
  <si>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</si>
  <si>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</si>
  <si>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</si>
  <si>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</si>
  <si>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</si>
  <si>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</si>
  <si>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</si>
  <si>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</si>
  <si>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</si>
  <si>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</si>
  <si>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</si>
  <si>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</si>
  <si>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</si>
  <si>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</si>
  <si>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</si>
  <si>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</si>
  <si>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</si>
  <si>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</si>
  <si>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</si>
  <si>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</si>
  <si>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</si>
  <si>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</si>
  <si>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</si>
  <si>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</si>
  <si>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</si>
  <si>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</si>
  <si>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</si>
  <si>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</si>
  <si>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</si>
  <si>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</si>
  <si>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</si>
  <si>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</si>
  <si>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</si>
  <si>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</si>
  <si>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</si>
  <si>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</si>
  <si>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</si>
  <si>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</si>
  <si>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</si>
  <si>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</si>
  <si>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</si>
  <si>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</si>
  <si>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</si>
  <si>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</si>
  <si>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</si>
  <si>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</si>
  <si>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</si>
  <si>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</si>
  <si>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</si>
  <si>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</si>
  <si>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</si>
  <si>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</si>
  <si>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</si>
  <si>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</si>
  <si>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</si>
  <si>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</si>
  <si>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</si>
  <si>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</si>
  <si>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</si>
  <si>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</si>
  <si>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</si>
  <si>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</si>
  <si>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</si>
  <si>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</si>
  <si>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</si>
  <si>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</si>
  <si>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</si>
  <si>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</si>
  <si>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</si>
  <si>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</si>
  <si>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</si>
  <si>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</si>
  <si>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</si>
  <si>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</si>
  <si>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</si>
  <si>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</si>
  <si>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</si>
  <si>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</si>
  <si>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</si>
  <si>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</si>
  <si>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</si>
  <si>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</si>
  <si>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</si>
  <si>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</si>
  <si>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</si>
  <si>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</si>
  <si>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</si>
  <si>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</si>
  <si>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</si>
  <si>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</si>
  <si>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</si>
  <si>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</si>
  <si>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</si>
  <si>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</si>
  <si>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</si>
  <si>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</si>
  <si>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</si>
  <si>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</si>
  <si>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</si>
  <si>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</si>
  <si>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</si>
  <si>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</si>
  <si>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</si>
  <si>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</si>
  <si>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</si>
  <si>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</si>
  <si>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</si>
  <si>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</si>
  <si>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</si>
  <si>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</si>
  <si>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</si>
  <si>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</si>
  <si>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</si>
  <si>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</si>
  <si>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</si>
  <si>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</si>
  <si>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</si>
  <si>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</si>
  <si>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</si>
  <si>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</si>
  <si>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</si>
  <si>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</si>
  <si>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</si>
  <si>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</si>
  <si>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</si>
  <si>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</si>
  <si>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</si>
  <si>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</si>
  <si>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</si>
  <si>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</si>
  <si>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</si>
  <si>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</si>
  <si>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</si>
  <si>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</si>
  <si>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</si>
  <si>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</si>
  <si>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</si>
  <si>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</si>
  <si>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</si>
  <si>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</si>
  <si>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</si>
  <si>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</si>
  <si>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</si>
  <si>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</si>
  <si>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</si>
  <si>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</si>
  <si>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</si>
  <si>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</si>
  <si>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</si>
  <si>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</si>
  <si>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</si>
  <si>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</si>
  <si>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</si>
  <si>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</si>
  <si>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</si>
  <si>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</si>
  <si>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</si>
  <si>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</si>
  <si>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</si>
  <si>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</si>
  <si>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</si>
  <si>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</si>
  <si>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</si>
  <si>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</si>
  <si>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</si>
  <si>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</si>
  <si>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</si>
  <si>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</si>
  <si>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</si>
  <si>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</si>
  <si>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</si>
  <si>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</si>
  <si>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</si>
  <si>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</si>
  <si>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</si>
  <si>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</si>
  <si>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</si>
  <si>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</si>
  <si>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</si>
  <si>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</si>
  <si>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</si>
  <si>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</si>
  <si>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</si>
  <si>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</si>
  <si>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</si>
  <si>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</si>
  <si>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</si>
  <si>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</si>
  <si>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</si>
  <si>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</si>
  <si>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</si>
  <si>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</si>
  <si>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</si>
  <si>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</si>
  <si>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</si>
  <si>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</si>
  <si>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</si>
  <si>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</si>
  <si>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</si>
  <si>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</si>
  <si>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</si>
  <si>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</si>
  <si>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</si>
  <si>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</si>
  <si>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</si>
  <si>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</si>
  <si>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</si>
  <si>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</si>
  <si>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</si>
  <si>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</si>
  <si>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</si>
  <si>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</si>
  <si>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</si>
  <si>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</si>
  <si>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</si>
  <si>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</si>
  <si>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</si>
  <si>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</si>
  <si>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</si>
  <si>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</si>
  <si>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</si>
  <si>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</si>
  <si>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</si>
  <si>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</si>
  <si>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</si>
  <si>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</si>
  <si>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</si>
  <si>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</si>
  <si>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</si>
  <si>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</si>
  <si>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</si>
  <si>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</si>
  <si>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</si>
  <si>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</si>
  <si>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</si>
  <si>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</si>
  <si>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</si>
  <si>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</si>
  <si>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</si>
  <si>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</si>
  <si>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</si>
  <si>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</si>
  <si>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</si>
  <si>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</si>
  <si>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</si>
  <si>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</si>
  <si>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</si>
  <si>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</si>
  <si>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</si>
  <si>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</si>
  <si>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</si>
  <si>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</si>
  <si>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</si>
  <si>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</si>
  <si>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</si>
  <si>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</si>
  <si>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</si>
  <si>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</si>
  <si>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</si>
  <si>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</si>
  <si>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</si>
  <si>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</si>
  <si>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</si>
  <si>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</si>
  <si>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</si>
  <si>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</si>
  <si>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</si>
  <si>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</si>
  <si>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</si>
  <si>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</si>
  <si>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</si>
  <si>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</si>
  <si>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</si>
  <si>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</si>
  <si>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</si>
  <si>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</si>
  <si>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</si>
  <si>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</si>
  <si>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</si>
  <si>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</si>
  <si>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</si>
  <si>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</si>
  <si>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</si>
  <si>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</si>
  <si>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</si>
  <si>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</si>
  <si>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</si>
  <si>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</si>
  <si>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</si>
  <si>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</si>
  <si>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</si>
  <si>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</si>
  <si>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</si>
  <si>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</si>
  <si>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</si>
  <si>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</si>
  <si>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</si>
  <si>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</si>
  <si>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</si>
  <si>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</si>
  <si>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</si>
  <si>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</si>
  <si>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</si>
  <si>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</si>
  <si>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</si>
  <si>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</si>
  <si>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</si>
  <si>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</si>
  <si>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</si>
  <si>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</si>
  <si>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</si>
  <si>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</si>
  <si>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</si>
  <si>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</si>
  <si>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</si>
  <si>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</si>
  <si>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</si>
  <si>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</si>
  <si>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</si>
  <si>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</si>
  <si>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</si>
  <si>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</si>
  <si>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</si>
  <si>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</si>
  <si>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</si>
  <si>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</si>
  <si>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</si>
  <si>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</si>
  <si>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</si>
  <si>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</si>
  <si>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</si>
  <si>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</si>
  <si>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</si>
  <si>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</si>
  <si>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</si>
  <si>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</si>
  <si>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</si>
  <si>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</si>
  <si>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</si>
  <si>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</si>
  <si>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</si>
  <si>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</si>
  <si>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</si>
  <si>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</si>
  <si>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</si>
  <si>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</si>
  <si>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</si>
  <si>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</si>
  <si>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</si>
  <si>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</si>
  <si>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</si>
  <si>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</si>
  <si>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</si>
  <si>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</si>
  <si>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</si>
  <si>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</si>
  <si>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</si>
  <si>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</si>
  <si>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</si>
  <si>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</si>
  <si>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</si>
  <si>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</si>
  <si>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</si>
  <si>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</si>
  <si>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</si>
  <si>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</si>
  <si>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</si>
  <si>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</si>
  <si>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</si>
  <si>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</si>
  <si>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</si>
  <si>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</si>
  <si>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</si>
  <si>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</si>
  <si>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</si>
  <si>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</si>
  <si>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</si>
  <si>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</si>
  <si>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</si>
  <si>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</si>
  <si>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</si>
  <si>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</si>
  <si>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</si>
  <si>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</si>
  <si>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</si>
  <si>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</si>
  <si>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</si>
  <si>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</si>
  <si>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</si>
  <si>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</si>
  <si>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</si>
  <si>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</si>
  <si>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</si>
  <si>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</si>
  <si>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</si>
  <si>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</si>
  <si>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</si>
  <si>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</si>
  <si>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</si>
  <si>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</si>
  <si>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</si>
  <si>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</si>
  <si>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</si>
  <si>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</si>
  <si>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</si>
  <si>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</si>
  <si>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</si>
  <si>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</si>
  <si>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</si>
  <si>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</si>
  <si>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</si>
  <si>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</si>
  <si>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</si>
  <si>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</si>
  <si>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</si>
  <si>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</si>
  <si>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</si>
  <si>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</si>
  <si>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</si>
  <si>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</si>
  <si>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</si>
  <si>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</si>
  <si>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</si>
  <si>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</si>
  <si>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</si>
  <si>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</si>
  <si>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</si>
  <si>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</si>
  <si>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</si>
  <si>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</si>
  <si>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</si>
  <si>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</si>
  <si>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</si>
  <si>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</si>
  <si>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</si>
  <si>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</si>
  <si>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</si>
  <si>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</si>
  <si>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</si>
  <si>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</si>
  <si>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</si>
  <si>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</si>
  <si>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</si>
  <si>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</si>
  <si>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</si>
  <si>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</si>
  <si>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</si>
  <si>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</si>
  <si>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</si>
  <si>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</si>
  <si>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</si>
  <si>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</si>
  <si>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</si>
  <si>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</si>
  <si>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</si>
  <si>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</si>
  <si>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</si>
  <si>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</si>
  <si>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</si>
  <si>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</si>
  <si>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</si>
  <si>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</si>
  <si>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</si>
  <si>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</si>
  <si>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</si>
  <si>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</si>
  <si>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</si>
  <si>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</si>
  <si>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</si>
  <si>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</si>
  <si>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</si>
  <si>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</si>
  <si>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</si>
  <si>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</si>
  <si>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</si>
  <si>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</si>
  <si>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</si>
  <si>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</si>
  <si>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</si>
  <si>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</si>
  <si>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</si>
  <si>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</si>
  <si>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</si>
  <si>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</si>
  <si>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</si>
  <si>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</si>
  <si>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</si>
  <si>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</si>
  <si>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</si>
  <si>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</si>
  <si>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</si>
  <si>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</si>
  <si>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</si>
  <si>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</si>
  <si>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</si>
  <si>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</si>
  <si>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</si>
  <si>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</si>
  <si>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</si>
  <si>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</si>
  <si>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</si>
  <si>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</si>
  <si>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</si>
  <si>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</si>
  <si>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</si>
  <si>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</si>
  <si>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</si>
  <si>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</si>
  <si>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</si>
  <si>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</si>
  <si>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</si>
  <si>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</si>
  <si>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</si>
  <si>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</si>
  <si>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</si>
  <si>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</si>
  <si>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</si>
  <si>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</si>
  <si>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</si>
  <si>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</si>
  <si>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</si>
  <si>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</si>
  <si>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</si>
  <si>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</si>
  <si>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</si>
  <si>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</si>
  <si>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</si>
  <si>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</si>
  <si>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</si>
  <si>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</si>
  <si>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</si>
  <si>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</si>
  <si>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</si>
  <si>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</si>
  <si>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</si>
  <si>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</si>
  <si>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</si>
  <si>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</si>
  <si>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</si>
  <si>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</si>
  <si>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</si>
  <si>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</si>
  <si>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</si>
  <si>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</si>
  <si>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</si>
  <si>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</si>
  <si>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</si>
  <si>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</si>
  <si>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</si>
  <si>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</si>
  <si>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</si>
  <si>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</si>
  <si>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</si>
  <si>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</si>
  <si>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</si>
  <si>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</si>
  <si>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</si>
  <si>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</si>
  <si>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</si>
  <si>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</si>
  <si>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</si>
  <si>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</si>
  <si>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</si>
  <si>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</si>
  <si>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</si>
  <si>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</si>
  <si>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</si>
  <si>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</si>
  <si>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</si>
  <si>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</si>
  <si>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</si>
  <si>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</si>
  <si>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</si>
  <si>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</si>
  <si>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</si>
  <si>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</si>
  <si>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</si>
  <si>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</si>
  <si>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</si>
  <si>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</si>
  <si>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</si>
  <si>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</si>
  <si>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</si>
  <si>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</si>
  <si>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</si>
  <si>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</si>
  <si>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</si>
  <si>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</si>
  <si>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</si>
  <si>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</si>
  <si>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</si>
  <si>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</si>
  <si>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</si>
  <si>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</si>
  <si>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</si>
  <si>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</si>
  <si>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</si>
  <si>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</si>
  <si>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</si>
  <si>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</si>
  <si>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</si>
  <si>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</si>
  <si>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</si>
  <si>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</si>
  <si>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</si>
  <si>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</si>
  <si>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</si>
  <si>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</si>
  <si>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</si>
  <si>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</si>
  <si>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</si>
  <si>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</si>
  <si>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</si>
  <si>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</si>
  <si>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</si>
  <si>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</si>
  <si>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</si>
  <si>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</si>
  <si>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</si>
  <si>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</si>
  <si>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</si>
  <si>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</si>
  <si>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</si>
  <si>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</si>
  <si>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</si>
  <si>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</si>
  <si>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</si>
  <si>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</si>
  <si>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</si>
  <si>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</si>
  <si>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</si>
  <si>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</si>
  <si>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</si>
  <si>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</si>
  <si>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</si>
  <si>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</si>
  <si>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</si>
  <si>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</si>
  <si>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</si>
  <si>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</si>
  <si>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</si>
  <si>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</si>
  <si>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</si>
  <si>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</si>
  <si>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</si>
  <si>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</si>
  <si>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</si>
  <si>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</si>
  <si>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</si>
  <si>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</si>
  <si>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</si>
  <si>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</si>
  <si>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</si>
  <si>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</si>
  <si>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</si>
  <si>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</si>
  <si>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</si>
  <si>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</si>
  <si>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</si>
  <si>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</si>
  <si>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</si>
  <si>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</si>
  <si>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</si>
  <si>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</si>
  <si>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</si>
  <si>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</si>
  <si>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</si>
  <si>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</si>
  <si>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</si>
  <si>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</si>
  <si>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</si>
  <si>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</si>
  <si>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</si>
  <si>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</si>
  <si>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</si>
  <si>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</si>
  <si>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</si>
  <si>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</si>
  <si>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</si>
  <si>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</si>
  <si>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</si>
  <si>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</si>
  <si>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</si>
  <si>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</si>
  <si>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</si>
  <si>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</si>
  <si>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</si>
  <si>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</si>
  <si>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</si>
  <si>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</si>
  <si>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</si>
  <si>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</si>
  <si>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</si>
  <si>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</si>
  <si>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</si>
  <si>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</si>
  <si>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</si>
  <si>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</si>
  <si>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</si>
  <si>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</si>
  <si>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</si>
  <si>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</si>
  <si>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</si>
  <si>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</si>
  <si>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</si>
  <si>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</si>
  <si>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</si>
  <si>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</si>
  <si>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</si>
  <si>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</si>
  <si>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</si>
  <si>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</si>
  <si>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</si>
  <si>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</si>
  <si>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</si>
  <si>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</si>
  <si>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</si>
  <si>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</si>
  <si>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</si>
  <si>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</si>
  <si>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</si>
  <si>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</si>
  <si>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</si>
  <si>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</si>
  <si>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</si>
  <si>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</si>
  <si>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</si>
  <si>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</si>
  <si>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</si>
  <si>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</si>
  <si>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</si>
  <si>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</si>
  <si>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</si>
  <si>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</si>
  <si>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</si>
  <si>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</si>
  <si>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</si>
  <si>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</si>
  <si>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</si>
  <si>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</si>
  <si>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</si>
  <si>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</si>
  <si>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</si>
  <si>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</si>
  <si>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</si>
  <si>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</si>
  <si>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</si>
  <si>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</si>
  <si>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</si>
  <si>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</si>
  <si>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</si>
  <si>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</si>
  <si>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</si>
  <si>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</si>
  <si>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</si>
  <si>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</si>
  <si>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</si>
  <si>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</si>
  <si>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</si>
  <si>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</si>
  <si>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</si>
  <si>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</si>
  <si>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</si>
  <si>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</si>
  <si>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</si>
  <si>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</si>
  <si>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</si>
  <si>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</si>
  <si>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</si>
  <si>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</si>
  <si>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</si>
  <si>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</si>
  <si>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</si>
  <si>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</si>
  <si>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</si>
  <si>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</si>
  <si>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</si>
  <si>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</si>
  <si>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</si>
  <si>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</si>
  <si>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</si>
  <si>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</si>
  <si>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</si>
  <si>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</si>
  <si>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</si>
  <si>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</si>
  <si>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</si>
  <si>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</si>
  <si>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</si>
  <si>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</si>
  <si>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</si>
  <si>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</si>
  <si>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</si>
  <si>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</si>
  <si>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</si>
  <si>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</si>
  <si>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</si>
  <si>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</si>
  <si>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</si>
  <si>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</si>
  <si>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</si>
  <si>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</si>
  <si>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</si>
  <si>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</si>
  <si>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</si>
  <si>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</si>
  <si>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</si>
  <si>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</si>
  <si>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</si>
  <si>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</si>
  <si>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</si>
  <si>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</si>
  <si>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</si>
  <si>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</si>
  <si>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</si>
  <si>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</si>
  <si>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</si>
  <si>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</si>
  <si>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</si>
  <si>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</si>
  <si>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</si>
  <si>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</si>
  <si>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</si>
  <si>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</si>
  <si>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</si>
  <si>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</si>
  <si>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</si>
  <si>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</si>
  <si>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</si>
  <si>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</si>
  <si>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</si>
  <si>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</si>
  <si>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</si>
  <si>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</si>
  <si>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</si>
  <si>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</si>
  <si>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</si>
  <si>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</si>
  <si>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</si>
  <si>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</si>
  <si>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</si>
  <si>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</si>
  <si>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</si>
  <si>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</si>
  <si>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</si>
  <si>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</si>
  <si>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</si>
  <si>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</si>
  <si>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</si>
  <si>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</si>
  <si>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</si>
  <si>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</si>
  <si>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</si>
  <si>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</si>
  <si>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</si>
  <si>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</si>
  <si>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</si>
  <si>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</si>
  <si>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</si>
  <si>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</si>
  <si>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</si>
  <si>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</si>
  <si>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</si>
  <si>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</si>
  <si>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</si>
  <si>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</si>
  <si>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</si>
  <si>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</si>
  <si>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</si>
  <si>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</si>
  <si>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</si>
  <si>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</si>
  <si>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</si>
  <si>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</si>
  <si>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</si>
  <si>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</si>
  <si>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</si>
  <si>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</si>
  <si>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</si>
  <si>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</si>
  <si>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</si>
  <si>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</si>
  <si>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</si>
  <si>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</si>
  <si>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</si>
  <si>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</si>
  <si>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</si>
  <si>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</si>
  <si>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</si>
  <si>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</si>
  <si>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</si>
  <si>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</si>
  <si>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</si>
  <si>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</si>
  <si>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</si>
  <si>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</si>
  <si>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</si>
  <si>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</si>
  <si>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</si>
  <si>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</si>
  <si>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</si>
  <si>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</si>
  <si>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</si>
  <si>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</si>
  <si>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</si>
  <si>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</si>
  <si>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</si>
  <si>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</si>
  <si>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</si>
  <si>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</si>
  <si>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</si>
  <si>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</si>
  <si>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</si>
  <si>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</si>
  <si>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</si>
  <si>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</si>
  <si>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</si>
  <si>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</si>
  <si>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</si>
  <si>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</si>
  <si>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</si>
  <si>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</si>
  <si>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</si>
  <si>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</si>
  <si>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</si>
  <si>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</si>
  <si>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</si>
  <si>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</si>
  <si>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</si>
  <si>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</si>
  <si>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</si>
  <si>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</si>
  <si>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</si>
  <si>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</si>
  <si>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</si>
  <si>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</si>
  <si>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</si>
  <si>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</si>
  <si>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</si>
  <si>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</si>
  <si>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</si>
  <si>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</si>
  <si>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</si>
  <si>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</si>
  <si>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</si>
  <si>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</si>
  <si>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</si>
  <si>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</si>
  <si>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</si>
  <si>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</si>
  <si>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</si>
  <si>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</si>
  <si>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</si>
  <si>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</si>
  <si>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</si>
  <si>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</si>
  <si>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</si>
  <si>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</si>
  <si>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</si>
  <si>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</si>
  <si>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</si>
  <si>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</si>
  <si>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</si>
  <si>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</si>
  <si>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</si>
  <si>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</si>
  <si>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</si>
  <si>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</si>
  <si>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</si>
  <si>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</si>
  <si>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</si>
  <si>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</si>
  <si>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</si>
  <si>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</si>
  <si>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</si>
  <si>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</si>
  <si>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</si>
  <si>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</si>
  <si>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</si>
  <si>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</si>
  <si>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</si>
  <si>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</si>
  <si>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</si>
  <si>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</si>
  <si>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</si>
  <si>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</si>
  <si>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</si>
  <si>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</si>
  <si>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</si>
  <si>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</si>
  <si>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</si>
  <si>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</si>
  <si>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</si>
  <si>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</si>
  <si>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</si>
  <si>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</si>
  <si>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</si>
  <si>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</si>
  <si>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</si>
  <si>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</si>
  <si>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</si>
  <si>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</si>
  <si>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</si>
  <si>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</si>
  <si>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</si>
  <si>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</si>
  <si>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</si>
  <si>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</si>
  <si>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</si>
  <si>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</si>
  <si>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</si>
  <si>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</si>
  <si>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</si>
  <si>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</si>
  <si>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</si>
  <si>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</si>
  <si>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</si>
  <si>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</si>
  <si>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</si>
  <si>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</si>
  <si>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</si>
  <si>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</si>
  <si>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</si>
  <si>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</si>
  <si>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</si>
  <si>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</si>
  <si>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</si>
  <si>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</si>
  <si>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</si>
  <si>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</si>
  <si>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</si>
  <si>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</si>
  <si>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</si>
  <si>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</si>
  <si>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</si>
  <si>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</si>
  <si>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</si>
  <si>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</si>
  <si>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</si>
  <si>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</si>
  <si>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</si>
  <si>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</si>
  <si>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</si>
  <si>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</si>
  <si>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</si>
  <si>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</si>
  <si>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</si>
  <si>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</si>
  <si>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</si>
  <si>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</si>
  <si>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</si>
  <si>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</si>
  <si>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</si>
  <si>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</si>
  <si>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</si>
  <si>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</si>
  <si>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</si>
  <si>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</si>
  <si>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</si>
  <si>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</si>
  <si>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</si>
  <si>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</si>
  <si>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</si>
  <si>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</si>
  <si>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</si>
  <si>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</si>
  <si>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</si>
  <si>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</si>
  <si>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</si>
  <si>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</si>
  <si>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</si>
  <si>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</si>
  <si>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</si>
  <si>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</si>
  <si>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</si>
  <si>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</si>
  <si>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</si>
  <si>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</si>
  <si>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</si>
  <si>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</si>
  <si>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</si>
  <si>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</si>
  <si>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</si>
  <si>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</si>
  <si>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</si>
  <si>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</si>
  <si>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</si>
  <si>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</si>
  <si>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</si>
  <si>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</si>
  <si>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</si>
  <si>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</si>
  <si>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</si>
  <si>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</si>
  <si>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</si>
  <si>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</si>
  <si>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</si>
  <si>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</si>
  <si>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</si>
  <si>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</si>
  <si>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</si>
  <si>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</si>
  <si>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Convert any address or range to a numeric address (1e6*row+col) or an array of them. A string address becomes its number; a range (A1 or numeric) expands to an array of numeric addresses top-left to bottom-right; empty becomes ""; anything else passes through. Element-wise over an array (ranges inside an array pass through).</t>
  </si>
  <si>
    <t>Convert any address or range to numeric form - the mirror of str_ad, and the standard way to coerce mixed address input to numbers.
Behaviour by input: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num_ad("hi")                -&gt;  "hi"</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</si>
  <si>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</si>
  <si>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</si>
  <si>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</si>
  <si>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</si>
  <si>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</si>
  <si>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</si>
  <si>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</si>
  <si>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</si>
  <si>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</si>
  <si>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</si>
  <si>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</si>
  <si>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</si>
  <si>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</si>
  <si>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</si>
  <si>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</si>
  <si>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</si>
  <si>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</si>
  <si>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</si>
  <si>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</si>
  <si>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</si>
  <si>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</si>
  <si>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</si>
  <si>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</si>
  <si>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</si>
  <si>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to_num_1, LAMBDA(one, IF(one = "", "",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</si>
  <si>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</si>
  <si>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</si>
  <si>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</si>
  <si>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</si>
  <si>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</si>
  <si>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</si>
  <si>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</si>
  <si>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</si>
  <si>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</si>
  <si>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</si>
  <si>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z_change_costs(du, cap)</t>
  </si>
  <si>
    <t>z_change_counts(best, du, vstar, ncoins)</t>
  </si>
  <si>
    <t>make_change(coins, price) - fewest coins whose total is as close to price as possible without going over; optimal DP; array shaped like coins</t>
  </si>
  <si>
    <t>{1;0.5;0.25;0.05} @ 4.34 -&gt; 4,0,1,1</t>
  </si>
  <si>
    <t>non-canonical {0.25;0.10} @ 0.30 -&gt; 0,3 (greedy gives 1,0)</t>
  </si>
  <si>
    <t>{2;1;0.5} @ 5 -&gt; 2,1,0</t>
  </si>
  <si>
    <t>price below smallest coin -&gt; all zeros</t>
  </si>
  <si>
    <t>{5;3} @ 6 -&gt; 0,2 (6=3+3 beats one 5)</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</si>
  <si>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</si>
  <si>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</si>
  <si>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</si>
  <si>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</si>
  <si>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</si>
  <si>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</si>
  <si>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</si>
  <si>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</si>
  <si>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</si>
  <si>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</si>
  <si>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Fewest coins of the given denominations whose total is as close to price as possible without exceeding it. coins is a vertical array of denominations; returns a matching array of counts. Optimal (DP), so it is correct even for non-canonical denomination sets. Works with range or literal inputs and with many calls on one sheet.</t>
  </si>
  <si>
    <t>=LAMBDA(coins, price, LET(
   cvec, TOCOL(coins),
   ncoins, ROWS(cvec),
   scale, 1000000,
   cnum, IFERROR(cvec * 1, 0),
   pnum, IFERROR(price * 1, 0),
   ds, IF(cnum &gt; 0, ROUND(cnum * scale, 0), 0),
   npos, SUM(--(ds &gt; 0)),
   IF(npos = 0,
      IF(ROWS(coins) &gt;= COLUMNS(coins), SEQUENCE(ncoins, 1, 0, 0), SEQUENCE(1, ncoins, 0, 0)),
      LET(
         posd, FILTER(ds, ds &gt; 0),
         gunit, GCD(posd),
         du, IF(ds &gt; 0, ds / gunit, 0),
         ps, ROUND(pnum * scale, 0),
         cap, INT(ps / gunit),
         best, z_change_costs(du, cap),
         seq, SEQUENCE(ROWS(best), 1, 0),
         vstar, MAX(IF(best &lt; 1000000000, seq, -1)),
         counts_row, z_change_counts(best, du, vstar, ncoins),
         IF(ROWS(coins) &gt;= COLUMNS(coins), TRANSPOSE(counts_row), counts_row)
      )
   )
))</t>
  </si>
  <si>
    <t>Makes change for a price using the fewest coins, getting as close as possible to the price without going over.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Among all coin combinations whose total is the largest achievable value not exceeding price, it returns the one using the fewest coins total. Ties are broken toward earlier-listed denominations, so listing coins largest-first yields a "heaviest-first" solution.
This is a true optimizer (dynamic programming), not a largest-first greedy, so it stays correct even when the denominations aren't a canonical currency set - e.g. make_change({0.25; 0.10}, 0.30) returns {0; 3} (0.30) rather than the greedy {1; 0} (0.25).
Example:
  make_change({1; 0.5; 0.25; 0.05}, 4.34)  -&gt;  {4; 0; 1; 1}
  (4.30 is the closest total not over 4.34, and 4+1+1 = 6 coins is the fewest that make it.)
Note: denominations and price are scaled to integers (six decimal places) and reduced by their GCD, so the internal DP size is price/GCD. Relies on the private helpers z_change_costs and z_change_counts, which are written to stay correct with range inputs and with multiple make_change calls on the same sheet (an earlier INDEX-based version silently returned a single coin in those cases).</t>
  </si>
  <si>
    <t>Private helper for make_change - do not call directly. Unbounded-coin DP: returns a column of length cap+1 where row a+1 is the fewest coins that total exactly a units, or 1000000000 (sentinel) if a is not reachable. du is the denominations in integer GCD-units (entries below 1 are ignored).</t>
  </si>
  <si>
    <t>=LAMBDA(du, cap, LET(
   inf, 1000000000,
   IF(cap &lt; 1,
      0,
      LET(
         alen, cap + 1,
         init, VSTACK(0, SEQUENCE(cap, 1, inf, 0)),
         REDUCE(init, SEQUENCE(cap), LAMBDA(best, pass_num,
            REDUCE(best, du, LAMBDA(acc, coin,
               IF(coin &lt; 1,
                  acc,
                  LET(
                     shifted, TAKE(VSTACK(SEQUENCE(coin, 1, inf, 0), best), alen),
                     IF(shifted + 1 &lt; acc, shifted + 1, acc)
                  )
               )
            ))
         ))
      )
   )
))</t>
  </si>
  <si>
    <t>Private helper for make_change. Builds the minimum-coins-per-amount table by dynamic programming.
Arguments:
  du  - the coin denominations expressed as positive integers (in GCD units); entries below 1 are ignored as unusable.
  cap - the largest amount (in the same units) to solve for.
Returns:
  A column of cap+1 values. Row a+1 holds the fewest coins whose values sum to exactly a units, or 1000000000 if a cannot be made. When cap &lt; 1 it returns the scalar 0 (only amount 0, which needs 0 coins).
Implementation note: this is a shift-based Bellman-Ford relaxation - each pass, every coin shifts the whole best vector down by its size (VSTACK a column of sentinels on top, then TAKE back to length cap+1) and takes the element-wise min of best and shifted+1. cap passes guarantee convergence (a solution never needs more than cap coins). It deliberately avoids INDEX-ing into the growing accumulator with a computed index: Excel returns wrong results for that pattern when the inputs trace back to a range or when several make_change calls share a sheet.
Called only by make_change; not intended for direct worksheet use.</t>
  </si>
  <si>
    <t>Private helper for make_change - do not call directly. Backtracks the min-coins table from amount vstar to 0, tallying how many of each of the ncoins denominations were used. Returns a 1-by-ncoins row of counts.</t>
  </si>
  <si>
    <t>=LAMBDA(best, du, vstar, ncoins, LET(
   inf, 1000000000,
   alen, ROWS(best),
   seq, SEQUENCE(alen, 1, 0),
   seqc, SEQUENCE(ncoins, 1, 1),
   seqr, SEQUENCE(1, ncoins),
   kmin, SUM(best * (seq = vstar)),
   zeros, SEQUENCE(1, ncoins, 0, 0),
   IF(OR(vstar &lt;= 0, kmin &lt;= 0, kmin &gt;= inf),
      zeros,
      DROP(
         REDUCE(HSTACK(vstar, zeros), SEQUENCE(kmin), LAMBDA(acc, step, LET(
            rem, INDEX(acc, 1, 1),
            cnt, DROP(acc, , 1),
            bestrem, SUM(best * (seq = rem)),
            prevb, MAP(du, LAMBDA(coin, IF((coin &gt;= 1) * (coin &lt;= rem), SUM(best * (seq = (rem - coin))), inf))),
            pick, (du &gt;= 1) * (prevb = bestrem - 1),
            hit, XMATCH(1, pick),
            chosen, SUM(du * (seqc = hit)),
            HSTACK(rem - chosen, cnt + (seqr = hit))
         ))),
         , 1
      )
   )
))</t>
  </si>
  <si>
    <t>Private helper for make_change. Reconstructs the per-denomination coin counts from the DP table produced by z_change_costs.
Arguments:
  best   - the min-coins-per-amount column from z_change_costs.
  du     - the denominations in integer GCD units (0 = unusable), aligned to the original coins order.
  vstar  - the chosen target amount (largest reachable value not exceeding the price).
  ncoins - the number of denominations (rows) to report.
Returns:
  A 1-by-ncoins row giving how many of each denomination make up vstar with the fewest coins. Each step picks a denomination that lies on an optimal (one-coin-cheaper) path and subtracts it until the amount reaches 0. Returns all zeros when vstar is 0 or unreachable.
Implementation note: it reads best[k] as SUM(best*(seq=k)) and du[hit] as SUM(du*(seqc=hit)) rather than INDEX(best, ...)/INDEX(du, ...). Excel mis-evaluates INDEX into these computed arrays (which come from a REDUCE and, via make_change, from a range) when several make_change calls share a sheet - it silently collapses the answer to a single coin. Element-wise selection with SUM (and MAP for the per-coin lookups) is evaluated reliably.
Called only by make_change; not intended for direct worksheet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</si>
</sst>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06/relationships/rdRichValue" Target="richData/rdrichvalue.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Types" Target="richData/rdRichValueTyp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3B666-9859-4615-B012-78BF77A5B984}">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3" t="s">
        <v>3352</v>
      </c>
      <c r="C1" s="84"/>
      <c r="D1" s="84"/>
      <c r="E1" s="84"/>
      <c r="F1" s="84"/>
      <c r="G1" s="85"/>
    </row>
    <row r="2" spans="1:1022" ht="19.25" customHeight="1" thickBot="1" x14ac:dyDescent="0.5">
      <c r="A2" s="27" t="s">
        <v>20</v>
      </c>
      <c r="B2" s="83" t="s">
        <v>3353</v>
      </c>
      <c r="C2" s="84"/>
      <c r="D2" s="84"/>
      <c r="E2" s="84"/>
      <c r="F2" s="84"/>
      <c r="G2" s="85"/>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3" t="s">
        <v>3354</v>
      </c>
      <c r="C3" s="84"/>
      <c r="D3" s="84"/>
      <c r="E3" s="84"/>
      <c r="F3" s="84"/>
      <c r="G3" s="85"/>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89" t="s">
        <v>124</v>
      </c>
      <c r="B5" s="79"/>
      <c r="C5" s="79"/>
      <c r="D5" s="79"/>
      <c r="E5" s="80"/>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0" t="s">
        <v>150</v>
      </c>
      <c r="V8" s="80"/>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78" t="s">
        <v>0</v>
      </c>
      <c r="B33" s="79"/>
      <c r="C33" s="79"/>
      <c r="D33" s="79"/>
      <c r="E33" s="80"/>
      <c r="F33" s="78" t="s">
        <v>2</v>
      </c>
      <c r="G33" s="79"/>
      <c r="H33" s="79"/>
      <c r="I33" s="79"/>
      <c r="J33" s="79"/>
      <c r="K33" s="79"/>
      <c r="L33" s="79"/>
      <c r="M33" s="79"/>
      <c r="N33" s="79"/>
      <c r="O33" s="79"/>
      <c r="P33" s="79"/>
      <c r="Q33" s="79"/>
      <c r="R33" s="79"/>
      <c r="S33" s="79"/>
      <c r="T33" s="79"/>
      <c r="U33" s="80"/>
    </row>
    <row r="34" spans="1:21" ht="19.25" customHeight="1" x14ac:dyDescent="0.45">
      <c r="A34" s="86" t="s">
        <v>2635</v>
      </c>
      <c r="B34" s="82"/>
      <c r="C34" s="82"/>
      <c r="D34" s="82"/>
      <c r="E34" s="82"/>
      <c r="F34" s="26" t="s">
        <v>2636</v>
      </c>
      <c r="G34" s="26"/>
    </row>
    <row r="35" spans="1:21" ht="19.25" customHeight="1" x14ac:dyDescent="0.45">
      <c r="A35" s="91" t="s">
        <v>2637</v>
      </c>
      <c r="B35" s="82"/>
      <c r="C35" s="82"/>
      <c r="D35" s="82"/>
      <c r="E35" s="82"/>
      <c r="F35" s="26" t="s">
        <v>2638</v>
      </c>
      <c r="G35" s="26"/>
    </row>
    <row r="36" spans="1:21" ht="19.25" customHeight="1" x14ac:dyDescent="0.45">
      <c r="A36" s="86" t="s">
        <v>2639</v>
      </c>
      <c r="B36" s="82"/>
      <c r="C36" s="82"/>
      <c r="D36" s="82"/>
      <c r="E36" s="82"/>
      <c r="F36" s="2" t="s">
        <v>2640</v>
      </c>
    </row>
    <row r="37" spans="1:21" ht="19.25" customHeight="1" x14ac:dyDescent="0.45">
      <c r="A37" s="86" t="s">
        <v>2641</v>
      </c>
      <c r="B37" s="82"/>
      <c r="C37" s="82"/>
      <c r="D37" s="82"/>
      <c r="E37" s="82"/>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88"/>
      <c r="D68" s="88"/>
      <c r="E68" s="88"/>
    </row>
    <row r="69" spans="1:21" ht="19.25" customHeight="1" thickBot="1" x14ac:dyDescent="0.55000000000000004">
      <c r="A69" s="15" t="s">
        <v>2738</v>
      </c>
    </row>
    <row r="70" spans="1:21" ht="19.25" customHeight="1" thickBot="1" x14ac:dyDescent="0.55000000000000004">
      <c r="A70" s="78" t="s">
        <v>0</v>
      </c>
      <c r="B70" s="79"/>
      <c r="C70" s="79"/>
      <c r="D70" s="79"/>
      <c r="E70" s="80"/>
      <c r="F70" s="78" t="s">
        <v>2</v>
      </c>
      <c r="G70" s="79"/>
      <c r="H70" s="79"/>
      <c r="I70" s="79"/>
      <c r="J70" s="79"/>
      <c r="K70" s="79"/>
      <c r="L70" s="79"/>
      <c r="M70" s="79"/>
      <c r="N70" s="79"/>
      <c r="O70" s="79"/>
      <c r="P70" s="79"/>
      <c r="Q70" s="79"/>
      <c r="R70" s="79"/>
      <c r="S70" s="79"/>
      <c r="T70" s="79"/>
      <c r="U70" s="80"/>
    </row>
    <row r="71" spans="1:21" ht="19.25" customHeight="1" x14ac:dyDescent="0.45">
      <c r="A71" s="81" t="s">
        <v>2739</v>
      </c>
      <c r="B71" s="82"/>
      <c r="C71" s="82"/>
      <c r="D71" s="82"/>
      <c r="E71" s="82"/>
      <c r="F71" s="26" t="s">
        <v>2740</v>
      </c>
      <c r="G71" s="26"/>
    </row>
    <row r="72" spans="1:21" ht="19.25" customHeight="1" x14ac:dyDescent="0.45">
      <c r="A72" s="81" t="s">
        <v>2741</v>
      </c>
      <c r="B72" s="82"/>
      <c r="C72" s="82"/>
      <c r="D72" s="82"/>
      <c r="E72" s="82"/>
      <c r="F72" s="26" t="s">
        <v>2742</v>
      </c>
    </row>
    <row r="73" spans="1:21" ht="22.5" customHeight="1" x14ac:dyDescent="0.45">
      <c r="A73" s="81" t="s">
        <v>2743</v>
      </c>
      <c r="B73" s="82"/>
      <c r="C73" s="82"/>
      <c r="D73" s="82"/>
      <c r="E73" s="82"/>
      <c r="F73" s="26" t="s">
        <v>2744</v>
      </c>
    </row>
    <row r="74" spans="1:21" ht="19.25" customHeight="1" x14ac:dyDescent="0.45">
      <c r="A74" s="81" t="s">
        <v>2745</v>
      </c>
      <c r="B74" s="82"/>
      <c r="C74" s="82"/>
      <c r="D74" s="82"/>
      <c r="E74" s="82"/>
      <c r="F74" s="82"/>
      <c r="G74" s="82"/>
      <c r="H74" s="82"/>
      <c r="I74" s="82"/>
      <c r="J74" s="82"/>
      <c r="K74" s="82"/>
      <c r="L74" s="82"/>
      <c r="M74" s="87" t="s">
        <v>2746</v>
      </c>
      <c r="N74" s="82"/>
      <c r="O74" s="82"/>
      <c r="P74" s="82"/>
      <c r="Q74" s="82"/>
      <c r="R74" s="82"/>
      <c r="S74" s="82"/>
      <c r="T74" s="82"/>
      <c r="U74" s="82"/>
    </row>
  </sheetData>
  <mergeCells count="19">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 ref="A72:E72"/>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84D8C-12E5-40DF-8575-0BE726A261C4}">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2"/>
      <c r="S1" s="93"/>
    </row>
    <row r="2" spans="1:19" s="75" customFormat="1" ht="19.25" customHeight="1" x14ac:dyDescent="0.5">
      <c r="A2" s="71" t="s">
        <v>3552</v>
      </c>
      <c r="B2" s="72" t="s">
        <v>3553</v>
      </c>
      <c r="C2" s="73" t="s">
        <v>3594</v>
      </c>
      <c r="D2" s="74" t="s">
        <v>3554</v>
      </c>
    </row>
    <row r="3" spans="1:19" s="75" customFormat="1" ht="19.25" customHeight="1" x14ac:dyDescent="0.5">
      <c r="A3" s="71" t="s">
        <v>3555</v>
      </c>
      <c r="B3" s="72" t="s">
        <v>3556</v>
      </c>
      <c r="C3" s="73" t="s">
        <v>3557</v>
      </c>
      <c r="D3" s="74" t="s">
        <v>3558</v>
      </c>
    </row>
    <row r="4" spans="1:19" s="75" customFormat="1" ht="19.25" customHeight="1" x14ac:dyDescent="0.5">
      <c r="A4" s="71" t="s">
        <v>2749</v>
      </c>
      <c r="B4" s="72" t="s">
        <v>3286</v>
      </c>
      <c r="C4" s="73" t="s">
        <v>3287</v>
      </c>
      <c r="D4" s="74" t="s">
        <v>3288</v>
      </c>
    </row>
    <row r="5" spans="1:19" s="75" customFormat="1" ht="19.25" customHeight="1" x14ac:dyDescent="0.5">
      <c r="A5" s="71" t="s">
        <v>2750</v>
      </c>
      <c r="B5" s="72" t="s">
        <v>2751</v>
      </c>
      <c r="C5" s="73" t="s">
        <v>2752</v>
      </c>
      <c r="D5" s="74" t="s">
        <v>2753</v>
      </c>
    </row>
    <row r="6" spans="1:19" s="75" customFormat="1" ht="19.25" customHeight="1" x14ac:dyDescent="0.5">
      <c r="A6" s="71" t="s">
        <v>2754</v>
      </c>
      <c r="B6" s="72" t="s">
        <v>2755</v>
      </c>
      <c r="C6" s="73" t="s">
        <v>3559</v>
      </c>
      <c r="D6" s="74" t="s">
        <v>3302</v>
      </c>
    </row>
    <row r="7" spans="1:19" s="75" customFormat="1" ht="19.25" customHeight="1" x14ac:dyDescent="0.5">
      <c r="A7" s="71" t="s">
        <v>2756</v>
      </c>
      <c r="B7" s="72" t="s">
        <v>2757</v>
      </c>
      <c r="C7" s="73" t="s">
        <v>3303</v>
      </c>
      <c r="D7" s="74" t="s">
        <v>3304</v>
      </c>
    </row>
    <row r="8" spans="1:19" s="75" customFormat="1" ht="19.25" customHeight="1" x14ac:dyDescent="0.5">
      <c r="A8" s="71" t="s">
        <v>2758</v>
      </c>
      <c r="B8" s="72" t="s">
        <v>2759</v>
      </c>
      <c r="C8" s="73" t="s">
        <v>2760</v>
      </c>
      <c r="D8" s="74" t="s">
        <v>2761</v>
      </c>
    </row>
    <row r="9" spans="1:19" s="75" customFormat="1" ht="19.25" customHeight="1" x14ac:dyDescent="0.5">
      <c r="A9" s="71" t="s">
        <v>3560</v>
      </c>
      <c r="B9" s="72" t="s">
        <v>3561</v>
      </c>
      <c r="C9" s="73" t="s">
        <v>3562</v>
      </c>
      <c r="D9" s="74" t="s">
        <v>3563</v>
      </c>
    </row>
    <row r="10" spans="1:19" s="75" customFormat="1" ht="19.25" customHeight="1" x14ac:dyDescent="0.5">
      <c r="A10" s="71" t="s">
        <v>2762</v>
      </c>
      <c r="B10" s="72" t="s">
        <v>2763</v>
      </c>
      <c r="C10" s="73" t="s">
        <v>2764</v>
      </c>
      <c r="D10" s="74" t="s">
        <v>2765</v>
      </c>
    </row>
    <row r="11" spans="1:19" s="75" customFormat="1" ht="19.25" customHeight="1" x14ac:dyDescent="0.5">
      <c r="A11" s="71" t="s">
        <v>2766</v>
      </c>
      <c r="B11" s="72" t="s">
        <v>2767</v>
      </c>
      <c r="C11" s="73" t="s">
        <v>2768</v>
      </c>
      <c r="D11" s="74" t="s">
        <v>2769</v>
      </c>
    </row>
    <row r="12" spans="1:19" s="75" customFormat="1" ht="19.25" customHeight="1" x14ac:dyDescent="0.5">
      <c r="A12" s="71" t="s">
        <v>2770</v>
      </c>
      <c r="B12" s="72" t="s">
        <v>2771</v>
      </c>
      <c r="C12" s="73" t="s">
        <v>2772</v>
      </c>
      <c r="D12" s="74" t="s">
        <v>2773</v>
      </c>
    </row>
    <row r="13" spans="1:19" s="75" customFormat="1" ht="19.25" customHeight="1" x14ac:dyDescent="0.5">
      <c r="A13" s="71" t="s">
        <v>2774</v>
      </c>
      <c r="B13" s="72" t="s">
        <v>2775</v>
      </c>
      <c r="C13" s="73" t="s">
        <v>3305</v>
      </c>
      <c r="D13" s="74" t="s">
        <v>3306</v>
      </c>
    </row>
    <row r="14" spans="1:19" s="75" customFormat="1" ht="19.25" customHeight="1" x14ac:dyDescent="0.5">
      <c r="A14" s="71" t="s">
        <v>2776</v>
      </c>
      <c r="B14" s="72" t="s">
        <v>2777</v>
      </c>
      <c r="C14" s="73" t="s">
        <v>2778</v>
      </c>
      <c r="D14" s="74" t="s">
        <v>2779</v>
      </c>
    </row>
    <row r="15" spans="1:19" s="75" customFormat="1" ht="19.25" customHeight="1" x14ac:dyDescent="0.5">
      <c r="A15" s="71" t="s">
        <v>2780</v>
      </c>
      <c r="B15" s="72" t="s">
        <v>2781</v>
      </c>
      <c r="C15" s="73" t="s">
        <v>2782</v>
      </c>
      <c r="D15" s="74" t="s">
        <v>2783</v>
      </c>
    </row>
    <row r="16" spans="1:19" s="75" customFormat="1" ht="19.25" customHeight="1" x14ac:dyDescent="0.5">
      <c r="A16" s="71" t="s">
        <v>3564</v>
      </c>
      <c r="B16" s="72" t="s">
        <v>3565</v>
      </c>
      <c r="C16" s="73" t="s">
        <v>3595</v>
      </c>
      <c r="D16" s="74" t="s">
        <v>3566</v>
      </c>
    </row>
    <row r="17" spans="1:4" s="75" customFormat="1" ht="19.25" customHeight="1" x14ac:dyDescent="0.5">
      <c r="A17" s="71" t="s">
        <v>2784</v>
      </c>
      <c r="B17" s="72" t="s">
        <v>2785</v>
      </c>
      <c r="C17" s="73" t="s">
        <v>2786</v>
      </c>
      <c r="D17" s="74" t="s">
        <v>2787</v>
      </c>
    </row>
    <row r="18" spans="1:4" s="75" customFormat="1" ht="19.25" customHeight="1" x14ac:dyDescent="0.5">
      <c r="A18" s="71" t="s">
        <v>2788</v>
      </c>
      <c r="B18" s="72" t="s">
        <v>3567</v>
      </c>
      <c r="C18" s="73" t="s">
        <v>2789</v>
      </c>
      <c r="D18" s="74" t="s">
        <v>3568</v>
      </c>
    </row>
    <row r="19" spans="1:4" s="75" customFormat="1" ht="19.25" customHeight="1" x14ac:dyDescent="0.5">
      <c r="A19" s="71" t="s">
        <v>2790</v>
      </c>
      <c r="B19" s="72" t="s">
        <v>2791</v>
      </c>
      <c r="C19" s="73" t="s">
        <v>2792</v>
      </c>
      <c r="D19" s="74" t="s">
        <v>2793</v>
      </c>
    </row>
    <row r="20" spans="1:4" s="75" customFormat="1" ht="19.25" customHeight="1" x14ac:dyDescent="0.5">
      <c r="A20" s="71" t="s">
        <v>2794</v>
      </c>
      <c r="B20" s="72" t="s">
        <v>2795</v>
      </c>
      <c r="C20" s="73" t="s">
        <v>3307</v>
      </c>
      <c r="D20" s="74" t="s">
        <v>3308</v>
      </c>
    </row>
    <row r="21" spans="1:4" s="75" customFormat="1" ht="19.25" customHeight="1" x14ac:dyDescent="0.5">
      <c r="A21" s="71" t="s">
        <v>2796</v>
      </c>
      <c r="B21" s="72" t="s">
        <v>2797</v>
      </c>
      <c r="C21" s="73" t="s">
        <v>2798</v>
      </c>
      <c r="D21" s="74" t="s">
        <v>2799</v>
      </c>
    </row>
    <row r="22" spans="1:4" s="75" customFormat="1" ht="19.25" customHeight="1" x14ac:dyDescent="0.5">
      <c r="A22" s="71" t="s">
        <v>3598</v>
      </c>
      <c r="B22" s="72" t="s">
        <v>3625</v>
      </c>
      <c r="C22" s="73" t="s">
        <v>3626</v>
      </c>
      <c r="D22" s="74" t="s">
        <v>3627</v>
      </c>
    </row>
    <row r="23" spans="1:4" s="75" customFormat="1" ht="19.25" customHeight="1" x14ac:dyDescent="0.5">
      <c r="A23" s="71" t="s">
        <v>2800</v>
      </c>
      <c r="B23" s="72" t="s">
        <v>2801</v>
      </c>
      <c r="C23" s="73" t="s">
        <v>2802</v>
      </c>
      <c r="D23" s="74" t="s">
        <v>2803</v>
      </c>
    </row>
    <row r="24" spans="1:4" s="75" customFormat="1" ht="19.25" customHeight="1" x14ac:dyDescent="0.5">
      <c r="A24" s="71" t="s">
        <v>2804</v>
      </c>
      <c r="B24" s="72" t="s">
        <v>2805</v>
      </c>
      <c r="C24" s="73" t="s">
        <v>2806</v>
      </c>
      <c r="D24" s="74" t="s">
        <v>2807</v>
      </c>
    </row>
    <row r="25" spans="1:4" s="75" customFormat="1" ht="19.25" customHeight="1" x14ac:dyDescent="0.5">
      <c r="A25" s="71" t="s">
        <v>3569</v>
      </c>
      <c r="B25" s="72" t="s">
        <v>3570</v>
      </c>
      <c r="C25" s="73" t="s">
        <v>3596</v>
      </c>
      <c r="D25" s="74" t="s">
        <v>3571</v>
      </c>
    </row>
    <row r="26" spans="1:4" s="75" customFormat="1" ht="19.25" customHeight="1" x14ac:dyDescent="0.5">
      <c r="A26" s="71" t="s">
        <v>2808</v>
      </c>
      <c r="B26" s="72" t="s">
        <v>2809</v>
      </c>
      <c r="C26" s="73" t="s">
        <v>2810</v>
      </c>
      <c r="D26" s="74" t="s">
        <v>2811</v>
      </c>
    </row>
    <row r="27" spans="1:4" s="75" customFormat="1" ht="19.25" customHeight="1" x14ac:dyDescent="0.5">
      <c r="A27" s="71" t="s">
        <v>2812</v>
      </c>
      <c r="B27" s="72" t="s">
        <v>2813</v>
      </c>
      <c r="C27" s="73" t="s">
        <v>2814</v>
      </c>
      <c r="D27" s="74" t="s">
        <v>2815</v>
      </c>
    </row>
    <row r="28" spans="1:4" s="75" customFormat="1" ht="19.25" customHeight="1" x14ac:dyDescent="0.5">
      <c r="A28" s="71" t="s">
        <v>2816</v>
      </c>
      <c r="B28" s="72" t="s">
        <v>2817</v>
      </c>
      <c r="C28" s="73" t="s">
        <v>2818</v>
      </c>
      <c r="D28" s="74" t="s">
        <v>2819</v>
      </c>
    </row>
    <row r="29" spans="1:4" s="75" customFormat="1" ht="19.25" customHeight="1" x14ac:dyDescent="0.5">
      <c r="A29" s="71" t="s">
        <v>3572</v>
      </c>
      <c r="B29" s="72" t="s">
        <v>3573</v>
      </c>
      <c r="C29" s="73" t="s">
        <v>3490</v>
      </c>
      <c r="D29" s="74" t="s">
        <v>3574</v>
      </c>
    </row>
    <row r="30" spans="1:4" s="75" customFormat="1" ht="19.25" customHeight="1" x14ac:dyDescent="0.5">
      <c r="A30" s="71" t="s">
        <v>2820</v>
      </c>
      <c r="B30" s="72" t="s">
        <v>2821</v>
      </c>
      <c r="C30" s="73" t="s">
        <v>2822</v>
      </c>
      <c r="D30" s="74" t="s">
        <v>2823</v>
      </c>
    </row>
    <row r="31" spans="1:4" s="75" customFormat="1" ht="19.25" customHeight="1" x14ac:dyDescent="0.5">
      <c r="A31" s="71" t="s">
        <v>2824</v>
      </c>
      <c r="B31" s="72" t="s">
        <v>2825</v>
      </c>
      <c r="C31" s="73" t="s">
        <v>3309</v>
      </c>
      <c r="D31" s="74" t="s">
        <v>3310</v>
      </c>
    </row>
    <row r="32" spans="1:4" s="75" customFormat="1" ht="19.25" customHeight="1" x14ac:dyDescent="0.5">
      <c r="A32" s="71" t="s">
        <v>2826</v>
      </c>
      <c r="B32" s="72" t="s">
        <v>2827</v>
      </c>
      <c r="C32" s="73" t="s">
        <v>3311</v>
      </c>
      <c r="D32" s="74" t="s">
        <v>3312</v>
      </c>
    </row>
    <row r="33" spans="1:4" s="75" customFormat="1" ht="19.25" customHeight="1" x14ac:dyDescent="0.5">
      <c r="A33" s="71" t="s">
        <v>2828</v>
      </c>
      <c r="B33" s="72" t="s">
        <v>2829</v>
      </c>
      <c r="C33" s="73" t="s">
        <v>2830</v>
      </c>
      <c r="D33" s="74" t="s">
        <v>2831</v>
      </c>
    </row>
    <row r="34" spans="1:4" s="75" customFormat="1" ht="19.25" customHeight="1" x14ac:dyDescent="0.5">
      <c r="A34" s="71" t="s">
        <v>3599</v>
      </c>
      <c r="B34" s="72" t="s">
        <v>3600</v>
      </c>
      <c r="C34" s="73" t="s">
        <v>3601</v>
      </c>
      <c r="D34" s="74" t="s">
        <v>3602</v>
      </c>
    </row>
    <row r="35" spans="1:4" s="75" customFormat="1" ht="19.25" customHeight="1" x14ac:dyDescent="0.5">
      <c r="A35" s="71" t="s">
        <v>3603</v>
      </c>
      <c r="B35" s="72" t="s">
        <v>3604</v>
      </c>
      <c r="C35" s="73" t="s">
        <v>3605</v>
      </c>
      <c r="D35" s="74" t="s">
        <v>3606</v>
      </c>
    </row>
    <row r="36" spans="1:4" s="75" customFormat="1" ht="19.25" customHeight="1" x14ac:dyDescent="0.5">
      <c r="A36" s="71" t="s">
        <v>2832</v>
      </c>
      <c r="B36" s="72" t="s">
        <v>2833</v>
      </c>
      <c r="C36" s="73" t="s">
        <v>2834</v>
      </c>
      <c r="D36" s="74" t="s">
        <v>2835</v>
      </c>
    </row>
    <row r="37" spans="1:4" s="75" customFormat="1" ht="19.25" customHeight="1" x14ac:dyDescent="0.5">
      <c r="A37" s="71" t="s">
        <v>2836</v>
      </c>
      <c r="B37" s="72" t="s">
        <v>2837</v>
      </c>
      <c r="C37" s="73" t="s">
        <v>2838</v>
      </c>
      <c r="D37" s="74" t="s">
        <v>2839</v>
      </c>
    </row>
    <row r="38" spans="1:4" s="75" customFormat="1" ht="19.25" customHeight="1" x14ac:dyDescent="0.5">
      <c r="A38" s="71" t="s">
        <v>2840</v>
      </c>
      <c r="B38" s="72" t="s">
        <v>2841</v>
      </c>
      <c r="C38" s="73" t="s">
        <v>2842</v>
      </c>
      <c r="D38" s="74" t="s">
        <v>2843</v>
      </c>
    </row>
    <row r="39" spans="1:4" s="75" customFormat="1" ht="19.25" customHeight="1" x14ac:dyDescent="0.5">
      <c r="A39" s="71" t="s">
        <v>2844</v>
      </c>
      <c r="B39" s="72" t="s">
        <v>2845</v>
      </c>
      <c r="C39" s="73" t="s">
        <v>2846</v>
      </c>
      <c r="D39" s="74" t="s">
        <v>2847</v>
      </c>
    </row>
    <row r="40" spans="1:4" s="75" customFormat="1" ht="19.25" customHeight="1" x14ac:dyDescent="0.5">
      <c r="A40" s="71" t="s">
        <v>2848</v>
      </c>
      <c r="B40" s="72" t="s">
        <v>2849</v>
      </c>
      <c r="C40" s="73" t="s">
        <v>2850</v>
      </c>
      <c r="D40" s="74" t="s">
        <v>2851</v>
      </c>
    </row>
    <row r="41" spans="1:4" s="75" customFormat="1" ht="19.25" customHeight="1" x14ac:dyDescent="0.5">
      <c r="A41" s="71" t="s">
        <v>2852</v>
      </c>
      <c r="B41" s="72" t="s">
        <v>2853</v>
      </c>
      <c r="C41" s="73" t="s">
        <v>3313</v>
      </c>
      <c r="D41" s="74" t="s">
        <v>3314</v>
      </c>
    </row>
    <row r="42" spans="1:4" s="75" customFormat="1" ht="19.25" customHeight="1" x14ac:dyDescent="0.5">
      <c r="A42" s="71" t="s">
        <v>2854</v>
      </c>
      <c r="B42" s="72" t="s">
        <v>2855</v>
      </c>
      <c r="C42" s="73" t="s">
        <v>3315</v>
      </c>
      <c r="D42" s="74" t="s">
        <v>3316</v>
      </c>
    </row>
    <row r="43" spans="1:4" s="75" customFormat="1" ht="19.25" customHeight="1" x14ac:dyDescent="0.5">
      <c r="A43" s="71" t="s">
        <v>3575</v>
      </c>
      <c r="B43" s="72" t="s">
        <v>3576</v>
      </c>
      <c r="C43" s="73" t="s">
        <v>3597</v>
      </c>
      <c r="D43" s="74" t="s">
        <v>3577</v>
      </c>
    </row>
    <row r="44" spans="1:4" s="75" customFormat="1" ht="19.25" customHeight="1" x14ac:dyDescent="0.5">
      <c r="A44" s="71" t="s">
        <v>2858</v>
      </c>
      <c r="B44" s="72" t="s">
        <v>2859</v>
      </c>
      <c r="C44" s="73" t="s">
        <v>2860</v>
      </c>
      <c r="D44" s="74" t="s">
        <v>2861</v>
      </c>
    </row>
    <row r="45" spans="1:4" s="75" customFormat="1" ht="19.25" customHeight="1" x14ac:dyDescent="0.5">
      <c r="A45" s="71" t="s">
        <v>3578</v>
      </c>
      <c r="B45" s="72" t="s">
        <v>2856</v>
      </c>
      <c r="C45" s="73" t="s">
        <v>2857</v>
      </c>
      <c r="D45" s="74" t="s">
        <v>3579</v>
      </c>
    </row>
    <row r="46" spans="1:4" s="75" customFormat="1" ht="19.25" customHeight="1" x14ac:dyDescent="0.5">
      <c r="A46" s="71" t="s">
        <v>2862</v>
      </c>
      <c r="B46" s="72" t="s">
        <v>2863</v>
      </c>
      <c r="C46" s="73" t="s">
        <v>2864</v>
      </c>
      <c r="D46" s="74" t="s">
        <v>2865</v>
      </c>
    </row>
    <row r="47" spans="1:4" s="75" customFormat="1" ht="19.25" customHeight="1" x14ac:dyDescent="0.5">
      <c r="A47" s="71" t="s">
        <v>2866</v>
      </c>
      <c r="B47" s="72" t="s">
        <v>2867</v>
      </c>
      <c r="C47" s="73" t="s">
        <v>3317</v>
      </c>
      <c r="D47" s="74" t="s">
        <v>3318</v>
      </c>
    </row>
    <row r="48" spans="1:4" s="75" customFormat="1" ht="19.25" customHeight="1" x14ac:dyDescent="0.5">
      <c r="A48" s="71" t="s">
        <v>2868</v>
      </c>
      <c r="B48" s="72" t="s">
        <v>2869</v>
      </c>
      <c r="C48" s="73" t="s">
        <v>2870</v>
      </c>
      <c r="D48" s="74" t="s">
        <v>2871</v>
      </c>
    </row>
    <row r="49" spans="1:4" s="75" customFormat="1" ht="19.25" customHeight="1" x14ac:dyDescent="0.5">
      <c r="A49" s="71" t="s">
        <v>2872</v>
      </c>
      <c r="B49" s="72" t="s">
        <v>2873</v>
      </c>
      <c r="C49" s="73" t="s">
        <v>2874</v>
      </c>
      <c r="D49" s="74" t="s">
        <v>2875</v>
      </c>
    </row>
    <row r="50" spans="1:4" s="75" customFormat="1" ht="19.25" customHeight="1" x14ac:dyDescent="0.5">
      <c r="A50" s="71" t="s">
        <v>2876</v>
      </c>
      <c r="B50" s="72" t="s">
        <v>2877</v>
      </c>
      <c r="C50" s="73" t="s">
        <v>2878</v>
      </c>
      <c r="D50" s="74" t="s">
        <v>2879</v>
      </c>
    </row>
    <row r="51" spans="1:4" s="75" customFormat="1" ht="19.25" customHeight="1" x14ac:dyDescent="0.5">
      <c r="A51" s="71" t="s">
        <v>2880</v>
      </c>
      <c r="B51" s="72" t="s">
        <v>2881</v>
      </c>
      <c r="C51" s="73" t="s">
        <v>2882</v>
      </c>
      <c r="D51" s="74" t="s">
        <v>2883</v>
      </c>
    </row>
    <row r="52" spans="1:4" ht="19.25" customHeight="1" x14ac:dyDescent="0.5">
      <c r="A52" s="71" t="s">
        <v>1</v>
      </c>
      <c r="B52" s="72" t="s">
        <v>2884</v>
      </c>
      <c r="C52" s="73" t="s">
        <v>5</v>
      </c>
      <c r="D52" s="74" t="s">
        <v>3</v>
      </c>
    </row>
    <row r="53" spans="1:4" ht="19.25" customHeight="1" x14ac:dyDescent="0.5">
      <c r="A53" s="71" t="s">
        <v>2885</v>
      </c>
      <c r="B53" s="72" t="s">
        <v>2886</v>
      </c>
      <c r="C53" s="73" t="s">
        <v>2887</v>
      </c>
      <c r="D53" s="74" t="s">
        <v>2888</v>
      </c>
    </row>
    <row r="54" spans="1:4" ht="19.25" customHeight="1" x14ac:dyDescent="0.5">
      <c r="A54" s="71" t="s">
        <v>2889</v>
      </c>
      <c r="B54" s="72" t="s">
        <v>2890</v>
      </c>
      <c r="C54" s="73" t="s">
        <v>2891</v>
      </c>
      <c r="D54" s="74" t="s">
        <v>2892</v>
      </c>
    </row>
    <row r="55" spans="1:4" ht="19.25" customHeight="1" x14ac:dyDescent="0.5">
      <c r="A55" s="71" t="s">
        <v>2893</v>
      </c>
      <c r="B55" s="72" t="s">
        <v>2894</v>
      </c>
      <c r="C55" s="73" t="s">
        <v>3319</v>
      </c>
      <c r="D55" s="74" t="s">
        <v>3320</v>
      </c>
    </row>
    <row r="56" spans="1:4" ht="19.25" customHeight="1" x14ac:dyDescent="0.5">
      <c r="A56" s="71" t="s">
        <v>2895</v>
      </c>
      <c r="B56" s="72" t="s">
        <v>2896</v>
      </c>
      <c r="C56" s="73" t="s">
        <v>3321</v>
      </c>
      <c r="D56" s="74" t="s">
        <v>3322</v>
      </c>
    </row>
    <row r="57" spans="1:4" ht="19.25" customHeight="1" x14ac:dyDescent="0.5">
      <c r="A57" s="71" t="s">
        <v>2897</v>
      </c>
      <c r="B57" s="72" t="s">
        <v>2898</v>
      </c>
      <c r="C57" s="73" t="s">
        <v>2899</v>
      </c>
      <c r="D57" s="74" t="s">
        <v>2900</v>
      </c>
    </row>
    <row r="58" spans="1:4" ht="19.25" customHeight="1" x14ac:dyDescent="0.5">
      <c r="A58" s="71" t="s">
        <v>2901</v>
      </c>
      <c r="B58" s="72" t="s">
        <v>2902</v>
      </c>
      <c r="C58" s="73" t="s">
        <v>3323</v>
      </c>
      <c r="D58" s="74" t="s">
        <v>3324</v>
      </c>
    </row>
    <row r="59" spans="1:4" ht="19.25" customHeight="1" x14ac:dyDescent="0.5">
      <c r="A59" s="71" t="s">
        <v>3580</v>
      </c>
      <c r="B59" s="72" t="s">
        <v>3581</v>
      </c>
      <c r="C59" s="73" t="s">
        <v>3582</v>
      </c>
      <c r="D59" s="74" t="s">
        <v>3583</v>
      </c>
    </row>
    <row r="60" spans="1:4" ht="19.25" customHeight="1" x14ac:dyDescent="0.5">
      <c r="A60" s="71" t="s">
        <v>3495</v>
      </c>
      <c r="B60" s="72" t="s">
        <v>3584</v>
      </c>
      <c r="C60" s="73" t="s">
        <v>3585</v>
      </c>
      <c r="D60" s="74" t="s">
        <v>3586</v>
      </c>
    </row>
    <row r="61" spans="1:4" ht="19.25" customHeight="1" x14ac:dyDescent="0.5">
      <c r="A61" s="71" t="s">
        <v>3607</v>
      </c>
      <c r="B61" s="72" t="s">
        <v>3628</v>
      </c>
      <c r="C61" s="73" t="s">
        <v>3629</v>
      </c>
      <c r="D61" s="74" t="s">
        <v>3630</v>
      </c>
    </row>
    <row r="62" spans="1:4" ht="19.25" customHeight="1" x14ac:dyDescent="0.5">
      <c r="A62" s="71" t="s">
        <v>3608</v>
      </c>
      <c r="B62" s="72" t="s">
        <v>3631</v>
      </c>
      <c r="C62" s="73" t="s">
        <v>3632</v>
      </c>
      <c r="D62" s="74" t="s">
        <v>3633</v>
      </c>
    </row>
    <row r="63" spans="1:4" ht="19.25" customHeight="1" x14ac:dyDescent="0.5">
      <c r="A63" s="71" t="s">
        <v>3496</v>
      </c>
      <c r="B63" s="72" t="s">
        <v>3587</v>
      </c>
      <c r="C63" s="73" t="s">
        <v>3497</v>
      </c>
      <c r="D63" s="74" t="s">
        <v>3588</v>
      </c>
    </row>
    <row r="64" spans="1:4" ht="19.25" customHeight="1" x14ac:dyDescent="0.5">
      <c r="A64" s="71" t="s">
        <v>3589</v>
      </c>
      <c r="B64" s="72" t="s">
        <v>3590</v>
      </c>
      <c r="C64" s="73" t="s">
        <v>3591</v>
      </c>
      <c r="D64" s="74" t="s">
        <v>3592</v>
      </c>
    </row>
    <row r="65" spans="1:4" ht="19.25" customHeight="1" x14ac:dyDescent="0.5">
      <c r="A65" s="71" t="s">
        <v>2903</v>
      </c>
      <c r="B65" s="72" t="s">
        <v>2904</v>
      </c>
      <c r="C65" s="73" t="s">
        <v>2905</v>
      </c>
      <c r="D65" s="74" t="s">
        <v>2906</v>
      </c>
    </row>
    <row r="66" spans="1:4" ht="19.25" customHeight="1" x14ac:dyDescent="0.5">
      <c r="A66" s="71" t="s">
        <v>2907</v>
      </c>
      <c r="B66" s="72" t="s">
        <v>2908</v>
      </c>
      <c r="C66" s="73" t="s">
        <v>2909</v>
      </c>
      <c r="D66" s="74" t="s">
        <v>2910</v>
      </c>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D26F6-96BF-4A6D-8EDA-81502C3650F7}">
  <sheetPr codeName="Sheet52"/>
  <dimension ref="A1:E66"/>
  <sheetViews>
    <sheetView workbookViewId="0">
      <pane ySplit="4" topLeftCell="A23" activePane="bottomLeft" state="frozen"/>
      <selection pane="bottomLeft" activeCell="E37" sqref="E37"/>
    </sheetView>
  </sheetViews>
  <sheetFormatPr defaultRowHeight="21" x14ac:dyDescent="0.5"/>
  <cols>
    <col min="1" max="1" width="18" customWidth="1"/>
    <col min="2" max="4" width="8" customWidth="1"/>
    <col min="5" max="5" width="14" customWidth="1"/>
  </cols>
  <sheetData>
    <row r="1" spans="1:5" x14ac:dyDescent="0.5">
      <c r="A1" s="45" t="s">
        <v>2911</v>
      </c>
    </row>
    <row r="2" spans="1:5" x14ac:dyDescent="0.5">
      <c r="A2" s="46" t="s">
        <v>2912</v>
      </c>
    </row>
    <row r="4" spans="1:5" x14ac:dyDescent="0.5">
      <c r="A4" s="45" t="s">
        <v>2913</v>
      </c>
      <c r="B4" s="48" t="s">
        <v>2914</v>
      </c>
      <c r="C4" s="50" t="s">
        <v>2915</v>
      </c>
      <c r="D4" s="45" t="s">
        <v>2916</v>
      </c>
      <c r="E4" s="45" t="s">
        <v>2917</v>
      </c>
    </row>
    <row r="5" spans="1:5" x14ac:dyDescent="0.5">
      <c r="A5" s="77" t="str">
        <f>HYPERLINK("#'ad_to_cont'!A1","ad_to_cont")</f>
        <v>ad_to_cont</v>
      </c>
      <c r="B5" s="52">
        <f ca="1">COUNTIF(ad_to_cont!$A:$BZ,"PASS")</f>
        <v>8</v>
      </c>
      <c r="C5" s="54">
        <f ca="1">COUNTIF(ad_to_cont!$A:$BZ,"FAIL")</f>
        <v>0</v>
      </c>
      <c r="D5" s="46">
        <f ca="1">B5+C5</f>
        <v>8</v>
      </c>
      <c r="E5" s="46" t="str">
        <f ca="1">IF(C5&gt;0,"FAIL ("&amp;C5&amp;")",IF(D5=0,"-","all pass"))</f>
        <v>all pass</v>
      </c>
    </row>
    <row r="6" spans="1:5" x14ac:dyDescent="0.5">
      <c r="A6" s="77" t="str">
        <f>HYPERLINK("#'ad_to_rc'!A1","ad_to_rc")</f>
        <v>ad_to_rc</v>
      </c>
      <c r="B6" s="52">
        <f ca="1">COUNTIF(ad_to_rc!$A:$BZ,"PASS")</f>
        <v>7</v>
      </c>
      <c r="C6" s="54">
        <f ca="1">COUNTIF(ad_to_rc!$A:$BZ,"FAIL")</f>
        <v>0</v>
      </c>
      <c r="D6" s="46">
        <f ca="1">B6+C6</f>
        <v>7</v>
      </c>
      <c r="E6" s="46" t="str">
        <f ca="1">IF(C6&gt;0,"FAIL ("&amp;C6&amp;")",IF(D6=0,"-","all pass"))</f>
        <v>all pass</v>
      </c>
    </row>
    <row r="7" spans="1:5" x14ac:dyDescent="0.5">
      <c r="A7" s="77" t="str">
        <f>HYPERLINK("#'arrow'!A1","arrow")</f>
        <v>arrow</v>
      </c>
      <c r="B7" s="52">
        <f ca="1">COUNTIF(arrow!$A:$BZ,"PASS")</f>
        <v>7</v>
      </c>
      <c r="C7" s="54">
        <f ca="1">COUNTIF(arrow!$A:$BZ,"FAIL")</f>
        <v>0</v>
      </c>
      <c r="D7" s="46">
        <f ca="1">B7+C7</f>
        <v>7</v>
      </c>
      <c r="E7" s="46" t="str">
        <f ca="1">IF(C7&gt;0,"FAIL ("&amp;C7&amp;")",IF(D7=0,"-","all pass"))</f>
        <v>all pass</v>
      </c>
    </row>
    <row r="8" spans="1:5" x14ac:dyDescent="0.5">
      <c r="A8" s="77" t="str">
        <f>HYPERLINK("#'arrow_move'!A1","arrow_move")</f>
        <v>arrow_move</v>
      </c>
      <c r="B8" s="52">
        <f ca="1">COUNTIF(arrow_move!$A:$BZ,"PASS")</f>
        <v>5</v>
      </c>
      <c r="C8" s="54">
        <f ca="1">COUNTIF(arrow_move!$A:$BZ,"FAIL")</f>
        <v>0</v>
      </c>
      <c r="D8" s="46">
        <f ca="1">B8+C8</f>
        <v>5</v>
      </c>
      <c r="E8" s="46" t="str">
        <f ca="1">IF(C8&gt;0,"FAIL ("&amp;C8&amp;")",IF(D8=0,"-","all pass"))</f>
        <v>all pass</v>
      </c>
    </row>
    <row r="9" spans="1:5" x14ac:dyDescent="0.5">
      <c r="A9" s="77" t="str">
        <f>HYPERLINK("#'arrow_trip'!A1","arrow_trip")</f>
        <v>arrow_trip</v>
      </c>
      <c r="B9" s="52">
        <f ca="1">COUNTIF(arrow_trip!$A:$BZ,"PASS")</f>
        <v>5</v>
      </c>
      <c r="C9" s="54">
        <f ca="1">COUNTIF(arrow_trip!$A:$BZ,"FAIL")</f>
        <v>0</v>
      </c>
      <c r="D9" s="46">
        <f ca="1">B9+C9</f>
        <v>5</v>
      </c>
      <c r="E9" s="46" t="str">
        <f ca="1">IF(C9&gt;0,"FAIL ("&amp;C9&amp;")",IF(D9=0,"-","all pass"))</f>
        <v>all pass</v>
      </c>
    </row>
    <row r="10" spans="1:5" x14ac:dyDescent="0.5">
      <c r="A10" s="77" t="str">
        <f>HYPERLINK("#'biggest'!A1","biggest")</f>
        <v>biggest</v>
      </c>
      <c r="B10" s="52">
        <f ca="1">COUNTIF(biggest!$A:$BZ,"PASS")</f>
        <v>3</v>
      </c>
      <c r="C10" s="54">
        <f ca="1">COUNTIF(biggest!$A:$BZ,"FAIL")</f>
        <v>0</v>
      </c>
      <c r="D10" s="46">
        <f ca="1">B10+C10</f>
        <v>3</v>
      </c>
      <c r="E10" s="46" t="str">
        <f ca="1">IF(C10&gt;0,"FAIL ("&amp;C10&amp;")",IF(D10=0,"-","all pass"))</f>
        <v>all pass</v>
      </c>
    </row>
    <row r="11" spans="1:5" x14ac:dyDescent="0.5">
      <c r="A11" s="77" t="str">
        <f>HYPERLINK("#'clamp'!A1","clamp")</f>
        <v>clamp</v>
      </c>
      <c r="B11" s="52">
        <f ca="1">COUNTIF(clamp!$A:$BZ,"PASS")</f>
        <v>5</v>
      </c>
      <c r="C11" s="54">
        <f ca="1">COUNTIF(clamp!$A:$BZ,"FAIL")</f>
        <v>0</v>
      </c>
      <c r="D11" s="46">
        <f ca="1">B11+C11</f>
        <v>5</v>
      </c>
      <c r="E11" s="46" t="str">
        <f ca="1">IF(C11&gt;0,"FAIL ("&amp;C11&amp;")",IF(D11=0,"-","all pass"))</f>
        <v>all pass</v>
      </c>
    </row>
    <row r="12" spans="1:5" x14ac:dyDescent="0.5">
      <c r="A12" s="77" t="str">
        <f>HYPERLINK("#'cont_to_ad'!A1","cont_to_ad")</f>
        <v>cont_to_ad</v>
      </c>
      <c r="B12" s="52">
        <f ca="1">COUNTIF(cont_to_ad!$A:$BZ,"PASS")</f>
        <v>5</v>
      </c>
      <c r="C12" s="54">
        <f ca="1">COUNTIF(cont_to_ad!$A:$BZ,"FAIL")</f>
        <v>0</v>
      </c>
      <c r="D12" s="46">
        <f ca="1">B12+C12</f>
        <v>5</v>
      </c>
      <c r="E12" s="46" t="str">
        <f ca="1">IF(C12&gt;0,"FAIL ("&amp;C12&amp;")",IF(D12=0,"-","all pass"))</f>
        <v>all pass</v>
      </c>
    </row>
    <row r="13" spans="1:5" x14ac:dyDescent="0.5">
      <c r="A13" s="77" t="str">
        <f>HYPERLINK("#'count_substring'!A1","count_substring")</f>
        <v>count_substring</v>
      </c>
      <c r="B13" s="52">
        <f ca="1">COUNTIF(count_substring!$A:$BZ,"PASS")</f>
        <v>6</v>
      </c>
      <c r="C13" s="54">
        <f ca="1">COUNTIF(count_substring!$A:$BZ,"FAIL")</f>
        <v>0</v>
      </c>
      <c r="D13" s="46">
        <f ca="1">B13+C13</f>
        <v>6</v>
      </c>
      <c r="E13" s="46" t="str">
        <f ca="1">IF(C13&gt;0,"FAIL ("&amp;C13&amp;")",IF(D13=0,"-","all pass"))</f>
        <v>all pass</v>
      </c>
    </row>
    <row r="14" spans="1:5" x14ac:dyDescent="0.5">
      <c r="A14" s="77" t="str">
        <f>HYPERLINK("#'ctotal'!A1","ctotal")</f>
        <v>ctotal</v>
      </c>
      <c r="B14" s="52">
        <f ca="1">COUNTIF(ctotal!$A:$BZ,"PASS")</f>
        <v>4</v>
      </c>
      <c r="C14" s="54">
        <f ca="1">COUNTIF(ctotal!$A:$BZ,"FAIL")</f>
        <v>0</v>
      </c>
      <c r="D14" s="46">
        <f ca="1">B14+C14</f>
        <v>4</v>
      </c>
      <c r="E14" s="46" t="str">
        <f ca="1">IF(C14&gt;0,"FAIL ("&amp;C14&amp;")",IF(D14=0,"-","all pass"))</f>
        <v>all pass</v>
      </c>
    </row>
    <row r="15" spans="1:5" x14ac:dyDescent="0.5">
      <c r="A15" s="77" t="str">
        <f>HYPERLINK("#'cycles'!A1","cycles")</f>
        <v>cycles</v>
      </c>
      <c r="B15" s="52">
        <f ca="1">COUNTIF(cycles!$A:$BZ,"PASS")</f>
        <v>2</v>
      </c>
      <c r="C15" s="54">
        <f ca="1">COUNTIF(cycles!$A:$BZ,"FAIL")</f>
        <v>0</v>
      </c>
      <c r="D15" s="46">
        <f ca="1">B15+C15</f>
        <v>2</v>
      </c>
      <c r="E15" s="46" t="str">
        <f ca="1">IF(C15&gt;0,"FAIL ("&amp;C15&amp;")",IF(D15=0,"-","all pass"))</f>
        <v>all pass</v>
      </c>
    </row>
    <row r="16" spans="1:5" x14ac:dyDescent="0.5">
      <c r="A16" s="77" t="str">
        <f>HYPERLINK("#'die_pips'!A1","die_pips")</f>
        <v>die_pips</v>
      </c>
      <c r="B16" s="52">
        <f ca="1">COUNTIF(die_pips!$A:$BZ,"PASS")</f>
        <v>5</v>
      </c>
      <c r="C16" s="54">
        <f ca="1">COUNTIF(die_pips!$A:$BZ,"FAIL")</f>
        <v>0</v>
      </c>
      <c r="D16" s="46">
        <f ca="1">B16+C16</f>
        <v>5</v>
      </c>
      <c r="E16" s="46" t="str">
        <f ca="1">IF(C16&gt;0,"FAIL ("&amp;C16&amp;")",IF(D16=0,"-","all pass"))</f>
        <v>all pass</v>
      </c>
    </row>
    <row r="17" spans="1:5" x14ac:dyDescent="0.5">
      <c r="A17" s="77" t="str">
        <f>HYPERLINK("#'dist'!A1","dist")</f>
        <v>dist</v>
      </c>
      <c r="B17" s="52">
        <f ca="1">COUNTIF(dist!$A:$BZ,"PASS")</f>
        <v>7</v>
      </c>
      <c r="C17" s="54">
        <f ca="1">COUNTIF(dist!$A:$BZ,"FAIL")</f>
        <v>0</v>
      </c>
      <c r="D17" s="46">
        <f ca="1">B17+C17</f>
        <v>7</v>
      </c>
      <c r="E17" s="46" t="str">
        <f ca="1">IF(C17&gt;0,"FAIL ("&amp;C17&amp;")",IF(D17=0,"-","all pass"))</f>
        <v>all pass</v>
      </c>
    </row>
    <row r="18" spans="1:5" x14ac:dyDescent="0.5">
      <c r="A18" s="77" t="str">
        <f>HYPERLINK("#'exists'!A1","exists")</f>
        <v>exists</v>
      </c>
      <c r="B18" s="52">
        <f ca="1">COUNTIF(exists!$A:$BZ,"PASS")</f>
        <v>4</v>
      </c>
      <c r="C18" s="54">
        <f ca="1">COUNTIF(exists!$A:$BZ,"FAIL")</f>
        <v>0</v>
      </c>
      <c r="D18" s="46">
        <f ca="1">B18+C18</f>
        <v>4</v>
      </c>
      <c r="E18" s="46" t="str">
        <f ca="1">IF(C18&gt;0,"FAIL ("&amp;C18&amp;")",IF(D18=0,"-","all pass"))</f>
        <v>all pass</v>
      </c>
    </row>
    <row r="19" spans="1:5" x14ac:dyDescent="0.5">
      <c r="A19" s="77" t="str">
        <f>HYPERLINK("#'expand_rng'!A1","expand_rng")</f>
        <v>expand_rng</v>
      </c>
      <c r="B19" s="52">
        <f ca="1">COUNTIF(expand_rng!$A:$BZ,"PASS")</f>
        <v>7</v>
      </c>
      <c r="C19" s="54">
        <f ca="1">COUNTIF(expand_rng!$A:$BZ,"FAIL")</f>
        <v>0</v>
      </c>
      <c r="D19" s="46">
        <f ca="1">B19+C19</f>
        <v>7</v>
      </c>
      <c r="E19" s="46" t="str">
        <f ca="1">IF(C19&gt;0,"FAIL ("&amp;C19&amp;")",IF(D19=0,"-","all pass"))</f>
        <v>all pass</v>
      </c>
    </row>
    <row r="20" spans="1:5" x14ac:dyDescent="0.5">
      <c r="A20" s="77" t="str">
        <f>HYPERLINK("#'freq_table'!A1","freq_table")</f>
        <v>freq_table</v>
      </c>
      <c r="B20" s="52">
        <f ca="1">COUNTIF(freq_table!$A:$BZ,"PASS")</f>
        <v>5</v>
      </c>
      <c r="C20" s="54">
        <f ca="1">COUNTIF(freq_table!$A:$BZ,"FAIL")</f>
        <v>0</v>
      </c>
      <c r="D20" s="46">
        <f ca="1">B20+C20</f>
        <v>5</v>
      </c>
      <c r="E20" s="46" t="str">
        <f ca="1">IF(C20&gt;0,"FAIL ("&amp;C20&amp;")",IF(D20=0,"-","all pass"))</f>
        <v>all pass</v>
      </c>
    </row>
    <row r="21" spans="1:5" x14ac:dyDescent="0.5">
      <c r="A21" s="77" t="str">
        <f>HYPERLINK("#'is_unique'!A1","is_unique")</f>
        <v>is_unique</v>
      </c>
      <c r="B21" s="52">
        <f ca="1">COUNTIF(is_unique!$A:$BZ,"PASS")</f>
        <v>4</v>
      </c>
      <c r="C21" s="54">
        <f ca="1">COUNTIF(is_unique!$A:$BZ,"FAIL")</f>
        <v>0</v>
      </c>
      <c r="D21" s="46">
        <f ca="1">B21+C21</f>
        <v>4</v>
      </c>
      <c r="E21" s="46" t="str">
        <f ca="1">IF(C21&gt;0,"FAIL ("&amp;C21&amp;")",IF(D21=0,"-","all pass"))</f>
        <v>all pass</v>
      </c>
    </row>
    <row r="22" spans="1:5" x14ac:dyDescent="0.5">
      <c r="A22" s="77" t="str">
        <f>HYPERLINK("#'knight_moves'!A1","knight_moves")</f>
        <v>knight_moves</v>
      </c>
      <c r="B22" s="52">
        <f ca="1">COUNTIF(knight_moves!$A:$BZ,"PASS")</f>
        <v>7</v>
      </c>
      <c r="C22" s="54">
        <f ca="1">COUNTIF(knight_moves!$A:$BZ,"FAIL")</f>
        <v>0</v>
      </c>
      <c r="D22" s="46">
        <f ca="1">B22+C22</f>
        <v>7</v>
      </c>
      <c r="E22" s="46" t="str">
        <f ca="1">IF(C22&gt;0,"FAIL ("&amp;C22&amp;")",IF(D22=0,"-","all pass"))</f>
        <v>all pass</v>
      </c>
    </row>
    <row r="23" spans="1:5" x14ac:dyDescent="0.5">
      <c r="A23" s="77" t="str">
        <f>HYPERLINK("#'label_lookup'!A1","label_lookup")</f>
        <v>label_lookup</v>
      </c>
      <c r="B23" s="52">
        <f ca="1">COUNTIF(label_lookup!$A:$BZ,"PASS")</f>
        <v>4</v>
      </c>
      <c r="C23" s="54">
        <f ca="1">COUNTIF(label_lookup!$A:$BZ,"FAIL")</f>
        <v>0</v>
      </c>
      <c r="D23" s="46">
        <f ca="1">B23+C23</f>
        <v>4</v>
      </c>
      <c r="E23" s="46" t="str">
        <f ca="1">IF(C23&gt;0,"FAIL ("&amp;C23&amp;")",IF(D23=0,"-","all pass"))</f>
        <v>all pass</v>
      </c>
    </row>
    <row r="24" spans="1:5" x14ac:dyDescent="0.5">
      <c r="A24" s="77" t="str">
        <f>HYPERLINK("#'load_array'!A1","load_array")</f>
        <v>load_array</v>
      </c>
      <c r="B24" s="52">
        <f ca="1">COUNTIF(load_array!$A:$BZ,"PASS")</f>
        <v>3</v>
      </c>
      <c r="C24" s="54">
        <f ca="1">COUNTIF(load_array!$A:$BZ,"FAIL")</f>
        <v>0</v>
      </c>
      <c r="D24" s="46">
        <f ca="1">B24+C24</f>
        <v>3</v>
      </c>
      <c r="E24" s="46" t="str">
        <f ca="1">IF(C24&gt;0,"FAIL ("&amp;C24&amp;")",IF(D24=0,"-","all pass"))</f>
        <v>all pass</v>
      </c>
    </row>
    <row r="25" spans="1:5" x14ac:dyDescent="0.5">
      <c r="A25" s="77" t="str">
        <f>HYPERLINK("#'make_change'!A1","make_change")</f>
        <v>make_change</v>
      </c>
      <c r="B25" s="52">
        <f ca="1">COUNTIF(make_change!$A:$BZ,"PASS")</f>
        <v>6</v>
      </c>
      <c r="C25" s="54">
        <f ca="1">COUNTIF(make_change!$A:$BZ,"FAIL")</f>
        <v>0</v>
      </c>
      <c r="D25" s="46">
        <f ca="1">B25+C25</f>
        <v>6</v>
      </c>
      <c r="E25" s="46" t="str">
        <f ca="1">IF(C25&gt;0,"FAIL ("&amp;C25&amp;")",IF(D25=0,"-","all pass"))</f>
        <v>all pass</v>
      </c>
    </row>
    <row r="26" spans="1:5" x14ac:dyDescent="0.5">
      <c r="A26" s="77" t="str">
        <f>HYPERLINK("#'neighbors_count'!A1","neighbors_count")</f>
        <v>neighbors_count</v>
      </c>
      <c r="B26" s="52">
        <f ca="1">COUNTIF(neighbors_count!$A:$BZ,"PASS")</f>
        <v>3</v>
      </c>
      <c r="C26" s="54">
        <f ca="1">COUNTIF(neighbors_count!$A:$BZ,"FAIL")</f>
        <v>0</v>
      </c>
      <c r="D26" s="46">
        <f ca="1">B26+C26</f>
        <v>3</v>
      </c>
      <c r="E26" s="46" t="str">
        <f ca="1">IF(C26&gt;0,"FAIL ("&amp;C26&amp;")",IF(D26=0,"-","all pass"))</f>
        <v>all pass</v>
      </c>
    </row>
    <row r="27" spans="1:5" x14ac:dyDescent="0.5">
      <c r="A27" s="77" t="str">
        <f>HYPERLINK("#'neighbors_list'!A1","neighbors_list")</f>
        <v>neighbors_list</v>
      </c>
      <c r="B27" s="52">
        <f ca="1">COUNTIF(neighbors_list!$A:$BZ,"PASS")</f>
        <v>5</v>
      </c>
      <c r="C27" s="54">
        <f ca="1">COUNTIF(neighbors_list!$A:$BZ,"FAIL")</f>
        <v>0</v>
      </c>
      <c r="D27" s="46">
        <f ca="1">B27+C27</f>
        <v>5</v>
      </c>
      <c r="E27" s="46" t="str">
        <f ca="1">IF(C27&gt;0,"FAIL ("&amp;C27&amp;")",IF(D27=0,"-","all pass"))</f>
        <v>all pass</v>
      </c>
    </row>
    <row r="28" spans="1:5" x14ac:dyDescent="0.5">
      <c r="A28" s="77" t="str">
        <f>HYPERLINK("#'num_ad'!A1","num_ad")</f>
        <v>num_ad</v>
      </c>
      <c r="B28" s="52">
        <f ca="1">COUNTIF(num_ad!$A:$BZ,"PASS")</f>
        <v>8</v>
      </c>
      <c r="C28" s="54">
        <f ca="1">COUNTIF(num_ad!$A:$BZ,"FAIL")</f>
        <v>0</v>
      </c>
      <c r="D28" s="46">
        <f ca="1">B28+C28</f>
        <v>8</v>
      </c>
      <c r="E28" s="46" t="str">
        <f ca="1">IF(C28&gt;0,"FAIL ("&amp;C28&amp;")",IF(D28=0,"-","all pass"))</f>
        <v>all pass</v>
      </c>
    </row>
    <row r="29" spans="1:5" x14ac:dyDescent="0.5">
      <c r="A29" s="77" t="str">
        <f>HYPERLINK("#'offset_letter'!A1","offset_letter")</f>
        <v>offset_letter</v>
      </c>
      <c r="B29" s="52">
        <f ca="1">COUNTIF(offset_letter!$A:$BZ,"PASS")</f>
        <v>6</v>
      </c>
      <c r="C29" s="54">
        <f ca="1">COUNTIF(offset_letter!$A:$BZ,"FAIL")</f>
        <v>0</v>
      </c>
      <c r="D29" s="46">
        <f ca="1">B29+C29</f>
        <v>6</v>
      </c>
      <c r="E29" s="46" t="str">
        <f ca="1">IF(C29&gt;0,"FAIL ("&amp;C29&amp;")",IF(D29=0,"-","all pass"))</f>
        <v>all pass</v>
      </c>
    </row>
    <row r="30" spans="1:5" x14ac:dyDescent="0.5">
      <c r="A30" s="77" t="str">
        <f>HYPERLINK("#'only_letters'!A1","only_letters")</f>
        <v>only_letters</v>
      </c>
      <c r="B30" s="52">
        <f ca="1">COUNTIF(only_letters!$A:$BZ,"PASS")</f>
        <v>5</v>
      </c>
      <c r="C30" s="54">
        <f ca="1">COUNTIF(only_letters!$A:$BZ,"FAIL")</f>
        <v>0</v>
      </c>
      <c r="D30" s="46">
        <f ca="1">B30+C30</f>
        <v>5</v>
      </c>
      <c r="E30" s="46" t="str">
        <f ca="1">IF(C30&gt;0,"FAIL ("&amp;C30&amp;")",IF(D30=0,"-","all pass"))</f>
        <v>all pass</v>
      </c>
    </row>
    <row r="31" spans="1:5" x14ac:dyDescent="0.5">
      <c r="A31" s="77" t="str">
        <f>HYPERLINK("#'only_numbers'!A1","only_numbers")</f>
        <v>only_numbers</v>
      </c>
      <c r="B31" s="52">
        <f ca="1">COUNTIF(only_numbers!$A:$BZ,"PASS")</f>
        <v>5</v>
      </c>
      <c r="C31" s="54">
        <f ca="1">COUNTIF(only_numbers!$A:$BZ,"FAIL")</f>
        <v>0</v>
      </c>
      <c r="D31" s="46">
        <f ca="1">B31+C31</f>
        <v>5</v>
      </c>
      <c r="E31" s="46" t="str">
        <f ca="1">IF(C31&gt;0,"FAIL ("&amp;C31&amp;")",IF(D31=0,"-","all pass"))</f>
        <v>all pass</v>
      </c>
    </row>
    <row r="32" spans="1:5" x14ac:dyDescent="0.5">
      <c r="A32" s="77" t="str">
        <f>HYPERLINK("#'rc_to_ad'!A1","rc_to_ad")</f>
        <v>rc_to_ad</v>
      </c>
      <c r="B32" s="52">
        <f ca="1">COUNTIF(rc_to_ad!$A:$BZ,"PASS")</f>
        <v>7</v>
      </c>
      <c r="C32" s="54">
        <f ca="1">COUNTIF(rc_to_ad!$A:$BZ,"FAIL")</f>
        <v>0</v>
      </c>
      <c r="D32" s="46">
        <f ca="1">B32+C32</f>
        <v>7</v>
      </c>
      <c r="E32" s="46" t="str">
        <f ca="1">IF(C32&gt;0,"FAIL ("&amp;C32&amp;")",IF(D32=0,"-","all pass"))</f>
        <v>all pass</v>
      </c>
    </row>
    <row r="33" spans="1:5" x14ac:dyDescent="0.5">
      <c r="A33" s="77" t="str">
        <f>HYPERLINK("#'rev'!A1","rev")</f>
        <v>rev</v>
      </c>
      <c r="B33" s="52">
        <f ca="1">COUNTIF(rev!$A:$BZ,"PASS")</f>
        <v>3</v>
      </c>
      <c r="C33" s="54">
        <f ca="1">COUNTIF(rev!$A:$BZ,"FAIL")</f>
        <v>0</v>
      </c>
      <c r="D33" s="46">
        <f ca="1">B33+C33</f>
        <v>3</v>
      </c>
      <c r="E33" s="46" t="str">
        <f ca="1">IF(C33&gt;0,"FAIL ("&amp;C33&amp;")",IF(D33=0,"-","all pass"))</f>
        <v>all pass</v>
      </c>
    </row>
    <row r="34" spans="1:5" x14ac:dyDescent="0.5">
      <c r="A34" s="77" t="str">
        <f>HYPERLINK("#'rotate_arrow'!A1","rotate_arrow")</f>
        <v>rotate_arrow</v>
      </c>
      <c r="B34" s="52">
        <f ca="1">COUNTIF(rotate_arrow!$A:$BZ,"PASS")</f>
        <v>6</v>
      </c>
      <c r="C34" s="54">
        <f ca="1">COUNTIF(rotate_arrow!$A:$BZ,"FAIL")</f>
        <v>0</v>
      </c>
      <c r="D34" s="46">
        <f ca="1">B34+C34</f>
        <v>6</v>
      </c>
      <c r="E34" s="46" t="str">
        <f ca="1">IF(C34&gt;0,"FAIL ("&amp;C34&amp;")",IF(D34=0,"-","all pass"))</f>
        <v>all pass</v>
      </c>
    </row>
    <row r="35" spans="1:5" x14ac:dyDescent="0.5">
      <c r="A35" s="77" t="str">
        <f>HYPERLINK("#'route_cost'!A1","route_cost")</f>
        <v>route_cost</v>
      </c>
      <c r="B35" s="52">
        <f ca="1">COUNTIF(route_cost!$A:$BZ,"PASS")</f>
        <v>5</v>
      </c>
      <c r="C35" s="54">
        <f ca="1">COUNTIF(route_cost!$A:$BZ,"FAIL")</f>
        <v>0</v>
      </c>
      <c r="D35" s="46">
        <f ca="1">B35+C35</f>
        <v>5</v>
      </c>
      <c r="E35" s="46" t="str">
        <f ca="1">IF(C35&gt;0,"FAIL ("&amp;C35&amp;")",IF(D35=0,"-","all pass"))</f>
        <v>all pass</v>
      </c>
    </row>
    <row r="36" spans="1:5" x14ac:dyDescent="0.5">
      <c r="A36" s="77" t="str">
        <f>HYPERLINK("#'save_array'!A1","save_array")</f>
        <v>save_array</v>
      </c>
      <c r="B36" s="52">
        <f ca="1">COUNTIF(save_array!$A:$BZ,"PASS")</f>
        <v>3</v>
      </c>
      <c r="C36" s="54">
        <f ca="1">COUNTIF(save_array!$A:$BZ,"FAIL")</f>
        <v>0</v>
      </c>
      <c r="D36" s="46">
        <f ca="1">B36+C36</f>
        <v>3</v>
      </c>
      <c r="E36" s="46" t="str">
        <f ca="1">IF(C36&gt;0,"FAIL ("&amp;C36&amp;")",IF(D36=0,"-","all pass"))</f>
        <v>all pass</v>
      </c>
    </row>
    <row r="37" spans="1:5" x14ac:dyDescent="0.5">
      <c r="A37" s="77" t="str">
        <f>HYPERLINK("#'scan2'!A1","scan2")</f>
        <v>scan2</v>
      </c>
      <c r="B37" s="52">
        <f ca="1">COUNTIF(scan2!$A:$BZ,"PASS")</f>
        <v>3</v>
      </c>
      <c r="C37" s="54">
        <f ca="1">COUNTIF(scan2!$A:$BZ,"FAIL")</f>
        <v>0</v>
      </c>
      <c r="D37" s="46">
        <f ca="1">B37+C37</f>
        <v>3</v>
      </c>
      <c r="E37" s="46" t="str">
        <f ca="1">IF(C37&gt;0,"FAIL ("&amp;C37&amp;")",IF(D37=0,"-","all pass"))</f>
        <v>all pass</v>
      </c>
    </row>
    <row r="38" spans="1:5" x14ac:dyDescent="0.5">
      <c r="A38" s="77" t="str">
        <f>HYPERLINK("#'scan3'!A1","scan3")</f>
        <v>scan3</v>
      </c>
      <c r="B38" s="52">
        <f ca="1">COUNTIF(scan3!$A:$BZ,"PASS")</f>
        <v>2</v>
      </c>
      <c r="C38" s="54">
        <f ca="1">COUNTIF(scan3!$A:$BZ,"FAIL")</f>
        <v>0</v>
      </c>
      <c r="D38" s="46">
        <f ca="1">B38+C38</f>
        <v>2</v>
      </c>
      <c r="E38" s="46" t="str">
        <f ca="1">IF(C38&gt;0,"FAIL ("&amp;C38&amp;")",IF(D38=0,"-","all pass"))</f>
        <v>all pass</v>
      </c>
    </row>
    <row r="39" spans="1:5" x14ac:dyDescent="0.5">
      <c r="A39" s="77" t="str">
        <f>HYPERLINK("#'selections'!A1","selections")</f>
        <v>selections</v>
      </c>
      <c r="B39" s="52">
        <f ca="1">COUNTIF(selections!$A:$BZ,"PASS")</f>
        <v>4</v>
      </c>
      <c r="C39" s="54">
        <f ca="1">COUNTIF(selections!$A:$BZ,"FAIL")</f>
        <v>0</v>
      </c>
      <c r="D39" s="46">
        <f ca="1">B39+C39</f>
        <v>4</v>
      </c>
      <c r="E39" s="46" t="str">
        <f ca="1">IF(C39&gt;0,"FAIL ("&amp;C39&amp;")",IF(D39=0,"-","all pass"))</f>
        <v>all pass</v>
      </c>
    </row>
    <row r="40" spans="1:5" x14ac:dyDescent="0.5">
      <c r="A40" s="77" t="str">
        <f>HYPERLINK("#'set'!A1","set")</f>
        <v>set</v>
      </c>
      <c r="B40" s="52">
        <f ca="1">COUNTIF(set!$A:$BZ,"PASS")</f>
        <v>4</v>
      </c>
      <c r="C40" s="54">
        <f ca="1">COUNTIF(set!$A:$BZ,"FAIL")</f>
        <v>0</v>
      </c>
      <c r="D40" s="46">
        <f ca="1">B40+C40</f>
        <v>4</v>
      </c>
      <c r="E40" s="46" t="str">
        <f ca="1">IF(C40&gt;0,"FAIL ("&amp;C40&amp;")",IF(D40=0,"-","all pass"))</f>
        <v>all pass</v>
      </c>
    </row>
    <row r="41" spans="1:5" x14ac:dyDescent="0.5">
      <c r="A41" s="77" t="str">
        <f>HYPERLINK("#'set_d'!A1","set_d")</f>
        <v>set_d</v>
      </c>
      <c r="B41" s="52">
        <f ca="1">COUNTIF(set_d!$A:$BZ,"PASS")</f>
        <v>2</v>
      </c>
      <c r="C41" s="54">
        <f ca="1">COUNTIF(set_d!$A:$BZ,"FAIL")</f>
        <v>0</v>
      </c>
      <c r="D41" s="46">
        <f ca="1">B41+C41</f>
        <v>2</v>
      </c>
      <c r="E41" s="46" t="str">
        <f ca="1">IF(C41&gt;0,"FAIL ("&amp;C41&amp;")",IF(D41=0,"-","all pass"))</f>
        <v>all pass</v>
      </c>
    </row>
    <row r="42" spans="1:5" x14ac:dyDescent="0.5">
      <c r="A42" s="77" t="str">
        <f>HYPERLINK("#'set_i'!A1","set_i")</f>
        <v>set_i</v>
      </c>
      <c r="B42" s="52">
        <f ca="1">COUNTIF(set_i!$A:$BZ,"PASS")</f>
        <v>3</v>
      </c>
      <c r="C42" s="54">
        <f ca="1">COUNTIF(set_i!$A:$BZ,"FAIL")</f>
        <v>0</v>
      </c>
      <c r="D42" s="46">
        <f ca="1">B42+C42</f>
        <v>3</v>
      </c>
      <c r="E42" s="46" t="str">
        <f ca="1">IF(C42&gt;0,"FAIL ("&amp;C42&amp;")",IF(D42=0,"-","all pass"))</f>
        <v>all pass</v>
      </c>
    </row>
    <row r="43" spans="1:5" x14ac:dyDescent="0.5">
      <c r="A43" s="77" t="str">
        <f>HYPERLINK("#'set_u'!A1","set_u")</f>
        <v>set_u</v>
      </c>
      <c r="B43" s="52">
        <f ca="1">COUNTIF(set_u!$A:$BZ,"PASS")</f>
        <v>3</v>
      </c>
      <c r="C43" s="54">
        <f ca="1">COUNTIF(set_u!$A:$BZ,"FAIL")</f>
        <v>0</v>
      </c>
      <c r="D43" s="46">
        <f ca="1">B43+C43</f>
        <v>3</v>
      </c>
      <c r="E43" s="46" t="str">
        <f ca="1">IF(C43&gt;0,"FAIL ("&amp;C43&amp;")",IF(D43=0,"-","all pass"))</f>
        <v>all pass</v>
      </c>
    </row>
    <row r="44" spans="1:5" x14ac:dyDescent="0.5">
      <c r="A44" s="77" t="str">
        <f>HYPERLINK("#'shift_arr'!A1","shift_arr")</f>
        <v>shift_arr</v>
      </c>
      <c r="B44" s="52">
        <f ca="1">COUNTIF(shift_arr!$A:$BZ,"PASS")</f>
        <v>5</v>
      </c>
      <c r="C44" s="54">
        <f ca="1">COUNTIF(shift_arr!$A:$BZ,"FAIL")</f>
        <v>0</v>
      </c>
      <c r="D44" s="46">
        <f ca="1">B44+C44</f>
        <v>5</v>
      </c>
      <c r="E44" s="46" t="str">
        <f ca="1">IF(C44&gt;0,"FAIL ("&amp;C44&amp;")",IF(D44=0,"-","all pass"))</f>
        <v>all pass</v>
      </c>
    </row>
    <row r="45" spans="1:5" x14ac:dyDescent="0.5">
      <c r="A45" s="77" t="str">
        <f>HYPERLINK("#'smallest'!A1","smallest")</f>
        <v>smallest</v>
      </c>
      <c r="B45" s="52">
        <f ca="1">COUNTIF(smallest!$A:$BZ,"PASS")</f>
        <v>3</v>
      </c>
      <c r="C45" s="54">
        <f ca="1">COUNTIF(smallest!$A:$BZ,"FAIL")</f>
        <v>0</v>
      </c>
      <c r="D45" s="46">
        <f ca="1">B45+C45</f>
        <v>3</v>
      </c>
      <c r="E45" s="46" t="str">
        <f ca="1">IF(C45&gt;0,"FAIL ("&amp;C45&amp;")",IF(D45=0,"-","all pass"))</f>
        <v>all pass</v>
      </c>
    </row>
    <row r="46" spans="1:5" x14ac:dyDescent="0.5">
      <c r="A46" s="77" t="str">
        <f>HYPERLINK("#'str_ad'!A1","str_ad")</f>
        <v>str_ad</v>
      </c>
      <c r="B46" s="52">
        <f ca="1">COUNTIF(str_ad!$A:$BZ,"PASS")</f>
        <v>7</v>
      </c>
      <c r="C46" s="54">
        <f ca="1">COUNTIF(str_ad!$A:$BZ,"FAIL")</f>
        <v>0</v>
      </c>
      <c r="D46" s="46">
        <f ca="1">B46+C46</f>
        <v>7</v>
      </c>
      <c r="E46" s="46" t="str">
        <f ca="1">IF(C46&gt;0,"FAIL ("&amp;C46&amp;")",IF(D46=0,"-","all pass"))</f>
        <v>all pass</v>
      </c>
    </row>
    <row r="47" spans="1:5" x14ac:dyDescent="0.5">
      <c r="A47" s="77" t="str">
        <f>HYPERLINK("#'str_rev'!A1","str_rev")</f>
        <v>str_rev</v>
      </c>
      <c r="B47" s="52">
        <f ca="1">COUNTIF(str_rev!$A:$BZ,"PASS")</f>
        <v>4</v>
      </c>
      <c r="C47" s="54">
        <f ca="1">COUNTIF(str_rev!$A:$BZ,"FAIL")</f>
        <v>0</v>
      </c>
      <c r="D47" s="46">
        <f ca="1">B47+C47</f>
        <v>4</v>
      </c>
      <c r="E47" s="46" t="str">
        <f ca="1">IF(C47&gt;0,"FAIL ("&amp;C47&amp;")",IF(D47=0,"-","all pass"))</f>
        <v>all pass</v>
      </c>
    </row>
    <row r="48" spans="1:5" x14ac:dyDescent="0.5">
      <c r="A48" s="77" t="str">
        <f>HYPERLINK("#'str_to_arr'!A1","str_to_arr")</f>
        <v>str_to_arr</v>
      </c>
      <c r="B48" s="52">
        <f ca="1">COUNTIF(str_to_arr!$A:$BZ,"PASS")</f>
        <v>3</v>
      </c>
      <c r="C48" s="54">
        <f ca="1">COUNTIF(str_to_arr!$A:$BZ,"FAIL")</f>
        <v>0</v>
      </c>
      <c r="D48" s="46">
        <f ca="1">B48+C48</f>
        <v>3</v>
      </c>
      <c r="E48" s="46" t="str">
        <f ca="1">IF(C48&gt;0,"FAIL ("&amp;C48&amp;")",IF(D48=0,"-","all pass"))</f>
        <v>all pass</v>
      </c>
    </row>
    <row r="49" spans="1:5" x14ac:dyDescent="0.5">
      <c r="A49" s="77" t="str">
        <f>HYPERLINK("#'textbetween'!A1","textbetween")</f>
        <v>textbetween</v>
      </c>
      <c r="B49" s="52">
        <f ca="1">COUNTIF(textbetween!$A:$BZ,"PASS")</f>
        <v>5</v>
      </c>
      <c r="C49" s="54">
        <f ca="1">COUNTIF(textbetween!$A:$BZ,"FAIL")</f>
        <v>0</v>
      </c>
      <c r="D49" s="46">
        <f ca="1">B49+C49</f>
        <v>5</v>
      </c>
      <c r="E49" s="46" t="str">
        <f ca="1">IF(C49&gt;0,"FAIL ("&amp;C49&amp;")",IF(D49=0,"-","all pass"))</f>
        <v>all pass</v>
      </c>
    </row>
    <row r="50" spans="1:5" x14ac:dyDescent="0.5">
      <c r="A50" s="77" t="str">
        <f>HYPERLINK("#'transform_array'!A1","transform_array")</f>
        <v>transform_array</v>
      </c>
      <c r="B50" s="52">
        <f ca="1">COUNTIF(transform_array!$A:$BZ,"PASS")</f>
        <v>7</v>
      </c>
      <c r="C50" s="54">
        <f ca="1">COUNTIF(transform_array!$A:$BZ,"FAIL")</f>
        <v>0</v>
      </c>
      <c r="D50" s="46">
        <f ca="1">B50+C50</f>
        <v>7</v>
      </c>
      <c r="E50" s="46" t="str">
        <f ca="1">IF(C50&gt;0,"FAIL ("&amp;C50&amp;")",IF(D50=0,"-","all pass"))</f>
        <v>all pass</v>
      </c>
    </row>
    <row r="51" spans="1:5" x14ac:dyDescent="0.5">
      <c r="A51" s="77" t="str">
        <f>HYPERLINK("#'update_arr'!A1","update_arr")</f>
        <v>update_arr</v>
      </c>
      <c r="B51" s="52">
        <f ca="1">COUNTIF(update_arr!$A:$BZ,"PASS")</f>
        <v>2</v>
      </c>
      <c r="C51" s="54">
        <f ca="1">COUNTIF(update_arr!$A:$BZ,"FAIL")</f>
        <v>0</v>
      </c>
      <c r="D51" s="46">
        <f ca="1">B51+C51</f>
        <v>2</v>
      </c>
      <c r="E51" s="46" t="str">
        <f ca="1">IF(C51&gt;0,"FAIL ("&amp;C51&amp;")",IF(D51=0,"-","all pass"))</f>
        <v>all pass</v>
      </c>
    </row>
    <row r="52" spans="1:5" x14ac:dyDescent="0.5">
      <c r="A52" s="77" t="str">
        <f>HYPERLINK("#'xbyrow'!A1","xbyrow")</f>
        <v>xbyrow</v>
      </c>
      <c r="B52" s="52">
        <f ca="1">COUNTIF(xbyrow!$A:$BZ,"PASS")</f>
        <v>3</v>
      </c>
      <c r="C52" s="54">
        <f ca="1">COUNTIF(xbyrow!$A:$BZ,"FAIL")</f>
        <v>0</v>
      </c>
      <c r="D52" s="46">
        <f ca="1">B52+C52</f>
        <v>3</v>
      </c>
      <c r="E52" s="46" t="str">
        <f ca="1">IF(C52&gt;0,"FAIL ("&amp;C52&amp;")",IF(D52=0,"-","all pass"))</f>
        <v>all pass</v>
      </c>
    </row>
    <row r="53" spans="1:5" x14ac:dyDescent="0.5">
      <c r="A53" s="77" t="str">
        <f>HYPERLINK("#'xcountif'!A1","xcountif")</f>
        <v>xcountif</v>
      </c>
      <c r="B53" s="52">
        <f ca="1">COUNTIF(xcountif!$A:$BZ,"PASS")</f>
        <v>5</v>
      </c>
      <c r="C53" s="54">
        <f ca="1">COUNTIF(xcountif!$A:$BZ,"FAIL")</f>
        <v>0</v>
      </c>
      <c r="D53" s="46">
        <f ca="1">B53+C53</f>
        <v>5</v>
      </c>
      <c r="E53" s="46" t="str">
        <f ca="1">IF(C53&gt;0,"FAIL ("&amp;C53&amp;")",IF(D53=0,"-","all pass"))</f>
        <v>all pass</v>
      </c>
    </row>
    <row r="54" spans="1:5" x14ac:dyDescent="0.5">
      <c r="A54" s="77" t="str">
        <f>HYPERLINK("#'xdec2bin'!A1","xdec2bin")</f>
        <v>xdec2bin</v>
      </c>
      <c r="B54" s="52">
        <f ca="1">COUNTIF(xdec2bin!$A:$BZ,"PASS")</f>
        <v>6</v>
      </c>
      <c r="C54" s="54">
        <f ca="1">COUNTIF(xdec2bin!$A:$BZ,"FAIL")</f>
        <v>0</v>
      </c>
      <c r="D54" s="46">
        <f ca="1">B54+C54</f>
        <v>6</v>
      </c>
      <c r="E54" s="46" t="str">
        <f ca="1">IF(C54&gt;0,"FAIL ("&amp;C54&amp;")",IF(D54=0,"-","all pass"))</f>
        <v>all pass</v>
      </c>
    </row>
    <row r="55" spans="1:5" x14ac:dyDescent="0.5">
      <c r="A55" s="77" t="str">
        <f>HYPERLINK("#'xfilter'!A1","xfilter")</f>
        <v>xfilter</v>
      </c>
      <c r="B55" s="52">
        <f ca="1">COUNTIF(xfilter!$A:$BZ,"PASS")</f>
        <v>6</v>
      </c>
      <c r="C55" s="54">
        <f ca="1">COUNTIF(xfilter!$A:$BZ,"FAIL")</f>
        <v>0</v>
      </c>
      <c r="D55" s="46">
        <f ca="1">B55+C55</f>
        <v>6</v>
      </c>
      <c r="E55" s="46" t="str">
        <f ca="1">IF(C55&gt;0,"FAIL ("&amp;C55&amp;")",IF(D55=0,"-","all pass"))</f>
        <v>all pass</v>
      </c>
    </row>
    <row r="56" spans="1:5" x14ac:dyDescent="0.5">
      <c r="A56" s="77" t="str">
        <f>HYPERLINK("#'xmod'!A1","xmod")</f>
        <v>xmod</v>
      </c>
      <c r="B56" s="52">
        <f ca="1">COUNTIF(xmod!$A:$BZ,"PASS")</f>
        <v>6</v>
      </c>
      <c r="C56" s="54">
        <f ca="1">COUNTIF(xmod!$A:$BZ,"FAIL")</f>
        <v>0</v>
      </c>
      <c r="D56" s="46">
        <f ca="1">B56+C56</f>
        <v>6</v>
      </c>
      <c r="E56" s="46" t="str">
        <f ca="1">IF(C56&gt;0,"FAIL ("&amp;C56&amp;")",IF(D56=0,"-","all pass"))</f>
        <v>all pass</v>
      </c>
    </row>
    <row r="57" spans="1:5" x14ac:dyDescent="0.5">
      <c r="A57" s="77" t="str">
        <f>HYPERLINK("#'xn'!A1","xn")</f>
        <v>xn</v>
      </c>
      <c r="B57" s="52">
        <f ca="1">COUNTIF(xn!$A:$BZ,"PASS")</f>
        <v>5</v>
      </c>
      <c r="C57" s="54">
        <f ca="1">COUNTIF(xn!$A:$BZ,"FAIL")</f>
        <v>0</v>
      </c>
      <c r="D57" s="46">
        <f ca="1">B57+C57</f>
        <v>5</v>
      </c>
      <c r="E57" s="46" t="str">
        <f ca="1">IF(C57&gt;0,"FAIL ("&amp;C57&amp;")",IF(D57=0,"-","all pass"))</f>
        <v>all pass</v>
      </c>
    </row>
    <row r="58" spans="1:5" x14ac:dyDescent="0.5">
      <c r="A58" s="77" t="str">
        <f>HYPERLINK("#'xrank'!A1","xrank")</f>
        <v>xrank</v>
      </c>
      <c r="B58" s="48">
        <f ca="1">COUNTIF(xrank!$A:$BZ,"PASS")</f>
        <v>6</v>
      </c>
      <c r="C58" s="50">
        <f ca="1">COUNTIF(xrank!$A:$BZ,"FAIL")</f>
        <v>0</v>
      </c>
      <c r="D58" s="45">
        <f ca="1">B58+C58</f>
        <v>6</v>
      </c>
      <c r="E58" s="45" t="str">
        <f ca="1">IF(C58&gt;0,"FAIL ("&amp;C58&amp;")",IF(D58=0,"-","all pass"))</f>
        <v>all pass</v>
      </c>
    </row>
    <row r="59" spans="1:5" x14ac:dyDescent="0.5">
      <c r="A59" s="77" t="str">
        <f>HYPERLINK("#'xsequence'!A1","xsequence")</f>
        <v>xsequence</v>
      </c>
      <c r="B59" s="48">
        <f ca="1">COUNTIF(xsequence!$A:$BZ,"PASS")</f>
        <v>6</v>
      </c>
      <c r="C59" s="50">
        <f ca="1">COUNTIF(xsequence!$A:$BZ,"FAIL")</f>
        <v>0</v>
      </c>
      <c r="D59" s="45">
        <f ca="1">B59+C59</f>
        <v>6</v>
      </c>
      <c r="E59" s="45" t="str">
        <f ca="1">IF(C59&gt;0,"FAIL ("&amp;C59&amp;")",IF(D59=0,"-","all pass"))</f>
        <v>all pass</v>
      </c>
    </row>
    <row r="60" spans="1:5" x14ac:dyDescent="0.5">
      <c r="A60" s="77" t="str">
        <f>HYPERLINK("#'xtextsplit'!A1","xtextsplit")</f>
        <v>xtextsplit</v>
      </c>
      <c r="B60" s="48">
        <f ca="1">COUNTIF(xtextsplit!$A:$BZ,"PASS")</f>
        <v>5</v>
      </c>
      <c r="C60" s="50">
        <f ca="1">COUNTIF(xtextsplit!$A:$BZ,"FAIL")</f>
        <v>0</v>
      </c>
      <c r="D60" s="45">
        <f ca="1">B60+C60</f>
        <v>5</v>
      </c>
      <c r="E60" s="45" t="str">
        <f ca="1">IF(C60&gt;0,"FAIL ("&amp;C60&amp;")",IF(D60=0,"-","all pass"))</f>
        <v>all pass</v>
      </c>
    </row>
    <row r="61" spans="1:5" x14ac:dyDescent="0.5">
      <c r="A61" s="77" t="str">
        <f>HYPERLINK("#'xtocol'!A1","xtocol")</f>
        <v>xtocol</v>
      </c>
      <c r="B61" s="48">
        <f ca="1">COUNTIF(xtocol!$A:$BZ,"PASS")</f>
        <v>5</v>
      </c>
      <c r="C61" s="50">
        <f ca="1">COUNTIF(xtocol!$A:$BZ,"FAIL")</f>
        <v>0</v>
      </c>
      <c r="D61" s="45">
        <f ca="1">B61+C61</f>
        <v>5</v>
      </c>
      <c r="E61" s="45" t="str">
        <f ca="1">IF(C61&gt;0,"FAIL ("&amp;C61&amp;")",IF(D61=0,"-","all pass"))</f>
        <v>all pass</v>
      </c>
    </row>
    <row r="62" spans="1:5" x14ac:dyDescent="0.5">
      <c r="A62" t="s">
        <v>2918</v>
      </c>
      <c r="B62" s="48">
        <f ca="1">SUM(B5:B61)</f>
        <v>275</v>
      </c>
      <c r="C62" s="50">
        <f ca="1">SUM(C5:C61)</f>
        <v>0</v>
      </c>
      <c r="D62" s="45">
        <f ca="1">SUM(D5:D61)</f>
        <v>275</v>
      </c>
      <c r="E62" s="45" t="str">
        <f ca="1">IF(C62&gt;0,C62&amp;" FAILING","ALL PASS")</f>
        <v>ALL PASS</v>
      </c>
    </row>
    <row r="63" spans="1:5" x14ac:dyDescent="0.5">
      <c r="B63" s="48"/>
      <c r="C63" s="50"/>
      <c r="D63" s="45"/>
      <c r="E63" s="45"/>
    </row>
    <row r="64" spans="1:5" x14ac:dyDescent="0.5">
      <c r="B64" s="48"/>
      <c r="C64" s="50"/>
      <c r="D64" s="45"/>
      <c r="E64" s="45"/>
    </row>
    <row r="65" spans="2:5" x14ac:dyDescent="0.5">
      <c r="B65" s="48"/>
      <c r="C65" s="50"/>
      <c r="D65" s="45"/>
      <c r="E65" s="45"/>
    </row>
    <row r="66" spans="2:5" x14ac:dyDescent="0.5">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69DFF-6148-4612-BF7E-DFE3B8291006}">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3325</v>
      </c>
    </row>
    <row r="2" spans="1:6" x14ac:dyDescent="0.5">
      <c r="A2" t="s">
        <v>3593</v>
      </c>
    </row>
    <row r="4" spans="1:6" x14ac:dyDescent="0.5">
      <c r="A4" s="15" t="s">
        <v>7</v>
      </c>
      <c r="B4" s="15" t="s">
        <v>3326</v>
      </c>
      <c r="C4" s="15" t="s">
        <v>8</v>
      </c>
      <c r="D4" s="57" t="s">
        <v>10</v>
      </c>
      <c r="E4" s="57" t="s">
        <v>11</v>
      </c>
      <c r="F4" s="15" t="s">
        <v>3327</v>
      </c>
    </row>
    <row r="5" spans="1:6" x14ac:dyDescent="0.5">
      <c r="A5">
        <v>1</v>
      </c>
      <c r="B5" t="s">
        <v>3328</v>
      </c>
      <c r="C5" t="s">
        <v>3329</v>
      </c>
      <c r="D5" s="56" t="s">
        <v>3330</v>
      </c>
      <c r="E5" s="56" t="s">
        <v>3330</v>
      </c>
      <c r="F5" s="58" t="s">
        <v>3331</v>
      </c>
    </row>
    <row r="6" spans="1:6" x14ac:dyDescent="0.5">
      <c r="A6">
        <v>2</v>
      </c>
      <c r="B6" t="s">
        <v>3328</v>
      </c>
      <c r="C6" t="s">
        <v>3332</v>
      </c>
      <c r="D6" s="56" t="s">
        <v>3333</v>
      </c>
      <c r="E6" s="56" t="s">
        <v>3333</v>
      </c>
      <c r="F6" s="58" t="s">
        <v>3331</v>
      </c>
    </row>
    <row r="7" spans="1:6" x14ac:dyDescent="0.5">
      <c r="A7">
        <v>3</v>
      </c>
      <c r="B7" t="s">
        <v>3328</v>
      </c>
      <c r="C7" t="s">
        <v>3334</v>
      </c>
      <c r="D7" s="56" t="s">
        <v>3335</v>
      </c>
      <c r="E7" s="56" t="s">
        <v>3335</v>
      </c>
      <c r="F7" s="58" t="s">
        <v>3331</v>
      </c>
    </row>
    <row r="8" spans="1:6" x14ac:dyDescent="0.5">
      <c r="A8">
        <v>4</v>
      </c>
      <c r="B8" t="s">
        <v>3336</v>
      </c>
      <c r="C8" t="s">
        <v>3337</v>
      </c>
      <c r="D8" s="56" t="s">
        <v>3338</v>
      </c>
      <c r="E8" s="56" t="s">
        <v>3338</v>
      </c>
      <c r="F8" s="58" t="s">
        <v>3331</v>
      </c>
    </row>
    <row r="9" spans="1:6" x14ac:dyDescent="0.5">
      <c r="A9">
        <v>5</v>
      </c>
      <c r="B9" t="s">
        <v>3336</v>
      </c>
      <c r="C9" t="s">
        <v>3339</v>
      </c>
      <c r="D9" s="56" t="s">
        <v>3340</v>
      </c>
      <c r="E9" s="56" t="s">
        <v>3340</v>
      </c>
      <c r="F9" s="58" t="s">
        <v>3331</v>
      </c>
    </row>
    <row r="10" spans="1:6" x14ac:dyDescent="0.5">
      <c r="A10">
        <v>6</v>
      </c>
      <c r="B10" t="s">
        <v>3336</v>
      </c>
      <c r="C10" t="s">
        <v>3341</v>
      </c>
      <c r="D10" s="56" t="s">
        <v>3342</v>
      </c>
      <c r="E10" s="56" t="s">
        <v>3342</v>
      </c>
      <c r="F10" s="58" t="s">
        <v>3331</v>
      </c>
    </row>
    <row r="11" spans="1:6" x14ac:dyDescent="0.5">
      <c r="A11">
        <v>7</v>
      </c>
      <c r="B11" t="s">
        <v>3343</v>
      </c>
      <c r="C11" t="s">
        <v>3344</v>
      </c>
      <c r="D11" s="56" t="s">
        <v>3345</v>
      </c>
      <c r="E11" s="56" t="s">
        <v>3345</v>
      </c>
      <c r="F11" s="58" t="s">
        <v>3331</v>
      </c>
    </row>
    <row r="12" spans="1:6" x14ac:dyDescent="0.5">
      <c r="A12">
        <v>8</v>
      </c>
      <c r="B12" t="s">
        <v>3343</v>
      </c>
      <c r="C12" t="s">
        <v>3346</v>
      </c>
      <c r="D12" s="56" t="s">
        <v>3345</v>
      </c>
      <c r="E12" s="56" t="s">
        <v>3345</v>
      </c>
      <c r="F12" s="58" t="s">
        <v>3331</v>
      </c>
    </row>
    <row r="13" spans="1:6" x14ac:dyDescent="0.5">
      <c r="A13">
        <v>9</v>
      </c>
      <c r="B13" t="s">
        <v>3343</v>
      </c>
      <c r="C13" t="s">
        <v>3347</v>
      </c>
      <c r="D13" s="56" t="s">
        <v>3345</v>
      </c>
      <c r="E13" s="56" t="s">
        <v>3345</v>
      </c>
      <c r="F13" s="58" t="s">
        <v>3331</v>
      </c>
    </row>
    <row r="14" spans="1:6" x14ac:dyDescent="0.5">
      <c r="A14">
        <v>10</v>
      </c>
      <c r="B14" t="s">
        <v>3348</v>
      </c>
      <c r="C14" t="s">
        <v>3349</v>
      </c>
      <c r="D14" s="56" t="s">
        <v>3350</v>
      </c>
      <c r="E14" s="56" t="s">
        <v>3350</v>
      </c>
      <c r="F14" s="58" t="s">
        <v>3331</v>
      </c>
    </row>
    <row r="15" spans="1:6" x14ac:dyDescent="0.5">
      <c r="A15">
        <v>11</v>
      </c>
      <c r="B15" t="s">
        <v>3348</v>
      </c>
      <c r="C15" t="s">
        <v>3351</v>
      </c>
      <c r="D15" s="56" t="s">
        <v>3345</v>
      </c>
      <c r="E15" s="56" t="s">
        <v>3345</v>
      </c>
      <c r="F15" s="58" t="s">
        <v>3331</v>
      </c>
    </row>
    <row r="16" spans="1:6" x14ac:dyDescent="0.5">
      <c r="A16">
        <v>12</v>
      </c>
      <c r="B16" t="s">
        <v>3377</v>
      </c>
      <c r="C16" t="s">
        <v>3378</v>
      </c>
      <c r="D16" s="56" t="s">
        <v>3379</v>
      </c>
      <c r="E16" s="56" t="s">
        <v>3379</v>
      </c>
      <c r="F16" s="58" t="s">
        <v>3331</v>
      </c>
    </row>
    <row r="17" spans="1:6" x14ac:dyDescent="0.5">
      <c r="A17">
        <v>13</v>
      </c>
      <c r="B17" t="s">
        <v>3377</v>
      </c>
      <c r="C17" t="s">
        <v>3380</v>
      </c>
      <c r="D17" s="56" t="s">
        <v>136</v>
      </c>
      <c r="E17" s="56" t="s">
        <v>136</v>
      </c>
      <c r="F17" s="58" t="s">
        <v>3331</v>
      </c>
    </row>
    <row r="18" spans="1:6" x14ac:dyDescent="0.5">
      <c r="A18">
        <v>14</v>
      </c>
      <c r="B18" t="s">
        <v>3377</v>
      </c>
      <c r="C18" t="s">
        <v>3381</v>
      </c>
      <c r="D18" s="56" t="s">
        <v>156</v>
      </c>
      <c r="E18" s="56" t="s">
        <v>156</v>
      </c>
      <c r="F18" s="58" t="s">
        <v>3331</v>
      </c>
    </row>
    <row r="19" spans="1:6" x14ac:dyDescent="0.5">
      <c r="A19">
        <v>15</v>
      </c>
      <c r="B19" t="s">
        <v>3377</v>
      </c>
      <c r="C19" t="s">
        <v>3382</v>
      </c>
      <c r="D19" s="56" t="s">
        <v>3383</v>
      </c>
      <c r="E19" s="56" t="s">
        <v>3383</v>
      </c>
      <c r="F19" s="58" t="s">
        <v>3331</v>
      </c>
    </row>
    <row r="20" spans="1:6" x14ac:dyDescent="0.5">
      <c r="A20">
        <v>16</v>
      </c>
      <c r="B20" t="s">
        <v>3377</v>
      </c>
      <c r="C20" t="s">
        <v>3384</v>
      </c>
      <c r="D20" s="56" t="s">
        <v>3345</v>
      </c>
      <c r="E20" s="56" t="s">
        <v>3345</v>
      </c>
      <c r="F20" s="58" t="s">
        <v>3331</v>
      </c>
    </row>
    <row r="21" spans="1:6" x14ac:dyDescent="0.5">
      <c r="A21">
        <v>17</v>
      </c>
      <c r="B21" t="s">
        <v>3377</v>
      </c>
      <c r="C21" t="s">
        <v>3385</v>
      </c>
      <c r="D21" s="56" t="s">
        <v>3298</v>
      </c>
      <c r="E21" s="56" t="s">
        <v>3298</v>
      </c>
      <c r="F21" s="58" t="s">
        <v>3331</v>
      </c>
    </row>
    <row r="22" spans="1:6" x14ac:dyDescent="0.5">
      <c r="A22">
        <v>18</v>
      </c>
      <c r="B22" t="s">
        <v>3386</v>
      </c>
      <c r="C22" t="s">
        <v>3387</v>
      </c>
      <c r="D22" s="56" t="s">
        <v>3388</v>
      </c>
      <c r="E22" s="56" t="s">
        <v>3388</v>
      </c>
      <c r="F22" s="58" t="s">
        <v>3331</v>
      </c>
    </row>
    <row r="23" spans="1:6" x14ac:dyDescent="0.5">
      <c r="A23">
        <v>19</v>
      </c>
      <c r="B23" t="s">
        <v>3386</v>
      </c>
      <c r="C23" t="s">
        <v>3389</v>
      </c>
      <c r="D23" s="56" t="s">
        <v>3390</v>
      </c>
      <c r="E23" s="56" t="s">
        <v>3390</v>
      </c>
      <c r="F23" s="58" t="s">
        <v>3331</v>
      </c>
    </row>
    <row r="24" spans="1:6" x14ac:dyDescent="0.5">
      <c r="A24">
        <v>20</v>
      </c>
      <c r="B24" t="s">
        <v>3386</v>
      </c>
      <c r="C24" t="s">
        <v>3391</v>
      </c>
      <c r="D24" s="56" t="s">
        <v>3392</v>
      </c>
      <c r="E24" s="56" t="s">
        <v>3392</v>
      </c>
      <c r="F24" s="58" t="s">
        <v>3331</v>
      </c>
    </row>
    <row r="25" spans="1:6" x14ac:dyDescent="0.5">
      <c r="A25">
        <v>21</v>
      </c>
      <c r="B25" t="s">
        <v>3393</v>
      </c>
      <c r="C25" t="s">
        <v>3394</v>
      </c>
      <c r="D25" s="56" t="s">
        <v>3345</v>
      </c>
      <c r="E25" s="56" t="s">
        <v>3345</v>
      </c>
      <c r="F25" s="58" t="s">
        <v>3331</v>
      </c>
    </row>
    <row r="26" spans="1:6" x14ac:dyDescent="0.5">
      <c r="A26">
        <v>22</v>
      </c>
      <c r="B26" t="s">
        <v>3393</v>
      </c>
      <c r="C26" t="s">
        <v>3395</v>
      </c>
      <c r="D26" s="56" t="s">
        <v>3345</v>
      </c>
      <c r="E26" s="56" t="s">
        <v>3345</v>
      </c>
      <c r="F26" s="58" t="s">
        <v>3331</v>
      </c>
    </row>
    <row r="27" spans="1:6" x14ac:dyDescent="0.5">
      <c r="A27">
        <v>23</v>
      </c>
      <c r="B27" t="s">
        <v>3396</v>
      </c>
      <c r="C27" t="s">
        <v>3397</v>
      </c>
      <c r="D27" s="56" t="s">
        <v>3338</v>
      </c>
      <c r="E27" s="56" t="s">
        <v>3338</v>
      </c>
      <c r="F27" s="58" t="s">
        <v>3331</v>
      </c>
    </row>
    <row r="28" spans="1:6" x14ac:dyDescent="0.5">
      <c r="A28">
        <v>24</v>
      </c>
      <c r="B28" t="s">
        <v>3396</v>
      </c>
      <c r="C28" t="s">
        <v>3398</v>
      </c>
      <c r="D28" s="56" t="s">
        <v>3342</v>
      </c>
      <c r="E28" s="56" t="s">
        <v>3342</v>
      </c>
      <c r="F28" s="58" t="s">
        <v>3331</v>
      </c>
    </row>
    <row r="29" spans="1:6" x14ac:dyDescent="0.5">
      <c r="A29">
        <v>25</v>
      </c>
      <c r="B29" t="s">
        <v>3399</v>
      </c>
      <c r="C29" t="s">
        <v>3400</v>
      </c>
      <c r="D29" s="56" t="s">
        <v>2631</v>
      </c>
      <c r="E29" s="56" t="s">
        <v>2631</v>
      </c>
      <c r="F29" s="58" t="s">
        <v>3331</v>
      </c>
    </row>
    <row r="30" spans="1:6" x14ac:dyDescent="0.5">
      <c r="A30">
        <v>26</v>
      </c>
      <c r="B30" t="s">
        <v>3399</v>
      </c>
      <c r="C30" t="s">
        <v>3401</v>
      </c>
      <c r="D30" s="56" t="s">
        <v>3402</v>
      </c>
      <c r="E30" s="56" t="s">
        <v>3402</v>
      </c>
      <c r="F30" s="58" t="s">
        <v>3331</v>
      </c>
    </row>
    <row r="31" spans="1:6" x14ac:dyDescent="0.5">
      <c r="A31">
        <v>27</v>
      </c>
      <c r="B31" t="s">
        <v>3399</v>
      </c>
      <c r="C31" t="s">
        <v>3403</v>
      </c>
      <c r="D31" s="56" t="s">
        <v>3345</v>
      </c>
      <c r="E31" s="56" t="s">
        <v>3345</v>
      </c>
      <c r="F31" s="58" t="s">
        <v>3331</v>
      </c>
    </row>
    <row r="32" spans="1:6" x14ac:dyDescent="0.5">
      <c r="A32">
        <v>28</v>
      </c>
      <c r="B32" t="s">
        <v>3404</v>
      </c>
      <c r="C32" t="s">
        <v>3405</v>
      </c>
      <c r="D32" s="56" t="s">
        <v>2631</v>
      </c>
      <c r="E32" s="56" t="s">
        <v>2631</v>
      </c>
      <c r="F32" s="58" t="s">
        <v>3331</v>
      </c>
    </row>
    <row r="33" spans="1:6" x14ac:dyDescent="0.5">
      <c r="A33">
        <v>29</v>
      </c>
      <c r="B33" t="s">
        <v>3404</v>
      </c>
      <c r="C33" t="s">
        <v>3406</v>
      </c>
      <c r="D33" s="56" t="s">
        <v>2631</v>
      </c>
      <c r="E33" s="56" t="s">
        <v>2631</v>
      </c>
      <c r="F33" s="58" t="s">
        <v>3331</v>
      </c>
    </row>
    <row r="34" spans="1:6" x14ac:dyDescent="0.5">
      <c r="A34">
        <v>30</v>
      </c>
      <c r="B34" t="s">
        <v>3404</v>
      </c>
      <c r="C34" t="s">
        <v>3407</v>
      </c>
      <c r="D34" s="56" t="s">
        <v>3402</v>
      </c>
      <c r="E34" s="56" t="s">
        <v>3402</v>
      </c>
      <c r="F34" s="58" t="s">
        <v>3331</v>
      </c>
    </row>
    <row r="35" spans="1:6" x14ac:dyDescent="0.5">
      <c r="A35">
        <v>31</v>
      </c>
      <c r="B35" t="s">
        <v>3404</v>
      </c>
      <c r="C35" t="s">
        <v>3408</v>
      </c>
      <c r="D35" s="56" t="s">
        <v>3402</v>
      </c>
      <c r="E35" s="56" t="s">
        <v>3402</v>
      </c>
      <c r="F35" s="58" t="s">
        <v>3331</v>
      </c>
    </row>
    <row r="36" spans="1:6" x14ac:dyDescent="0.5">
      <c r="A36">
        <v>32</v>
      </c>
      <c r="B36" t="s">
        <v>3409</v>
      </c>
      <c r="C36" t="s">
        <v>3410</v>
      </c>
      <c r="D36" s="56" t="s">
        <v>3345</v>
      </c>
      <c r="E36" s="56" t="s">
        <v>3345</v>
      </c>
      <c r="F36" s="58" t="s">
        <v>3331</v>
      </c>
    </row>
    <row r="37" spans="1:6" x14ac:dyDescent="0.5">
      <c r="A37">
        <v>33</v>
      </c>
      <c r="B37" t="s">
        <v>3409</v>
      </c>
      <c r="C37" t="s">
        <v>3411</v>
      </c>
      <c r="D37" s="56" t="s">
        <v>3345</v>
      </c>
      <c r="E37" s="56" t="s">
        <v>3345</v>
      </c>
      <c r="F37" s="58" t="s">
        <v>3331</v>
      </c>
    </row>
    <row r="38" spans="1:6" x14ac:dyDescent="0.5">
      <c r="A38">
        <v>34</v>
      </c>
      <c r="B38" t="s">
        <v>3409</v>
      </c>
      <c r="C38" t="s">
        <v>3412</v>
      </c>
      <c r="D38" s="56" t="s">
        <v>3366</v>
      </c>
      <c r="E38" s="56" t="s">
        <v>3366</v>
      </c>
      <c r="F38" s="58" t="s">
        <v>3331</v>
      </c>
    </row>
    <row r="39" spans="1:6" x14ac:dyDescent="0.5">
      <c r="A39">
        <v>35</v>
      </c>
      <c r="B39" t="s">
        <v>3409</v>
      </c>
      <c r="C39" t="s">
        <v>3413</v>
      </c>
      <c r="D39" s="56" t="s">
        <v>3367</v>
      </c>
      <c r="E39" s="56" t="s">
        <v>3367</v>
      </c>
      <c r="F39" s="58" t="s">
        <v>3331</v>
      </c>
    </row>
    <row r="40" spans="1:6" x14ac:dyDescent="0.5">
      <c r="A40">
        <v>36</v>
      </c>
      <c r="B40" t="s">
        <v>3409</v>
      </c>
      <c r="C40" t="s">
        <v>3414</v>
      </c>
      <c r="D40" s="56" t="s">
        <v>2946</v>
      </c>
      <c r="E40" s="56" t="s">
        <v>2946</v>
      </c>
      <c r="F40" s="58" t="s">
        <v>3331</v>
      </c>
    </row>
    <row r="41" spans="1:6" x14ac:dyDescent="0.5">
      <c r="A41">
        <v>37</v>
      </c>
      <c r="B41" t="s">
        <v>3409</v>
      </c>
      <c r="C41" t="s">
        <v>3415</v>
      </c>
      <c r="D41" s="56" t="s">
        <v>136</v>
      </c>
      <c r="E41" s="56" t="s">
        <v>136</v>
      </c>
      <c r="F41" s="58" t="s">
        <v>3331</v>
      </c>
    </row>
    <row r="42" spans="1:6" x14ac:dyDescent="0.5">
      <c r="A42">
        <v>38</v>
      </c>
      <c r="B42" t="s">
        <v>3409</v>
      </c>
      <c r="C42" t="s">
        <v>3416</v>
      </c>
      <c r="D42" s="56" t="s">
        <v>2947</v>
      </c>
      <c r="E42" s="56" t="s">
        <v>2947</v>
      </c>
      <c r="F42" s="58" t="s">
        <v>3331</v>
      </c>
    </row>
    <row r="43" spans="1:6" x14ac:dyDescent="0.5">
      <c r="A43">
        <v>39</v>
      </c>
      <c r="B43" t="s">
        <v>3409</v>
      </c>
      <c r="C43" t="s">
        <v>3417</v>
      </c>
      <c r="D43" s="56" t="s">
        <v>577</v>
      </c>
      <c r="E43" s="56" t="s">
        <v>577</v>
      </c>
      <c r="F43" s="58" t="s">
        <v>3331</v>
      </c>
    </row>
    <row r="44" spans="1:6" x14ac:dyDescent="0.5">
      <c r="A44">
        <v>40</v>
      </c>
      <c r="B44" t="s">
        <v>3418</v>
      </c>
      <c r="C44" t="s">
        <v>3419</v>
      </c>
      <c r="D44" s="56" t="s">
        <v>3345</v>
      </c>
      <c r="E44" s="56" t="s">
        <v>3345</v>
      </c>
      <c r="F44" s="58" t="s">
        <v>3331</v>
      </c>
    </row>
    <row r="45" spans="1:6" x14ac:dyDescent="0.5">
      <c r="A45">
        <v>41</v>
      </c>
      <c r="B45" t="s">
        <v>3418</v>
      </c>
      <c r="C45" t="s">
        <v>3420</v>
      </c>
      <c r="D45" s="56" t="s">
        <v>3345</v>
      </c>
      <c r="E45" s="56" t="s">
        <v>3345</v>
      </c>
      <c r="F45" s="58" t="s">
        <v>3331</v>
      </c>
    </row>
    <row r="46" spans="1:6" x14ac:dyDescent="0.5">
      <c r="A46">
        <v>42</v>
      </c>
      <c r="B46" t="s">
        <v>3418</v>
      </c>
      <c r="C46" t="s">
        <v>3421</v>
      </c>
      <c r="D46" s="56" t="s">
        <v>2946</v>
      </c>
      <c r="E46" s="56" t="s">
        <v>2946</v>
      </c>
      <c r="F46" s="58" t="s">
        <v>3331</v>
      </c>
    </row>
    <row r="47" spans="1:6" x14ac:dyDescent="0.5">
      <c r="A47">
        <v>43</v>
      </c>
      <c r="B47" t="s">
        <v>3418</v>
      </c>
      <c r="C47" t="s">
        <v>3415</v>
      </c>
      <c r="D47" s="56" t="s">
        <v>136</v>
      </c>
      <c r="E47" s="56" t="s">
        <v>136</v>
      </c>
      <c r="F47" s="58" t="s">
        <v>3331</v>
      </c>
    </row>
    <row r="48" spans="1:6" x14ac:dyDescent="0.5">
      <c r="A48">
        <v>44</v>
      </c>
      <c r="B48" t="s">
        <v>3418</v>
      </c>
      <c r="C48" t="s">
        <v>3422</v>
      </c>
      <c r="D48" s="56" t="s">
        <v>3423</v>
      </c>
      <c r="E48" s="56" t="s">
        <v>3423</v>
      </c>
      <c r="F48" s="58" t="s">
        <v>3331</v>
      </c>
    </row>
    <row r="49" spans="1:6" x14ac:dyDescent="0.5">
      <c r="A49">
        <v>45</v>
      </c>
      <c r="B49" t="s">
        <v>3418</v>
      </c>
      <c r="C49" t="s">
        <v>3424</v>
      </c>
      <c r="D49" s="56" t="s">
        <v>2947</v>
      </c>
      <c r="E49" s="56" t="s">
        <v>2947</v>
      </c>
      <c r="F49" s="58" t="s">
        <v>3331</v>
      </c>
    </row>
    <row r="50" spans="1:6" x14ac:dyDescent="0.5">
      <c r="A50">
        <v>46</v>
      </c>
      <c r="B50" t="s">
        <v>3418</v>
      </c>
      <c r="C50" t="s">
        <v>3417</v>
      </c>
      <c r="D50" s="56" t="s">
        <v>577</v>
      </c>
      <c r="E50" s="56" t="s">
        <v>577</v>
      </c>
      <c r="F50" s="58" t="s">
        <v>3331</v>
      </c>
    </row>
    <row r="51" spans="1:6" x14ac:dyDescent="0.5">
      <c r="A51">
        <v>47</v>
      </c>
      <c r="B51" t="s">
        <v>3418</v>
      </c>
      <c r="C51" t="s">
        <v>3425</v>
      </c>
      <c r="D51" s="56" t="s">
        <v>3426</v>
      </c>
      <c r="E51" s="56" t="s">
        <v>3426</v>
      </c>
      <c r="F51" s="58" t="s">
        <v>3331</v>
      </c>
    </row>
    <row r="52" spans="1:6" x14ac:dyDescent="0.5">
      <c r="A52">
        <v>48</v>
      </c>
      <c r="B52" t="s">
        <v>3427</v>
      </c>
      <c r="C52" t="s">
        <v>3428</v>
      </c>
      <c r="D52" s="56" t="s">
        <v>3345</v>
      </c>
      <c r="E52" s="56" t="s">
        <v>3345</v>
      </c>
      <c r="F52" s="58" t="s">
        <v>3331</v>
      </c>
    </row>
    <row r="53" spans="1:6" x14ac:dyDescent="0.5">
      <c r="A53">
        <v>49</v>
      </c>
      <c r="B53" t="s">
        <v>3427</v>
      </c>
      <c r="C53" t="s">
        <v>3429</v>
      </c>
      <c r="D53" s="56" t="s">
        <v>3345</v>
      </c>
      <c r="E53" s="56" t="s">
        <v>3345</v>
      </c>
      <c r="F53" s="58" t="s">
        <v>3331</v>
      </c>
    </row>
    <row r="54" spans="1:6" x14ac:dyDescent="0.5">
      <c r="A54">
        <v>50</v>
      </c>
      <c r="B54" t="s">
        <v>3427</v>
      </c>
      <c r="C54" t="s">
        <v>3412</v>
      </c>
      <c r="D54" s="56" t="s">
        <v>3369</v>
      </c>
      <c r="E54" s="56" t="s">
        <v>3369</v>
      </c>
      <c r="F54" s="58" t="s">
        <v>3331</v>
      </c>
    </row>
    <row r="55" spans="1:6" x14ac:dyDescent="0.5">
      <c r="A55">
        <v>51</v>
      </c>
      <c r="B55" t="s">
        <v>3427</v>
      </c>
      <c r="C55" t="s">
        <v>3430</v>
      </c>
      <c r="D55" s="56" t="s">
        <v>2934</v>
      </c>
      <c r="E55" s="56" t="s">
        <v>2934</v>
      </c>
      <c r="F55" s="58" t="s">
        <v>3331</v>
      </c>
    </row>
    <row r="56" spans="1:6" x14ac:dyDescent="0.5">
      <c r="A56">
        <v>52</v>
      </c>
      <c r="B56" t="s">
        <v>3427</v>
      </c>
      <c r="C56" t="s">
        <v>3431</v>
      </c>
      <c r="D56" s="56" t="s">
        <v>3072</v>
      </c>
      <c r="E56" s="56" t="s">
        <v>3072</v>
      </c>
      <c r="F56" s="58" t="s">
        <v>3331</v>
      </c>
    </row>
    <row r="57" spans="1:6" x14ac:dyDescent="0.5">
      <c r="A57">
        <v>53</v>
      </c>
      <c r="B57" t="s">
        <v>3427</v>
      </c>
      <c r="C57" t="s">
        <v>3432</v>
      </c>
      <c r="D57" s="56" t="s">
        <v>3338</v>
      </c>
      <c r="E57" s="56" t="s">
        <v>3338</v>
      </c>
      <c r="F57" s="58" t="s">
        <v>3331</v>
      </c>
    </row>
    <row r="58" spans="1:6" x14ac:dyDescent="0.5">
      <c r="A58">
        <v>54</v>
      </c>
      <c r="B58" t="s">
        <v>3433</v>
      </c>
      <c r="C58" t="s">
        <v>3434</v>
      </c>
      <c r="D58" s="56" t="s">
        <v>137</v>
      </c>
      <c r="E58" s="56" t="s">
        <v>137</v>
      </c>
      <c r="F58" s="58" t="s">
        <v>3331</v>
      </c>
    </row>
    <row r="59" spans="1:6" x14ac:dyDescent="0.5">
      <c r="A59">
        <v>55</v>
      </c>
      <c r="B59" t="s">
        <v>3433</v>
      </c>
      <c r="C59" t="s">
        <v>3435</v>
      </c>
      <c r="D59" s="56" t="s">
        <v>2633</v>
      </c>
      <c r="E59" s="56" t="s">
        <v>2633</v>
      </c>
      <c r="F59" s="58" t="s">
        <v>3331</v>
      </c>
    </row>
    <row r="60" spans="1:6" x14ac:dyDescent="0.5">
      <c r="A60">
        <v>56</v>
      </c>
      <c r="B60" t="s">
        <v>3433</v>
      </c>
      <c r="C60" t="s">
        <v>3436</v>
      </c>
      <c r="D60" s="56" t="s">
        <v>3437</v>
      </c>
      <c r="E60" s="56" t="s">
        <v>3437</v>
      </c>
      <c r="F60" s="58" t="s">
        <v>3331</v>
      </c>
    </row>
    <row r="61" spans="1:6" x14ac:dyDescent="0.5">
      <c r="A61">
        <v>57</v>
      </c>
      <c r="B61" t="s">
        <v>3433</v>
      </c>
      <c r="C61" t="s">
        <v>3438</v>
      </c>
      <c r="D61" s="56" t="s">
        <v>3439</v>
      </c>
      <c r="E61" s="56" t="s">
        <v>3439</v>
      </c>
      <c r="F61" s="58" t="s">
        <v>3331</v>
      </c>
    </row>
    <row r="62" spans="1:6" x14ac:dyDescent="0.5">
      <c r="A62">
        <v>58</v>
      </c>
      <c r="B62" t="s">
        <v>3440</v>
      </c>
      <c r="C62" t="s">
        <v>3441</v>
      </c>
      <c r="D62" s="56" t="s">
        <v>3345</v>
      </c>
      <c r="E62" s="56" t="s">
        <v>3345</v>
      </c>
      <c r="F62" s="58" t="s">
        <v>3331</v>
      </c>
    </row>
    <row r="63" spans="1:6" x14ac:dyDescent="0.5">
      <c r="A63">
        <v>59</v>
      </c>
      <c r="B63" t="s">
        <v>3440</v>
      </c>
      <c r="C63" t="s">
        <v>3442</v>
      </c>
      <c r="D63" s="56" t="s">
        <v>3345</v>
      </c>
      <c r="E63" s="56" t="s">
        <v>3345</v>
      </c>
      <c r="F63" s="58" t="s">
        <v>3331</v>
      </c>
    </row>
    <row r="64" spans="1:6" x14ac:dyDescent="0.5">
      <c r="A64">
        <v>60</v>
      </c>
      <c r="B64" t="s">
        <v>3443</v>
      </c>
      <c r="C64" t="s">
        <v>3444</v>
      </c>
      <c r="D64" s="56" t="s">
        <v>3445</v>
      </c>
      <c r="E64" s="56" t="s">
        <v>3445</v>
      </c>
      <c r="F64" s="58" t="s">
        <v>3331</v>
      </c>
    </row>
    <row r="65" spans="1:6" x14ac:dyDescent="0.5">
      <c r="A65">
        <v>61</v>
      </c>
      <c r="B65" t="s">
        <v>3443</v>
      </c>
      <c r="C65" t="s">
        <v>3446</v>
      </c>
      <c r="D65" s="56" t="s">
        <v>3335</v>
      </c>
      <c r="E65" s="56" t="s">
        <v>3335</v>
      </c>
      <c r="F65" s="58" t="s">
        <v>3331</v>
      </c>
    </row>
    <row r="66" spans="1:6" x14ac:dyDescent="0.5">
      <c r="A66">
        <v>62</v>
      </c>
      <c r="B66" t="s">
        <v>3447</v>
      </c>
      <c r="C66" t="s">
        <v>3448</v>
      </c>
      <c r="D66" s="56" t="s">
        <v>3345</v>
      </c>
      <c r="E66" s="56" t="s">
        <v>3345</v>
      </c>
      <c r="F66" s="58" t="s">
        <v>3331</v>
      </c>
    </row>
    <row r="67" spans="1:6" x14ac:dyDescent="0.5">
      <c r="A67">
        <v>63</v>
      </c>
      <c r="B67" t="s">
        <v>3449</v>
      </c>
      <c r="C67" t="s">
        <v>3450</v>
      </c>
      <c r="D67" s="56" t="s">
        <v>3345</v>
      </c>
      <c r="E67" s="56" t="s">
        <v>3345</v>
      </c>
      <c r="F67" s="58" t="s">
        <v>3331</v>
      </c>
    </row>
    <row r="68" spans="1:6" x14ac:dyDescent="0.5">
      <c r="A68">
        <v>64</v>
      </c>
      <c r="B68" t="s">
        <v>3449</v>
      </c>
      <c r="C68" t="s">
        <v>3451</v>
      </c>
      <c r="D68" s="56" t="s">
        <v>3345</v>
      </c>
      <c r="E68" s="56" t="s">
        <v>3345</v>
      </c>
      <c r="F68" s="58" t="s">
        <v>3331</v>
      </c>
    </row>
    <row r="69" spans="1:6" x14ac:dyDescent="0.5">
      <c r="A69">
        <v>65</v>
      </c>
      <c r="B69" t="s">
        <v>3449</v>
      </c>
      <c r="C69" t="s">
        <v>3491</v>
      </c>
      <c r="D69" s="56" t="s">
        <v>3345</v>
      </c>
      <c r="E69" s="56" t="s">
        <v>3345</v>
      </c>
      <c r="F69" s="58" t="s">
        <v>3331</v>
      </c>
    </row>
    <row r="70" spans="1:6" x14ac:dyDescent="0.5">
      <c r="A70">
        <v>66</v>
      </c>
      <c r="B70" t="s">
        <v>3449</v>
      </c>
      <c r="C70" t="s">
        <v>3492</v>
      </c>
      <c r="D70" s="56" t="s">
        <v>3345</v>
      </c>
      <c r="E70" s="56" t="s">
        <v>3345</v>
      </c>
      <c r="F70" s="58" t="s">
        <v>3331</v>
      </c>
    </row>
    <row r="71" spans="1:6" x14ac:dyDescent="0.5">
      <c r="A71">
        <v>67</v>
      </c>
      <c r="B71" t="s">
        <v>3449</v>
      </c>
      <c r="C71" t="s">
        <v>3493</v>
      </c>
      <c r="D71" s="56" t="s">
        <v>3345</v>
      </c>
      <c r="E71" s="56" t="s">
        <v>3345</v>
      </c>
      <c r="F71" s="58" t="s">
        <v>3331</v>
      </c>
    </row>
    <row r="72" spans="1:6" x14ac:dyDescent="0.5">
      <c r="A72">
        <v>68</v>
      </c>
      <c r="B72" t="s">
        <v>3449</v>
      </c>
      <c r="C72" t="s">
        <v>3494</v>
      </c>
      <c r="D72" s="56" t="s">
        <v>3345</v>
      </c>
      <c r="E72" s="56" t="s">
        <v>3345</v>
      </c>
      <c r="F72" s="58" t="s">
        <v>3331</v>
      </c>
    </row>
    <row r="73" spans="1:6" x14ac:dyDescent="0.5">
      <c r="A73">
        <v>69</v>
      </c>
      <c r="B73" t="s">
        <v>3452</v>
      </c>
      <c r="C73" t="s">
        <v>3453</v>
      </c>
      <c r="D73" s="56" t="s">
        <v>3345</v>
      </c>
      <c r="E73" s="56" t="s">
        <v>3345</v>
      </c>
      <c r="F73" s="58" t="s">
        <v>3331</v>
      </c>
    </row>
    <row r="74" spans="1:6" x14ac:dyDescent="0.5">
      <c r="A74">
        <v>70</v>
      </c>
      <c r="B74" t="s">
        <v>3454</v>
      </c>
      <c r="C74" t="s">
        <v>3455</v>
      </c>
      <c r="D74" s="56" t="s">
        <v>161</v>
      </c>
      <c r="E74" s="56" t="s">
        <v>161</v>
      </c>
      <c r="F74" s="58" t="s">
        <v>3331</v>
      </c>
    </row>
    <row r="75" spans="1:6" x14ac:dyDescent="0.5">
      <c r="A75">
        <v>71</v>
      </c>
      <c r="B75" t="s">
        <v>3454</v>
      </c>
      <c r="C75" t="s">
        <v>3456</v>
      </c>
      <c r="D75" s="56" t="s">
        <v>3236</v>
      </c>
      <c r="E75" s="56" t="s">
        <v>3236</v>
      </c>
      <c r="F75" s="58" t="s">
        <v>3331</v>
      </c>
    </row>
    <row r="76" spans="1:6" x14ac:dyDescent="0.5">
      <c r="A76">
        <v>72</v>
      </c>
      <c r="B76" t="s">
        <v>3457</v>
      </c>
      <c r="C76" t="s">
        <v>3458</v>
      </c>
      <c r="D76" s="56" t="s">
        <v>3345</v>
      </c>
      <c r="E76" s="56" t="s">
        <v>3345</v>
      </c>
      <c r="F76" s="58" t="s">
        <v>3331</v>
      </c>
    </row>
    <row r="77" spans="1:6" x14ac:dyDescent="0.5">
      <c r="A77">
        <v>73</v>
      </c>
      <c r="B77" t="s">
        <v>3457</v>
      </c>
      <c r="C77" t="s">
        <v>3459</v>
      </c>
      <c r="D77" s="56" t="s">
        <v>3345</v>
      </c>
      <c r="E77" s="56" t="s">
        <v>3345</v>
      </c>
      <c r="F77" s="58" t="s">
        <v>3331</v>
      </c>
    </row>
    <row r="78" spans="1:6" x14ac:dyDescent="0.5">
      <c r="A78">
        <v>74</v>
      </c>
      <c r="B78" t="s">
        <v>3457</v>
      </c>
      <c r="C78" t="s">
        <v>3460</v>
      </c>
      <c r="D78" s="56" t="s">
        <v>3374</v>
      </c>
      <c r="E78" s="56" t="s">
        <v>3374</v>
      </c>
      <c r="F78" s="58" t="s">
        <v>3331</v>
      </c>
    </row>
    <row r="79" spans="1:6" x14ac:dyDescent="0.5">
      <c r="A79">
        <v>75</v>
      </c>
      <c r="B79" t="s">
        <v>3457</v>
      </c>
      <c r="C79" t="s">
        <v>3461</v>
      </c>
      <c r="D79" s="56" t="s">
        <v>3375</v>
      </c>
      <c r="E79" s="56" t="s">
        <v>3375</v>
      </c>
      <c r="F79" s="58" t="s">
        <v>3331</v>
      </c>
    </row>
    <row r="80" spans="1:6" x14ac:dyDescent="0.5">
      <c r="A80">
        <v>76</v>
      </c>
      <c r="B80" t="s">
        <v>3457</v>
      </c>
      <c r="C80" t="s">
        <v>3462</v>
      </c>
      <c r="D80" s="56" t="s">
        <v>3232</v>
      </c>
      <c r="E80" s="56" t="s">
        <v>3232</v>
      </c>
      <c r="F80" s="58" t="s">
        <v>3331</v>
      </c>
    </row>
    <row r="81" spans="1:6" x14ac:dyDescent="0.5">
      <c r="A81">
        <v>77</v>
      </c>
      <c r="B81" t="s">
        <v>3457</v>
      </c>
      <c r="C81" t="s">
        <v>3463</v>
      </c>
      <c r="D81" s="56" t="s">
        <v>3464</v>
      </c>
      <c r="E81" s="56" t="s">
        <v>3464</v>
      </c>
      <c r="F81" s="58" t="s">
        <v>3331</v>
      </c>
    </row>
    <row r="82" spans="1:6" x14ac:dyDescent="0.5">
      <c r="A82">
        <v>78</v>
      </c>
      <c r="B82" t="s">
        <v>3457</v>
      </c>
      <c r="C82" t="s">
        <v>3465</v>
      </c>
      <c r="D82" s="56" t="s">
        <v>3232</v>
      </c>
      <c r="E82" s="56" t="s">
        <v>3232</v>
      </c>
      <c r="F82" s="58" t="s">
        <v>3331</v>
      </c>
    </row>
    <row r="83" spans="1:6" x14ac:dyDescent="0.5">
      <c r="A83">
        <v>79</v>
      </c>
      <c r="B83" t="s">
        <v>3457</v>
      </c>
      <c r="C83" t="s">
        <v>3466</v>
      </c>
      <c r="D83" s="56" t="s">
        <v>3467</v>
      </c>
      <c r="E83" s="56" t="s">
        <v>3467</v>
      </c>
      <c r="F83" s="58" t="s">
        <v>3331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F2830-7032-47FC-967E-93168AF36C0B}">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99" t="str" cm="1">
        <f t="array" aca="1" ref="B1" ca="1">_xlfn.LET(_xlpm.fn, CELL("filename",$A$1), _xlpm.nm, MID(_xlpm.fn, FIND("]", _xlpm.fn) + 1, 255), _xlfn.XLOOKUP(_xlpm.nm &amp; "(*", Lamb!$A$2:$A$1000, Lamb!$A$2:$A$1000, "", 2))</f>
        <v>ad_to_cont(ad_or_rng, arr)</v>
      </c>
      <c r="C1" s="95"/>
      <c r="D1" s="95"/>
      <c r="E1" s="95"/>
      <c r="F1" s="96"/>
      <c r="H1" s="45" t="s">
        <v>2</v>
      </c>
      <c r="I1" s="94"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98"/>
      <c r="D2" s="98"/>
      <c r="E2" s="98"/>
      <c r="F2" s="98"/>
      <c r="G2" s="98"/>
      <c r="H2" s="98"/>
      <c r="I2" s="98"/>
      <c r="J2" s="98"/>
      <c r="K2" s="98"/>
      <c r="L2" s="98"/>
      <c r="M2" s="98"/>
      <c r="N2" s="98"/>
      <c r="O2" s="98"/>
      <c r="P2" s="98"/>
      <c r="Q2" s="98"/>
      <c r="R2" s="98"/>
    </row>
    <row r="4" spans="1:19" x14ac:dyDescent="0.5">
      <c r="A4" s="45" t="s">
        <v>3507</v>
      </c>
      <c r="S4" s="45" t="str">
        <f>COUNTIF(S11:S60,"PASS")&amp;" / 8 PASS"</f>
        <v>8 / 8 PASS</v>
      </c>
    </row>
    <row r="5" spans="1:19" x14ac:dyDescent="0.5">
      <c r="B5" s="45" t="s">
        <v>8</v>
      </c>
      <c r="M5" s="48" t="s">
        <v>10</v>
      </c>
      <c r="P5" s="49" t="s">
        <v>11</v>
      </c>
      <c r="S5" s="50" t="s">
        <v>12</v>
      </c>
    </row>
    <row r="6" spans="1:19" x14ac:dyDescent="0.5">
      <c r="D6" s="45" t="s">
        <v>2919</v>
      </c>
      <c r="K6" s="45" t="s">
        <v>2920</v>
      </c>
    </row>
    <row r="7" spans="1:19" x14ac:dyDescent="0.5">
      <c r="D7" s="51">
        <v>10</v>
      </c>
      <c r="E7" s="51">
        <v>20</v>
      </c>
      <c r="F7" s="51">
        <v>30</v>
      </c>
      <c r="I7">
        <v>0</v>
      </c>
      <c r="K7" s="51" t="s">
        <v>2921</v>
      </c>
    </row>
    <row r="8" spans="1:19" x14ac:dyDescent="0.5">
      <c r="D8" s="51">
        <v>40</v>
      </c>
      <c r="E8" s="51">
        <v>50</v>
      </c>
      <c r="F8" s="51">
        <v>60</v>
      </c>
      <c r="H8">
        <v>1</v>
      </c>
      <c r="K8" s="51" t="s">
        <v>2922</v>
      </c>
    </row>
    <row r="9" spans="1:19" x14ac:dyDescent="0.5">
      <c r="D9" s="51">
        <v>70</v>
      </c>
      <c r="E9" s="51">
        <v>80</v>
      </c>
      <c r="F9" s="51">
        <v>90</v>
      </c>
    </row>
    <row r="10" spans="1:19" x14ac:dyDescent="0.5">
      <c r="E10" s="51"/>
    </row>
    <row r="11" spans="1:19" x14ac:dyDescent="0.5">
      <c r="B11" s="47" t="s">
        <v>3508</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2923</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3509</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3510</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2924</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3511</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3512</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3513</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FE2C1-60FF-4AF1-B385-E87D159C9057}">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99" t="str" cm="1">
        <f t="array" aca="1" ref="B1" ca="1">_xlfn.LET(_xlpm.fn, CELL("filename",$A$1), _xlpm.nm, MID(_xlpm.fn, FIND("]", _xlpm.fn) + 1, 255), _xlfn.XLOOKUP(_xlpm.nm &amp; "(*", Lamb!$A$2:$A$1000, Lamb!$A$2:$A$1000, "", 2))</f>
        <v>ad_to_rc(ad, [as_row])</v>
      </c>
      <c r="C1" s="95"/>
      <c r="D1" s="95"/>
      <c r="E1" s="95"/>
      <c r="F1" s="96"/>
      <c r="H1" s="45" t="s">
        <v>2</v>
      </c>
      <c r="I1" s="94"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98"/>
      <c r="D2" s="98"/>
      <c r="E2" s="98"/>
      <c r="F2" s="98"/>
      <c r="G2" s="98"/>
      <c r="H2" s="98"/>
      <c r="I2" s="98"/>
      <c r="J2" s="98"/>
      <c r="K2" s="98"/>
      <c r="L2" s="98"/>
      <c r="M2" s="98"/>
      <c r="N2" s="98"/>
      <c r="O2" s="98"/>
      <c r="P2" s="98"/>
      <c r="Q2" s="98"/>
      <c r="R2" s="98"/>
    </row>
    <row r="4" spans="1:19" x14ac:dyDescent="0.5">
      <c r="A4" s="45" t="s">
        <v>3514</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3474</v>
      </c>
      <c r="D6" s="51" t="s">
        <v>3066</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3475</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3476</v>
      </c>
      <c r="D10" s="51" t="s">
        <v>3477</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3478</v>
      </c>
      <c r="D12" s="51" t="s">
        <v>3066</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3479</v>
      </c>
      <c r="D14" s="51" t="s">
        <v>3072</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3480</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3481</v>
      </c>
      <c r="D18" s="51" t="s">
        <v>3482</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F8AA-926A-4F4A-A917-BE6142E099DD}">
  <sheetPr codeName="Sheet54"/>
  <dimension ref="A1:S18"/>
  <sheetViews>
    <sheetView tabSelected="1"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arrow(str)</v>
      </c>
      <c r="C1" s="95"/>
      <c r="D1" s="95"/>
      <c r="E1" s="95"/>
      <c r="F1" s="96"/>
      <c r="H1" s="45" t="s">
        <v>2</v>
      </c>
      <c r="I1" s="94"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=LAMBDA(str, IFNA(XLOOKUP(TRUE, EXACT(str, Prep!$V$13:$ALY$13), Prep!$V$14:$ALY$14), ""))</v>
      </c>
      <c r="C2" s="98"/>
      <c r="D2" s="98"/>
      <c r="E2" s="98"/>
      <c r="F2" s="98"/>
      <c r="G2" s="98"/>
      <c r="H2" s="98"/>
      <c r="I2" s="98"/>
      <c r="J2" s="98"/>
      <c r="K2" s="98"/>
      <c r="L2" s="98"/>
      <c r="M2" s="98"/>
      <c r="N2" s="98"/>
      <c r="O2" s="98"/>
      <c r="P2" s="98"/>
      <c r="Q2" s="98"/>
      <c r="R2" s="98"/>
    </row>
    <row r="4" spans="1:19" x14ac:dyDescent="0.5">
      <c r="A4" s="45" t="s">
        <v>2925</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2926</v>
      </c>
      <c r="D6" s="51" t="s">
        <v>159</v>
      </c>
      <c r="F6" s="52" t="s">
        <v>160</v>
      </c>
      <c r="H6" s="53" t="str" cm="1">
        <f t="array" ref="H6">arrow(D6)</f>
        <v>↑</v>
      </c>
      <c r="J6" s="54" t="str">
        <f>IF(H6=F6,"PASS","FAIL")</f>
        <v>PASS</v>
      </c>
    </row>
    <row r="8" spans="1:19" x14ac:dyDescent="0.5">
      <c r="A8" s="46">
        <v>2</v>
      </c>
      <c r="B8" s="47" t="s">
        <v>2927</v>
      </c>
      <c r="D8" s="51" t="s">
        <v>437</v>
      </c>
      <c r="F8" s="52" t="s">
        <v>434</v>
      </c>
      <c r="H8" s="53" t="str" cm="1">
        <f t="array" ref="H8">arrow(D8)</f>
        <v>↙</v>
      </c>
      <c r="J8" s="54" t="str">
        <f>IF(H8=F8,"PASS","FAIL")</f>
        <v>PASS</v>
      </c>
    </row>
    <row r="10" spans="1:19" x14ac:dyDescent="0.5">
      <c r="A10" s="46">
        <v>3</v>
      </c>
      <c r="B10" s="47" t="s">
        <v>2928</v>
      </c>
      <c r="D10" s="51" t="s">
        <v>259</v>
      </c>
      <c r="F10" s="52" t="s">
        <v>254</v>
      </c>
      <c r="H10" s="53" t="str" cm="1">
        <f t="array" ref="H10">arrow(D10)</f>
        <v>↗</v>
      </c>
      <c r="J10" s="54" t="str">
        <f>IF(H10=F10,"PASS","FAIL")</f>
        <v>PASS</v>
      </c>
    </row>
    <row r="12" spans="1:19" x14ac:dyDescent="0.5">
      <c r="A12" s="46">
        <v>4</v>
      </c>
      <c r="B12" s="47" t="s">
        <v>2929</v>
      </c>
      <c r="D12" s="51" t="s">
        <v>241</v>
      </c>
      <c r="F12" s="52" t="s">
        <v>160</v>
      </c>
      <c r="H12" s="53" t="str" cm="1">
        <f t="array" ref="H12">arrow(D12)</f>
        <v>↑</v>
      </c>
      <c r="J12" s="54" t="str">
        <f>IF(H12=F12,"PASS","FAIL")</f>
        <v>PASS</v>
      </c>
    </row>
    <row r="14" spans="1:19" x14ac:dyDescent="0.5">
      <c r="A14" s="46">
        <v>5</v>
      </c>
      <c r="B14" s="47" t="s">
        <v>2930</v>
      </c>
      <c r="D14" s="51" t="s">
        <v>232</v>
      </c>
      <c r="F14" s="52" t="s">
        <v>160</v>
      </c>
      <c r="H14" s="53" t="str" cm="1">
        <f t="array" ref="H14">arrow(D14)</f>
        <v>↑</v>
      </c>
      <c r="J14" s="54" t="str">
        <f>IF(H14=F14,"PASS","FAIL")</f>
        <v>PASS</v>
      </c>
    </row>
    <row r="16" spans="1:19" x14ac:dyDescent="0.5">
      <c r="A16" s="46">
        <v>6</v>
      </c>
      <c r="B16" s="47" t="s">
        <v>2931</v>
      </c>
      <c r="D16" s="51" t="s">
        <v>249</v>
      </c>
      <c r="F16" s="52" t="s">
        <v>160</v>
      </c>
      <c r="H16" s="53" t="str" cm="1">
        <f t="array" ref="H16">arrow(D16)</f>
        <v>↑</v>
      </c>
      <c r="J16" s="54" t="str">
        <f>IF(H16=F16,"PASS","FAIL")</f>
        <v>PASS</v>
      </c>
    </row>
    <row r="18" spans="1:10" x14ac:dyDescent="0.5">
      <c r="A18" s="46">
        <v>7</v>
      </c>
      <c r="B18" s="47" t="s">
        <v>3284</v>
      </c>
      <c r="D18" s="51" t="s">
        <v>3285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EDAB2-35F2-47CB-BC46-FE9709853F99}">
  <sheetPr codeName="Sheet55"/>
  <dimension ref="A1:S14"/>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99" t="str" cm="1">
        <f t="array" aca="1" ref="B1" ca="1">_xlfn.LET(_xlpm.fn, CELL("filename",$A$1), _xlpm.nm, MID(_xlpm.fn, FIND("]", _xlpm.fn) + 1, 255), _xlfn.XLOOKUP(_xlpm.nm &amp; "(*", Lamb!$A$2:$A$1000, Lamb!$A$2:$A$1000, "", 2))</f>
        <v>arrow_move(start_ad, arrow, [steps], [board_rng], [push_mode])</v>
      </c>
      <c r="C1" s="95"/>
      <c r="D1" s="95"/>
      <c r="E1" s="95"/>
      <c r="F1" s="96"/>
      <c r="H1" s="45" t="s">
        <v>2</v>
      </c>
      <c r="I1" s="94"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98"/>
      <c r="D2" s="98"/>
      <c r="E2" s="98"/>
      <c r="F2" s="98"/>
      <c r="G2" s="98"/>
      <c r="H2" s="98"/>
      <c r="I2" s="98"/>
      <c r="J2" s="98"/>
      <c r="K2" s="98"/>
      <c r="L2" s="98"/>
      <c r="M2" s="98"/>
      <c r="N2" s="98"/>
      <c r="O2" s="98"/>
      <c r="P2" s="98"/>
      <c r="Q2" s="98"/>
      <c r="R2" s="98"/>
    </row>
    <row r="4" spans="1:19" x14ac:dyDescent="0.5">
      <c r="A4" s="45" t="s">
        <v>2932</v>
      </c>
      <c r="P4" s="45">
        <f>COUNTIF(P6:P60,"PASS")&amp;" / 8 PASS"</f>
      </c>
    </row>
    <row r="5" spans="1:19" x14ac:dyDescent="0.5">
      <c r="A5" s="45" t="s">
        <v>7</v>
      </c>
      <c r="B5" s="45" t="s">
        <v>8</v>
      </c>
      <c r="D5" s="45" t="s">
        <v>9</v>
      </c>
      <c r="L5" s="48" t="s">
        <v>10</v>
      </c>
      <c r="N5" s="49" t="s">
        <v>11</v>
      </c>
      <c r="P5" s="50" t="s">
        <v>12</v>
      </c>
    </row>
    <row r="6" spans="1:19" x14ac:dyDescent="0.5">
      <c r="A6" s="46">
        <v>1</v>
      </c>
      <c r="B6" s="47" t="s">
        <v>2933</v>
      </c>
      <c r="D6" s="51" t="s">
        <v>2934</v>
      </c>
      <c r="F6" s="51" t="s">
        <v>192</v>
      </c>
      <c r="H6" s="51">
        <v>3</v>
      </c>
      <c r="L6" s="52">
        <v>1000004</v>
      </c>
      <c r="N6" s="53" cm="1">
        <f t="array" ref="N6">arrow_move(D6,F6,H6)</f>
        <v>1000004</v>
      </c>
      <c r="P6" s="54" t="str">
        <f>IF(N6=L6,"PASS","FAIL")</f>
        <v>PASS</v>
      </c>
    </row>
    <row r="8" spans="1:19" x14ac:dyDescent="0.5">
      <c r="A8" s="46">
        <v>2</v>
      </c>
      <c r="B8" s="47" t="s">
        <v>2935</v>
      </c>
      <c r="D8" s="51" t="s">
        <v>2934</v>
      </c>
      <c r="F8" s="51" t="s">
        <v>181</v>
      </c>
      <c r="H8" s="51">
        <v>2</v>
      </c>
      <c r="L8" s="52">
        <v>3000001</v>
      </c>
      <c r="N8" s="53" cm="1">
        <f t="array" ref="N8">arrow_move(D8,F8,H8)</f>
        <v>3000001</v>
      </c>
      <c r="P8" s="54" t="str">
        <f>IF(N8=L8,"PASS","FAIL")</f>
        <v>PASS</v>
      </c>
    </row>
    <row r="10" spans="1:19" x14ac:dyDescent="0.5">
      <c r="A10" s="46">
        <v>3</v>
      </c>
      <c r="B10" s="47" t="s">
        <v>2936</v>
      </c>
      <c r="D10" s="51" t="s">
        <v>2937</v>
      </c>
      <c r="F10" s="51" t="s">
        <v>160</v>
      </c>
      <c r="H10" s="51">
        <v>5</v>
      </c>
      <c r="L10" s="52">
        <v>1000001</v>
      </c>
      <c r="N10" s="53" cm="1">
        <f t="array" ref="N10">arrow_move(D10,F10,H10)</f>
        <v>1000001</v>
      </c>
      <c r="P10" s="54" t="str">
        <f>IF(N10=L10,"PASS","FAIL")</f>
        <v>PASS</v>
      </c>
    </row>
    <row r="12" spans="1:19" x14ac:dyDescent="0.5">
      <c r="A12" s="46">
        <v>4</v>
      </c>
      <c r="B12" s="47" t="s">
        <v>2938</v>
      </c>
      <c r="D12" s="51" t="s">
        <v>2937</v>
      </c>
      <c r="F12" s="51" t="s">
        <v>160</v>
      </c>
      <c r="H12" s="51">
        <v>5</v>
      </c>
      <c r="J12" s="51">
        <v>0</v>
      </c>
      <c r="L12" s="52">
        <v>3000001</v>
      </c>
      <c r="N12" s="53" cm="1">
        <f t="array" ref="N12">arrow_move(D12,F12,H12,,J12)</f>
        <v>3000001</v>
      </c>
      <c r="P12" s="54" t="str">
        <f>IF(N12=L12,"PASS","FAIL")</f>
        <v>PASS</v>
      </c>
    </row>
    <row r="14" spans="1:19" x14ac:dyDescent="0.5">
      <c r="A14" s="46">
        <v>5</v>
      </c>
      <c r="B14" s="47" t="s">
        <v>2939</v>
      </c>
      <c r="D14" s="51" t="s">
        <v>2937</v>
      </c>
      <c r="F14" s="51" t="s">
        <v>160</v>
      </c>
      <c r="H14" s="51">
        <v>5</v>
      </c>
      <c r="J14" s="51">
        <v>-1</v>
      </c>
      <c r="L14" s="52" t="s">
        <v>2940</v>
      </c>
      <c r="N14" s="53" t="str" cm="1">
        <f t="array" ref="N14">arrow_move(D14,F14,H14,,J14)</f>
        <v>oob</v>
      </c>
      <c r="P14" s="54" t="str">
        <f>IF(N14=L14,"PASS","FAIL")</f>
        <v>PASS</v>
      </c>
    </row>
    <row r="16">
      <c r="A16" s="46">
        <v>6</v>
      </c>
      <c r="B16" s="47" t="inlineStr">
        <is>
          <t xml:space="preserve">A1 -&gt; right 3 (numeric dir 1)</t>
        </is>
      </c>
      <c r="D16" s="51" t="inlineStr">
        <is>
          <t xml:space="preserve">A1</t>
        </is>
      </c>
      <c r="F16" s="51">
        <v>1</v>
      </c>
      <c r="H16" s="51">
        <v>3</v>
      </c>
      <c r="L16" s="52">
        <v>1000004</v>
      </c>
      <c r="N16" s="53" cm="1">
        <f t="array" ref="N16">arrow_move(D16,F16,H16)</f>
        <v>0</v>
      </c>
      <c r="P16" s="54">
        <f>IF(N16=L16,"PASS","FAIL")</f>
      </c>
    </row>
    <row r="18">
      <c r="A18" s="46">
        <v>7</v>
      </c>
      <c r="B18" s="47" t="inlineStr">
        <is>
          <t xml:space="preserve">A1 -&gt; down 2 (numeric 1000000)</t>
        </is>
      </c>
      <c r="D18" s="51" t="inlineStr">
        <is>
          <t xml:space="preserve">A1</t>
        </is>
      </c>
      <c r="F18" s="51">
        <v>1000000</v>
      </c>
      <c r="H18" s="51">
        <v>2</v>
      </c>
      <c r="L18" s="52">
        <v>3000001</v>
      </c>
      <c r="N18" s="53" cm="1">
        <f t="array" ref="N18">arrow_move(D18,F18,H18)</f>
        <v>0</v>
      </c>
      <c r="P18" s="54">
        <f>IF(N18=L18,"PASS","FAIL")</f>
      </c>
    </row>
    <row r="20">
      <c r="A20" s="46">
        <v>8</v>
      </c>
      <c r="B20" s="47" t="inlineStr">
        <is>
          <t xml:space="preserve">A1 -&gt; right 3 (letter R)</t>
        </is>
      </c>
      <c r="D20" s="51" t="inlineStr">
        <is>
          <t xml:space="preserve">A1</t>
        </is>
      </c>
      <c r="F20" s="51" t="inlineStr">
        <is>
          <t xml:space="preserve">R</t>
        </is>
      </c>
      <c r="H20" s="51">
        <v>3</v>
      </c>
      <c r="L20" s="52">
        <v>1000004</v>
      </c>
      <c r="N20" s="53" cm="1">
        <f t="array" ref="N20">arrow_move(D20,F20,H20)</f>
        <v>0</v>
      </c>
      <c r="P20" s="54">
        <f>IF(N20=L20,"PASS","FAIL")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5AFA5-4EBB-4469-BA8A-E56F9D30C537}">
  <sheetPr codeName="Sheet56"/>
  <dimension ref="A1:S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99" t="str" cm="1">
        <f t="array" aca="1" ref="B1" ca="1">_xlfn.LET(_xlpm.fn, CELL("filename",$A$1), _xlpm.nm, MID(_xlpm.fn, FIND("]", _xlpm.fn) + 1, 255), _xlfn.XLOOKUP(_xlpm.nm &amp; "(*", Lamb!$A$2:$A$1000, Lamb!$A$2:$A$1000, "", 2))</f>
        <v>arrow_trip(rng, start_ad, dir, [stopper])</v>
      </c>
      <c r="C1" s="95"/>
      <c r="D1" s="95"/>
      <c r="E1" s="95"/>
      <c r="F1" s="96"/>
      <c r="H1" s="45" t="s">
        <v>2</v>
      </c>
      <c r="I1" s="94"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98"/>
      <c r="D2" s="98"/>
      <c r="E2" s="98"/>
      <c r="F2" s="98"/>
      <c r="G2" s="98"/>
      <c r="H2" s="98"/>
      <c r="I2" s="98"/>
      <c r="J2" s="98"/>
      <c r="K2" s="98"/>
      <c r="L2" s="98"/>
      <c r="M2" s="98"/>
      <c r="N2" s="98"/>
      <c r="O2" s="98"/>
      <c r="P2" s="98"/>
      <c r="Q2" s="98"/>
      <c r="R2" s="98"/>
    </row>
    <row r="4" spans="1:19" x14ac:dyDescent="0.5">
      <c r="A4" s="45" t="s">
        <v>2941</v>
      </c>
      <c r="P4" s="45">
        <f>COUNTIF(P9:P60,"PASS")&amp;" / 7 PASS"</f>
      </c>
    </row>
    <row r="5" spans="1:19" x14ac:dyDescent="0.5">
      <c r="B5" s="45" t="s">
        <v>8</v>
      </c>
      <c r="J5" s="48" t="s">
        <v>2942</v>
      </c>
      <c r="K5" s="48" t="s">
        <v>2943</v>
      </c>
      <c r="M5" s="49" t="s">
        <v>2944</v>
      </c>
      <c r="N5" s="49" t="s">
        <v>2943</v>
      </c>
      <c r="P5" s="50" t="s">
        <v>12</v>
      </c>
    </row>
    <row r="6" spans="1:19" x14ac:dyDescent="0.5">
      <c r="B6" s="45" t="s">
        <v>2945</v>
      </c>
    </row>
    <row r="7" spans="1:19" x14ac:dyDescent="0.5">
      <c r="D7" s="51" t="s">
        <v>2946</v>
      </c>
      <c r="E7" s="51" t="s">
        <v>2947</v>
      </c>
      <c r="F7" s="51" t="s">
        <v>2631</v>
      </c>
      <c r="G7" s="51" t="s">
        <v>2948</v>
      </c>
      <c r="H7" s="51" t="s">
        <v>2949</v>
      </c>
    </row>
    <row r="9" spans="1:19" x14ac:dyDescent="0.5">
      <c r="B9" s="47" t="s">
        <v>2950</v>
      </c>
      <c r="J9" s="52">
        <v>7000004</v>
      </c>
      <c r="K9" s="52" t="s">
        <v>2946</v>
      </c>
      <c r="M9" s="53" cm="1">
        <f t="array" ref="M9:N13">arrow_trip(D7:H7,"D7","→")</f>
        <v>7000004</v>
      </c>
      <c r="N9" s="53" t="str">
        <v>a</v>
      </c>
      <c r="P9" s="54" t="str" cm="1">
        <f t="array" ref="P9">IF(AND(J9:K13=M9:N13),"PASS","FAIL")</f>
        <v>PASS</v>
      </c>
    </row>
    <row r="10" spans="1:19" x14ac:dyDescent="0.5">
      <c r="J10" s="52">
        <v>7000005</v>
      </c>
      <c r="K10" s="52" t="s">
        <v>2947</v>
      </c>
      <c r="M10" s="53">
        <v>7000005</v>
      </c>
      <c r="N10" s="53" t="str">
        <v>b</v>
      </c>
    </row>
    <row r="11" spans="1:19" x14ac:dyDescent="0.5">
      <c r="J11" s="52">
        <v>7000006</v>
      </c>
      <c r="K11" s="52" t="s">
        <v>2631</v>
      </c>
      <c r="M11" s="53">
        <v>7000006</v>
      </c>
      <c r="N11" s="53" t="str">
        <v>X</v>
      </c>
    </row>
    <row r="12" spans="1:19" x14ac:dyDescent="0.5">
      <c r="J12" s="52">
        <v>7000007</v>
      </c>
      <c r="K12" s="52" t="s">
        <v>2948</v>
      </c>
      <c r="M12" s="53">
        <v>7000007</v>
      </c>
      <c r="N12" s="53" t="str">
        <v>d</v>
      </c>
    </row>
    <row r="13" spans="1:19" x14ac:dyDescent="0.5">
      <c r="J13" s="52">
        <v>7000008</v>
      </c>
      <c r="K13" s="52" t="s">
        <v>2949</v>
      </c>
      <c r="M13" s="53">
        <v>7000008</v>
      </c>
      <c r="N13" s="53" t="str">
        <v>e</v>
      </c>
    </row>
    <row r="15" spans="1:19" x14ac:dyDescent="0.5">
      <c r="B15" s="47" t="s">
        <v>2951</v>
      </c>
      <c r="J15" s="52">
        <v>7000004</v>
      </c>
      <c r="K15" s="52" t="s">
        <v>2946</v>
      </c>
      <c r="M15" s="53" cm="1">
        <f t="array" ref="M15:N17">arrow_trip(D7:H7,"D7","→","X")</f>
        <v>7000004</v>
      </c>
      <c r="N15" s="53" t="str">
        <v>a</v>
      </c>
      <c r="P15" s="54" t="str" cm="1">
        <f t="array" ref="P15">IF(AND(J15:K17=M15:N17),"PASS","FAIL")</f>
        <v>PASS</v>
      </c>
    </row>
    <row r="16" spans="1:19" x14ac:dyDescent="0.5">
      <c r="J16" s="52">
        <v>7000005</v>
      </c>
      <c r="K16" s="52" t="s">
        <v>2947</v>
      </c>
      <c r="M16" s="53">
        <v>7000005</v>
      </c>
      <c r="N16" s="53" t="str">
        <v>b</v>
      </c>
    </row>
    <row r="17" spans="2:16" x14ac:dyDescent="0.5">
      <c r="J17" s="52">
        <v>7000006</v>
      </c>
      <c r="K17" s="52" t="s">
        <v>2631</v>
      </c>
      <c r="M17" s="53">
        <v>7000006</v>
      </c>
      <c r="N17" s="53" t="str">
        <v>X</v>
      </c>
    </row>
    <row r="19" spans="2:16" x14ac:dyDescent="0.5">
      <c r="B19" s="47" t="s">
        <v>2952</v>
      </c>
      <c r="J19" s="52">
        <v>7000004</v>
      </c>
      <c r="K19" s="52" t="s">
        <v>2946</v>
      </c>
      <c r="M19" s="53" cm="1">
        <f t="array" ref="M19:N23">arrow_trip(D7:H7,"D7","→","Z")</f>
        <v>7000004</v>
      </c>
      <c r="N19" s="53" t="str">
        <v>a</v>
      </c>
      <c r="P19" s="54" t="str" cm="1">
        <f t="array" ref="P19">IF(AND(J19:K23=M19:N23),"PASS","FAIL")</f>
        <v>PASS</v>
      </c>
    </row>
    <row r="20" spans="2:16" x14ac:dyDescent="0.5">
      <c r="J20" s="52">
        <v>7000005</v>
      </c>
      <c r="K20" s="52" t="s">
        <v>2947</v>
      </c>
      <c r="M20" s="53">
        <v>7000005</v>
      </c>
      <c r="N20" s="53" t="str">
        <v>b</v>
      </c>
    </row>
    <row r="21" spans="2:16" x14ac:dyDescent="0.5">
      <c r="J21" s="52">
        <v>7000006</v>
      </c>
      <c r="K21" s="52" t="s">
        <v>2631</v>
      </c>
      <c r="M21" s="53">
        <v>7000006</v>
      </c>
      <c r="N21" s="53" t="str">
        <v>X</v>
      </c>
    </row>
    <row r="22" spans="2:16" x14ac:dyDescent="0.5">
      <c r="J22" s="52">
        <v>7000007</v>
      </c>
      <c r="K22" s="52" t="s">
        <v>2948</v>
      </c>
      <c r="M22" s="53">
        <v>7000007</v>
      </c>
      <c r="N22" s="53" t="str">
        <v>d</v>
      </c>
    </row>
    <row r="23" spans="2:16" x14ac:dyDescent="0.5">
      <c r="J23" s="52">
        <v>7000008</v>
      </c>
      <c r="K23" s="52" t="s">
        <v>2949</v>
      </c>
      <c r="M23" s="53">
        <v>7000008</v>
      </c>
      <c r="N23" s="53" t="str">
        <v>e</v>
      </c>
    </row>
    <row r="25" spans="2:16" x14ac:dyDescent="0.5">
      <c r="B25" s="47" t="s">
        <v>3289</v>
      </c>
      <c r="J25" s="52" t="s">
        <v>2631</v>
      </c>
      <c r="M25" s="53" t="str" cm="1">
        <f t="array" ref="M25">arrow_trip(D7:H7,"D6","→")</f>
        <v>X</v>
      </c>
      <c r="P25" s="54" t="str">
        <f>IF(M25="X","PASS","FAIL")</f>
        <v>PASS</v>
      </c>
    </row>
    <row r="27" spans="2:16" x14ac:dyDescent="0.5">
      <c r="B27" s="47" t="s">
        <v>3290</v>
      </c>
      <c r="J27" s="52" t="str">
        <f>""</f>
        <v/>
      </c>
      <c r="M27" s="53" t="str" cm="1">
        <f t="array" ref="M27">arrow_trip(D7:H7,"D7","Z")</f>
        <v/>
      </c>
      <c r="P27" s="54" t="str">
        <f>IF(M27="","PASS","FAIL")</f>
        <v>PASS</v>
      </c>
    </row>
    <row r="29">
      <c r="B29" s="47" t="inlineStr">
        <is>
          <t xml:space="preserve">numeric dir 1 -&gt; full trip</t>
        </is>
      </c>
      <c r="J29" s="52">
        <v>7000004</v>
      </c>
      <c r="K29" s="52" t="inlineStr">
        <is>
          <t xml:space="preserve">a</t>
        </is>
      </c>
      <c r="M29" s="53" cm="1">
        <f t="array" ref="M29:N33">arrow_trip(D7:H7,"D7",1)</f>
        <v>0</v>
      </c>
      <c r="P29" s="54">
        <f>IF(AND(J29:K33=M29:N33),"PASS","FAIL")</f>
      </c>
    </row>
    <row r="30">
      <c r="J30" s="52">
        <v>7000005</v>
      </c>
      <c r="K30" s="52" t="inlineStr">
        <is>
          <t xml:space="preserve">b</t>
        </is>
      </c>
    </row>
    <row r="31">
      <c r="J31" s="52">
        <v>7000006</v>
      </c>
      <c r="K31" s="52" t="inlineStr">
        <is>
          <t xml:space="preserve">X</t>
        </is>
      </c>
    </row>
    <row r="32">
      <c r="J32" s="52">
        <v>7000007</v>
      </c>
      <c r="K32" s="52" t="inlineStr">
        <is>
          <t xml:space="preserve">d</t>
        </is>
      </c>
    </row>
    <row r="33">
      <c r="J33" s="52">
        <v>7000008</v>
      </c>
      <c r="K33" s="52" t="inlineStr">
        <is>
          <t xml:space="preserve">e</t>
        </is>
      </c>
    </row>
    <row r="35">
      <c r="B35" s="47" t="inlineStr">
        <is>
          <t xml:space="preserve">letter "R" -&gt; full trip</t>
        </is>
      </c>
      <c r="J35" s="52">
        <v>7000004</v>
      </c>
      <c r="K35" s="52" t="inlineStr">
        <is>
          <t xml:space="preserve">a</t>
        </is>
      </c>
      <c r="M35" s="53" cm="1">
        <f t="array" ref="M35:N39">arrow_trip(D7:H7,"D7","R")</f>
        <v>0</v>
      </c>
      <c r="P35" s="54">
        <f>IF(AND(J35:K39=M35:N39),"PASS","FAIL")</f>
      </c>
    </row>
    <row r="36">
      <c r="J36" s="52">
        <v>7000005</v>
      </c>
      <c r="K36" s="52" t="inlineStr">
        <is>
          <t xml:space="preserve">b</t>
        </is>
      </c>
    </row>
    <row r="37">
      <c r="J37" s="52">
        <v>7000006</v>
      </c>
      <c r="K37" s="52" t="inlineStr">
        <is>
          <t xml:space="preserve">X</t>
        </is>
      </c>
    </row>
    <row r="38">
      <c r="J38" s="52">
        <v>7000007</v>
      </c>
      <c r="K38" s="52" t="inlineStr">
        <is>
          <t xml:space="preserve">d</t>
        </is>
      </c>
    </row>
    <row r="39">
      <c r="J39" s="52">
        <v>7000008</v>
      </c>
      <c r="K39" s="52" t="inlineStr">
        <is>
          <t xml:space="preserve">e</t>
        </is>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6CC9F-08E9-43F1-ABF9-FDFE2FC7BC7E}">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biggest(check, return)</v>
      </c>
      <c r="C1" s="95"/>
      <c r="D1" s="95"/>
      <c r="E1" s="95"/>
      <c r="F1" s="96"/>
      <c r="H1" s="45" t="s">
        <v>2</v>
      </c>
      <c r="I1" s="94"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=LAMBDA(check, return, IFNA(XLOOKUP(MAX(check), check, return), ""))</v>
      </c>
      <c r="C2" s="98"/>
      <c r="D2" s="98"/>
      <c r="E2" s="98"/>
      <c r="F2" s="98"/>
      <c r="G2" s="98"/>
      <c r="H2" s="98"/>
      <c r="I2" s="98"/>
      <c r="J2" s="98"/>
      <c r="K2" s="98"/>
      <c r="L2" s="98"/>
      <c r="M2" s="98"/>
      <c r="N2" s="98"/>
      <c r="O2" s="98"/>
      <c r="P2" s="98"/>
      <c r="Q2" s="98"/>
      <c r="R2" s="98"/>
    </row>
    <row r="4" spans="1:19" x14ac:dyDescent="0.5">
      <c r="A4" s="45" t="s">
        <v>2953</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2954</v>
      </c>
      <c r="D6" s="51">
        <v>30</v>
      </c>
      <c r="F6" s="51" t="s">
        <v>2946</v>
      </c>
      <c r="H6" s="52" t="s">
        <v>2947</v>
      </c>
      <c r="J6" s="53" t="str" cm="1">
        <f t="array" ref="J6">biggest(D6:D8,F6:F8)</f>
        <v>b</v>
      </c>
      <c r="L6" s="54" t="str">
        <f>IF(J6=H6,"PASS","FAIL")</f>
        <v>PASS</v>
      </c>
    </row>
    <row r="7" spans="1:19" x14ac:dyDescent="0.5">
      <c r="A7" s="55"/>
      <c r="B7" s="55"/>
      <c r="D7" s="51">
        <v>70</v>
      </c>
      <c r="F7" s="51" t="s">
        <v>2947</v>
      </c>
    </row>
    <row r="8" spans="1:19" x14ac:dyDescent="0.5">
      <c r="A8" s="55"/>
      <c r="B8" s="55"/>
      <c r="D8" s="51">
        <v>50</v>
      </c>
      <c r="F8" s="51" t="s">
        <v>2955</v>
      </c>
    </row>
    <row r="10" spans="1:19" x14ac:dyDescent="0.5">
      <c r="A10" s="46">
        <v>2</v>
      </c>
      <c r="B10" s="47" t="s">
        <v>2956</v>
      </c>
      <c r="D10" s="51">
        <v>5</v>
      </c>
      <c r="F10" s="51" t="s">
        <v>2957</v>
      </c>
      <c r="H10" s="52" t="s">
        <v>2958</v>
      </c>
      <c r="J10" s="53" t="str" cm="1">
        <f t="array" ref="J10">biggest(D10:D13,F10:F13)</f>
        <v>q</v>
      </c>
      <c r="L10" s="54" t="str">
        <f>IF(J10=H10,"PASS","FAIL")</f>
        <v>PASS</v>
      </c>
    </row>
    <row r="11" spans="1:19" x14ac:dyDescent="0.5">
      <c r="A11" s="55"/>
      <c r="B11" s="55"/>
      <c r="D11" s="51">
        <v>9</v>
      </c>
      <c r="F11" s="51" t="s">
        <v>2958</v>
      </c>
    </row>
    <row r="12" spans="1:19" x14ac:dyDescent="0.5">
      <c r="A12" s="55"/>
      <c r="B12" s="55"/>
      <c r="D12" s="51">
        <v>9</v>
      </c>
      <c r="F12" s="51" t="s">
        <v>2959</v>
      </c>
    </row>
    <row r="13" spans="1:19" x14ac:dyDescent="0.5">
      <c r="A13" s="55"/>
      <c r="B13" s="55"/>
      <c r="D13" s="51">
        <v>2</v>
      </c>
      <c r="F13" s="51" t="s">
        <v>2960</v>
      </c>
    </row>
    <row r="15" spans="1:19" x14ac:dyDescent="0.5">
      <c r="A15" s="46">
        <v>3</v>
      </c>
      <c r="B15" s="47" t="s">
        <v>3291</v>
      </c>
      <c r="D15" s="51" t="s">
        <v>2966</v>
      </c>
      <c r="F15" s="51" t="s">
        <v>3292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3C9E7-92F2-46F6-B12D-645CC3DBF9B9}">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clamp(num_or_arr, [bottom], [top])</v>
      </c>
      <c r="C1" s="95"/>
      <c r="D1" s="95"/>
      <c r="E1" s="95"/>
      <c r="F1" s="96"/>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98"/>
      <c r="D2" s="98"/>
      <c r="E2" s="98"/>
      <c r="F2" s="98"/>
      <c r="G2" s="98"/>
      <c r="H2" s="98"/>
      <c r="I2" s="98"/>
      <c r="J2" s="98"/>
      <c r="K2" s="98"/>
      <c r="L2" s="98"/>
      <c r="M2" s="98"/>
      <c r="N2" s="98"/>
      <c r="O2" s="98"/>
      <c r="P2" s="98"/>
      <c r="Q2" s="98"/>
      <c r="R2" s="98"/>
    </row>
    <row r="4" spans="1:19" x14ac:dyDescent="0.5">
      <c r="A4" s="45" t="s">
        <v>2961</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2962</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2963</v>
      </c>
      <c r="D10" s="51">
        <v>150</v>
      </c>
      <c r="F10" s="51">
        <v>100</v>
      </c>
      <c r="J10" s="52">
        <v>100</v>
      </c>
      <c r="L10" s="53" cm="1">
        <f t="array" ref="L10">clamp(D10,,F10)</f>
        <v>100</v>
      </c>
      <c r="N10" s="54" t="str">
        <f>IF(L10=J10,"PASS","FAIL")</f>
        <v>PASS</v>
      </c>
    </row>
    <row r="12" spans="1:19" x14ac:dyDescent="0.5">
      <c r="A12" s="46">
        <v>3</v>
      </c>
      <c r="B12" s="47" t="s">
        <v>2964</v>
      </c>
      <c r="D12" s="51">
        <v>-5</v>
      </c>
      <c r="F12" s="51">
        <v>0</v>
      </c>
      <c r="J12" s="52">
        <v>0</v>
      </c>
      <c r="L12" s="53" cm="1">
        <f t="array" ref="L12">clamp(D12,F12)</f>
        <v>0</v>
      </c>
      <c r="N12" s="54" t="str">
        <f>IF(L12=J12,"PASS","FAIL")</f>
        <v>PASS</v>
      </c>
    </row>
    <row r="14" spans="1:19" x14ac:dyDescent="0.5">
      <c r="A14" s="46">
        <v>4</v>
      </c>
      <c r="B14" s="47" t="s">
        <v>2965</v>
      </c>
      <c r="D14" s="51">
        <v>5</v>
      </c>
      <c r="F14" s="51">
        <v>0</v>
      </c>
      <c r="H14" s="51">
        <v>10</v>
      </c>
      <c r="J14" s="52">
        <v>5</v>
      </c>
      <c r="L14" s="53" cm="1">
        <f t="array" ref="L14:L17">clamp(D14:D17,F14,H14)</f>
        <v>5</v>
      </c>
      <c r="N14" s="54" t="str" cm="1">
        <f t="array" ref="N14">IF(AND(J14:J17=L14:L17),"PASS","FAIL")</f>
        <v>PASS</v>
      </c>
    </row>
    <row r="15" spans="1:19" x14ac:dyDescent="0.5">
      <c r="A15" s="55"/>
      <c r="B15" s="55"/>
      <c r="D15" s="51" t="s">
        <v>2966</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2967</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0BBC-AC07-4E19-AFC7-A4A2225817CE}">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99" t="str" cm="1">
        <f t="array" aca="1" ref="B1" ca="1">_xlfn.LET(_xlpm.fn, CELL("filename",$A$1), _xlpm.nm, MID(_xlpm.fn, FIND("]", _xlpm.fn) + 1, 255), _xlfn.XLOOKUP(_xlpm.nm &amp; "(*", Lamb!$A$2:$A$1000, Lamb!$A$2:$A$1000, "", 2))</f>
        <v>cont_to_ad(cont, arr, [str])</v>
      </c>
      <c r="C1" s="95"/>
      <c r="D1" s="95"/>
      <c r="E1" s="95"/>
      <c r="F1" s="96"/>
      <c r="H1" s="45" t="s">
        <v>2</v>
      </c>
      <c r="I1" s="94"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98"/>
      <c r="D2" s="98"/>
      <c r="E2" s="98"/>
      <c r="F2" s="98"/>
      <c r="G2" s="98"/>
      <c r="H2" s="98"/>
      <c r="I2" s="98"/>
      <c r="J2" s="98"/>
      <c r="K2" s="98"/>
      <c r="L2" s="98"/>
      <c r="M2" s="98"/>
      <c r="N2" s="98"/>
      <c r="O2" s="98"/>
      <c r="P2" s="98"/>
      <c r="Q2" s="98"/>
      <c r="R2" s="98"/>
    </row>
    <row r="4" spans="1:19" x14ac:dyDescent="0.5">
      <c r="A4" s="45" t="s">
        <v>3515</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3516</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3517</v>
      </c>
      <c r="D13" s="51"/>
      <c r="F13" s="52" t="s">
        <v>3518</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3519</v>
      </c>
      <c r="D15" s="51"/>
      <c r="F15" s="52" t="s">
        <v>3520</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3521</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3522</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02120-5F3C-49AF-8AB9-2D6A38804FEA}">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count_substring(str, sub, [case_sensitive])</v>
      </c>
      <c r="C1" s="95"/>
      <c r="D1" s="95"/>
      <c r="E1" s="95"/>
      <c r="F1" s="96"/>
      <c r="H1" s="45" t="s">
        <v>2</v>
      </c>
      <c r="I1" s="94"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98"/>
      <c r="D2" s="98"/>
      <c r="E2" s="98"/>
      <c r="F2" s="98"/>
      <c r="G2" s="98"/>
      <c r="H2" s="98"/>
      <c r="I2" s="98"/>
      <c r="J2" s="98"/>
      <c r="K2" s="98"/>
      <c r="L2" s="98"/>
      <c r="M2" s="98"/>
      <c r="N2" s="98"/>
      <c r="O2" s="98"/>
      <c r="P2" s="98"/>
      <c r="Q2" s="98"/>
      <c r="R2" s="98"/>
    </row>
    <row r="4" spans="1:19" x14ac:dyDescent="0.5">
      <c r="A4" s="45" t="s">
        <v>2968</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2969</v>
      </c>
      <c r="D6" s="51" t="s">
        <v>2970</v>
      </c>
      <c r="F6" s="51" t="s">
        <v>2946</v>
      </c>
      <c r="J6" s="52">
        <v>3</v>
      </c>
      <c r="L6" s="53" cm="1">
        <f t="array" ref="L6">count_substring(D6,F6)</f>
        <v>3</v>
      </c>
      <c r="N6" s="54" t="str">
        <f>IF(L6=J6,"PASS","FAIL")</f>
        <v>PASS</v>
      </c>
    </row>
    <row r="8" spans="1:19" x14ac:dyDescent="0.5">
      <c r="A8" s="46">
        <v>2</v>
      </c>
      <c r="B8" s="47" t="s">
        <v>2971</v>
      </c>
      <c r="D8" s="51" t="s">
        <v>2970</v>
      </c>
      <c r="F8" s="51" t="s">
        <v>2972</v>
      </c>
      <c r="J8" s="52">
        <v>2</v>
      </c>
      <c r="L8" s="53" cm="1">
        <f t="array" ref="L8">count_substring(D8,F8)</f>
        <v>2</v>
      </c>
      <c r="N8" s="54" t="str">
        <f>IF(L8=J8,"PASS","FAIL")</f>
        <v>PASS</v>
      </c>
    </row>
    <row r="10" spans="1:19" x14ac:dyDescent="0.5">
      <c r="A10" s="46">
        <v>3</v>
      </c>
      <c r="B10" s="47" t="s">
        <v>2973</v>
      </c>
      <c r="D10" s="51" t="s">
        <v>2974</v>
      </c>
      <c r="F10" s="51" t="s">
        <v>2946</v>
      </c>
      <c r="H10" s="51">
        <v>1</v>
      </c>
      <c r="J10" s="52">
        <v>2</v>
      </c>
      <c r="L10" s="53" cm="1">
        <f t="array" ref="L10">count_substring(D10,F10,H10)</f>
        <v>2</v>
      </c>
      <c r="N10" s="54" t="str">
        <f>IF(L10=J10,"PASS","FAIL")</f>
        <v>PASS</v>
      </c>
    </row>
    <row r="12" spans="1:19" x14ac:dyDescent="0.5">
      <c r="A12" s="46">
        <v>4</v>
      </c>
      <c r="B12" s="47" t="s">
        <v>2975</v>
      </c>
      <c r="D12" s="51" t="s">
        <v>2974</v>
      </c>
      <c r="F12" s="51" t="s">
        <v>2946</v>
      </c>
      <c r="J12" s="52">
        <v>4</v>
      </c>
      <c r="L12" s="53" cm="1">
        <f t="array" ref="L12">count_substring(D12,F12)</f>
        <v>4</v>
      </c>
      <c r="N12" s="54" t="str">
        <f>IF(L12=J12,"PASS","FAIL")</f>
        <v>PASS</v>
      </c>
    </row>
    <row r="14" spans="1:19" x14ac:dyDescent="0.5">
      <c r="A14" s="46">
        <v>5</v>
      </c>
      <c r="B14" s="47" t="s">
        <v>2976</v>
      </c>
      <c r="D14" s="51" t="s">
        <v>2970</v>
      </c>
      <c r="F14" s="51" t="s">
        <v>2946</v>
      </c>
      <c r="J14" s="52">
        <v>3</v>
      </c>
      <c r="L14" s="53" cm="1">
        <f t="array" ref="L14:L15">count_substring(D14,F14:F15)</f>
        <v>3</v>
      </c>
      <c r="N14" s="54" t="str" cm="1">
        <f t="array" ref="N14">IF(AND(J14:J15=L14:L15),"PASS","FAIL")</f>
        <v>PASS</v>
      </c>
    </row>
    <row r="15" spans="1:19" x14ac:dyDescent="0.5">
      <c r="A15" s="55"/>
      <c r="B15" s="55"/>
      <c r="F15" s="51" t="s">
        <v>2977</v>
      </c>
      <c r="J15" s="52">
        <v>2</v>
      </c>
      <c r="L15" s="53">
        <v>2</v>
      </c>
    </row>
    <row r="17" spans="1:14" x14ac:dyDescent="0.5">
      <c r="A17" s="46">
        <v>6</v>
      </c>
      <c r="B17" s="47" t="s">
        <v>2978</v>
      </c>
      <c r="D17" s="51" t="s">
        <v>2970</v>
      </c>
      <c r="F17" s="51" t="s">
        <v>2946</v>
      </c>
      <c r="J17" s="52">
        <v>3</v>
      </c>
      <c r="L17" s="53" cm="1">
        <f t="array" ref="L17:L18">count_substring(D17:D18,F17)</f>
        <v>3</v>
      </c>
      <c r="N17" s="54" t="str" cm="1">
        <f t="array" ref="N17">IF(AND(J17:J18=L17:L18),"PASS","FAIL")</f>
        <v>PASS</v>
      </c>
    </row>
    <row r="18" spans="1:14" x14ac:dyDescent="0.5">
      <c r="A18" s="55"/>
      <c r="B18" s="55"/>
      <c r="D18" s="51" t="s">
        <v>2979</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05C8E-1B03-4F10-9B04-CA8F0C4BEC89}">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99" t="str" cm="1">
        <f t="array" aca="1" ref="B1" ca="1">_xlfn.LET(_xlpm.fn, CELL("filename",$A$1), _xlpm.nm, MID(_xlpm.fn, FIND("]", _xlpm.fn) + 1, 255), _xlfn.XLOOKUP(_xlpm.nm &amp; "(*", Lamb!$A$2:$A$1000, Lamb!$A$2:$A$1000, "", 2))</f>
        <v>ctotal(arr)</v>
      </c>
      <c r="C1" s="95"/>
      <c r="D1" s="95"/>
      <c r="E1" s="95"/>
      <c r="F1" s="96"/>
      <c r="H1" s="45" t="s">
        <v>2</v>
      </c>
      <c r="I1" s="94"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=LAMBDA(arr, SCAN(0, arr, LAMBDA(a, b, a + b)))</v>
      </c>
      <c r="C2" s="98"/>
      <c r="D2" s="98"/>
      <c r="E2" s="98"/>
      <c r="F2" s="98"/>
      <c r="G2" s="98"/>
      <c r="H2" s="98"/>
      <c r="I2" s="98"/>
      <c r="J2" s="98"/>
      <c r="K2" s="98"/>
      <c r="L2" s="98"/>
      <c r="M2" s="98"/>
      <c r="N2" s="98"/>
      <c r="O2" s="98"/>
      <c r="P2" s="98"/>
      <c r="Q2" s="98"/>
      <c r="R2" s="98"/>
    </row>
    <row r="4" spans="1:19" x14ac:dyDescent="0.5">
      <c r="A4" s="45" t="s">
        <v>2980</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2981</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2982</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2983</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2984</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607E1-6A3E-4C41-9B2E-C1CF22CFB3FB}">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99" t="str" cm="1">
        <f t="array" aca="1" ref="B1" ca="1">_xlfn.LET(_xlpm.fn, CELL("filename",$A$1), _xlpm.nm, MID(_xlpm.fn, FIND("]", _xlpm.fn) + 1, 255), _xlfn.XLOOKUP(_xlpm.nm &amp; "(*", Lamb!$A$2:$A$1000, Lamb!$A$2:$A$1000, "", 2))</f>
        <v>cycles(outer_n, inner_n)</v>
      </c>
      <c r="C1" s="95"/>
      <c r="D1" s="95"/>
      <c r="E1" s="95"/>
      <c r="F1" s="96"/>
      <c r="H1" s="45" t="s">
        <v>2</v>
      </c>
      <c r="I1" s="94"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95"/>
      <c r="K1" s="95"/>
      <c r="L1" s="95"/>
      <c r="M1" s="95"/>
      <c r="N1" s="95"/>
      <c r="O1" s="95"/>
      <c r="P1" s="95"/>
      <c r="Q1" s="95"/>
      <c r="R1" s="96"/>
      <c r="S1" s="77" t="str">
        <f>HYPERLINK("#lambda_tests!A1","&lt;- test summary")</f>
        <v>&lt;- test summary</v>
      </c>
    </row>
    <row r="2" spans="1:19" ht="84" customHeight="1" x14ac:dyDescent="0.5">
      <c r="A2" s="45" t="s">
        <v>4</v>
      </c>
      <c r="B2" s="97" t="str" cm="1">
        <f t="array" aca="1" ref="B2" ca="1">_xlfn.LET(_xlpm.fn, CELL("filename",$A$1), _xlpm.nm, MID(_xlpm.fn, FIND("]", _xlpm.fn) + 1, 255), _xlfn.XLOOKUP(_xlpm.nm &amp; "(*", Lamb!$A$2:$A$1000, Lamb!$C$2:$C$1000, "", 2))</f>
        <v>=LAMBDA(outer_n, inner_n, LET(
   seq, SEQUENCE(outer_n * inner_n, 1, 0),
   HSTACK(INT(seq / inner_n) + 1, MOD(seq, inner_n) + 1)
))</v>
      </c>
      <c r="C2" s="98"/>
      <c r="D2" s="98"/>
      <c r="E2" s="98"/>
      <c r="F2" s="98"/>
      <c r="G2" s="98"/>
      <c r="H2" s="98"/>
      <c r="I2" s="98"/>
      <c r="J2" s="98"/>
      <c r="K2" s="98"/>
      <c r="L2" s="98"/>
      <c r="M2" s="98"/>
      <c r="N2" s="98"/>
      <c r="O2" s="98"/>
      <c r="P2" s="98"/>
      <c r="Q2" s="98"/>
      <c r="R2" s="98"/>
    </row>
    <row r="4" spans="1:19" x14ac:dyDescent="0.5">
      <c r="A4" s="45" t="s">
        <v>2985</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2986</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2987</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9C6C8-0E15-4F4A-88CC-25D3DF770E35}">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die_pips(st)</v>
      </c>
      <c r="C1" s="95"/>
      <c r="D1" s="95"/>
      <c r="E1" s="95"/>
      <c r="F1" s="96"/>
      <c r="H1" s="45" t="s">
        <v>2</v>
      </c>
      <c r="I1" s="94"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95"/>
      <c r="K1" s="95"/>
      <c r="L1" s="95"/>
      <c r="M1" s="95"/>
      <c r="N1" s="95"/>
      <c r="O1" s="95"/>
      <c r="P1" s="95"/>
      <c r="Q1" s="95"/>
      <c r="R1" s="96"/>
      <c r="S1" s="77" t="str">
        <f>HYPERLINK("#lambda_tests!A1","&lt;- test summary")</f>
        <v>&lt;- test summary</v>
      </c>
    </row>
    <row r="2" spans="1:19" ht="315" customHeight="1" x14ac:dyDescent="0.5">
      <c r="A2" s="45" t="s">
        <v>4</v>
      </c>
      <c r="B2" s="97"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98"/>
      <c r="D2" s="98"/>
      <c r="E2" s="98"/>
      <c r="F2" s="98"/>
      <c r="G2" s="98"/>
      <c r="H2" s="98"/>
      <c r="I2" s="98"/>
      <c r="J2" s="98"/>
      <c r="K2" s="98"/>
      <c r="L2" s="98"/>
      <c r="M2" s="98"/>
      <c r="N2" s="98"/>
      <c r="O2" s="98"/>
      <c r="P2" s="98"/>
      <c r="Q2" s="98"/>
      <c r="R2" s="98"/>
    </row>
    <row r="4" spans="1:19" x14ac:dyDescent="0.5">
      <c r="A4" s="45" t="s">
        <v>2988</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2989</v>
      </c>
      <c r="D6" s="51" t="s">
        <v>2990</v>
      </c>
      <c r="F6" s="52">
        <v>5</v>
      </c>
      <c r="H6" s="53" cm="1">
        <f t="array" ref="H6">die_pips(D6)</f>
        <v>5</v>
      </c>
      <c r="J6" s="54" t="str">
        <f>IF(H6=F6,"PASS","FAIL")</f>
        <v>PASS</v>
      </c>
    </row>
    <row r="8" spans="1:19" x14ac:dyDescent="0.5">
      <c r="A8" s="46">
        <v>2</v>
      </c>
      <c r="B8" s="47" t="s">
        <v>2991</v>
      </c>
      <c r="D8" s="51" t="s">
        <v>2992</v>
      </c>
      <c r="F8" s="52">
        <v>2</v>
      </c>
      <c r="H8" s="53" cm="1">
        <f t="array" ref="H8">die_pips(D8)</f>
        <v>2</v>
      </c>
      <c r="J8" s="54" t="str">
        <f>IF(H8=F8,"PASS","FAIL")</f>
        <v>PASS</v>
      </c>
    </row>
    <row r="10" spans="1:19" x14ac:dyDescent="0.5">
      <c r="A10" s="46">
        <v>3</v>
      </c>
      <c r="B10" s="47" t="s">
        <v>2993</v>
      </c>
      <c r="D10" s="51" t="s">
        <v>2994</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2995</v>
      </c>
      <c r="D13" s="51" t="s">
        <v>2996</v>
      </c>
      <c r="F13" s="52">
        <v>3</v>
      </c>
      <c r="H13" s="53" cm="1">
        <f t="array" ref="H13:H14">die_pips(D13:D14)</f>
        <v>3</v>
      </c>
      <c r="J13" s="54" t="str" cm="1">
        <f t="array" ref="J13">IF(AND(F13:F14=H13:H14),"PASS","FAIL")</f>
        <v>PASS</v>
      </c>
    </row>
    <row r="14" spans="1:19" x14ac:dyDescent="0.5">
      <c r="A14" s="55"/>
      <c r="B14" s="55"/>
      <c r="D14" s="51" t="s">
        <v>2990</v>
      </c>
      <c r="F14" s="52">
        <v>5</v>
      </c>
      <c r="H14" s="53">
        <v>5</v>
      </c>
    </row>
    <row r="16" spans="1:19" x14ac:dyDescent="0.5">
      <c r="A16" s="46">
        <v>5</v>
      </c>
      <c r="B16" s="47" t="s">
        <v>3293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1597F-F547-441A-9074-5E01F6639E42}">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99" t="str" cm="1">
        <f t="array" aca="1" ref="B1" ca="1">_xlfn.LET(_xlpm.fn, CELL("filename",$A$1), _xlpm.nm, MID(_xlpm.fn, FIND("]", _xlpm.fn) + 1, 255), _xlfn.XLOOKUP(_xlpm.nm &amp; "(*", Lamb!$A$2:$A$1000, Lamb!$A$2:$A$1000, "", 2))</f>
        <v>dist(start_ad, end_ad, [diag_allowed], [print_components])</v>
      </c>
      <c r="C1" s="95"/>
      <c r="D1" s="95"/>
      <c r="E1" s="95"/>
      <c r="F1" s="96"/>
      <c r="H1" s="45" t="s">
        <v>2</v>
      </c>
      <c r="I1" s="94"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98"/>
      <c r="D2" s="98"/>
      <c r="E2" s="98"/>
      <c r="F2" s="98"/>
      <c r="G2" s="98"/>
      <c r="H2" s="98"/>
      <c r="I2" s="98"/>
      <c r="J2" s="98"/>
      <c r="K2" s="98"/>
      <c r="L2" s="98"/>
      <c r="M2" s="98"/>
      <c r="N2" s="98"/>
      <c r="O2" s="98"/>
      <c r="P2" s="98"/>
      <c r="Q2" s="98"/>
      <c r="R2" s="98"/>
    </row>
    <row r="4" spans="1:19" x14ac:dyDescent="0.5">
      <c r="A4" s="45" t="s">
        <v>2997</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2998</v>
      </c>
      <c r="D6" s="51" t="s">
        <v>2934</v>
      </c>
      <c r="F6" s="51" t="s">
        <v>2999</v>
      </c>
      <c r="L6" s="52">
        <v>2</v>
      </c>
      <c r="N6" s="53" cm="1">
        <f t="array" ref="N6">dist(D6,F6)</f>
        <v>2</v>
      </c>
      <c r="P6" s="54" t="str">
        <f>IF(N6=L6,"PASS","FAIL")</f>
        <v>PASS</v>
      </c>
    </row>
    <row r="8" spans="1:19" x14ac:dyDescent="0.5">
      <c r="A8" s="46">
        <v>2</v>
      </c>
      <c r="B8" s="47" t="s">
        <v>3000</v>
      </c>
      <c r="D8" s="51" t="s">
        <v>2934</v>
      </c>
      <c r="F8" s="51" t="s">
        <v>2999</v>
      </c>
      <c r="H8" s="51">
        <v>0</v>
      </c>
      <c r="L8" s="52">
        <v>4</v>
      </c>
      <c r="N8" s="53" cm="1">
        <f t="array" ref="N8">dist(D8,F8,H8)</f>
        <v>4</v>
      </c>
      <c r="P8" s="54" t="str">
        <f>IF(N8=L8,"PASS","FAIL")</f>
        <v>PASS</v>
      </c>
    </row>
    <row r="10" spans="1:19" x14ac:dyDescent="0.5">
      <c r="A10" s="46">
        <v>3</v>
      </c>
      <c r="B10" s="47" t="s">
        <v>3001</v>
      </c>
      <c r="D10" s="51" t="s">
        <v>2934</v>
      </c>
      <c r="F10" s="51" t="s">
        <v>2999</v>
      </c>
      <c r="H10" s="51">
        <v>-1</v>
      </c>
      <c r="L10" s="52">
        <v>2.8284271247461898</v>
      </c>
      <c r="N10" s="53" cm="1">
        <f t="array" ref="N10">dist(D10,F10,H10)</f>
        <v>2.8284271247461903</v>
      </c>
      <c r="P10" s="54" t="str">
        <f>IF(ABS(N10-L10)&lt;0.000000001,"PASS","FAIL")</f>
        <v>PASS</v>
      </c>
    </row>
    <row r="12" spans="1:19" x14ac:dyDescent="0.5">
      <c r="A12" s="46">
        <v>4</v>
      </c>
      <c r="B12" s="47" t="s">
        <v>3002</v>
      </c>
      <c r="D12" s="51" t="s">
        <v>2934</v>
      </c>
      <c r="F12" s="51" t="s">
        <v>3003</v>
      </c>
      <c r="L12" s="52">
        <v>3</v>
      </c>
      <c r="N12" s="53" cm="1">
        <f t="array" ref="N12">dist(D12,F12)</f>
        <v>3</v>
      </c>
      <c r="P12" s="54" t="str">
        <f>IF(N12=L12,"PASS","FAIL")</f>
        <v>PASS</v>
      </c>
    </row>
    <row r="14" spans="1:19" x14ac:dyDescent="0.5">
      <c r="A14" s="46">
        <v>5</v>
      </c>
      <c r="B14" s="47" t="s">
        <v>3004</v>
      </c>
      <c r="D14" s="51" t="s">
        <v>2934</v>
      </c>
      <c r="F14" s="51" t="s">
        <v>2999</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3005</v>
      </c>
      <c r="D21" s="51" t="s">
        <v>2934</v>
      </c>
      <c r="F21" s="51" t="s">
        <v>3006</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3007</v>
      </c>
      <c r="D28" s="51" t="s">
        <v>2934</v>
      </c>
      <c r="F28" s="51" t="s">
        <v>2999</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E71ED-376B-4834-A5DF-4336849FFD6A}">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exists(arr, value)</v>
      </c>
      <c r="C1" s="95"/>
      <c r="D1" s="95"/>
      <c r="E1" s="95"/>
      <c r="F1" s="96"/>
      <c r="H1" s="45" t="s">
        <v>2</v>
      </c>
      <c r="I1" s="94"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=LAMBDA(Arr, Val, IF(ISNUMBER(XMATCH(Val, TOCOL(Arr), 0)), 1, 0))</v>
      </c>
      <c r="C2" s="98"/>
      <c r="D2" s="98"/>
      <c r="E2" s="98"/>
      <c r="F2" s="98"/>
      <c r="G2" s="98"/>
      <c r="H2" s="98"/>
      <c r="I2" s="98"/>
      <c r="J2" s="98"/>
      <c r="K2" s="98"/>
      <c r="L2" s="98"/>
      <c r="M2" s="98"/>
      <c r="N2" s="98"/>
      <c r="O2" s="98"/>
      <c r="P2" s="98"/>
      <c r="Q2" s="98"/>
      <c r="R2" s="98"/>
    </row>
    <row r="4" spans="1:19" x14ac:dyDescent="0.5">
      <c r="A4" s="45" t="s">
        <v>3008</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3009</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3010</v>
      </c>
      <c r="D10" s="51" t="s">
        <v>2946</v>
      </c>
      <c r="F10" s="51" t="s">
        <v>2966</v>
      </c>
      <c r="H10" s="52">
        <v>0</v>
      </c>
      <c r="J10" s="53" cm="1">
        <f t="array" ref="J10">exists(D10:D12,F10)</f>
        <v>0</v>
      </c>
      <c r="L10" s="54" t="str">
        <f>IF(J10=H10,"PASS","FAIL")</f>
        <v>PASS</v>
      </c>
    </row>
    <row r="11" spans="1:19" x14ac:dyDescent="0.5">
      <c r="A11" s="55"/>
      <c r="B11" s="55"/>
      <c r="D11" s="51" t="s">
        <v>2947</v>
      </c>
    </row>
    <row r="12" spans="1:19" x14ac:dyDescent="0.5">
      <c r="A12" s="55"/>
      <c r="B12" s="55"/>
      <c r="D12" s="51" t="s">
        <v>2955</v>
      </c>
    </row>
    <row r="14" spans="1:19" x14ac:dyDescent="0.5">
      <c r="A14" s="46">
        <v>3</v>
      </c>
      <c r="B14" s="47" t="s">
        <v>3011</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3012</v>
      </c>
      <c r="D18" s="51" t="s">
        <v>2946</v>
      </c>
      <c r="F18" s="51" t="s">
        <v>2946</v>
      </c>
      <c r="H18" s="52">
        <v>1</v>
      </c>
      <c r="J18" s="53" cm="1">
        <f t="array" ref="J18:J19">exists(D18:D20,F18:F19)</f>
        <v>1</v>
      </c>
      <c r="L18" s="54" t="str" cm="1">
        <f t="array" ref="L18">IF(AND(H18:H19=J18:J19),"PASS","FAIL")</f>
        <v>PASS</v>
      </c>
    </row>
    <row r="19" spans="1:12" x14ac:dyDescent="0.5">
      <c r="A19" s="55"/>
      <c r="B19" s="55"/>
      <c r="D19" s="51" t="s">
        <v>2947</v>
      </c>
      <c r="F19" s="51" t="s">
        <v>3013</v>
      </c>
      <c r="H19" s="52">
        <v>0</v>
      </c>
      <c r="J19" s="53">
        <v>0</v>
      </c>
    </row>
    <row r="20" spans="1:12" x14ac:dyDescent="0.5">
      <c r="A20" s="55"/>
      <c r="B20" s="55"/>
      <c r="D20" s="51" t="s">
        <v>2955</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8B607-102E-444C-9615-DD6683F38717}">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99" t="str" cm="1">
        <f t="array" aca="1" ref="B1" ca="1">_xlfn.LET(_xlpm.fn, CELL("filename",$A$1), _xlpm.nm, MID(_xlpm.fn, FIND("]", _xlpm.fn) + 1, 255), _xlfn.XLOOKUP(_xlpm.nm &amp; "(*", Lamb!$A$2:$A$1000, Lamb!$A$2:$A$1000, "", 2))</f>
        <v>expand_rng(ad_or_rng, [r_down], [c_right], [r_up], [c_left])</v>
      </c>
      <c r="C1" s="95"/>
      <c r="D1" s="95"/>
      <c r="E1" s="95"/>
      <c r="F1" s="96"/>
      <c r="H1" s="45" t="s">
        <v>2</v>
      </c>
      <c r="I1" s="94"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95"/>
      <c r="K1" s="95"/>
      <c r="L1" s="95"/>
      <c r="M1" s="95"/>
      <c r="N1" s="95"/>
      <c r="O1" s="95"/>
      <c r="P1" s="95"/>
      <c r="Q1" s="95"/>
      <c r="R1" s="96"/>
      <c r="S1" s="77" t="str">
        <f>HYPERLINK("#lambda_tests!A1","&lt;- test summary")</f>
        <v>&lt;- test summary</v>
      </c>
    </row>
    <row r="2" spans="1:19" ht="357" customHeight="1" x14ac:dyDescent="0.5">
      <c r="A2" s="45" t="s">
        <v>4</v>
      </c>
      <c r="B2" s="97"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98"/>
      <c r="D2" s="98"/>
      <c r="E2" s="98"/>
      <c r="F2" s="98"/>
      <c r="G2" s="98"/>
      <c r="H2" s="98"/>
      <c r="I2" s="98"/>
      <c r="J2" s="98"/>
      <c r="K2" s="98"/>
      <c r="L2" s="98"/>
      <c r="M2" s="98"/>
      <c r="N2" s="98"/>
      <c r="O2" s="98"/>
      <c r="P2" s="98"/>
      <c r="Q2" s="98"/>
      <c r="R2" s="98"/>
    </row>
    <row r="4" spans="1:19" x14ac:dyDescent="0.5">
      <c r="A4" s="45" t="s">
        <v>3523</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3524</v>
      </c>
      <c r="D6" s="51" t="s">
        <v>3525</v>
      </c>
      <c r="F6" s="52" t="s">
        <v>3526</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3527</v>
      </c>
      <c r="D8" s="51" t="s">
        <v>3528</v>
      </c>
      <c r="F8" s="52" t="s">
        <v>3529</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3530</v>
      </c>
      <c r="D10" s="51" t="s">
        <v>3531</v>
      </c>
      <c r="F10" s="52" t="s">
        <v>3532</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3533</v>
      </c>
      <c r="D12" s="51" t="s">
        <v>3534</v>
      </c>
      <c r="F12" s="52" t="s">
        <v>3535</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3536</v>
      </c>
      <c r="D14" s="51" t="s">
        <v>3537</v>
      </c>
      <c r="F14" s="52" t="s">
        <v>3538</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3539</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3540</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D5B76-67BE-4A82-917E-CD180D4F688E}">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99" t="str" cm="1">
        <f t="array" aca="1" ref="B1" ca="1">_xlfn.LET(_xlpm.fn, CELL("filename",$A$1), _xlpm.nm, MID(_xlpm.fn, FIND("]", _xlpm.fn) + 1, 255), _xlfn.XLOOKUP(_xlpm.nm &amp; "(*", Lamb!$A$2:$A$1000, Lamb!$A$2:$A$1000, "", 2))</f>
        <v>freq_table(array, [min_freq])</v>
      </c>
      <c r="C1" s="95"/>
      <c r="D1" s="95"/>
      <c r="E1" s="95"/>
      <c r="F1" s="96"/>
      <c r="H1" s="45" t="s">
        <v>2</v>
      </c>
      <c r="I1" s="94"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95"/>
      <c r="K1" s="95"/>
      <c r="L1" s="95"/>
      <c r="M1" s="95"/>
      <c r="N1" s="95"/>
      <c r="O1" s="95"/>
      <c r="P1" s="95"/>
      <c r="Q1" s="95"/>
      <c r="R1" s="96"/>
      <c r="S1" s="77" t="str">
        <f>HYPERLINK("#lambda_tests!A1","&lt;- test summary")</f>
        <v>&lt;- test summary</v>
      </c>
    </row>
    <row r="2" spans="1:19" ht="189" customHeight="1" x14ac:dyDescent="0.5">
      <c r="A2" s="45" t="s">
        <v>4</v>
      </c>
      <c r="B2" s="97"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98"/>
      <c r="D2" s="98"/>
      <c r="E2" s="98"/>
      <c r="F2" s="98"/>
      <c r="G2" s="98"/>
      <c r="H2" s="98"/>
      <c r="I2" s="98"/>
      <c r="J2" s="98"/>
      <c r="K2" s="98"/>
      <c r="L2" s="98"/>
      <c r="M2" s="98"/>
      <c r="N2" s="98"/>
      <c r="O2" s="98"/>
      <c r="P2" s="98"/>
      <c r="Q2" s="98"/>
      <c r="R2" s="98"/>
    </row>
    <row r="4" spans="1:19" x14ac:dyDescent="0.5">
      <c r="A4" s="45" t="s">
        <v>3014</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3015</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3016</v>
      </c>
      <c r="D10" s="51" t="s">
        <v>2946</v>
      </c>
      <c r="H10" s="52" t="s">
        <v>2946</v>
      </c>
      <c r="I10" s="52">
        <v>3</v>
      </c>
      <c r="K10" s="53" t="str" cm="1">
        <f t="array" ref="K10:L12">freq_table(D10:D15)</f>
        <v>a</v>
      </c>
      <c r="L10" s="53">
        <v>3</v>
      </c>
      <c r="N10" s="54" t="str" cm="1">
        <f t="array" ref="N10">IF(AND(H10:I12=K10:L12),"PASS","FAIL")</f>
        <v>PASS</v>
      </c>
    </row>
    <row r="11" spans="1:19" x14ac:dyDescent="0.5">
      <c r="A11" s="55"/>
      <c r="B11" s="55"/>
      <c r="D11" s="51" t="s">
        <v>2946</v>
      </c>
      <c r="H11" s="52" t="s">
        <v>2947</v>
      </c>
      <c r="I11" s="52">
        <v>2</v>
      </c>
      <c r="K11" s="53" t="str">
        <v>b</v>
      </c>
      <c r="L11" s="53">
        <v>2</v>
      </c>
    </row>
    <row r="12" spans="1:19" x14ac:dyDescent="0.5">
      <c r="A12" s="55"/>
      <c r="B12" s="55"/>
      <c r="D12" s="51" t="s">
        <v>2946</v>
      </c>
      <c r="H12" s="52" t="s">
        <v>2955</v>
      </c>
      <c r="I12" s="52">
        <v>1</v>
      </c>
      <c r="K12" s="53" t="str">
        <v>c</v>
      </c>
      <c r="L12" s="53">
        <v>1</v>
      </c>
    </row>
    <row r="13" spans="1:19" x14ac:dyDescent="0.5">
      <c r="A13" s="55"/>
      <c r="B13" s="55"/>
      <c r="D13" s="51" t="s">
        <v>2947</v>
      </c>
    </row>
    <row r="14" spans="1:19" x14ac:dyDescent="0.5">
      <c r="A14" s="55"/>
      <c r="B14" s="55"/>
      <c r="D14" s="51" t="s">
        <v>2947</v>
      </c>
    </row>
    <row r="15" spans="1:19" x14ac:dyDescent="0.5">
      <c r="A15" s="55"/>
      <c r="B15" s="55"/>
      <c r="D15" s="51" t="s">
        <v>2955</v>
      </c>
    </row>
    <row r="17" spans="1:14" x14ac:dyDescent="0.5">
      <c r="A17" s="46">
        <v>3</v>
      </c>
      <c r="B17" s="47" t="s">
        <v>3017</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3018</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3019</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DD3C9-1E25-4B38-ACCB-068CFDEFD819}">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is_unique(arr)</v>
      </c>
      <c r="C1" s="95"/>
      <c r="D1" s="95"/>
      <c r="E1" s="95"/>
      <c r="F1" s="96"/>
      <c r="H1" s="45" t="s">
        <v>2</v>
      </c>
      <c r="I1" s="94"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95"/>
      <c r="K1" s="95"/>
      <c r="L1" s="95"/>
      <c r="M1" s="95"/>
      <c r="N1" s="95"/>
      <c r="O1" s="95"/>
      <c r="P1" s="95"/>
      <c r="Q1" s="95"/>
      <c r="R1" s="96"/>
      <c r="S1" s="77" t="str">
        <f>HYPERLINK("#lambda_tests!A1","&lt;- test summary")</f>
        <v>&lt;- test summary</v>
      </c>
    </row>
    <row r="2" spans="1:19" ht="168" customHeight="1" x14ac:dyDescent="0.5">
      <c r="A2" s="45" t="s">
        <v>4</v>
      </c>
      <c r="B2" s="97"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98"/>
      <c r="D2" s="98"/>
      <c r="E2" s="98"/>
      <c r="F2" s="98"/>
      <c r="G2" s="98"/>
      <c r="H2" s="98"/>
      <c r="I2" s="98"/>
      <c r="J2" s="98"/>
      <c r="K2" s="98"/>
      <c r="L2" s="98"/>
      <c r="M2" s="98"/>
      <c r="N2" s="98"/>
      <c r="O2" s="98"/>
      <c r="P2" s="98"/>
      <c r="Q2" s="98"/>
      <c r="R2" s="98"/>
    </row>
    <row r="4" spans="1:19" x14ac:dyDescent="0.5">
      <c r="A4" s="45" t="s">
        <v>3020</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2981</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3021</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3022</v>
      </c>
      <c r="D14" s="51" t="s">
        <v>2946</v>
      </c>
      <c r="F14" s="52">
        <v>0</v>
      </c>
      <c r="H14" s="53" cm="1">
        <f t="array" ref="H14">is_unique(D14:D15)</f>
        <v>0</v>
      </c>
      <c r="J14" s="54" t="str">
        <f>IF(H14=F14,"PASS","FAIL")</f>
        <v>PASS</v>
      </c>
    </row>
    <row r="15" spans="1:19" x14ac:dyDescent="0.5">
      <c r="A15" s="55"/>
      <c r="B15" s="55"/>
      <c r="D15" s="51" t="s">
        <v>137</v>
      </c>
    </row>
    <row r="17" spans="1:10" x14ac:dyDescent="0.5">
      <c r="A17" s="46">
        <v>4</v>
      </c>
      <c r="B17" s="47" t="s">
        <v>3023</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090E2-1A72-40DC-AA7E-1AFBDA7C5947}">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99" t="str" cm="1">
        <f t="array" aca="1" ref="B1" ca="1">_xlfn.LET(_xlpm.fn, CELL("filename",$A$1), _xlpm.nm, MID(_xlpm.fn, FIND("]", _xlpm.fn) + 1, 255), _xlfn.XLOOKUP(_xlpm.nm &amp; "(*", Lamb!$A$2:$A$1000, Lamb!$A$2:$A$1000, "", 2))</f>
        <v>knight_moves(start_ad, end_ad)</v>
      </c>
      <c r="C1" s="95"/>
      <c r="D1" s="95"/>
      <c r="E1" s="95"/>
      <c r="F1" s="96"/>
      <c r="H1" s="45" t="s">
        <v>2</v>
      </c>
      <c r="I1" s="94"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95"/>
      <c r="K1" s="95"/>
      <c r="L1" s="95"/>
      <c r="M1" s="95"/>
      <c r="N1" s="95"/>
      <c r="O1" s="95"/>
      <c r="P1" s="95"/>
      <c r="Q1" s="95"/>
      <c r="R1" s="96"/>
      <c r="S1" s="77" t="str">
        <f>HYPERLINK("#lambda_tests!A1","&lt;- test summary")</f>
        <v>&lt;- test summary</v>
      </c>
    </row>
    <row r="2" spans="1:19" ht="315" customHeight="1" x14ac:dyDescent="0.5">
      <c r="A2" s="45" t="s">
        <v>4</v>
      </c>
      <c r="B2" s="97"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98"/>
      <c r="D2" s="98"/>
      <c r="E2" s="98"/>
      <c r="F2" s="98"/>
      <c r="G2" s="98"/>
      <c r="H2" s="98"/>
      <c r="I2" s="98"/>
      <c r="J2" s="98"/>
      <c r="K2" s="98"/>
      <c r="L2" s="98"/>
      <c r="M2" s="98"/>
      <c r="N2" s="98"/>
      <c r="O2" s="98"/>
      <c r="P2" s="98"/>
      <c r="Q2" s="98"/>
      <c r="R2" s="98"/>
    </row>
    <row r="4" spans="1:19" x14ac:dyDescent="0.5">
      <c r="A4" s="45" t="s">
        <v>3024</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3025</v>
      </c>
      <c r="D6" s="51" t="s">
        <v>2934</v>
      </c>
      <c r="F6" s="51" t="s">
        <v>3026</v>
      </c>
      <c r="H6" s="52">
        <v>1</v>
      </c>
      <c r="J6" s="53" cm="1">
        <f t="array" ref="J6">knight_moves(D6,F6)</f>
        <v>1</v>
      </c>
      <c r="L6" s="54" t="str">
        <f>IF(J6=H6,"PASS","FAIL")</f>
        <v>PASS</v>
      </c>
    </row>
    <row r="8" spans="1:19" x14ac:dyDescent="0.5">
      <c r="A8" s="46">
        <v>2</v>
      </c>
      <c r="B8" s="47" t="s">
        <v>3027</v>
      </c>
      <c r="D8" s="51" t="s">
        <v>2934</v>
      </c>
      <c r="F8" s="51" t="s">
        <v>2999</v>
      </c>
      <c r="H8" s="52">
        <v>4</v>
      </c>
      <c r="J8" s="53" cm="1">
        <f t="array" ref="J8">knight_moves(D8,F8)</f>
        <v>4</v>
      </c>
      <c r="L8" s="54" t="str">
        <f>IF(J8=H8,"PASS","FAIL")</f>
        <v>PASS</v>
      </c>
    </row>
    <row r="10" spans="1:19" x14ac:dyDescent="0.5">
      <c r="A10" s="46">
        <v>3</v>
      </c>
      <c r="B10" s="47" t="s">
        <v>3028</v>
      </c>
      <c r="D10" s="51" t="s">
        <v>2934</v>
      </c>
      <c r="F10" s="51" t="s">
        <v>2934</v>
      </c>
      <c r="H10" s="52">
        <v>0</v>
      </c>
      <c r="J10" s="53" cm="1">
        <f t="array" ref="J10">knight_moves(D10,F10)</f>
        <v>0</v>
      </c>
      <c r="L10" s="54" t="str">
        <f>IF(J10=H10,"PASS","FAIL")</f>
        <v>PASS</v>
      </c>
    </row>
    <row r="12" spans="1:19" x14ac:dyDescent="0.5">
      <c r="A12" s="46">
        <v>4</v>
      </c>
      <c r="B12" s="47" t="s">
        <v>3029</v>
      </c>
      <c r="D12" s="51" t="s">
        <v>2934</v>
      </c>
      <c r="F12" s="51" t="s">
        <v>3030</v>
      </c>
      <c r="H12" s="52">
        <v>3</v>
      </c>
      <c r="J12" s="53" cm="1">
        <f t="array" ref="J12">knight_moves(D12,F12)</f>
        <v>3</v>
      </c>
      <c r="L12" s="54" t="str">
        <f>IF(J12=H12,"PASS","FAIL")</f>
        <v>PASS</v>
      </c>
    </row>
    <row r="14" spans="1:19" x14ac:dyDescent="0.5">
      <c r="A14" s="46">
        <v>5</v>
      </c>
      <c r="B14" s="47" t="s">
        <v>3031</v>
      </c>
      <c r="D14" s="51" t="s">
        <v>2934</v>
      </c>
      <c r="F14" s="51" t="s">
        <v>3032</v>
      </c>
      <c r="H14" s="52">
        <v>6</v>
      </c>
      <c r="J14" s="53" cm="1">
        <f t="array" ref="J14">knight_moves(D14,F14)</f>
        <v>6</v>
      </c>
      <c r="L14" s="54" t="str">
        <f>IF(J14=H14,"PASS","FAIL")</f>
        <v>PASS</v>
      </c>
    </row>
    <row r="16" spans="1:19" x14ac:dyDescent="0.5">
      <c r="A16" s="46">
        <v>6</v>
      </c>
      <c r="B16" s="47" t="s">
        <v>3033</v>
      </c>
      <c r="D16" s="51">
        <v>1000001</v>
      </c>
      <c r="F16" s="51">
        <v>8000008</v>
      </c>
      <c r="H16" s="52">
        <v>6</v>
      </c>
      <c r="J16" s="53" cm="1">
        <f t="array" ref="J16">knight_moves(D16,F16)</f>
        <v>6</v>
      </c>
      <c r="L16" s="54" t="str">
        <f>IF(J16=H16,"PASS","FAIL")</f>
        <v>PASS</v>
      </c>
    </row>
    <row r="18" spans="1:12" x14ac:dyDescent="0.5">
      <c r="A18" s="46">
        <v>7</v>
      </c>
      <c r="B18" s="47" t="s">
        <v>3034</v>
      </c>
      <c r="D18" s="51">
        <v>1000001</v>
      </c>
      <c r="F18" s="51" t="s">
        <v>2999</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22C0-C947-4450-9E29-C097A715D61F}">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label_lookup(arr,row_label,column_label)</v>
      </c>
      <c r="C1" s="95"/>
      <c r="D1" s="95"/>
      <c r="E1" s="95"/>
      <c r="F1" s="96"/>
      <c r="H1" s="45" t="s">
        <v>2</v>
      </c>
      <c r="I1" s="94"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95"/>
      <c r="K1" s="95"/>
      <c r="L1" s="95"/>
      <c r="M1" s="95"/>
      <c r="N1" s="95"/>
      <c r="O1" s="95"/>
      <c r="P1" s="95"/>
      <c r="Q1" s="95"/>
      <c r="R1" s="96"/>
      <c r="S1" s="77" t="str">
        <f>HYPERLINK("#lambda_tests!A1","&lt;- test summary")</f>
        <v>&lt;- test summary</v>
      </c>
    </row>
    <row r="2" spans="1:19" ht="147" customHeight="1" x14ac:dyDescent="0.5">
      <c r="A2" s="45" t="s">
        <v>4</v>
      </c>
      <c r="B2" s="97"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98"/>
      <c r="D2" s="98"/>
      <c r="E2" s="98"/>
      <c r="F2" s="98"/>
      <c r="G2" s="98"/>
      <c r="H2" s="98"/>
      <c r="I2" s="98"/>
      <c r="J2" s="98"/>
      <c r="K2" s="98"/>
      <c r="L2" s="98"/>
      <c r="M2" s="98"/>
      <c r="N2" s="98"/>
      <c r="O2" s="98"/>
      <c r="P2" s="98"/>
      <c r="Q2" s="98"/>
      <c r="R2" s="98"/>
    </row>
    <row r="4" spans="1:19" x14ac:dyDescent="0.5">
      <c r="A4" s="45" t="s">
        <v>3035</v>
      </c>
      <c r="N4" s="45" t="str">
        <f>COUNTIF(N11:N20,"PASS")&amp;" / 4 PASS"</f>
        <v>4 / 4 PASS</v>
      </c>
    </row>
    <row r="5" spans="1:19" x14ac:dyDescent="0.5">
      <c r="B5" s="45" t="s">
        <v>8</v>
      </c>
      <c r="J5" s="48" t="s">
        <v>10</v>
      </c>
      <c r="L5" s="49" t="s">
        <v>11</v>
      </c>
      <c r="N5" s="50" t="s">
        <v>12</v>
      </c>
    </row>
    <row r="6" spans="1:19" x14ac:dyDescent="0.5">
      <c r="D6" s="45" t="s">
        <v>3036</v>
      </c>
    </row>
    <row r="7" spans="1:19" x14ac:dyDescent="0.5">
      <c r="D7" s="51"/>
      <c r="E7" s="51" t="s">
        <v>3037</v>
      </c>
      <c r="F7" s="51" t="s">
        <v>3038</v>
      </c>
      <c r="G7" s="51" t="s">
        <v>3039</v>
      </c>
    </row>
    <row r="8" spans="1:19" x14ac:dyDescent="0.5">
      <c r="D8" s="51" t="s">
        <v>137</v>
      </c>
      <c r="E8" s="51">
        <v>1</v>
      </c>
      <c r="F8" s="51">
        <v>2</v>
      </c>
      <c r="G8" s="51">
        <v>3</v>
      </c>
    </row>
    <row r="9" spans="1:19" x14ac:dyDescent="0.5">
      <c r="D9" s="51" t="s">
        <v>144</v>
      </c>
      <c r="E9" s="51">
        <v>4</v>
      </c>
      <c r="F9" s="51">
        <v>5</v>
      </c>
      <c r="G9" s="51">
        <v>6</v>
      </c>
    </row>
    <row r="11" spans="1:19" x14ac:dyDescent="0.5">
      <c r="B11" s="46" t="s">
        <v>3040</v>
      </c>
      <c r="J11" s="52">
        <v>5</v>
      </c>
      <c r="L11" s="53" cm="1">
        <f t="array" ref="L11">label_lookup(D7:G9,"B","Tue")</f>
        <v>5</v>
      </c>
      <c r="N11" s="54" t="str">
        <f>IF(L11=J11,"PASS","FAIL")</f>
        <v>PASS</v>
      </c>
    </row>
    <row r="13" spans="1:19" x14ac:dyDescent="0.5">
      <c r="B13" s="46" t="s">
        <v>3041</v>
      </c>
      <c r="J13" s="52">
        <v>3</v>
      </c>
      <c r="L13" s="53" cm="1">
        <f t="array" ref="L13">label_lookup(D7:G9,"A","Wed")</f>
        <v>3</v>
      </c>
      <c r="N13" s="54" t="str">
        <f>IF(L13=J13,"PASS","FAIL")</f>
        <v>PASS</v>
      </c>
    </row>
    <row r="15" spans="1:19" x14ac:dyDescent="0.5">
      <c r="B15" s="46" t="s">
        <v>3042</v>
      </c>
      <c r="J15" s="52">
        <v>4</v>
      </c>
      <c r="L15" s="53" cm="1">
        <f t="array" ref="L15">label_lookup(D7:G9,"B","Mon")</f>
        <v>4</v>
      </c>
      <c r="N15" s="54" t="str">
        <f>IF(L15=J15,"PASS","FAIL")</f>
        <v>PASS</v>
      </c>
    </row>
    <row r="17" spans="2:14" x14ac:dyDescent="0.5">
      <c r="B17" s="46" t="s">
        <v>3294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4DF93-1D65-4164-827E-72DCF1BADE31}">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99" t="str" cm="1">
        <f t="array" aca="1" ref="B1" ca="1">_xlfn.LET(_xlpm.fn, CELL("filename",$A$1), _xlpm.nm, MID(_xlpm.fn, FIND("]", _xlpm.fn) + 1, 255), _xlfn.XLOOKUP(_xlpm.nm &amp; "(*", Lamb!$A$2:$A$1000, Lamb!$A$2:$A$1000, "", 2))</f>
        <v>load_array(input_string,[col_delimiter],[row_delimiter])</v>
      </c>
      <c r="C1" s="95"/>
      <c r="D1" s="95"/>
      <c r="E1" s="95"/>
      <c r="F1" s="96"/>
      <c r="H1" s="45" t="s">
        <v>2</v>
      </c>
      <c r="I1" s="94"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95"/>
      <c r="K1" s="95"/>
      <c r="L1" s="95"/>
      <c r="M1" s="95"/>
      <c r="N1" s="95"/>
      <c r="O1" s="95"/>
      <c r="P1" s="95"/>
      <c r="Q1" s="95"/>
      <c r="R1" s="96"/>
      <c r="S1" s="77" t="str">
        <f>HYPERLINK("#lambda_tests!A1","&lt;- test summary")</f>
        <v>&lt;- test summary</v>
      </c>
    </row>
    <row r="2" spans="1:19" ht="294" customHeight="1" x14ac:dyDescent="0.5">
      <c r="A2" s="45" t="s">
        <v>4</v>
      </c>
      <c r="B2" s="97"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98"/>
      <c r="D2" s="98"/>
      <c r="E2" s="98"/>
      <c r="F2" s="98"/>
      <c r="G2" s="98"/>
      <c r="H2" s="98"/>
      <c r="I2" s="98"/>
      <c r="J2" s="98"/>
      <c r="K2" s="98"/>
      <c r="L2" s="98"/>
      <c r="M2" s="98"/>
      <c r="N2" s="98"/>
      <c r="O2" s="98"/>
      <c r="P2" s="98"/>
      <c r="Q2" s="98"/>
      <c r="R2" s="98"/>
    </row>
    <row r="4" spans="1:19" x14ac:dyDescent="0.5">
      <c r="A4" s="45" t="s">
        <v>3043</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3044</v>
      </c>
      <c r="D6" s="51" t="s">
        <v>3044</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3045</v>
      </c>
      <c r="D9" s="51" t="s">
        <v>3045</v>
      </c>
      <c r="J9" s="52" t="s">
        <v>2946</v>
      </c>
      <c r="K9" s="52" t="s">
        <v>2947</v>
      </c>
      <c r="M9" s="53" t="str" cm="1">
        <f t="array" ref="M9:N10">load_array(D9)</f>
        <v>a</v>
      </c>
      <c r="N9" s="53" t="str">
        <v>b</v>
      </c>
      <c r="P9" s="54" t="str" cm="1">
        <f t="array" ref="P9">IF(AND(J9:K10=M9:N10),"PASS","FAIL")</f>
        <v>PASS</v>
      </c>
    </row>
    <row r="10" spans="1:19" x14ac:dyDescent="0.5">
      <c r="A10" s="55"/>
      <c r="B10" s="55"/>
      <c r="J10" s="52" t="s">
        <v>2955</v>
      </c>
      <c r="K10" s="52" t="s">
        <v>2948</v>
      </c>
      <c r="M10" s="53" t="str">
        <v>c</v>
      </c>
      <c r="N10" s="53" t="str">
        <v>d</v>
      </c>
    </row>
    <row r="12" spans="1:19" x14ac:dyDescent="0.5">
      <c r="A12" s="46">
        <v>3</v>
      </c>
      <c r="B12" s="47" t="s">
        <v>3046</v>
      </c>
      <c r="D12" s="51" t="s">
        <v>3047</v>
      </c>
      <c r="F12" s="51" t="s">
        <v>3048</v>
      </c>
      <c r="H12" s="51" t="s">
        <v>3049</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33064-3DB8-4AA2-84FD-F0C47DD32AD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make_change(coins, price)</v>
      </c>
      <c r="C1" s="95"/>
      <c r="D1" s="95"/>
      <c r="E1" s="95"/>
      <c r="F1" s="96"/>
      <c r="H1" s="45" t="s">
        <v>2</v>
      </c>
      <c r="I1" s="94" t="str" cm="1">
        <f t="array" aca="1" ref="I1" ca="1">_xlfn.LET(_xlpm.fn, CELL("filename",$A$1), _xlpm.nm, MID(_xlpm.fn, FIND("]", _xlpm.fn) + 1, 255), _xlfn.XLOOKUP(_xlpm.nm &amp; "(*", Lamb!$A$2:$A$1000, Lamb!$D$2:$D$1000, "", 2))</f>
        <v>Makes change for a price using the fewest coins, getting as close as possible to the price without going over.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Among all coin combinations whose total is the largest achievable value not exceeding price, it returns the one using the fewest coins total. Ties are broken toward earlier-listed denominations, so listing coins largest-first yields a "heaviest-first" solution.
This is a true optimizer (dynamic programming), not a largest-first greedy, so it stays correct even when the denominations aren't a canonical currency set - e.g. make_change({0.25; 0.10}, 0.30) returns {0; 3} (0.30) rather than the greedy {1; 0} (0.25).
Example:
  make_change({1; 0.5; 0.25; 0.05}, 4.34)  -&gt;  {4; 0; 1; 1}
  (4.30 is the closest total not over 4.34, and 4+1+1 = 6 coins is the fewest that make it.)
Note: denominations and price are scaled to integers (six decimal places) and reduced by their GCD, so the internal DP size is price/GCD. Relies on the private helpers z_change_costs and z_change_counts, which are written to stay correct with range inputs and with multiple make_change calls on the same sheet (an earlier INDEX-based version silently returned a single coin in those cases).</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npos, SUM(--(ds &gt; 0)),
   IF(npos = 0,
      IF(ROWS(coins) &gt;= COLUMNS(coins), SEQUENCE(ncoins, 1, 0, 0), SEQUENCE(1, ncoins, 0, 0)),
      LET(
         posd, FILTER(ds, ds &gt; 0),
         gunit, GCD(posd),
         du, IF(ds &gt; 0, ds / gunit, 0),
         ps, ROUND(pnum * scale, 0),
         cap, INT(ps / gunit),
         best, z_change_costs(du, cap),
         seq, SEQUENCE(ROWS(best), 1, 0),
         vstar, MAX(IF(best &lt; 1000000000, seq, -1)),
         counts_row, z_change_counts(best, du, vstar, ncoins),
         IF(ROWS(coins) &gt;= COLUMNS(coins), TRANSPOSE(counts_row), counts_row)
      )
   )
))</v>
      </c>
      <c r="C2" s="98"/>
      <c r="D2" s="98"/>
      <c r="E2" s="98"/>
      <c r="F2" s="98"/>
      <c r="G2" s="98"/>
      <c r="H2" s="98"/>
      <c r="I2" s="98"/>
      <c r="J2" s="98"/>
      <c r="K2" s="98"/>
      <c r="L2" s="98"/>
      <c r="M2" s="98"/>
      <c r="N2" s="98"/>
      <c r="O2" s="98"/>
      <c r="P2" s="98"/>
      <c r="Q2" s="98"/>
      <c r="R2" s="98"/>
    </row>
    <row r="4" spans="1:19" x14ac:dyDescent="0.5">
      <c r="A4" s="45" t="inlineStr">
        <is>
          <t xml:space="preserve">make_change(coins, price) - greedy: take as many of the biggest denomination as fit without going over, then the next; array shaped like coins</t>
        </is>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3610</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inlineStr">
        <is>
          <t xml:space="preserve">{0.25;0.10} @ 0.30 -&gt; 1,0 (greedy: prefer the higher denomination)</t>
        </is>
      </c>
      <c r="D11" s="51">
        <v>0.25</v>
      </c>
      <c r="F11" s="51">
        <v>0.3</v>
      </c>
      <c r="J11" s="52">
        <v>1</v>
      </c>
      <c r="L11" s="53" cm="1">
        <f t="array" ref="L11:L12">make_change(D11:D12,F11)</f>
        <v>0</v>
      </c>
      <c r="N11" s="54" t="str" cm="1">
        <f t="array" ref="N11">IF(AND(J11:J12=L11:L12),"PASS","FAIL")</f>
        <v>PASS</v>
      </c>
    </row>
    <row r="12" spans="1:19" x14ac:dyDescent="0.5">
      <c r="A12" s="55"/>
      <c r="B12" s="55"/>
      <c r="D12" s="51">
        <v>0.1</v>
      </c>
      <c r="J12" s="52">
        <v>0</v>
      </c>
      <c r="L12" s="53">
        <v>3</v>
      </c>
    </row>
    <row r="14" spans="1:19" x14ac:dyDescent="0.5">
      <c r="A14" s="46">
        <v>3</v>
      </c>
      <c r="B14" s="47" t="s">
        <v>3612</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3613</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x14ac:dyDescent="0.5">
      <c r="A23" s="46">
        <v>5</v>
      </c>
      <c r="B23" s="47" t="inlineStr">
        <is>
          <t xml:space="preserve">{5;3} @ 6 -&gt; 1,0 (greedy takes one 5; leftover 1 &lt; 3)</t>
        </is>
      </c>
      <c r="D23" s="51">
        <v>5</v>
      </c>
      <c r="F23" s="51">
        <v>6</v>
      </c>
      <c r="J23" s="52">
        <v>1</v>
      </c>
      <c r="L23" s="53" cm="1">
        <f t="array" ref="L23:L24">make_change(D23:D24,F23)</f>
        <v>0</v>
      </c>
      <c r="N23" s="54" t="str" cm="1">
        <f t="array" ref="N23">IF(AND(J23:J24=L23:L24),"PASS","FAIL")</f>
        <v>PASS</v>
      </c>
    </row>
    <row r="24" spans="1:14" x14ac:dyDescent="0.5">
      <c r="A24" s="55"/>
      <c r="B24" s="55"/>
      <c r="D24" s="51">
        <v>3</v>
      </c>
      <c r="J24" s="52">
        <v>0</v>
      </c>
      <c r="L24" s="53">
        <v>2</v>
      </c>
    </row>
    <row r="26" spans="1:14" ht="32" x14ac:dyDescent="0.5">
      <c r="A26" s="46">
        <v>6</v>
      </c>
      <c r="B26" s="47" t="s">
        <v>3615</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7619C-DF12-4667-817A-5592678C932C}">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99" t="str" cm="1">
        <f t="array" aca="1" ref="B1" ca="1">_xlfn.LET(_xlpm.fn, CELL("filename",$A$1), _xlpm.nm, MID(_xlpm.fn, FIND("]", _xlpm.fn) + 1, 255), _xlfn.XLOOKUP(_xlpm.nm &amp; "(*", Lamb!$A$2:$A$1000, Lamb!$A$2:$A$1000, "", 2))</f>
        <v>neighbors_count(arr, val, dist, [diag_allowed], [self_count])</v>
      </c>
      <c r="C1" s="95"/>
      <c r="D1" s="95"/>
      <c r="E1" s="95"/>
      <c r="F1" s="96"/>
      <c r="H1" s="45" t="s">
        <v>2</v>
      </c>
      <c r="I1" s="94"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98"/>
      <c r="D2" s="98"/>
      <c r="E2" s="98"/>
      <c r="F2" s="98"/>
      <c r="G2" s="98"/>
      <c r="H2" s="98"/>
      <c r="I2" s="98"/>
      <c r="J2" s="98"/>
      <c r="K2" s="98"/>
      <c r="L2" s="98"/>
      <c r="M2" s="98"/>
      <c r="N2" s="98"/>
      <c r="O2" s="98"/>
      <c r="P2" s="98"/>
      <c r="Q2" s="98"/>
      <c r="R2" s="98"/>
    </row>
    <row r="4" spans="1:19" x14ac:dyDescent="0.5">
      <c r="A4" s="45" t="s">
        <v>3050</v>
      </c>
      <c r="Q4" s="45" t="str">
        <f>COUNTIF(Q7:Q20,"PASS")&amp;" / 3 PASS"</f>
        <v>3 / 3 PASS</v>
      </c>
    </row>
    <row r="5" spans="1:19" x14ac:dyDescent="0.5">
      <c r="B5" s="45" t="s">
        <v>8</v>
      </c>
      <c r="D5" s="45" t="s">
        <v>3051</v>
      </c>
      <c r="I5" s="48" t="s">
        <v>10</v>
      </c>
      <c r="M5" s="49" t="s">
        <v>11</v>
      </c>
      <c r="Q5" s="50" t="s">
        <v>12</v>
      </c>
    </row>
    <row r="6" spans="1:19" x14ac:dyDescent="0.5">
      <c r="B6" s="45" t="s">
        <v>3052</v>
      </c>
    </row>
    <row r="7" spans="1:19" x14ac:dyDescent="0.5">
      <c r="B7" s="47" t="s">
        <v>3053</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3054</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3055</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4AD4A-8284-4861-B4DC-C7428B7FF433}">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99" t="str" cm="1">
        <f t="array" aca="1" ref="B1" ca="1">_xlfn.LET(_xlpm.fn, CELL("filename",$A$1), _xlpm.nm, MID(_xlpm.fn, FIND("]", _xlpm.fn) + 1, 255), _xlfn.XLOOKUP(_xlpm.nm &amp; "(*", Lamb!$A$2:$A$1000, Lamb!$A$2:$A$1000, "", 2))</f>
        <v>neighbors_list(center_ad, [size], [boundary_rng], [diag_allowed])</v>
      </c>
      <c r="C1" s="95"/>
      <c r="D1" s="95"/>
      <c r="E1" s="95"/>
      <c r="F1" s="96"/>
      <c r="H1" s="45" t="s">
        <v>2</v>
      </c>
      <c r="I1" s="94"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98"/>
      <c r="D2" s="98"/>
      <c r="E2" s="98"/>
      <c r="F2" s="98"/>
      <c r="G2" s="98"/>
      <c r="H2" s="98"/>
      <c r="I2" s="98"/>
      <c r="J2" s="98"/>
      <c r="K2" s="98"/>
      <c r="L2" s="98"/>
      <c r="M2" s="98"/>
      <c r="N2" s="98"/>
      <c r="O2" s="98"/>
      <c r="P2" s="98"/>
      <c r="Q2" s="98"/>
      <c r="R2" s="98"/>
    </row>
    <row r="4" spans="1:19" x14ac:dyDescent="0.5">
      <c r="A4" s="45" t="s">
        <v>3056</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3057</v>
      </c>
      <c r="D6" s="51" t="s">
        <v>3058</v>
      </c>
      <c r="F6" s="51">
        <v>0</v>
      </c>
      <c r="H6" s="52" t="s">
        <v>3030</v>
      </c>
      <c r="J6" s="53" t="str" cm="1">
        <f t="array" ref="J6:J9">neighbors_list(D6,,,F6)</f>
        <v>B1</v>
      </c>
      <c r="L6" s="54" t="str" cm="1">
        <f t="array" ref="L6">IF(AND(H6:H9=J6:J9),"PASS","FAIL")</f>
        <v>PASS</v>
      </c>
    </row>
    <row r="7" spans="1:19" x14ac:dyDescent="0.5">
      <c r="A7" s="55"/>
      <c r="B7" s="55"/>
      <c r="H7" s="52" t="s">
        <v>3059</v>
      </c>
      <c r="J7" s="53" t="str">
        <v>A2</v>
      </c>
    </row>
    <row r="8" spans="1:19" x14ac:dyDescent="0.5">
      <c r="A8" s="55"/>
      <c r="B8" s="55"/>
      <c r="H8" s="52" t="s">
        <v>3060</v>
      </c>
      <c r="J8" s="53" t="str">
        <v>C2</v>
      </c>
    </row>
    <row r="9" spans="1:19" x14ac:dyDescent="0.5">
      <c r="A9" s="55"/>
      <c r="B9" s="55"/>
      <c r="H9" s="52" t="s">
        <v>3026</v>
      </c>
      <c r="J9" s="53" t="str">
        <v>B3</v>
      </c>
    </row>
    <row r="11" spans="1:19" x14ac:dyDescent="0.5">
      <c r="A11" s="46">
        <v>2</v>
      </c>
      <c r="B11" s="47" t="s">
        <v>3061</v>
      </c>
      <c r="D11" s="51" t="s">
        <v>3058</v>
      </c>
      <c r="H11" s="52" t="s">
        <v>2934</v>
      </c>
      <c r="J11" s="53" t="str" cm="1">
        <f t="array" ref="J11:J18">neighbors_list(D11)</f>
        <v>A1</v>
      </c>
      <c r="L11" s="54" t="str" cm="1">
        <f t="array" ref="L11">IF(AND(H11:H18=J11:J18),"PASS","FAIL")</f>
        <v>PASS</v>
      </c>
    </row>
    <row r="12" spans="1:19" x14ac:dyDescent="0.5">
      <c r="A12" s="55"/>
      <c r="B12" s="55"/>
      <c r="H12" s="52" t="s">
        <v>3030</v>
      </c>
      <c r="J12" s="53" t="str">
        <v>B1</v>
      </c>
    </row>
    <row r="13" spans="1:19" x14ac:dyDescent="0.5">
      <c r="A13" s="55"/>
      <c r="B13" s="55"/>
      <c r="H13" s="52" t="s">
        <v>3062</v>
      </c>
      <c r="J13" s="53" t="str">
        <v>C1</v>
      </c>
    </row>
    <row r="14" spans="1:19" x14ac:dyDescent="0.5">
      <c r="A14" s="55"/>
      <c r="B14" s="55"/>
      <c r="H14" s="52" t="s">
        <v>3059</v>
      </c>
      <c r="J14" s="53" t="str">
        <v>A2</v>
      </c>
    </row>
    <row r="15" spans="1:19" x14ac:dyDescent="0.5">
      <c r="A15" s="55"/>
      <c r="B15" s="55"/>
      <c r="H15" s="52" t="s">
        <v>3060</v>
      </c>
      <c r="J15" s="53" t="str">
        <v>C2</v>
      </c>
    </row>
    <row r="16" spans="1:19" x14ac:dyDescent="0.5">
      <c r="A16" s="55"/>
      <c r="B16" s="55"/>
      <c r="H16" s="52" t="s">
        <v>2937</v>
      </c>
      <c r="J16" s="53" t="str">
        <v>A3</v>
      </c>
    </row>
    <row r="17" spans="1:12" x14ac:dyDescent="0.5">
      <c r="A17" s="55"/>
      <c r="B17" s="55"/>
      <c r="H17" s="52" t="s">
        <v>3026</v>
      </c>
      <c r="J17" s="53" t="str">
        <v>B3</v>
      </c>
    </row>
    <row r="18" spans="1:12" x14ac:dyDescent="0.5">
      <c r="A18" s="55"/>
      <c r="B18" s="55"/>
      <c r="H18" s="52" t="s">
        <v>2999</v>
      </c>
      <c r="J18" s="53" t="str">
        <v>C3</v>
      </c>
    </row>
    <row r="20" spans="1:12" x14ac:dyDescent="0.5">
      <c r="A20" s="46">
        <v>3</v>
      </c>
      <c r="B20" s="47" t="s">
        <v>3063</v>
      </c>
      <c r="D20" s="51">
        <v>2000002</v>
      </c>
      <c r="H20" s="52" t="s">
        <v>2934</v>
      </c>
      <c r="J20" s="53" t="str" cm="1">
        <f t="array" ref="J20:J27">neighbors_list(D20)</f>
        <v>A1</v>
      </c>
      <c r="L20" s="54" t="str" cm="1">
        <f t="array" ref="L20">IF(AND(H20:H27=J20:J27),"PASS","FAIL")</f>
        <v>PASS</v>
      </c>
    </row>
    <row r="21" spans="1:12" x14ac:dyDescent="0.5">
      <c r="A21" s="55"/>
      <c r="B21" s="55"/>
      <c r="H21" s="52" t="s">
        <v>3030</v>
      </c>
      <c r="J21" s="53" t="str">
        <v>B1</v>
      </c>
    </row>
    <row r="22" spans="1:12" x14ac:dyDescent="0.5">
      <c r="A22" s="55"/>
      <c r="B22" s="55"/>
      <c r="H22" s="52" t="s">
        <v>3062</v>
      </c>
      <c r="J22" s="53" t="str">
        <v>C1</v>
      </c>
    </row>
    <row r="23" spans="1:12" x14ac:dyDescent="0.5">
      <c r="A23" s="55"/>
      <c r="B23" s="55"/>
      <c r="H23" s="52" t="s">
        <v>3059</v>
      </c>
      <c r="J23" s="53" t="str">
        <v>A2</v>
      </c>
    </row>
    <row r="24" spans="1:12" x14ac:dyDescent="0.5">
      <c r="A24" s="55"/>
      <c r="B24" s="55"/>
      <c r="H24" s="52" t="s">
        <v>3060</v>
      </c>
      <c r="J24" s="53" t="str">
        <v>C2</v>
      </c>
    </row>
    <row r="25" spans="1:12" x14ac:dyDescent="0.5">
      <c r="A25" s="55"/>
      <c r="B25" s="55"/>
      <c r="H25" s="52" t="s">
        <v>2937</v>
      </c>
      <c r="J25" s="53" t="str">
        <v>A3</v>
      </c>
    </row>
    <row r="26" spans="1:12" x14ac:dyDescent="0.5">
      <c r="A26" s="55"/>
      <c r="B26" s="55"/>
      <c r="H26" s="52" t="s">
        <v>3026</v>
      </c>
      <c r="J26" s="53" t="str">
        <v>B3</v>
      </c>
    </row>
    <row r="27" spans="1:12" x14ac:dyDescent="0.5">
      <c r="A27" s="55"/>
      <c r="B27" s="55"/>
      <c r="H27" s="52" t="s">
        <v>2999</v>
      </c>
      <c r="J27" s="53" t="str">
        <v>C3</v>
      </c>
    </row>
    <row r="29" spans="1:12" x14ac:dyDescent="0.5">
      <c r="A29" s="46">
        <v>4</v>
      </c>
      <c r="B29" s="47" t="s">
        <v>3064</v>
      </c>
      <c r="D29" s="51">
        <v>2000002</v>
      </c>
      <c r="F29" s="51">
        <v>0</v>
      </c>
      <c r="H29" s="52" t="s">
        <v>3030</v>
      </c>
      <c r="J29" s="53" t="str" cm="1">
        <f t="array" ref="J29:J32">neighbors_list(D29,,,F29)</f>
        <v>B1</v>
      </c>
      <c r="L29" s="54" t="str" cm="1">
        <f t="array" ref="L29">IF(AND(H29:H32=J29:J32),"PASS","FAIL")</f>
        <v>PASS</v>
      </c>
    </row>
    <row r="30" spans="1:12" x14ac:dyDescent="0.5">
      <c r="A30" s="55"/>
      <c r="B30" s="55"/>
      <c r="H30" s="52" t="s">
        <v>3059</v>
      </c>
      <c r="J30" s="53" t="str">
        <v>A2</v>
      </c>
    </row>
    <row r="31" spans="1:12" x14ac:dyDescent="0.5">
      <c r="A31" s="55"/>
      <c r="B31" s="55"/>
      <c r="H31" s="52" t="s">
        <v>3060</v>
      </c>
      <c r="J31" s="53" t="str">
        <v>C2</v>
      </c>
    </row>
    <row r="32" spans="1:12" x14ac:dyDescent="0.5">
      <c r="A32" s="55"/>
      <c r="B32" s="55"/>
      <c r="H32" s="52" t="s">
        <v>3026</v>
      </c>
      <c r="J32" s="53" t="str">
        <v>B3</v>
      </c>
    </row>
    <row r="34" spans="1:12" x14ac:dyDescent="0.5">
      <c r="A34" s="46">
        <v>5</v>
      </c>
      <c r="B34" s="47" t="s">
        <v>3065</v>
      </c>
      <c r="D34" s="51">
        <v>3000003</v>
      </c>
      <c r="H34" s="52" t="s">
        <v>3058</v>
      </c>
      <c r="J34" s="53" t="str" cm="1">
        <f t="array" ref="J34:J41">neighbors_list(D34)</f>
        <v>B2</v>
      </c>
      <c r="L34" s="54" t="str" cm="1">
        <f t="array" ref="L34">IF(AND(H34:H41=J34:J41),"PASS","FAIL")</f>
        <v>PASS</v>
      </c>
    </row>
    <row r="35" spans="1:12" x14ac:dyDescent="0.5">
      <c r="A35" s="55"/>
      <c r="B35" s="55"/>
      <c r="H35" s="52" t="s">
        <v>3060</v>
      </c>
      <c r="J35" s="53" t="str">
        <v>C2</v>
      </c>
    </row>
    <row r="36" spans="1:12" x14ac:dyDescent="0.5">
      <c r="A36" s="55"/>
      <c r="B36" s="55"/>
      <c r="H36" s="52" t="s">
        <v>3003</v>
      </c>
      <c r="J36" s="53" t="str">
        <v>D2</v>
      </c>
    </row>
    <row r="37" spans="1:12" x14ac:dyDescent="0.5">
      <c r="A37" s="55"/>
      <c r="B37" s="55"/>
      <c r="H37" s="52" t="s">
        <v>3026</v>
      </c>
      <c r="J37" s="53" t="str">
        <v>B3</v>
      </c>
    </row>
    <row r="38" spans="1:12" x14ac:dyDescent="0.5">
      <c r="A38" s="55"/>
      <c r="B38" s="55"/>
      <c r="H38" s="52" t="s">
        <v>3066</v>
      </c>
      <c r="J38" s="53" t="str">
        <v>D3</v>
      </c>
    </row>
    <row r="39" spans="1:12" x14ac:dyDescent="0.5">
      <c r="A39" s="55"/>
      <c r="B39" s="55"/>
      <c r="H39" s="52" t="s">
        <v>3067</v>
      </c>
      <c r="J39" s="53" t="str">
        <v>B4</v>
      </c>
    </row>
    <row r="40" spans="1:12" x14ac:dyDescent="0.5">
      <c r="A40" s="55"/>
      <c r="B40" s="55"/>
      <c r="H40" s="52" t="s">
        <v>3006</v>
      </c>
      <c r="J40" s="53" t="str">
        <v>C4</v>
      </c>
    </row>
    <row r="41" spans="1:12" x14ac:dyDescent="0.5">
      <c r="A41" s="55"/>
      <c r="B41" s="55"/>
      <c r="H41" s="52" t="s">
        <v>3068</v>
      </c>
      <c r="J41" s="53" t="str">
        <v>D4</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77593-159E-440E-A193-D79113BEA194}">
  <sheetPr codeName="Sheet72"/>
  <dimension ref="A1:S21"/>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99" t="str" cm="1">
        <f t="array" aca="1" ref="B1" ca="1">_xlfn.LET(_xlpm.fn, CELL("filename",$A$1), _xlpm.nm, MID(_xlpm.fn, FIND("]", _xlpm.fn) + 1, 255), _xlfn.XLOOKUP(_xlpm.nm &amp; "(*", Lamb!$A$2:$A$1000, Lamb!$A$2:$A$1000, "", 2))</f>
        <v>num_ad(ad_or_rng)</v>
      </c>
      <c r="C1" s="95"/>
      <c r="D1" s="95"/>
      <c r="E1" s="95"/>
      <c r="F1" s="96"/>
      <c r="H1" s="45" t="s">
        <v>2</v>
      </c>
      <c r="I1" s="94"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num_ad("hi")                -&gt;  "hi"</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=LAMBDA(ad_or_rng,
  LET(
    to_num_1, LAMBDA(one, IF(one = "", "",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98"/>
      <c r="D2" s="98"/>
      <c r="E2" s="98"/>
      <c r="F2" s="98"/>
      <c r="G2" s="98"/>
      <c r="H2" s="98"/>
      <c r="I2" s="98"/>
      <c r="J2" s="98"/>
      <c r="K2" s="98"/>
      <c r="L2" s="98"/>
      <c r="M2" s="98"/>
      <c r="N2" s="98"/>
      <c r="O2" s="98"/>
      <c r="P2" s="98"/>
      <c r="Q2" s="98"/>
      <c r="R2" s="98"/>
    </row>
    <row r="4" spans="1:19" x14ac:dyDescent="0.5">
      <c r="A4" s="45" t="s">
        <v>3541</v>
      </c>
      <c r="J4" s="45">
        <f>COUNTIF(J6:J60,"PASS")&amp;" / 10 PASS"</f>
      </c>
    </row>
    <row r="5" spans="1:19" x14ac:dyDescent="0.5">
      <c r="A5" s="45" t="s">
        <v>7</v>
      </c>
      <c r="B5" s="45" t="s">
        <v>8</v>
      </c>
      <c r="D5" s="45" t="s">
        <v>9</v>
      </c>
      <c r="F5" s="48" t="s">
        <v>10</v>
      </c>
      <c r="H5" s="49" t="s">
        <v>11</v>
      </c>
      <c r="J5" s="50" t="s">
        <v>12</v>
      </c>
    </row>
    <row r="6" spans="1:19" x14ac:dyDescent="0.5">
      <c r="A6" s="46">
        <v>1</v>
      </c>
      <c r="B6" s="47" t="s">
        <v>3069</v>
      </c>
      <c r="D6" s="51" t="s">
        <v>3066</v>
      </c>
      <c r="F6" s="52">
        <v>3000004</v>
      </c>
      <c r="H6" s="53" cm="1">
        <f t="array" ref="H6">num_ad(D6)</f>
        <v>3000004</v>
      </c>
      <c r="J6" s="54" t="str">
        <f>IF(H6=F6,"PASS","FAIL")</f>
        <v>PASS</v>
      </c>
    </row>
    <row r="7" spans="1:19" x14ac:dyDescent="0.5">
      <c r="F7" s="52"/>
      <c r="H7" s="53"/>
      <c r="J7" s="54"/>
    </row>
    <row r="8" spans="1:19" x14ac:dyDescent="0.5">
      <c r="A8" s="46">
        <v>2</v>
      </c>
      <c r="B8" s="47" t="s">
        <v>3070</v>
      </c>
      <c r="D8" s="51">
        <v>3000004</v>
      </c>
      <c r="F8" s="52">
        <v>3000004</v>
      </c>
      <c r="H8" s="53" cm="1">
        <f t="array" ref="H8">num_ad(D8)</f>
        <v>3000004</v>
      </c>
      <c r="J8" s="54" t="str">
        <f>IF(H8=F8,"PASS","FAIL")</f>
        <v>PASS</v>
      </c>
    </row>
    <row r="9" spans="1:19" x14ac:dyDescent="0.5">
      <c r="F9" s="52"/>
      <c r="H9" s="53"/>
      <c r="J9" s="54"/>
    </row>
    <row r="10" spans="1:19" x14ac:dyDescent="0.5">
      <c r="A10" s="46">
        <v>3</v>
      </c>
      <c r="B10" s="47" t="s">
        <v>3071</v>
      </c>
      <c r="D10" s="51" t="s">
        <v>3072</v>
      </c>
      <c r="F10" s="52" t="s">
        <v>3072</v>
      </c>
      <c r="H10" s="53" t="str" cm="1">
        <f t="array" ref="H10">num_ad(D10)</f>
        <v>hi</v>
      </c>
      <c r="J10" s="54" t="str">
        <f>IF(H10=F10,"PASS","FAIL")</f>
        <v>PASS</v>
      </c>
    </row>
    <row r="11" spans="1:19" x14ac:dyDescent="0.5">
      <c r="F11" s="52"/>
      <c r="H11" s="53"/>
      <c r="J11" s="54"/>
    </row>
    <row r="12" spans="1:19" x14ac:dyDescent="0.5">
      <c r="A12" s="46">
        <v>4</v>
      </c>
      <c r="B12" s="47" t="s">
        <v>3073</v>
      </c>
      <c r="D12" s="51" t="s">
        <v>3074</v>
      </c>
      <c r="F12" s="52">
        <v>2000002</v>
      </c>
      <c r="H12" s="53" cm="1">
        <f t="array" ref="H12">num_ad(D12)</f>
        <v>2000002</v>
      </c>
      <c r="J12" s="54" t="str">
        <f>IF(H12=F12,"PASS","FAIL")</f>
        <v>PASS</v>
      </c>
    </row>
    <row r="13" spans="1:19" x14ac:dyDescent="0.5">
      <c r="J13" s="54"/>
    </row>
    <row r="14" spans="1:19" x14ac:dyDescent="0.5">
      <c r="A14" s="46">
        <v>5</v>
      </c>
      <c r="B14" s="47" t="s">
        <v>3542</v>
      </c>
      <c r="D14" s="51" t="s">
        <v>3543</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3075</v>
      </c>
      <c r="D16" s="51" t="s">
        <v>2934</v>
      </c>
      <c r="F16" s="52">
        <v>1000001</v>
      </c>
      <c r="H16" s="53" cm="1">
        <f t="array" ref="H16:H17">num_ad(D16:D17)</f>
        <v>1000001</v>
      </c>
      <c r="J16" s="54" t="str" cm="1">
        <f t="array" ref="J16">IF(AND(F16:F17=H16:H17),"PASS","FAIL")</f>
        <v>PASS</v>
      </c>
    </row>
    <row r="17" spans="1:10" x14ac:dyDescent="0.5">
      <c r="A17" s="55"/>
      <c r="B17" s="55"/>
      <c r="D17" s="51" t="s">
        <v>3058</v>
      </c>
      <c r="F17" s="52">
        <v>2000002</v>
      </c>
      <c r="H17" s="53">
        <v>2000002</v>
      </c>
      <c r="J17" s="54"/>
    </row>
    <row r="18" spans="1:10" x14ac:dyDescent="0.5">
      <c r="J18" s="54"/>
    </row>
    <row r="19" spans="1:10" x14ac:dyDescent="0.5">
      <c r="A19">
        <v>7</v>
      </c>
      <c r="B19" s="55" t="s">
        <v>3544</v>
      </c>
      <c r="D19" s="51" t="s">
        <v>3545</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3546</v>
      </c>
      <c r="D21" s="51"/>
      <c r="F21" s="52"/>
      <c r="H21" s="53" t="str" cm="1">
        <f t="array" ref="H21">num_ad(D21)</f>
        <v/>
      </c>
      <c r="J21" s="54" t="str">
        <f>IF(AND(H21="",NOT(H21=0)),"PASS","FAIL")</f>
        <v>PASS</v>
      </c>
    </row>
    <row r="23">
      <c r="A23" s="46">
        <v>9</v>
      </c>
      <c r="B23" s="47" t="inlineStr">
        <is>
          <t xml:space="preserve">arrow -&gt; -&gt; 1</t>
        </is>
      </c>
      <c r="D23" s="51" t="inlineStr">
        <is>
          <t xml:space="preserve">→</t>
        </is>
      </c>
      <c r="F23" s="52">
        <v>1</v>
      </c>
      <c r="H23" s="53" cm="1">
        <f t="array" ref="H23">num_ad(D23)</f>
        <v>0</v>
      </c>
      <c r="J23" s="54" cm="1">
        <f t="array" ref="J23">IF(F23=H23,"PASS","FAIL")</f>
        <v>0</v>
      </c>
    </row>
    <row r="25">
      <c r="A25" s="46">
        <v>10</v>
      </c>
      <c r="B25" s="47" t="inlineStr">
        <is>
          <t xml:space="preserve">array {D3, up} -&gt; {3000004,-1000000}</t>
        </is>
      </c>
      <c r="D25" s="51" t="inlineStr">
        <is>
          <t xml:space="preserve">D3</t>
        </is>
      </c>
      <c r="F25" s="52">
        <v>3000004</v>
      </c>
      <c r="H25" s="53" cm="1">
        <f t="array" ref="H25:H26">num_ad(D25:D26)</f>
        <v>0</v>
      </c>
      <c r="J25" s="54" cm="1">
        <f t="array" ref="J25">IF(AND(F25:F26=H25:H26),"PASS","FAIL")</f>
        <v>0</v>
      </c>
    </row>
    <row r="26">
      <c r="D26" s="51" t="inlineStr">
        <is>
          <t xml:space="preserve">↑</t>
        </is>
      </c>
      <c r="F26" s="52">
        <v>-1000000</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D12EC-2237-411A-A5AA-BF530B795E67}">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offset_letter(st, offset)</v>
      </c>
      <c r="C1" s="95"/>
      <c r="D1" s="95"/>
      <c r="E1" s="95"/>
      <c r="F1" s="96"/>
      <c r="H1" s="45" t="s">
        <v>2</v>
      </c>
      <c r="I1" s="94"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98"/>
      <c r="D2" s="98"/>
      <c r="E2" s="98"/>
      <c r="F2" s="98"/>
      <c r="G2" s="98"/>
      <c r="H2" s="98"/>
      <c r="I2" s="98"/>
      <c r="J2" s="98"/>
      <c r="K2" s="98"/>
      <c r="L2" s="98"/>
      <c r="M2" s="98"/>
      <c r="N2" s="98"/>
      <c r="O2" s="98"/>
      <c r="P2" s="98"/>
      <c r="Q2" s="98"/>
      <c r="R2" s="98"/>
    </row>
    <row r="4" spans="1:19" x14ac:dyDescent="0.5">
      <c r="A4" s="45" t="s">
        <v>3076</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3077</v>
      </c>
      <c r="D6" s="51" t="s">
        <v>3078</v>
      </c>
      <c r="F6" s="51">
        <v>2</v>
      </c>
      <c r="H6" s="52" t="s">
        <v>3079</v>
      </c>
      <c r="J6" s="53" t="str" cm="1">
        <f t="array" ref="J6">offset_letter(D6,F6)</f>
        <v>zab</v>
      </c>
      <c r="L6" s="54" t="str">
        <f>IF(J6=H6,"PASS","FAIL")</f>
        <v>PASS</v>
      </c>
    </row>
    <row r="8" spans="1:19" x14ac:dyDescent="0.5">
      <c r="A8" s="46">
        <v>2</v>
      </c>
      <c r="B8" s="47" t="s">
        <v>3080</v>
      </c>
      <c r="D8" s="51" t="s">
        <v>3081</v>
      </c>
      <c r="F8" s="51">
        <v>1</v>
      </c>
      <c r="H8" s="52" t="s">
        <v>3082</v>
      </c>
      <c r="J8" s="53" t="str" cm="1">
        <f t="array" ref="J8">offset_letter(D8,F8)</f>
        <v>bcd</v>
      </c>
      <c r="L8" s="54" t="str">
        <f>IF(J8=H8,"PASS","FAIL")</f>
        <v>PASS</v>
      </c>
    </row>
    <row r="10" spans="1:19" x14ac:dyDescent="0.5">
      <c r="A10" s="46">
        <v>3</v>
      </c>
      <c r="B10" s="47" t="s">
        <v>3083</v>
      </c>
      <c r="D10" s="51" t="s">
        <v>3084</v>
      </c>
      <c r="F10" s="51">
        <v>1</v>
      </c>
      <c r="H10" s="52" t="s">
        <v>3085</v>
      </c>
      <c r="J10" s="53" t="str" cm="1">
        <f t="array" ref="J10">offset_letter(D10,F10)</f>
        <v>Ifmmp</v>
      </c>
      <c r="L10" s="54" t="str">
        <f>IF(J10=H10,"PASS","FAIL")</f>
        <v>PASS</v>
      </c>
    </row>
    <row r="12" spans="1:19" x14ac:dyDescent="0.5">
      <c r="A12" s="46">
        <v>4</v>
      </c>
      <c r="B12" s="47" t="s">
        <v>3086</v>
      </c>
      <c r="D12" s="51" t="s">
        <v>3087</v>
      </c>
      <c r="F12" s="51">
        <v>1</v>
      </c>
      <c r="H12" s="52" t="s">
        <v>3088</v>
      </c>
      <c r="J12" s="53" t="str" cm="1">
        <f t="array" ref="J12">offset_letter(D12,F12)</f>
        <v>b1c</v>
      </c>
      <c r="L12" s="54" t="str">
        <f>IF(J12=H12,"PASS","FAIL")</f>
        <v>PASS</v>
      </c>
    </row>
    <row r="14" spans="1:19" x14ac:dyDescent="0.5">
      <c r="A14" s="46">
        <v>5</v>
      </c>
      <c r="B14" s="47" t="s">
        <v>3089</v>
      </c>
      <c r="D14" s="51" t="s">
        <v>3082</v>
      </c>
      <c r="F14" s="51">
        <v>-1</v>
      </c>
      <c r="H14" s="52" t="s">
        <v>3081</v>
      </c>
      <c r="J14" s="53" t="str" cm="1">
        <f t="array" ref="J14">offset_letter(D14,F14)</f>
        <v>abc</v>
      </c>
      <c r="L14" s="54" t="str">
        <f>IF(J14=H14,"PASS","FAIL")</f>
        <v>PASS</v>
      </c>
    </row>
    <row r="16" spans="1:19" x14ac:dyDescent="0.5">
      <c r="A16" s="46">
        <v>6</v>
      </c>
      <c r="B16" s="47" t="s">
        <v>3090</v>
      </c>
      <c r="D16" s="51" t="s">
        <v>3081</v>
      </c>
      <c r="F16" s="51">
        <v>1</v>
      </c>
      <c r="H16" s="52" t="s">
        <v>3082</v>
      </c>
      <c r="J16" s="53" t="str" cm="1">
        <f t="array" ref="J16:J17">offset_letter(D16:D17,F16)</f>
        <v>bcd</v>
      </c>
      <c r="L16" s="54" t="str" cm="1">
        <f t="array" ref="L16">IF(AND(H16:H17=J16:J17),"PASS","FAIL")</f>
        <v>PASS</v>
      </c>
    </row>
    <row r="17" spans="1:10" x14ac:dyDescent="0.5">
      <c r="A17" s="55"/>
      <c r="B17" s="55"/>
      <c r="D17" s="51" t="s">
        <v>3091</v>
      </c>
      <c r="H17" s="52" t="s">
        <v>3092</v>
      </c>
      <c r="J17" s="53" t="str">
        <v>YZA</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0C893-2A67-46B5-B6A8-62303AE6D3F8}">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only_letters(st)</v>
      </c>
      <c r="C1" s="95"/>
      <c r="D1" s="95"/>
      <c r="E1" s="95"/>
      <c r="F1" s="96"/>
      <c r="H1" s="45" t="s">
        <v>2</v>
      </c>
      <c r="I1" s="94"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95"/>
      <c r="K1" s="95"/>
      <c r="L1" s="95"/>
      <c r="M1" s="95"/>
      <c r="N1" s="95"/>
      <c r="O1" s="95"/>
      <c r="P1" s="95"/>
      <c r="Q1" s="95"/>
      <c r="R1" s="96"/>
      <c r="S1" s="77" t="str">
        <f>HYPERLINK("#lambda_tests!A1","&lt;- test summary")</f>
        <v>&lt;- test summary</v>
      </c>
    </row>
    <row r="2" spans="1:19" ht="84" customHeight="1" x14ac:dyDescent="0.5">
      <c r="A2" s="45" t="s">
        <v>4</v>
      </c>
      <c r="B2" s="97" t="str" cm="1">
        <f t="array" aca="1" ref="B2" ca="1">_xlfn.LET(_xlpm.fn, CELL("filename",$A$1), _xlpm.nm, MID(_xlpm.fn, FIND("]", _xlpm.fn) + 1, 255), _xlfn.XLOOKUP(_xlpm.nm &amp; "(*", Lamb!$A$2:$A$1000, Lamb!$C$2:$C$1000, "", 2))</f>
        <v>=LAMBDA(arr, LET(
   f, LAMBDA(x, IFERROR(CONCAT(REGEXEXTRACT(x, "[a-z]", 1, 1)), "")),
   IF(ROWS(arr) * COLUMNS(arr) = 1, f(arr), MAP(arr, f))
))</v>
      </c>
      <c r="C2" s="98"/>
      <c r="D2" s="98"/>
      <c r="E2" s="98"/>
      <c r="F2" s="98"/>
      <c r="G2" s="98"/>
      <c r="H2" s="98"/>
      <c r="I2" s="98"/>
      <c r="J2" s="98"/>
      <c r="K2" s="98"/>
      <c r="L2" s="98"/>
      <c r="M2" s="98"/>
      <c r="N2" s="98"/>
      <c r="O2" s="98"/>
      <c r="P2" s="98"/>
      <c r="Q2" s="98"/>
      <c r="R2" s="98"/>
    </row>
    <row r="4" spans="1:19" x14ac:dyDescent="0.5">
      <c r="A4" s="45" t="s">
        <v>3093</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3094</v>
      </c>
      <c r="D6" s="51" t="s">
        <v>3095</v>
      </c>
      <c r="F6" s="52" t="s">
        <v>3096</v>
      </c>
      <c r="H6" s="53" t="str" cm="1">
        <f t="array" ref="H6">only_letters(D6)</f>
        <v>aBc</v>
      </c>
      <c r="J6" s="54" t="str">
        <f>IF(H6=F6,"PASS","FAIL")</f>
        <v>PASS</v>
      </c>
    </row>
    <row r="8" spans="1:19" x14ac:dyDescent="0.5">
      <c r="A8" s="46">
        <v>2</v>
      </c>
      <c r="B8" s="47" t="s">
        <v>3097</v>
      </c>
      <c r="D8" s="51" t="s">
        <v>3084</v>
      </c>
      <c r="F8" s="52" t="s">
        <v>3084</v>
      </c>
      <c r="H8" s="53" t="str" cm="1">
        <f t="array" ref="H8">only_letters(D8)</f>
        <v>Hello</v>
      </c>
      <c r="J8" s="54" t="str">
        <f>IF(H8=F8,"PASS","FAIL")</f>
        <v>PASS</v>
      </c>
    </row>
    <row r="10" spans="1:19" x14ac:dyDescent="0.5">
      <c r="A10" s="46">
        <v>3</v>
      </c>
      <c r="B10" s="47" t="s">
        <v>3098</v>
      </c>
      <c r="D10" s="51" t="s">
        <v>3099</v>
      </c>
      <c r="F10" s="52" t="s">
        <v>3100</v>
      </c>
      <c r="H10" s="53" t="str" cm="1">
        <f t="array" ref="H10">only_letters(D10)</f>
        <v>XYz</v>
      </c>
      <c r="J10" s="54" t="str">
        <f>IF(H10=F10,"PASS","FAIL")</f>
        <v>PASS</v>
      </c>
    </row>
    <row r="12" spans="1:19" x14ac:dyDescent="0.5">
      <c r="A12" s="46">
        <v>4</v>
      </c>
      <c r="B12" s="47" t="s">
        <v>3101</v>
      </c>
      <c r="D12" s="51" t="s">
        <v>3102</v>
      </c>
      <c r="F12" s="52"/>
      <c r="H12" s="53" t="str" cm="1">
        <f t="array" ref="H12">only_letters(D12)</f>
        <v/>
      </c>
      <c r="J12" s="54" t="str">
        <f>IF(H12=F12,"PASS","FAIL")</f>
        <v>PASS</v>
      </c>
    </row>
    <row r="14" spans="1:19" x14ac:dyDescent="0.5">
      <c r="A14" s="46">
        <v>5</v>
      </c>
      <c r="B14" s="47" t="s">
        <v>3103</v>
      </c>
      <c r="D14" s="51" t="s">
        <v>3087</v>
      </c>
      <c r="F14" s="52" t="s">
        <v>3104</v>
      </c>
      <c r="H14" s="53" t="str" cm="1">
        <f t="array" ref="H14:H15">only_letters(D14:D15)</f>
        <v>ab</v>
      </c>
      <c r="J14" s="54" t="str" cm="1">
        <f t="array" ref="J14">IF(AND(F14:F15=H14:H15),"PASS","FAIL")</f>
        <v>PASS</v>
      </c>
    </row>
    <row r="15" spans="1:19" x14ac:dyDescent="0.5">
      <c r="A15" s="55"/>
      <c r="B15" s="55"/>
      <c r="D15" s="51" t="s">
        <v>3105</v>
      </c>
      <c r="F15" s="52" t="s">
        <v>3106</v>
      </c>
      <c r="H15" s="53" t="str">
        <v>Cd</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94AA9-8C28-4B35-9AC1-6601FDD03307}">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only_numbers(st)</v>
      </c>
      <c r="C1" s="95"/>
      <c r="D1" s="95"/>
      <c r="E1" s="95"/>
      <c r="F1" s="96"/>
      <c r="H1" s="45" t="s">
        <v>2</v>
      </c>
      <c r="I1" s="94"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95"/>
      <c r="K1" s="95"/>
      <c r="L1" s="95"/>
      <c r="M1" s="95"/>
      <c r="N1" s="95"/>
      <c r="O1" s="95"/>
      <c r="P1" s="95"/>
      <c r="Q1" s="95"/>
      <c r="R1" s="96"/>
      <c r="S1" s="77" t="str">
        <f>HYPERLINK("#lambda_tests!A1","&lt;- test summary")</f>
        <v>&lt;- test summary</v>
      </c>
    </row>
    <row r="2" spans="1:19" ht="84" customHeight="1" x14ac:dyDescent="0.5">
      <c r="A2" s="45" t="s">
        <v>4</v>
      </c>
      <c r="B2" s="97" t="str" cm="1">
        <f t="array" aca="1" ref="B2" ca="1">_xlfn.LET(_xlpm.fn, CELL("filename",$A$1), _xlpm.nm, MID(_xlpm.fn, FIND("]", _xlpm.fn) + 1, 255), _xlfn.XLOOKUP(_xlpm.nm &amp; "(*", Lamb!$A$2:$A$1000, Lamb!$C$2:$C$1000, "", 2))</f>
        <v>=LAMBDA(txt, LET(
   matches, IFERROR(--REGEXEXTRACT(txt, "-?\d+(?:\.\d+)?", 1), ""),
   IF(ROWS(matches) * COLUMNS(matches) = 1, INDEX(matches, 1), matches)
))</v>
      </c>
      <c r="C2" s="98"/>
      <c r="D2" s="98"/>
      <c r="E2" s="98"/>
      <c r="F2" s="98"/>
      <c r="G2" s="98"/>
      <c r="H2" s="98"/>
      <c r="I2" s="98"/>
      <c r="J2" s="98"/>
      <c r="K2" s="98"/>
      <c r="L2" s="98"/>
      <c r="M2" s="98"/>
      <c r="N2" s="98"/>
      <c r="O2" s="98"/>
      <c r="P2" s="98"/>
      <c r="Q2" s="98"/>
      <c r="R2" s="98"/>
    </row>
    <row r="4" spans="1:19" x14ac:dyDescent="0.5">
      <c r="A4" s="45" t="s">
        <v>3107</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3108</v>
      </c>
      <c r="D6" s="51" t="s">
        <v>3109</v>
      </c>
      <c r="F6" s="52">
        <v>10</v>
      </c>
      <c r="H6" s="53" cm="1">
        <f t="array" ref="H6">only_numbers(D6)</f>
        <v>10</v>
      </c>
      <c r="J6" s="54" t="str">
        <f>IF(H6=F6,"PASS","FAIL")</f>
        <v>PASS</v>
      </c>
    </row>
    <row r="8" spans="1:19" x14ac:dyDescent="0.5">
      <c r="A8" s="46">
        <v>2</v>
      </c>
      <c r="B8" s="47" t="s">
        <v>3110</v>
      </c>
      <c r="D8" s="51" t="s">
        <v>3111</v>
      </c>
      <c r="F8" s="52">
        <v>3.5</v>
      </c>
      <c r="H8" s="53" cm="1">
        <f t="array" ref="H8">only_numbers(D8)</f>
        <v>3.5</v>
      </c>
      <c r="J8" s="54" t="str">
        <f>IF(H8=F8,"PASS","FAIL")</f>
        <v>PASS</v>
      </c>
    </row>
    <row r="10" spans="1:19" x14ac:dyDescent="0.5">
      <c r="A10" s="46">
        <v>3</v>
      </c>
      <c r="B10" s="47" t="s">
        <v>3112</v>
      </c>
      <c r="D10" s="51" t="s">
        <v>3081</v>
      </c>
      <c r="H10" s="53" t="str" cm="1">
        <f t="array" ref="H10">only_numbers(D10)</f>
        <v/>
      </c>
      <c r="J10" s="54" t="str" cm="1">
        <f t="array" ref="J10">IF(AND(F9:F10=H9:H10),"PASS","FAIL")</f>
        <v>PASS</v>
      </c>
    </row>
    <row r="12" spans="1:19" x14ac:dyDescent="0.5">
      <c r="A12" s="46">
        <v>4</v>
      </c>
      <c r="B12" s="47" t="s">
        <v>3113</v>
      </c>
      <c r="D12" s="51" t="s">
        <v>3114</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3115</v>
      </c>
      <c r="D16" s="51" t="s">
        <v>3115</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0360E-140A-418E-AA4A-492345914EF9}">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99" t="str" cm="1">
        <f t="array" aca="1" ref="B1" ca="1">_xlfn.LET(_xlpm.fn, CELL("filename",$A$1), _xlpm.nm, MID(_xlpm.fn, FIND("]", _xlpm.fn) + 1, 255), _xlfn.XLOOKUP(_xlpm.nm &amp; "(*", Lamb!$A$2:$A$1000, Lamb!$A$2:$A$1000, "", 2))</f>
        <v>rc_to_ad(row_n, col_n, [str])</v>
      </c>
      <c r="C1" s="95"/>
      <c r="D1" s="95"/>
      <c r="E1" s="95"/>
      <c r="F1" s="96"/>
      <c r="H1" s="45" t="s">
        <v>2</v>
      </c>
      <c r="I1" s="94"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98"/>
      <c r="D2" s="98"/>
      <c r="E2" s="98"/>
      <c r="F2" s="98"/>
      <c r="G2" s="98"/>
      <c r="H2" s="98"/>
      <c r="I2" s="98"/>
      <c r="J2" s="98"/>
      <c r="K2" s="98"/>
      <c r="L2" s="98"/>
      <c r="M2" s="98"/>
      <c r="N2" s="98"/>
      <c r="O2" s="98"/>
      <c r="P2" s="98"/>
      <c r="Q2" s="98"/>
      <c r="R2" s="98"/>
    </row>
    <row r="4" spans="1:19" x14ac:dyDescent="0.5">
      <c r="A4" s="45" t="s">
        <v>3547</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3483</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3484</v>
      </c>
      <c r="D8" s="51">
        <v>3</v>
      </c>
      <c r="E8" s="51">
        <v>4</v>
      </c>
      <c r="F8" s="52" t="s">
        <v>3066</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3485</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3486</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3487</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3488</v>
      </c>
      <c r="D16" s="51">
        <v>1048576</v>
      </c>
      <c r="E16" s="51">
        <v>16384</v>
      </c>
      <c r="F16" s="52" t="s">
        <v>3482</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3489</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1654E-F7BA-42D4-ADDC-9F434D97BAD2}">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rev(arr)</v>
      </c>
      <c r="C1" s="95"/>
      <c r="D1" s="95"/>
      <c r="E1" s="95"/>
      <c r="F1" s="96"/>
      <c r="H1" s="45" t="s">
        <v>2</v>
      </c>
      <c r="I1" s="94"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=LAMBDA(arr, xtocol(arr, 0, , arrow("L") &amp; arrow("U")))</v>
      </c>
      <c r="C2" s="98"/>
      <c r="D2" s="98"/>
      <c r="E2" s="98"/>
      <c r="F2" s="98"/>
      <c r="G2" s="98"/>
      <c r="H2" s="98"/>
      <c r="I2" s="98"/>
      <c r="J2" s="98"/>
      <c r="K2" s="98"/>
      <c r="L2" s="98"/>
      <c r="M2" s="98"/>
      <c r="N2" s="98"/>
      <c r="O2" s="98"/>
      <c r="P2" s="98"/>
      <c r="Q2" s="98"/>
      <c r="R2" s="98"/>
    </row>
    <row r="4" spans="1:19" x14ac:dyDescent="0.5">
      <c r="A4" s="45" t="s">
        <v>3116</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2981</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3117</v>
      </c>
      <c r="D10" s="51" t="s">
        <v>2946</v>
      </c>
      <c r="F10" s="52" t="s">
        <v>2955</v>
      </c>
      <c r="H10" s="53" t="str" cm="1">
        <f t="array" ref="H10:H12">rev(D10:D12)</f>
        <v>c</v>
      </c>
      <c r="J10" s="54" t="str" cm="1">
        <f t="array" ref="J10">IF(AND(F10:F12=H10:H12),"PASS","FAIL")</f>
        <v>PASS</v>
      </c>
    </row>
    <row r="11" spans="1:19" x14ac:dyDescent="0.5">
      <c r="A11" s="55"/>
      <c r="B11" s="55"/>
      <c r="D11" s="51" t="s">
        <v>2947</v>
      </c>
      <c r="F11" s="52" t="s">
        <v>2947</v>
      </c>
      <c r="H11" s="53" t="str">
        <v>b</v>
      </c>
    </row>
    <row r="12" spans="1:19" x14ac:dyDescent="0.5">
      <c r="A12" s="55"/>
      <c r="B12" s="55"/>
      <c r="D12" s="51" t="s">
        <v>2955</v>
      </c>
      <c r="F12" s="52" t="s">
        <v>2946</v>
      </c>
      <c r="H12" s="53" t="str">
        <v>a</v>
      </c>
    </row>
    <row r="14" spans="1:19" x14ac:dyDescent="0.5">
      <c r="A14" s="46">
        <v>3</v>
      </c>
      <c r="B14" s="47" t="s">
        <v>3118</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87418-8FB3-42EB-A7BF-332984AFB4AE}">
  <sheetPr codeName="Sheet7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rotate_arrow(arrow, steps, [clockwise])</v>
      </c>
      <c r="C1" s="95"/>
      <c r="D1" s="95"/>
      <c r="E1" s="95"/>
      <c r="F1" s="96"/>
      <c r="H1" s="45" t="s">
        <v>2</v>
      </c>
      <c r="I1" s="94"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95"/>
      <c r="K1" s="95"/>
      <c r="L1" s="95"/>
      <c r="M1" s="95"/>
      <c r="N1" s="95"/>
      <c r="O1" s="95"/>
      <c r="P1" s="95"/>
      <c r="Q1" s="95"/>
      <c r="R1" s="96"/>
      <c r="S1" s="77" t="str">
        <f>HYPERLINK("#lambda_tests!A1","&lt;- test summary")</f>
        <v>&lt;- test summary</v>
      </c>
    </row>
    <row r="2" spans="1:19" ht="168" customHeight="1" x14ac:dyDescent="0.5">
      <c r="A2" s="45" t="s">
        <v>4</v>
      </c>
      <c r="B2" s="97"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98"/>
      <c r="D2" s="98"/>
      <c r="E2" s="98"/>
      <c r="F2" s="98"/>
      <c r="G2" s="98"/>
      <c r="H2" s="98"/>
      <c r="I2" s="98"/>
      <c r="J2" s="98"/>
      <c r="K2" s="98"/>
      <c r="L2" s="98"/>
      <c r="M2" s="98"/>
      <c r="N2" s="98"/>
      <c r="O2" s="98"/>
      <c r="P2" s="98"/>
      <c r="Q2" s="98"/>
      <c r="R2" s="98"/>
    </row>
    <row r="4" spans="1:19" x14ac:dyDescent="0.5">
      <c r="A4" s="45" t="s">
        <v>3119</v>
      </c>
      <c r="N4" s="45">
        <f>COUNTIF(N6:N60,"PASS")&amp;" / 10 PASS"</f>
      </c>
    </row>
    <row r="5" spans="1:19" x14ac:dyDescent="0.5">
      <c r="A5" s="45" t="s">
        <v>7</v>
      </c>
      <c r="B5" s="45" t="s">
        <v>8</v>
      </c>
      <c r="D5" s="45" t="s">
        <v>9</v>
      </c>
      <c r="J5" s="48" t="s">
        <v>10</v>
      </c>
      <c r="L5" s="49" t="s">
        <v>11</v>
      </c>
      <c r="N5" s="50" t="s">
        <v>12</v>
      </c>
    </row>
    <row r="6" spans="1:19" x14ac:dyDescent="0.5">
      <c r="A6" s="46">
        <v>1</v>
      </c>
      <c r="B6" s="47" t="s">
        <v>3120</v>
      </c>
      <c r="D6" s="51" t="s">
        <v>192</v>
      </c>
      <c r="F6" s="51">
        <v>1</v>
      </c>
      <c r="J6" s="52" t="s">
        <v>374</v>
      </c>
      <c r="L6" s="53" t="str" cm="1">
        <f t="array" ref="L6">rotate_arrow(D6,F6)</f>
        <v>↘</v>
      </c>
      <c r="N6" s="54" t="str">
        <f>IF(L6=J6,"PASS","FAIL")</f>
        <v>PASS</v>
      </c>
    </row>
    <row r="8" spans="1:19" x14ac:dyDescent="0.5">
      <c r="A8" s="46">
        <v>2</v>
      </c>
      <c r="B8" s="47" t="s">
        <v>3121</v>
      </c>
      <c r="D8" s="51" t="s">
        <v>160</v>
      </c>
      <c r="F8" s="51">
        <v>2</v>
      </c>
      <c r="J8" s="52" t="s">
        <v>192</v>
      </c>
      <c r="L8" s="53" t="str" cm="1">
        <f t="array" ref="L8">rotate_arrow(D8,F8)</f>
        <v>→</v>
      </c>
      <c r="N8" s="54" t="str">
        <f>IF(L8=J8,"PASS","FAIL")</f>
        <v>PASS</v>
      </c>
    </row>
    <row r="10" spans="1:19" x14ac:dyDescent="0.5">
      <c r="A10" s="46">
        <v>3</v>
      </c>
      <c r="B10" s="47" t="s">
        <v>3122</v>
      </c>
      <c r="D10" s="51" t="s">
        <v>160</v>
      </c>
      <c r="F10" s="51">
        <v>1</v>
      </c>
      <c r="H10" s="51" t="s">
        <v>3123</v>
      </c>
      <c r="J10" s="52" t="s">
        <v>522</v>
      </c>
      <c r="L10" s="53" t="str" cm="1">
        <f t="array" ref="L10">rotate_arrow(D10,F10,H10)</f>
        <v>↖</v>
      </c>
      <c r="N10" s="54" t="str">
        <f>IF(L10=J10,"PASS","FAIL")</f>
        <v>PASS</v>
      </c>
    </row>
    <row r="12" spans="1:19" x14ac:dyDescent="0.5">
      <c r="A12" s="46">
        <v>4</v>
      </c>
      <c r="B12" s="47" t="s">
        <v>3124</v>
      </c>
      <c r="D12" s="51" t="s">
        <v>160</v>
      </c>
      <c r="F12" s="51">
        <v>4</v>
      </c>
      <c r="J12" s="52" t="s">
        <v>181</v>
      </c>
      <c r="L12" s="53" t="str" cm="1">
        <f t="array" ref="L12">rotate_arrow(D12,F12)</f>
        <v>↓</v>
      </c>
      <c r="N12" s="54" t="str">
        <f>IF(L12=J12,"PASS","FAIL")</f>
        <v>PASS</v>
      </c>
    </row>
    <row r="14" spans="1:19" x14ac:dyDescent="0.5">
      <c r="A14" s="46">
        <v>5</v>
      </c>
      <c r="B14" s="47" t="s">
        <v>3125</v>
      </c>
      <c r="D14" s="51" t="s">
        <v>192</v>
      </c>
      <c r="F14" s="51">
        <v>1</v>
      </c>
      <c r="H14" s="51" t="s">
        <v>3123</v>
      </c>
      <c r="J14" s="52" t="s">
        <v>254</v>
      </c>
      <c r="L14" s="53" t="str" cm="1">
        <f t="array" ref="L14">rotate_arrow(D14,F14,H14)</f>
        <v>↗</v>
      </c>
      <c r="N14" s="54" t="str">
        <f>IF(L14=J14,"PASS","FAIL")</f>
        <v>PASS</v>
      </c>
    </row>
    <row r="16" spans="1:19" x14ac:dyDescent="0.5">
      <c r="A16" s="46">
        <v>6</v>
      </c>
      <c r="B16" s="47" t="s">
        <v>3295</v>
      </c>
      <c r="D16" s="51" t="s">
        <v>2633</v>
      </c>
      <c r="F16" s="51">
        <v>1</v>
      </c>
      <c r="J16" s="52" t="str">
        <f>""</f>
        <v/>
      </c>
      <c r="L16" s="53" t="str" cm="1">
        <f t="array" ref="L16">rotate_arrow(D16,F16)</f>
        <v/>
      </c>
      <c r="N16" s="54" t="str">
        <f>IF(L16=J16,"PASS","FAIL")</f>
        <v>PASS</v>
      </c>
    </row>
    <row r="18">
      <c r="A18" s="46">
        <v>7</v>
      </c>
      <c r="B18" s="47" t="inlineStr">
        <is>
          <t xml:space="preserve">numeric 1 (-&gt;) +2 cw -&gt; down</t>
        </is>
      </c>
      <c r="D18" s="51">
        <v>1</v>
      </c>
      <c r="F18" s="51">
        <v>2</v>
      </c>
      <c r="J18" s="52" t="inlineStr">
        <is>
          <t xml:space="preserve">↓</t>
        </is>
      </c>
      <c r="L18" s="53" cm="1">
        <f t="array" ref="L18">rotate_arrow(D18,F18)</f>
        <v>0</v>
      </c>
      <c r="N18" s="54">
        <f>IF(L18=J18,"PASS","FAIL")</f>
      </c>
    </row>
    <row r="20">
      <c r="A20" s="46">
        <v>8</v>
      </c>
      <c r="B20" s="47" t="inlineStr">
        <is>
          <t xml:space="preserve">-&gt; +1 cw, as_num=1 -&gt; 1000001</t>
        </is>
      </c>
      <c r="D20" s="51" t="inlineStr">
        <is>
          <t xml:space="preserve">→</t>
        </is>
      </c>
      <c r="F20" s="51">
        <v>1</v>
      </c>
      <c r="J20" s="52">
        <v>1000001</v>
      </c>
      <c r="L20" s="53" cm="1">
        <f t="array" ref="L20">rotate_arrow(D20,F20,1,1)</f>
        <v>0</v>
      </c>
      <c r="N20" s="54">
        <f>IF(L20=J20,"PASS","FAIL")</f>
      </c>
    </row>
    <row r="22">
      <c r="A22" s="46">
        <v>9</v>
      </c>
      <c r="B22" s="47" t="inlineStr">
        <is>
          <t xml:space="preserve">-&gt; +1 ccw (clockwise=0) -&gt; up-right</t>
        </is>
      </c>
      <c r="D22" s="51" t="inlineStr">
        <is>
          <t xml:space="preserve">→</t>
        </is>
      </c>
      <c r="F22" s="51">
        <v>1</v>
      </c>
      <c r="H22" s="51">
        <v>0</v>
      </c>
      <c r="J22" s="52" t="inlineStr">
        <is>
          <t xml:space="preserve">↗</t>
        </is>
      </c>
      <c r="L22" s="53" cm="1">
        <f t="array" ref="L22">rotate_arrow(D22,F22,H22)</f>
        <v>0</v>
      </c>
      <c r="N22" s="54">
        <f>IF(L22=J22,"PASS","FAIL")</f>
      </c>
    </row>
    <row r="24">
      <c r="A24" s="46">
        <v>10</v>
      </c>
      <c r="B24" s="47" t="inlineStr">
        <is>
          <t xml:space="preserve">letter "R" +1 cw -&gt; down-right</t>
        </is>
      </c>
      <c r="D24" s="51" t="inlineStr">
        <is>
          <t xml:space="preserve">R</t>
        </is>
      </c>
      <c r="F24" s="51">
        <v>1</v>
      </c>
      <c r="J24" s="52" t="inlineStr">
        <is>
          <t xml:space="preserve">↘</t>
        </is>
      </c>
      <c r="L24" s="53" cm="1">
        <f t="array" ref="L24">rotate_arrow(D24,F24)</f>
        <v>0</v>
      </c>
      <c r="N24" s="54">
        <f>IF(L24=J24,"PASS","FAIL")</f>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9C11-6D6A-4EA5-9543-FD61168579D8}">
  <sheetPr codeName="Sheet79"/>
  <dimension ref="A1:S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99" t="str" cm="1">
        <f t="array" aca="1" ref="B1" ca="1">_xlfn.LET(_xlpm.fn, CELL("filename",$A$1), _xlpm.nm, MID(_xlpm.fn, FIND("]", _xlpm.fn) + 1, 255), _xlfn.XLOOKUP(_xlpm.nm &amp; "(*", Lamb!$A$2:$A$1000, Lamb!$A$2:$A$1000, "", 2))</f>
        <v>route_cost(cost_map, start_ref, [diag_allowed])</v>
      </c>
      <c r="C1" s="95"/>
      <c r="D1" s="95"/>
      <c r="E1" s="95"/>
      <c r="F1" s="96"/>
      <c r="H1" s="45" t="s">
        <v>2</v>
      </c>
      <c r="I1" s="94"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98"/>
      <c r="D2" s="98"/>
      <c r="E2" s="98"/>
      <c r="F2" s="98"/>
      <c r="G2" s="98"/>
      <c r="H2" s="98"/>
      <c r="I2" s="98"/>
      <c r="J2" s="98"/>
      <c r="K2" s="98"/>
      <c r="L2" s="98"/>
      <c r="M2" s="98"/>
      <c r="N2" s="98"/>
      <c r="O2" s="98"/>
      <c r="P2" s="98"/>
      <c r="Q2" s="98"/>
      <c r="R2" s="98"/>
    </row>
    <row r="4" spans="1:19" x14ac:dyDescent="0.5">
      <c r="A4" s="45" t="s">
        <v>3126</v>
      </c>
      <c r="O4" s="45" t="str">
        <f>COUNTIF(O11:O30,"PASS")&amp;" / 5 PASS"</f>
        <v>5 / 5 PASS</v>
      </c>
    </row>
    <row r="5" spans="1:19" x14ac:dyDescent="0.5">
      <c r="B5" s="45" t="s">
        <v>8</v>
      </c>
      <c r="I5" s="48" t="s">
        <v>10</v>
      </c>
      <c r="L5" s="49" t="s">
        <v>11</v>
      </c>
      <c r="O5" s="50" t="s">
        <v>12</v>
      </c>
    </row>
    <row r="6" spans="1:19" x14ac:dyDescent="0.5">
      <c r="D6" s="45" t="s">
        <v>3127</v>
      </c>
    </row>
    <row r="7" spans="1:19" x14ac:dyDescent="0.5">
      <c r="D7" s="51">
        <v>1</v>
      </c>
      <c r="E7" s="51">
        <v>1</v>
      </c>
    </row>
    <row r="8" spans="1:19" x14ac:dyDescent="0.5">
      <c r="D8" s="51">
        <v>1</v>
      </c>
      <c r="E8" s="51">
        <v>1</v>
      </c>
    </row>
    <row r="11" spans="1:19" x14ac:dyDescent="0.5">
      <c r="B11" s="47" t="s">
        <v>3128</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3129</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3130</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3131</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3296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2F8EF-DFE9-4401-9265-21C39CCDCDD0}">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99" t="str" cm="1">
        <f t="array" aca="1" ref="B1" ca="1">_xlfn.LET(_xlpm.fn, CELL("filename",$A$1), _xlpm.nm, MID(_xlpm.fn, FIND("]", _xlpm.fn) + 1, 255), _xlfn.XLOOKUP(_xlpm.nm &amp; "(*", Lamb!$A$2:$A$1000, Lamb!$A$2:$A$1000, "", 2))</f>
        <v>save_array(input_array,[col_delimiter],[row_delimiter])</v>
      </c>
      <c r="C1" s="95"/>
      <c r="D1" s="95"/>
      <c r="E1" s="95"/>
      <c r="F1" s="96"/>
      <c r="H1" s="45" t="s">
        <v>2</v>
      </c>
      <c r="I1" s="94"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95"/>
      <c r="K1" s="95"/>
      <c r="L1" s="95"/>
      <c r="M1" s="95"/>
      <c r="N1" s="95"/>
      <c r="O1" s="95"/>
      <c r="P1" s="95"/>
      <c r="Q1" s="95"/>
      <c r="R1" s="96"/>
      <c r="S1" s="77" t="str">
        <f>HYPERLINK("#lambda_tests!A1","&lt;- test summary")</f>
        <v>&lt;- test summary</v>
      </c>
    </row>
    <row r="2" spans="1:19" ht="189" customHeight="1" x14ac:dyDescent="0.5">
      <c r="A2" s="45" t="s">
        <v>4</v>
      </c>
      <c r="B2" s="97"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98"/>
      <c r="D2" s="98"/>
      <c r="E2" s="98"/>
      <c r="F2" s="98"/>
      <c r="G2" s="98"/>
      <c r="H2" s="98"/>
      <c r="I2" s="98"/>
      <c r="J2" s="98"/>
      <c r="K2" s="98"/>
      <c r="L2" s="98"/>
      <c r="M2" s="98"/>
      <c r="N2" s="98"/>
      <c r="O2" s="98"/>
      <c r="P2" s="98"/>
      <c r="Q2" s="98"/>
      <c r="R2" s="98"/>
    </row>
    <row r="4" spans="1:19" x14ac:dyDescent="0.5">
      <c r="A4" s="45" t="s">
        <v>3132</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3133</v>
      </c>
      <c r="D6" s="51">
        <v>1</v>
      </c>
      <c r="E6" s="51">
        <v>2</v>
      </c>
      <c r="K6" s="52" t="s">
        <v>3044</v>
      </c>
      <c r="M6" s="53" t="str" cm="1">
        <f t="array" ref="M6">save_array(D6:E7)</f>
        <v>1|2;3|4</v>
      </c>
      <c r="O6" s="54" t="str">
        <f>IF(M6=K6,"PASS","FAIL")</f>
        <v>PASS</v>
      </c>
    </row>
    <row r="7" spans="1:19" x14ac:dyDescent="0.5">
      <c r="A7" s="55"/>
      <c r="B7" s="55"/>
      <c r="D7" s="51">
        <v>3</v>
      </c>
      <c r="E7" s="51">
        <v>4</v>
      </c>
    </row>
    <row r="9" spans="1:19" x14ac:dyDescent="0.5">
      <c r="A9" s="46">
        <v>2</v>
      </c>
      <c r="B9" s="47" t="s">
        <v>3134</v>
      </c>
      <c r="D9" s="51" t="s">
        <v>2946</v>
      </c>
      <c r="E9" s="51" t="s">
        <v>2947</v>
      </c>
      <c r="K9" s="52" t="s">
        <v>3135</v>
      </c>
      <c r="M9" s="53" t="str" cm="1">
        <f t="array" ref="M9">save_array(D9:E9)</f>
        <v>a|b</v>
      </c>
      <c r="O9" s="54" t="str">
        <f>IF(M9=K9,"PASS","FAIL")</f>
        <v>PASS</v>
      </c>
    </row>
    <row r="11" spans="1:19" x14ac:dyDescent="0.5">
      <c r="A11" s="46">
        <v>3</v>
      </c>
      <c r="B11" s="47" t="s">
        <v>3046</v>
      </c>
      <c r="D11" s="51">
        <v>1</v>
      </c>
      <c r="E11" s="51">
        <v>2</v>
      </c>
      <c r="G11" s="51" t="s">
        <v>3048</v>
      </c>
      <c r="I11" s="51" t="s">
        <v>3049</v>
      </c>
      <c r="K11" s="52" t="s">
        <v>3047</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F22FE-1FDC-4D21-A390-74DEB6145E5A}">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scan2(start_a, start_b, arr, lambda_a, lambda_b)</v>
      </c>
      <c r="C1" s="95"/>
      <c r="D1" s="95"/>
      <c r="E1" s="95"/>
      <c r="F1" s="96"/>
      <c r="H1" s="45" t="s">
        <v>2</v>
      </c>
      <c r="I1" s="94"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98"/>
      <c r="D2" s="98"/>
      <c r="E2" s="98"/>
      <c r="F2" s="98"/>
      <c r="G2" s="98"/>
      <c r="H2" s="98"/>
      <c r="I2" s="98"/>
      <c r="J2" s="98"/>
      <c r="K2" s="98"/>
      <c r="L2" s="98"/>
      <c r="M2" s="98"/>
      <c r="N2" s="98"/>
      <c r="O2" s="98"/>
      <c r="P2" s="98"/>
      <c r="Q2" s="98"/>
      <c r="R2" s="98"/>
    </row>
    <row r="4" spans="1:19" x14ac:dyDescent="0.5">
      <c r="A4" s="45" t="s">
        <v>3616</v>
      </c>
      <c r="P4" s="45" t="str">
        <f>COUNTIF(P6:P40,"PASS")&amp;" / 3 PASS"</f>
        <v>3 / 3 PASS</v>
      </c>
    </row>
    <row r="5" spans="1:19" x14ac:dyDescent="0.5">
      <c r="A5" s="45" t="s">
        <v>7</v>
      </c>
      <c r="B5" s="45" t="s">
        <v>8</v>
      </c>
      <c r="D5" s="45" t="s">
        <v>9</v>
      </c>
      <c r="J5" s="48" t="s">
        <v>3617</v>
      </c>
      <c r="K5" s="48"/>
      <c r="M5" s="49" t="s">
        <v>11</v>
      </c>
      <c r="N5" s="49"/>
      <c r="P5" s="50" t="s">
        <v>12</v>
      </c>
    </row>
    <row r="6" spans="1:19" ht="32" x14ac:dyDescent="0.5">
      <c r="A6" s="46">
        <v>1</v>
      </c>
      <c r="B6" s="47" t="s">
        <v>3618</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3619</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3620</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13517-96E2-4CDE-8527-C018EF7CA7E5}">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scan3(start_a, start_b, start_c, arr, lambda_a, lambda_b, lambda_c)</v>
      </c>
      <c r="C1" s="95"/>
      <c r="D1" s="95"/>
      <c r="E1" s="95"/>
      <c r="F1" s="96"/>
      <c r="H1" s="45" t="s">
        <v>2</v>
      </c>
      <c r="I1" s="94"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98"/>
      <c r="D2" s="98"/>
      <c r="E2" s="98"/>
      <c r="F2" s="98"/>
      <c r="G2" s="98"/>
      <c r="H2" s="98"/>
      <c r="I2" s="98"/>
      <c r="J2" s="98"/>
      <c r="K2" s="98"/>
      <c r="L2" s="98"/>
      <c r="M2" s="98"/>
      <c r="N2" s="98"/>
      <c r="O2" s="98"/>
      <c r="P2" s="98"/>
      <c r="Q2" s="98"/>
      <c r="R2" s="98"/>
    </row>
    <row r="4" spans="1:19" x14ac:dyDescent="0.5">
      <c r="A4" s="45" t="s">
        <v>3621</v>
      </c>
      <c r="R4" s="45" t="str">
        <f>COUNTIF(R6:R40,"PASS")&amp;" / 2 PASS"</f>
        <v>2 / 2 PASS</v>
      </c>
    </row>
    <row r="5" spans="1:19" x14ac:dyDescent="0.5">
      <c r="A5" s="45" t="s">
        <v>7</v>
      </c>
      <c r="B5" s="45" t="s">
        <v>8</v>
      </c>
      <c r="D5" s="45" t="s">
        <v>9</v>
      </c>
      <c r="J5" s="48" t="s">
        <v>3622</v>
      </c>
      <c r="K5" s="48"/>
      <c r="L5" s="48"/>
      <c r="N5" s="49" t="s">
        <v>11</v>
      </c>
      <c r="O5" s="49"/>
      <c r="P5" s="49"/>
      <c r="R5" s="50" t="s">
        <v>12</v>
      </c>
    </row>
    <row r="6" spans="1:19" x14ac:dyDescent="0.5">
      <c r="A6" s="46">
        <v>1</v>
      </c>
      <c r="B6" s="47" t="s">
        <v>3623</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3624</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1C098-376D-4193-81F4-B63EDAFC7C8D}">
  <sheetPr codeName="Sheet81"/>
  <dimension ref="A1:S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99" t="str" cm="1">
        <f t="array" aca="1" ref="B1" ca="1">_xlfn.LET(_xlpm.fn, CELL("filename",$A$1), _xlpm.nm, MID(_xlpm.fn, FIND("]", _xlpm.fn) + 1, 255), _xlfn.XLOOKUP(_xlpm.nm &amp; "(*", Lamb!$A$2:$A$1000, Lamb!$A$2:$A$1000, "", 2))</f>
        <v>selections(arr, n, [order_matters], [repeats_allowed], [countdown_mode], [clean_inputs])</v>
      </c>
      <c r="C1" s="95"/>
      <c r="D1" s="95"/>
      <c r="E1" s="95"/>
      <c r="F1" s="96"/>
      <c r="H1" s="45" t="s">
        <v>2</v>
      </c>
      <c r="I1" s="94"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98"/>
      <c r="D2" s="98"/>
      <c r="E2" s="98"/>
      <c r="F2" s="98"/>
      <c r="G2" s="98"/>
      <c r="H2" s="98"/>
      <c r="I2" s="98"/>
      <c r="J2" s="98"/>
      <c r="K2" s="98"/>
      <c r="L2" s="98"/>
      <c r="M2" s="98"/>
      <c r="N2" s="98"/>
      <c r="O2" s="98"/>
      <c r="P2" s="98"/>
      <c r="Q2" s="98"/>
      <c r="R2" s="98"/>
    </row>
    <row r="4" spans="1:19" x14ac:dyDescent="0.5">
      <c r="A4" s="45" t="s">
        <v>3136</v>
      </c>
      <c r="R4" s="45" t="str">
        <f>COUNTIF(R6:R28,"PASS")&amp;" / 4 PASS"</f>
        <v>4 / 4 PASS</v>
      </c>
    </row>
    <row r="5" spans="1:19" x14ac:dyDescent="0.5">
      <c r="A5" s="45" t="s">
        <v>7</v>
      </c>
      <c r="B5" s="45" t="s">
        <v>8</v>
      </c>
      <c r="D5" s="45" t="s">
        <v>9</v>
      </c>
      <c r="L5" s="48" t="s">
        <v>10</v>
      </c>
      <c r="O5" s="49" t="s">
        <v>11</v>
      </c>
      <c r="R5" s="50" t="s">
        <v>12</v>
      </c>
    </row>
    <row r="6" spans="1:19" x14ac:dyDescent="0.5">
      <c r="A6" s="46">
        <v>1</v>
      </c>
      <c r="B6" s="47" t="s">
        <v>3137</v>
      </c>
      <c r="D6" s="51" t="s">
        <v>2946</v>
      </c>
      <c r="F6" s="51">
        <v>2</v>
      </c>
      <c r="L6" s="52" t="s">
        <v>2946</v>
      </c>
      <c r="M6" s="52" t="s">
        <v>2947</v>
      </c>
      <c r="O6" s="53" t="str" cm="1">
        <f t="array" ref="O6:P8">selections(D6:D8,F6)</f>
        <v>a</v>
      </c>
      <c r="P6" s="53" t="str">
        <v>b</v>
      </c>
      <c r="R6" s="54" t="str" cm="1">
        <f t="array" ref="R6">IF(AND(L6:M8=O6:P8),"PASS","FAIL")</f>
        <v>PASS</v>
      </c>
    </row>
    <row r="7" spans="1:19" x14ac:dyDescent="0.5">
      <c r="A7" s="55"/>
      <c r="B7" s="55"/>
      <c r="D7" s="51" t="s">
        <v>2947</v>
      </c>
      <c r="L7" s="52" t="s">
        <v>2946</v>
      </c>
      <c r="M7" s="52" t="s">
        <v>2955</v>
      </c>
      <c r="O7" s="53" t="str">
        <v>a</v>
      </c>
      <c r="P7" s="53" t="str">
        <v>c</v>
      </c>
    </row>
    <row r="8" spans="1:19" x14ac:dyDescent="0.5">
      <c r="A8" s="55"/>
      <c r="B8" s="55"/>
      <c r="D8" s="51" t="s">
        <v>2955</v>
      </c>
      <c r="L8" s="52" t="s">
        <v>2947</v>
      </c>
      <c r="M8" s="52" t="s">
        <v>2955</v>
      </c>
      <c r="O8" s="53" t="str">
        <v>b</v>
      </c>
      <c r="P8" s="53" t="str">
        <v>c</v>
      </c>
    </row>
    <row r="10" spans="1:19" x14ac:dyDescent="0.5">
      <c r="A10" s="46">
        <v>2</v>
      </c>
      <c r="B10" s="47" t="s">
        <v>3138</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3139</v>
      </c>
      <c r="D17" s="51" t="s">
        <v>2946</v>
      </c>
      <c r="F17" s="51">
        <v>2</v>
      </c>
      <c r="H17" s="51">
        <v>1</v>
      </c>
      <c r="L17" s="52" t="s">
        <v>2946</v>
      </c>
      <c r="M17" s="52" t="s">
        <v>2947</v>
      </c>
      <c r="O17" s="53" t="str" cm="1">
        <f t="array" ref="O17:P22">selections(D17:D19,F17,H17)</f>
        <v>a</v>
      </c>
      <c r="P17" s="53" t="str">
        <v>b</v>
      </c>
      <c r="R17" s="54" t="str" cm="1">
        <f t="array" ref="R17">IF(AND(L17:M22=O17:P22),"PASS","FAIL")</f>
        <v>PASS</v>
      </c>
    </row>
    <row r="18" spans="1:18" x14ac:dyDescent="0.5">
      <c r="A18" s="55"/>
      <c r="B18" s="55"/>
      <c r="D18" s="51" t="s">
        <v>2947</v>
      </c>
      <c r="L18" s="52" t="s">
        <v>2946</v>
      </c>
      <c r="M18" s="52" t="s">
        <v>2955</v>
      </c>
      <c r="O18" s="53" t="str">
        <v>a</v>
      </c>
      <c r="P18" s="53" t="str">
        <v>c</v>
      </c>
    </row>
    <row r="19" spans="1:18" x14ac:dyDescent="0.5">
      <c r="A19" s="55"/>
      <c r="B19" s="55"/>
      <c r="D19" s="51" t="s">
        <v>2955</v>
      </c>
      <c r="L19" s="52" t="s">
        <v>2947</v>
      </c>
      <c r="M19" s="52" t="s">
        <v>2946</v>
      </c>
      <c r="O19" s="53" t="str">
        <v>b</v>
      </c>
      <c r="P19" s="53" t="str">
        <v>a</v>
      </c>
    </row>
    <row r="20" spans="1:18" x14ac:dyDescent="0.5">
      <c r="A20" s="55"/>
      <c r="B20" s="55"/>
      <c r="L20" s="52" t="s">
        <v>2947</v>
      </c>
      <c r="M20" s="52" t="s">
        <v>2955</v>
      </c>
      <c r="O20" s="53" t="str">
        <v>b</v>
      </c>
      <c r="P20" s="53" t="str">
        <v>c</v>
      </c>
    </row>
    <row r="21" spans="1:18" x14ac:dyDescent="0.5">
      <c r="A21" s="55"/>
      <c r="B21" s="55"/>
      <c r="L21" s="52" t="s">
        <v>2955</v>
      </c>
      <c r="M21" s="52" t="s">
        <v>2946</v>
      </c>
      <c r="O21" s="53" t="str">
        <v>c</v>
      </c>
      <c r="P21" s="53" t="str">
        <v>a</v>
      </c>
    </row>
    <row r="22" spans="1:18" x14ac:dyDescent="0.5">
      <c r="A22" s="55"/>
      <c r="B22" s="55"/>
      <c r="L22" s="52" t="s">
        <v>2955</v>
      </c>
      <c r="M22" s="52" t="s">
        <v>2947</v>
      </c>
      <c r="O22" s="53" t="str">
        <v>c</v>
      </c>
      <c r="P22" s="53" t="str">
        <v>b</v>
      </c>
    </row>
    <row r="24" spans="1:18" x14ac:dyDescent="0.5">
      <c r="A24" s="46">
        <v>4</v>
      </c>
      <c r="B24" s="47" t="s">
        <v>3140</v>
      </c>
      <c r="D24" s="51" t="s">
        <v>2946</v>
      </c>
      <c r="F24" s="51">
        <v>2</v>
      </c>
      <c r="H24" s="51">
        <v>0</v>
      </c>
      <c r="J24" s="51">
        <v>1</v>
      </c>
      <c r="L24" s="52" t="s">
        <v>2946</v>
      </c>
      <c r="M24" s="52" t="s">
        <v>2946</v>
      </c>
      <c r="O24" s="53" t="str" cm="1">
        <f t="array" ref="O24:P26">selections(D24:D25,F24,H24,J24)</f>
        <v>a</v>
      </c>
      <c r="P24" s="53" t="str">
        <v>a</v>
      </c>
      <c r="R24" s="54" t="str" cm="1">
        <f t="array" ref="R24">IF(AND(L24:M26=O24:P26),"PASS","FAIL")</f>
        <v>PASS</v>
      </c>
    </row>
    <row r="25" spans="1:18" x14ac:dyDescent="0.5">
      <c r="A25" s="55"/>
      <c r="B25" s="55"/>
      <c r="D25" s="51" t="s">
        <v>2947</v>
      </c>
      <c r="L25" s="52" t="s">
        <v>2946</v>
      </c>
      <c r="M25" s="52" t="s">
        <v>2947</v>
      </c>
      <c r="O25" s="53" t="str">
        <v>a</v>
      </c>
      <c r="P25" s="53" t="str">
        <v>b</v>
      </c>
    </row>
    <row r="26" spans="1:18" x14ac:dyDescent="0.5">
      <c r="A26" s="55"/>
      <c r="B26" s="55"/>
      <c r="L26" s="52" t="s">
        <v>2947</v>
      </c>
      <c r="M26" s="52" t="s">
        <v>2947</v>
      </c>
      <c r="O26" s="53" t="str">
        <v>b</v>
      </c>
      <c r="P26" s="53" t="str">
        <v>b</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B9B5D-754A-455C-A97B-3E401DF75E03}">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99" t="str" cm="1">
        <f t="array" aca="1" ref="B1" ca="1">_xlfn.LET(_xlpm.fn, CELL("filename",$A$1), _xlpm.nm, MID(_xlpm.fn, FIND("]", _xlpm.fn) + 1, 255), _xlfn.XLOOKUP(_xlpm.nm &amp; "(*", Lamb!$A$2:$A$1000, Lamb!$A$2:$A$1000, "", 2))</f>
        <v>set(rng, [as_row])</v>
      </c>
      <c r="C1" s="95"/>
      <c r="D1" s="95"/>
      <c r="E1" s="95"/>
      <c r="F1" s="96"/>
      <c r="H1" s="45" t="s">
        <v>2</v>
      </c>
      <c r="I1" s="94"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95"/>
      <c r="K1" s="95"/>
      <c r="L1" s="95"/>
      <c r="M1" s="95"/>
      <c r="N1" s="95"/>
      <c r="O1" s="95"/>
      <c r="P1" s="95"/>
      <c r="Q1" s="95"/>
      <c r="R1" s="96"/>
      <c r="S1" s="77" t="str">
        <f>HYPERLINK("#lambda_tests!A1","&lt;- test summary")</f>
        <v>&lt;- test summary</v>
      </c>
    </row>
    <row r="2" spans="1:19" ht="231" customHeight="1" x14ac:dyDescent="0.5">
      <c r="A2" s="45" t="s">
        <v>4</v>
      </c>
      <c r="B2" s="97"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98"/>
      <c r="D2" s="98"/>
      <c r="E2" s="98"/>
      <c r="F2" s="98"/>
      <c r="G2" s="98"/>
      <c r="H2" s="98"/>
      <c r="I2" s="98"/>
      <c r="J2" s="98"/>
      <c r="K2" s="98"/>
      <c r="L2" s="98"/>
      <c r="M2" s="98"/>
      <c r="N2" s="98"/>
      <c r="O2" s="98"/>
      <c r="P2" s="98"/>
      <c r="Q2" s="98"/>
      <c r="R2" s="98"/>
    </row>
    <row r="4" spans="1:19" x14ac:dyDescent="0.5">
      <c r="A4" s="45" t="s">
        <v>3141</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3142</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3143</v>
      </c>
      <c r="D11" s="51" t="s">
        <v>2955</v>
      </c>
      <c r="H11" s="52" t="s">
        <v>2946</v>
      </c>
      <c r="L11" s="53" t="str" cm="1">
        <f t="array" ref="L11:L13">set(D11:D14)</f>
        <v>a</v>
      </c>
      <c r="P11" s="54" t="str" cm="1">
        <f t="array" ref="P11">IF(AND(H11:H13=L11:L13),"PASS","FAIL")</f>
        <v>PASS</v>
      </c>
    </row>
    <row r="12" spans="1:19" x14ac:dyDescent="0.5">
      <c r="A12" s="55"/>
      <c r="B12" s="55"/>
      <c r="D12" s="51" t="s">
        <v>2946</v>
      </c>
      <c r="H12" s="52" t="s">
        <v>2947</v>
      </c>
      <c r="L12" s="53" t="str">
        <v>b</v>
      </c>
    </row>
    <row r="13" spans="1:19" x14ac:dyDescent="0.5">
      <c r="A13" s="55"/>
      <c r="B13" s="55"/>
      <c r="D13" s="51" t="s">
        <v>2947</v>
      </c>
      <c r="H13" s="52" t="s">
        <v>2955</v>
      </c>
      <c r="L13" s="53" t="str">
        <v>c</v>
      </c>
    </row>
    <row r="14" spans="1:19" x14ac:dyDescent="0.5">
      <c r="A14" s="55"/>
      <c r="B14" s="55"/>
      <c r="D14" s="51" t="s">
        <v>2946</v>
      </c>
    </row>
    <row r="16" spans="1:19" x14ac:dyDescent="0.5">
      <c r="A16" s="46">
        <v>3</v>
      </c>
      <c r="B16" s="47" t="s">
        <v>3144</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3145</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B547-BFC8-4F3C-A29E-3A6BD143E899}">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99" t="str" cm="1">
        <f t="array" aca="1" ref="B1" ca="1">_xlfn.LET(_xlpm.fn, CELL("filename",$A$1), _xlpm.nm, MID(_xlpm.fn, FIND("]", _xlpm.fn) + 1, 255), _xlfn.XLOOKUP(_xlpm.nm &amp; "(*", Lamb!$A$2:$A$1000, Lamb!$A$2:$A$1000, "", 2))</f>
        <v>set_d(a, b, [as_row])</v>
      </c>
      <c r="C1" s="95"/>
      <c r="D1" s="95"/>
      <c r="E1" s="95"/>
      <c r="F1" s="96"/>
      <c r="H1" s="45" t="s">
        <v>2</v>
      </c>
      <c r="I1" s="94"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95"/>
      <c r="K1" s="95"/>
      <c r="L1" s="95"/>
      <c r="M1" s="95"/>
      <c r="N1" s="95"/>
      <c r="O1" s="95"/>
      <c r="P1" s="95"/>
      <c r="Q1" s="95"/>
      <c r="R1" s="96"/>
      <c r="S1" s="77" t="str">
        <f>HYPERLINK("#lambda_tests!A1","&lt;- test summary")</f>
        <v>&lt;- test summary</v>
      </c>
    </row>
    <row r="2" spans="1:19"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98"/>
      <c r="D2" s="98"/>
      <c r="E2" s="98"/>
      <c r="F2" s="98"/>
      <c r="G2" s="98"/>
      <c r="H2" s="98"/>
      <c r="I2" s="98"/>
      <c r="J2" s="98"/>
      <c r="K2" s="98"/>
      <c r="L2" s="98"/>
      <c r="M2" s="98"/>
      <c r="N2" s="98"/>
      <c r="O2" s="98"/>
      <c r="P2" s="98"/>
      <c r="Q2" s="98"/>
      <c r="R2" s="98"/>
    </row>
    <row r="4" spans="1:19" x14ac:dyDescent="0.5">
      <c r="A4" s="45" t="s">
        <v>3146</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3147</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3148</v>
      </c>
      <c r="D10" s="51" t="s">
        <v>2946</v>
      </c>
      <c r="F10" s="51" t="s">
        <v>2947</v>
      </c>
      <c r="H10" s="52" t="s">
        <v>2946</v>
      </c>
      <c r="J10" s="53" t="str" cm="1">
        <f t="array" ref="J10:J11">set_d(D10:D13,F10:F11)</f>
        <v>a</v>
      </c>
      <c r="L10" s="54" t="str" cm="1">
        <f t="array" ref="L10">IF(AND(H10:H11=J10:J11),"PASS","FAIL")</f>
        <v>PASS</v>
      </c>
    </row>
    <row r="11" spans="1:19" x14ac:dyDescent="0.5">
      <c r="A11" s="55"/>
      <c r="B11" s="55"/>
      <c r="D11" s="51" t="s">
        <v>2947</v>
      </c>
      <c r="F11" s="51" t="s">
        <v>2948</v>
      </c>
      <c r="H11" s="52" t="s">
        <v>2955</v>
      </c>
      <c r="J11" s="53" t="str">
        <v>c</v>
      </c>
    </row>
    <row r="12" spans="1:19" x14ac:dyDescent="0.5">
      <c r="A12" s="55"/>
      <c r="B12" s="55"/>
      <c r="D12" s="51" t="s">
        <v>2955</v>
      </c>
    </row>
    <row r="13" spans="1:19" x14ac:dyDescent="0.5">
      <c r="A13" s="55"/>
      <c r="B13" s="55"/>
      <c r="D13" s="51" t="s">
        <v>2948</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2698C-2554-4638-B5E2-02CEF7BF69C7}">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99" t="str" cm="1">
        <f t="array" aca="1" ref="B1" ca="1">_xlfn.LET(_xlpm.fn, CELL("filename",$A$1), _xlpm.nm, MID(_xlpm.fn, FIND("]", _xlpm.fn) + 1, 255), _xlfn.XLOOKUP(_xlpm.nm &amp; "(*", Lamb!$A$2:$A$1000, Lamb!$A$2:$A$1000, "", 2))</f>
        <v>set_i(a, b, [as_row])</v>
      </c>
      <c r="C1" s="95"/>
      <c r="D1" s="95"/>
      <c r="E1" s="95"/>
      <c r="F1" s="96"/>
      <c r="H1" s="45" t="s">
        <v>2</v>
      </c>
      <c r="I1" s="94"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95"/>
      <c r="K1" s="95"/>
      <c r="L1" s="95"/>
      <c r="M1" s="95"/>
      <c r="N1" s="95"/>
      <c r="O1" s="95"/>
      <c r="P1" s="95"/>
      <c r="Q1" s="95"/>
      <c r="R1" s="96"/>
      <c r="S1" s="77" t="str">
        <f>HYPERLINK("#lambda_tests!A1","&lt;- test summary")</f>
        <v>&lt;- test summary</v>
      </c>
    </row>
    <row r="2" spans="1:19"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98"/>
      <c r="D2" s="98"/>
      <c r="E2" s="98"/>
      <c r="F2" s="98"/>
      <c r="G2" s="98"/>
      <c r="H2" s="98"/>
      <c r="I2" s="98"/>
      <c r="J2" s="98"/>
      <c r="K2" s="98"/>
      <c r="L2" s="98"/>
      <c r="M2" s="98"/>
      <c r="N2" s="98"/>
      <c r="O2" s="98"/>
      <c r="P2" s="98"/>
      <c r="Q2" s="98"/>
      <c r="R2" s="98"/>
    </row>
    <row r="4" spans="1:19" x14ac:dyDescent="0.5">
      <c r="A4" s="45" t="s">
        <v>3149</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3150</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3151</v>
      </c>
      <c r="D10" s="51" t="s">
        <v>2946</v>
      </c>
      <c r="F10" s="51" t="s">
        <v>2947</v>
      </c>
      <c r="H10" s="52" t="s">
        <v>2947</v>
      </c>
      <c r="J10" s="53" t="str" cm="1">
        <f t="array" ref="J10:J11">set_i(D10:D12,F10:F11)</f>
        <v>b</v>
      </c>
      <c r="L10" s="54" t="str" cm="1">
        <f t="array" ref="L10">IF(AND(H10:H11=J10:J11),"PASS","FAIL")</f>
        <v>PASS</v>
      </c>
    </row>
    <row r="11" spans="1:19" x14ac:dyDescent="0.5">
      <c r="A11" s="55"/>
      <c r="B11" s="55"/>
      <c r="D11" s="51" t="s">
        <v>2947</v>
      </c>
      <c r="F11" s="51" t="s">
        <v>2955</v>
      </c>
      <c r="H11" s="52" t="s">
        <v>2955</v>
      </c>
      <c r="J11" s="53" t="str">
        <v>c</v>
      </c>
    </row>
    <row r="12" spans="1:19" x14ac:dyDescent="0.5">
      <c r="A12" s="55"/>
      <c r="B12" s="55"/>
      <c r="D12" s="51" t="s">
        <v>2955</v>
      </c>
    </row>
    <row r="14" spans="1:19" x14ac:dyDescent="0.5">
      <c r="A14" s="46">
        <v>3</v>
      </c>
      <c r="B14" s="47" t="s">
        <v>3152</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80AAC-52CA-4D61-B281-1B03AD7B2A42}">
  <sheetPr codeName="Sheet85"/>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99" t="str" cm="1">
        <f t="array" aca="1" ref="B1" ca="1">_xlfn.LET(_xlpm.fn, CELL("filename",$A$1), _xlpm.nm, MID(_xlpm.fn, FIND("]", _xlpm.fn) + 1, 255), _xlfn.XLOOKUP(_xlpm.nm &amp; "(*", Lamb!$A$2:$A$1000, Lamb!$A$2:$A$1000, "", 2))</f>
        <v>set_u(a, b, [as_row])</v>
      </c>
      <c r="C1" s="95"/>
      <c r="D1" s="95"/>
      <c r="E1" s="95"/>
      <c r="F1" s="96"/>
      <c r="H1" s="45" t="s">
        <v>2</v>
      </c>
      <c r="I1" s="94"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95"/>
      <c r="K1" s="95"/>
      <c r="L1" s="95"/>
      <c r="M1" s="95"/>
      <c r="N1" s="95"/>
      <c r="O1" s="95"/>
      <c r="P1" s="95"/>
      <c r="Q1" s="95"/>
      <c r="R1" s="96"/>
      <c r="S1" s="77" t="str">
        <f>HYPERLINK("#lambda_tests!A1","&lt;- test summary")</f>
        <v>&lt;- test summary</v>
      </c>
    </row>
    <row r="2" spans="1:19" ht="63" customHeight="1" x14ac:dyDescent="0.5">
      <c r="A2" s="45" t="s">
        <v>4</v>
      </c>
      <c r="B2" s="97" t="str" cm="1">
        <f t="array" aca="1" ref="B2" ca="1">_xlfn.LET(_xlpm.fn, CELL("filename",$A$1), _xlpm.nm, MID(_xlpm.fn, FIND("]", _xlpm.fn) + 1, 255), _xlfn.XLOOKUP(_xlpm.nm &amp; "(*", Lamb!$A$2:$A$1000, Lamb!$C$2:$C$1000, "", 2))</f>
        <v>=LAMBDA(val_a, val_b, [as_row],
   set(VSTACK(val_a, val_b), IF(ISOMITTED(as_row), 0, as_row))
)</v>
      </c>
      <c r="C2" s="98"/>
      <c r="D2" s="98"/>
      <c r="E2" s="98"/>
      <c r="F2" s="98"/>
      <c r="G2" s="98"/>
      <c r="H2" s="98"/>
      <c r="I2" s="98"/>
      <c r="J2" s="98"/>
      <c r="K2" s="98"/>
      <c r="L2" s="98"/>
      <c r="M2" s="98"/>
      <c r="N2" s="98"/>
      <c r="O2" s="98"/>
      <c r="P2" s="98"/>
      <c r="Q2" s="98"/>
      <c r="R2" s="98"/>
    </row>
    <row r="4" spans="1:19" x14ac:dyDescent="0.5">
      <c r="A4" s="45" t="s">
        <v>3153</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3154</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3155</v>
      </c>
      <c r="D10" s="51" t="s">
        <v>2946</v>
      </c>
      <c r="F10" s="51" t="s">
        <v>2947</v>
      </c>
      <c r="J10" s="52" t="s">
        <v>2946</v>
      </c>
      <c r="N10" s="53" t="str" cm="1">
        <f t="array" ref="N10:N13">set_u(D10:D11,F10:F12)</f>
        <v>a</v>
      </c>
      <c r="R10" s="54" t="str" cm="1">
        <f t="array" ref="R10">IF(AND(J10:J13=N10:N13),"PASS","FAIL")</f>
        <v>PASS</v>
      </c>
    </row>
    <row r="11" spans="1:19" x14ac:dyDescent="0.5">
      <c r="A11" s="55"/>
      <c r="B11" s="55"/>
      <c r="D11" s="51" t="s">
        <v>2947</v>
      </c>
      <c r="F11" s="51" t="s">
        <v>2955</v>
      </c>
      <c r="J11" s="52" t="s">
        <v>2947</v>
      </c>
      <c r="N11" s="53" t="str">
        <v>b</v>
      </c>
    </row>
    <row r="12" spans="1:19" x14ac:dyDescent="0.5">
      <c r="A12" s="55"/>
      <c r="B12" s="55"/>
      <c r="F12" s="51" t="s">
        <v>2948</v>
      </c>
      <c r="J12" s="52" t="s">
        <v>2955</v>
      </c>
      <c r="N12" s="53" t="str">
        <v>c</v>
      </c>
    </row>
    <row r="13" spans="1:19" x14ac:dyDescent="0.5">
      <c r="A13" s="55"/>
      <c r="B13" s="55"/>
      <c r="J13" s="52" t="s">
        <v>2948</v>
      </c>
      <c r="N13" s="53" t="str">
        <v>d</v>
      </c>
    </row>
    <row r="15" spans="1:19" x14ac:dyDescent="0.5">
      <c r="A15" s="46">
        <v>3</v>
      </c>
      <c r="B15" s="47" t="s">
        <v>3156</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01DE-190F-4D5D-A6D5-97BD9EEEABF6}">
  <sheetPr codeName="Sheet86"/>
  <dimension ref="A1:S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99" t="str" cm="1">
        <f t="array" aca="1" ref="B1" ca="1">_xlfn.LET(_xlpm.fn, CELL("filename",$A$1), _xlpm.nm, MID(_xlpm.fn, FIND("]", _xlpm.fn) + 1, 255), _xlfn.XLOOKUP(_xlpm.nm &amp; "(*", Lamb!$A$2:$A$1000, Lamb!$A$2:$A$1000, "", 2))</f>
        <v>shift_arr(arr, dir, [steps], [fill])</v>
      </c>
      <c r="C1" s="95"/>
      <c r="D1" s="95"/>
      <c r="E1" s="95"/>
      <c r="F1" s="96"/>
      <c r="H1" s="45" t="s">
        <v>2</v>
      </c>
      <c r="I1" s="94"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98"/>
      <c r="D2" s="98"/>
      <c r="E2" s="98"/>
      <c r="F2" s="98"/>
      <c r="G2" s="98"/>
      <c r="H2" s="98"/>
      <c r="I2" s="98"/>
      <c r="J2" s="98"/>
      <c r="K2" s="98"/>
      <c r="L2" s="98"/>
      <c r="M2" s="98"/>
      <c r="N2" s="98"/>
      <c r="O2" s="98"/>
      <c r="P2" s="98"/>
      <c r="Q2" s="98"/>
      <c r="R2" s="98"/>
    </row>
    <row r="4" spans="1:19" x14ac:dyDescent="0.5">
      <c r="A4" s="45" t="s">
        <v>3157</v>
      </c>
      <c r="R4" s="45">
        <f>COUNTIF(R6:R60,"PASS")&amp;" / 7 PASS"</f>
      </c>
    </row>
    <row r="5" spans="1:19" x14ac:dyDescent="0.5">
      <c r="A5" s="45" t="s">
        <v>7</v>
      </c>
      <c r="B5" s="45" t="s">
        <v>8</v>
      </c>
      <c r="D5" s="45" t="s">
        <v>9</v>
      </c>
      <c r="L5" s="48" t="s">
        <v>10</v>
      </c>
      <c r="O5" s="49" t="s">
        <v>11</v>
      </c>
      <c r="R5" s="50" t="s">
        <v>12</v>
      </c>
    </row>
    <row r="6" spans="1:19" x14ac:dyDescent="0.5">
      <c r="A6" s="46">
        <v>1</v>
      </c>
      <c r="B6" s="47" t="s">
        <v>3158</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3159</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inlineStr">
        <is>
          <t xml:space="preserve">col {1;2;3} D, fill 0, steps 1 (new arg order)</t>
        </is>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3161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3290</v>
      </c>
      <c r="D21" s="51">
        <v>1</v>
      </c>
      <c r="F21" s="51" t="s">
        <v>3285</v>
      </c>
      <c r="L21" s="52" t="str">
        <f>""</f>
        <v/>
      </c>
      <c r="O21" s="53" t="str" cm="1">
        <f t="array" ref="O21">shift_arr(D21,F21)</f>
        <v/>
      </c>
      <c r="R21" s="54" t="str">
        <f>IF(O21=L21,"PASS","FAIL")</f>
        <v>PASS</v>
      </c>
    </row>
    <row r="23">
      <c r="A23" s="46">
        <v>6</v>
      </c>
      <c r="B23" s="47" t="inlineStr">
        <is>
          <t xml:space="preserve">col {1;2;3} down, numeric 1000000 (wrap)</t>
        </is>
      </c>
      <c r="D23" s="51">
        <v>1</v>
      </c>
      <c r="F23" s="51">
        <v>1000000</v>
      </c>
      <c r="L23" s="52">
        <v>3</v>
      </c>
      <c r="O23" s="53" cm="1">
        <f t="array" ref="O23:O25">shift_arr(D23:D25,F23)</f>
        <v>0</v>
      </c>
      <c r="R23" s="54" cm="1">
        <f t="array" ref="R23">IF(AND(L23:L25=O23:O25),"PASS","FAIL")</f>
        <v>0</v>
      </c>
    </row>
    <row r="24">
      <c r="D24" s="51">
        <v>2</v>
      </c>
      <c r="L24" s="52">
        <v>1</v>
      </c>
    </row>
    <row r="25">
      <c r="D25" s="51">
        <v>3</v>
      </c>
      <c r="L25" s="52">
        <v>2</v>
      </c>
    </row>
    <row r="27">
      <c r="A27" s="46">
        <v>7</v>
      </c>
      <c r="B27" s="47" t="inlineStr">
        <is>
          <t xml:space="preserve">col {1;2;3} D, fill 9, steps 2 (letter + new order)</t>
        </is>
      </c>
      <c r="D27" s="51">
        <v>1</v>
      </c>
      <c r="F27" s="51" t="inlineStr">
        <is>
          <t xml:space="preserve">D</t>
        </is>
      </c>
      <c r="H27" s="51">
        <v>9</v>
      </c>
      <c r="J27" s="51">
        <v>2</v>
      </c>
      <c r="L27" s="52">
        <v>9</v>
      </c>
      <c r="O27" s="53" cm="1">
        <f t="array" ref="O27:O29">shift_arr(D27:D29,F27,H27,J27)</f>
        <v>0</v>
      </c>
      <c r="R27" s="54" cm="1">
        <f t="array" ref="R27">IF(AND(L27:L29=O27:O29),"PASS","FAIL")</f>
        <v>0</v>
      </c>
    </row>
    <row r="28">
      <c r="D28" s="51">
        <v>2</v>
      </c>
      <c r="L28" s="52">
        <v>9</v>
      </c>
    </row>
    <row r="29">
      <c r="D29" s="51">
        <v>3</v>
      </c>
      <c r="L29" s="52">
        <v>1</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D1246-71D8-4394-8F67-3FBF253131B7}">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smallest(check, return)</v>
      </c>
      <c r="C1" s="95"/>
      <c r="D1" s="95"/>
      <c r="E1" s="95"/>
      <c r="F1" s="96"/>
      <c r="H1" s="45" t="s">
        <v>2</v>
      </c>
      <c r="I1" s="94"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=LAMBDA(check, return, IFNA(XLOOKUP(MIN(check), check, return), ""))</v>
      </c>
      <c r="C2" s="98"/>
      <c r="D2" s="98"/>
      <c r="E2" s="98"/>
      <c r="F2" s="98"/>
      <c r="G2" s="98"/>
      <c r="H2" s="98"/>
      <c r="I2" s="98"/>
      <c r="J2" s="98"/>
      <c r="K2" s="98"/>
      <c r="L2" s="98"/>
      <c r="M2" s="98"/>
      <c r="N2" s="98"/>
      <c r="O2" s="98"/>
      <c r="P2" s="98"/>
      <c r="Q2" s="98"/>
      <c r="R2" s="98"/>
    </row>
    <row r="4" spans="1:19" x14ac:dyDescent="0.5">
      <c r="A4" s="45" t="s">
        <v>3162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3163</v>
      </c>
      <c r="D6" s="51">
        <v>30</v>
      </c>
      <c r="F6" s="51" t="s">
        <v>2946</v>
      </c>
      <c r="H6" s="52" t="s">
        <v>2946</v>
      </c>
      <c r="J6" s="53" t="str" cm="1">
        <f t="array" ref="J6">smallest(D6:D8,F6:F8)</f>
        <v>a</v>
      </c>
      <c r="L6" s="54" t="str">
        <f>IF(J6=H6,"PASS","FAIL")</f>
        <v>PASS</v>
      </c>
    </row>
    <row r="7" spans="1:19" x14ac:dyDescent="0.5">
      <c r="A7" s="55"/>
      <c r="B7" s="55"/>
      <c r="D7" s="51">
        <v>70</v>
      </c>
      <c r="F7" s="51" t="s">
        <v>2947</v>
      </c>
    </row>
    <row r="8" spans="1:19" x14ac:dyDescent="0.5">
      <c r="A8" s="55"/>
      <c r="B8" s="55"/>
      <c r="D8" s="51">
        <v>50</v>
      </c>
      <c r="F8" s="51" t="s">
        <v>2955</v>
      </c>
    </row>
    <row r="10" spans="1:19" x14ac:dyDescent="0.5">
      <c r="A10" s="46">
        <v>2</v>
      </c>
      <c r="B10" s="47" t="s">
        <v>3164</v>
      </c>
      <c r="D10" s="51">
        <v>5</v>
      </c>
      <c r="F10" s="51" t="s">
        <v>2957</v>
      </c>
      <c r="H10" s="52" t="s">
        <v>2959</v>
      </c>
      <c r="J10" s="53" t="str" cm="1">
        <f t="array" ref="J10">smallest(D10:D13,F10:F13)</f>
        <v>r</v>
      </c>
      <c r="L10" s="54" t="str">
        <f>IF(J10=H10,"PASS","FAIL")</f>
        <v>PASS</v>
      </c>
    </row>
    <row r="11" spans="1:19" x14ac:dyDescent="0.5">
      <c r="A11" s="55"/>
      <c r="B11" s="55"/>
      <c r="D11" s="51">
        <v>9</v>
      </c>
      <c r="F11" s="51" t="s">
        <v>2958</v>
      </c>
    </row>
    <row r="12" spans="1:19" x14ac:dyDescent="0.5">
      <c r="A12" s="55"/>
      <c r="B12" s="55"/>
      <c r="D12" s="51">
        <v>2</v>
      </c>
      <c r="F12" s="51" t="s">
        <v>2959</v>
      </c>
    </row>
    <row r="13" spans="1:19" x14ac:dyDescent="0.5">
      <c r="A13" s="55"/>
      <c r="B13" s="55"/>
      <c r="D13" s="51">
        <v>2</v>
      </c>
      <c r="F13" s="51" t="s">
        <v>2960</v>
      </c>
    </row>
    <row r="15" spans="1:19" x14ac:dyDescent="0.5">
      <c r="A15" s="46">
        <v>3</v>
      </c>
      <c r="B15" s="47" t="s">
        <v>3291</v>
      </c>
      <c r="D15" s="51" t="s">
        <v>2966</v>
      </c>
      <c r="F15" s="51" t="s">
        <v>3292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CFA97-FAF7-4C6D-984B-6A77B1F9930F}">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99" t="str" cm="1">
        <f t="array" aca="1" ref="B1" ca="1">_xlfn.LET(_xlpm.fn, CELL("filename",$A$1), _xlpm.nm, MID(_xlpm.fn, FIND("]", _xlpm.fn) + 1, 255), _xlfn.XLOOKUP(_xlpm.nm &amp; "(*", Lamb!$A$2:$A$1000, Lamb!$A$2:$A$1000, "", 2))</f>
        <v>str_ad(ad_or_rng)</v>
      </c>
      <c r="C1" s="95"/>
      <c r="D1" s="95"/>
      <c r="E1" s="95"/>
      <c r="F1" s="96"/>
      <c r="H1" s="45" t="s">
        <v>2</v>
      </c>
      <c r="I1" s="94"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95"/>
      <c r="K1" s="95"/>
      <c r="L1" s="95"/>
      <c r="M1" s="95"/>
      <c r="N1" s="95"/>
      <c r="O1" s="95"/>
      <c r="P1" s="95"/>
      <c r="Q1" s="95"/>
      <c r="R1" s="96"/>
      <c r="S1" s="77" t="str">
        <f>HYPERLINK("#lambda_tests!A1","&lt;- test summary")</f>
        <v>&lt;- test summary</v>
      </c>
    </row>
    <row r="2" spans="1:19" ht="294" customHeight="1" x14ac:dyDescent="0.5">
      <c r="A2" s="45" t="s">
        <v>4</v>
      </c>
      <c r="B2" s="97"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98"/>
      <c r="D2" s="98"/>
      <c r="E2" s="98"/>
      <c r="F2" s="98"/>
      <c r="G2" s="98"/>
      <c r="H2" s="98"/>
      <c r="I2" s="98"/>
      <c r="J2" s="98"/>
      <c r="K2" s="98"/>
      <c r="L2" s="98"/>
      <c r="M2" s="98"/>
      <c r="N2" s="98"/>
      <c r="O2" s="98"/>
      <c r="P2" s="98"/>
      <c r="Q2" s="98"/>
      <c r="R2" s="98"/>
    </row>
    <row r="4" spans="1:19" x14ac:dyDescent="0.5">
      <c r="A4" s="45" t="s">
        <v>3548</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3171</v>
      </c>
      <c r="D6" s="51">
        <v>3000004</v>
      </c>
      <c r="F6" s="52" t="s">
        <v>3066</v>
      </c>
      <c r="H6" s="53" t="str" cm="1">
        <f t="array" ref="H6">str_ad(D6)</f>
        <v>D3</v>
      </c>
      <c r="J6" s="54" t="str">
        <f>IF(H6=F6,"PASS","FAIL")</f>
        <v>PASS</v>
      </c>
    </row>
    <row r="7" spans="1:19" x14ac:dyDescent="0.5">
      <c r="F7" s="52"/>
      <c r="H7" s="53"/>
      <c r="J7" s="54"/>
    </row>
    <row r="8" spans="1:19" x14ac:dyDescent="0.5">
      <c r="A8" s="46">
        <v>2</v>
      </c>
      <c r="B8" s="47" t="s">
        <v>3172</v>
      </c>
      <c r="D8" s="51" t="s">
        <v>3066</v>
      </c>
      <c r="F8" s="52" t="s">
        <v>3066</v>
      </c>
      <c r="H8" s="53" t="str" cm="1">
        <f t="array" ref="H8">str_ad(D8)</f>
        <v>D3</v>
      </c>
      <c r="J8" s="54" t="str">
        <f>IF(H8=F8,"PASS","FAIL")</f>
        <v>PASS</v>
      </c>
    </row>
    <row r="9" spans="1:19" x14ac:dyDescent="0.5">
      <c r="F9" s="52"/>
      <c r="H9" s="53"/>
      <c r="J9" s="54"/>
    </row>
    <row r="10" spans="1:19" x14ac:dyDescent="0.5">
      <c r="A10" s="46">
        <v>3</v>
      </c>
      <c r="B10" s="47" t="s">
        <v>3173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3174</v>
      </c>
      <c r="D12" s="51">
        <v>1000001</v>
      </c>
      <c r="F12" s="52" t="s">
        <v>2934</v>
      </c>
      <c r="H12" s="53" t="str" cm="1">
        <f t="array" ref="H12:H13">str_ad(D12:D13)</f>
        <v>A1</v>
      </c>
      <c r="J12" s="54" t="str" cm="1">
        <f t="array" ref="J12">IF(AND(F12:F13=H12:H13),"PASS","FAIL")</f>
        <v>PASS</v>
      </c>
    </row>
    <row r="13" spans="1:19" x14ac:dyDescent="0.5">
      <c r="A13" s="55"/>
      <c r="B13" s="55"/>
      <c r="D13" s="51">
        <v>2000002</v>
      </c>
      <c r="F13" s="52" t="s">
        <v>3058</v>
      </c>
      <c r="H13" s="53" t="str">
        <v>B2</v>
      </c>
      <c r="J13" s="54"/>
    </row>
    <row r="14" spans="1:19" x14ac:dyDescent="0.5">
      <c r="J14" s="54"/>
    </row>
    <row r="15" spans="1:19" x14ac:dyDescent="0.5">
      <c r="A15">
        <v>5</v>
      </c>
      <c r="B15" s="55" t="s">
        <v>3549</v>
      </c>
      <c r="D15" s="51" t="s">
        <v>3535</v>
      </c>
      <c r="F15" s="52" t="s">
        <v>2934</v>
      </c>
      <c r="G15" s="52" t="s">
        <v>3030</v>
      </c>
      <c r="H15" s="53" t="str" cm="1">
        <f t="array" ref="H15:I16">str_ad(D15)</f>
        <v>A1</v>
      </c>
      <c r="I15" s="53" t="str">
        <v>B1</v>
      </c>
      <c r="J15" s="54" t="str" cm="1">
        <f t="array" ref="J15">IF(AND(F15:G16=H15:I16),"PASS","FAIL")</f>
        <v>PASS</v>
      </c>
    </row>
    <row r="16" spans="1:19" x14ac:dyDescent="0.5">
      <c r="F16" s="52" t="s">
        <v>3059</v>
      </c>
      <c r="G16" s="52" t="s">
        <v>3058</v>
      </c>
      <c r="H16" s="53" t="str">
        <v>A2</v>
      </c>
      <c r="I16" s="53" t="str">
        <v>B2</v>
      </c>
      <c r="J16" s="54"/>
    </row>
    <row r="17" spans="1:10" x14ac:dyDescent="0.5">
      <c r="J17" s="54"/>
    </row>
    <row r="18" spans="1:10" x14ac:dyDescent="0.5">
      <c r="A18">
        <v>6</v>
      </c>
      <c r="B18" t="s">
        <v>3550</v>
      </c>
      <c r="D18" t="s">
        <v>3551</v>
      </c>
      <c r="F18" s="52" t="s">
        <v>3058</v>
      </c>
      <c r="G18" s="52" t="s">
        <v>3060</v>
      </c>
      <c r="H18" s="53" t="str" cm="1">
        <f t="array" ref="H18:I18">str_ad(D18)</f>
        <v>B2</v>
      </c>
      <c r="I18" s="53" t="str">
        <v>C2</v>
      </c>
      <c r="J18" s="54" t="str" cm="1">
        <f t="array" ref="J18">IF(AND(F18:G18=H18:I18),"PASS","FAIL")</f>
        <v>PASS</v>
      </c>
    </row>
    <row r="19" spans="1:10" x14ac:dyDescent="0.5">
      <c r="J19" s="54"/>
    </row>
    <row r="20" spans="1:10" x14ac:dyDescent="0.5">
      <c r="A20">
        <v>7</v>
      </c>
      <c r="B20" t="s">
        <v>3546</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7F053-4095-42E1-8527-1C4547E450E9}">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str_rev(str)</v>
      </c>
      <c r="C1" s="95"/>
      <c r="D1" s="95"/>
      <c r="E1" s="95"/>
      <c r="F1" s="96"/>
      <c r="H1" s="45" t="s">
        <v>2</v>
      </c>
      <c r="I1" s="94"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95"/>
      <c r="K1" s="95"/>
      <c r="L1" s="95"/>
      <c r="M1" s="95"/>
      <c r="N1" s="95"/>
      <c r="O1" s="95"/>
      <c r="P1" s="95"/>
      <c r="Q1" s="95"/>
      <c r="R1" s="96"/>
      <c r="S1" s="77" t="str">
        <f>HYPERLINK("#lambda_tests!A1","&lt;- test summary")</f>
        <v>&lt;- test summary</v>
      </c>
    </row>
    <row r="2" spans="1:19" ht="210" customHeight="1" x14ac:dyDescent="0.5">
      <c r="A2" s="45" t="s">
        <v>4</v>
      </c>
      <c r="B2" s="97"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98"/>
      <c r="D2" s="98"/>
      <c r="E2" s="98"/>
      <c r="F2" s="98"/>
      <c r="G2" s="98"/>
      <c r="H2" s="98"/>
      <c r="I2" s="98"/>
      <c r="J2" s="98"/>
      <c r="K2" s="98"/>
      <c r="L2" s="98"/>
      <c r="M2" s="98"/>
      <c r="N2" s="98"/>
      <c r="O2" s="98"/>
      <c r="P2" s="98"/>
      <c r="Q2" s="98"/>
      <c r="R2" s="98"/>
    </row>
    <row r="4" spans="1:19" x14ac:dyDescent="0.5">
      <c r="A4" s="45" t="s">
        <v>3175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3081</v>
      </c>
      <c r="D6" s="51" t="s">
        <v>3081</v>
      </c>
      <c r="F6" s="52" t="s">
        <v>3176</v>
      </c>
      <c r="H6" s="53" t="str" cm="1">
        <f t="array" ref="H6">str_rev(D6)</f>
        <v>cba</v>
      </c>
      <c r="J6" s="54" t="str">
        <f>IF(H6=F6,"PASS","FAIL")</f>
        <v>PASS</v>
      </c>
    </row>
    <row r="8" spans="1:19" x14ac:dyDescent="0.5">
      <c r="A8" s="46">
        <v>2</v>
      </c>
      <c r="B8" s="47" t="s">
        <v>3177</v>
      </c>
      <c r="D8" s="51" t="s">
        <v>3177</v>
      </c>
      <c r="F8" s="52" t="s">
        <v>3178</v>
      </c>
      <c r="H8" s="53" t="str" cm="1">
        <f t="array" ref="H8">str_rev(D8)</f>
        <v>olleh</v>
      </c>
      <c r="J8" s="54" t="str">
        <f>IF(H8=F8,"PASS","FAIL")</f>
        <v>PASS</v>
      </c>
    </row>
    <row r="10" spans="1:19" x14ac:dyDescent="0.5">
      <c r="A10" s="46">
        <v>3</v>
      </c>
      <c r="B10" s="47" t="s">
        <v>3179</v>
      </c>
      <c r="D10" s="51" t="s">
        <v>3180</v>
      </c>
      <c r="F10" s="52" t="s">
        <v>3181</v>
      </c>
      <c r="H10" s="53" t="str" cm="1">
        <f t="array" ref="H10">str_rev(D10)</f>
        <v>b1A</v>
      </c>
      <c r="J10" s="54" t="str">
        <f>IF(H10=F10,"PASS","FAIL")</f>
        <v>PASS</v>
      </c>
    </row>
    <row r="12" spans="1:19" x14ac:dyDescent="0.5">
      <c r="A12" s="46">
        <v>4</v>
      </c>
      <c r="B12" s="47" t="s">
        <v>3103</v>
      </c>
      <c r="D12" s="51" t="s">
        <v>3081</v>
      </c>
      <c r="F12" s="52" t="s">
        <v>3176</v>
      </c>
      <c r="H12" s="53" t="str" cm="1">
        <f t="array" ref="H12:H13">str_rev(D12:D13)</f>
        <v>cba</v>
      </c>
      <c r="J12" s="54" t="str" cm="1">
        <f t="array" ref="J12">IF(AND(F12:F13=H12:H13),"PASS","FAIL")</f>
        <v>PASS</v>
      </c>
    </row>
    <row r="13" spans="1:19" x14ac:dyDescent="0.5">
      <c r="A13" s="55"/>
      <c r="B13" s="55"/>
      <c r="D13" s="51" t="s">
        <v>3182</v>
      </c>
      <c r="F13" s="52" t="s">
        <v>3183</v>
      </c>
      <c r="H13" s="53" t="str">
        <v>yx</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A20E7-3065-434C-9538-5200607837F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99" t="str" cm="1">
        <f t="array" aca="1" ref="B1" ca="1">_xlfn.LET(_xlpm.fn, CELL("filename",$A$1), _xlpm.nm, MID(_xlpm.fn, FIND("]", _xlpm.fn) + 1, 255), _xlfn.XLOOKUP(_xlpm.nm &amp; "(*", Lamb!$A$2:$A$1000, Lamb!$A$2:$A$1000, "", 2))</f>
        <v>str_to_arr(str_or_array, [as_row])</v>
      </c>
      <c r="C1" s="95"/>
      <c r="D1" s="95"/>
      <c r="E1" s="95"/>
      <c r="F1" s="96"/>
      <c r="H1" s="45" t="s">
        <v>2</v>
      </c>
      <c r="I1" s="94"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98"/>
      <c r="D2" s="98"/>
      <c r="E2" s="98"/>
      <c r="F2" s="98"/>
      <c r="G2" s="98"/>
      <c r="H2" s="98"/>
      <c r="I2" s="98"/>
      <c r="J2" s="98"/>
      <c r="K2" s="98"/>
      <c r="L2" s="98"/>
      <c r="M2" s="98"/>
      <c r="N2" s="98"/>
      <c r="O2" s="98"/>
      <c r="P2" s="98"/>
      <c r="Q2" s="98"/>
      <c r="R2" s="98"/>
    </row>
    <row r="4" spans="1:19" x14ac:dyDescent="0.5">
      <c r="A4" s="45" t="s">
        <v>3165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3166</v>
      </c>
      <c r="D6" s="51" t="s">
        <v>3081</v>
      </c>
      <c r="H6" s="52" t="s">
        <v>2946</v>
      </c>
      <c r="L6" s="53" t="str" cm="1">
        <f t="array" ref="L6:L8">str_to_arr(D6)</f>
        <v>a</v>
      </c>
      <c r="P6" s="54" t="str" cm="1">
        <f t="array" ref="P6">IF(AND(H6:H8=L6:L8),"PASS","FAIL")</f>
        <v>PASS</v>
      </c>
    </row>
    <row r="7" spans="1:19" x14ac:dyDescent="0.5">
      <c r="A7" s="55"/>
      <c r="B7" s="55"/>
      <c r="H7" s="52" t="s">
        <v>2947</v>
      </c>
      <c r="L7" s="53" t="str">
        <v>b</v>
      </c>
    </row>
    <row r="8" spans="1:19" x14ac:dyDescent="0.5">
      <c r="A8" s="55"/>
      <c r="B8" s="55"/>
      <c r="H8" s="52" t="s">
        <v>2955</v>
      </c>
      <c r="L8" s="53" t="str">
        <v>c</v>
      </c>
    </row>
    <row r="10" spans="1:19" x14ac:dyDescent="0.5">
      <c r="A10" s="46">
        <v>2</v>
      </c>
      <c r="B10" s="47" t="s">
        <v>3167</v>
      </c>
      <c r="D10" s="51" t="s">
        <v>3168</v>
      </c>
      <c r="H10" s="52" t="s">
        <v>2966</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3169</v>
      </c>
      <c r="L12" s="53" t="str">
        <v>y</v>
      </c>
    </row>
    <row r="14" spans="1:19" x14ac:dyDescent="0.5">
      <c r="A14" s="46">
        <v>3</v>
      </c>
      <c r="B14" s="47" t="s">
        <v>3170</v>
      </c>
      <c r="D14" s="51" t="s">
        <v>3081</v>
      </c>
      <c r="F14" s="51">
        <v>1</v>
      </c>
      <c r="H14" s="52" t="s">
        <v>2946</v>
      </c>
      <c r="I14" s="52" t="s">
        <v>2947</v>
      </c>
      <c r="J14" s="52" t="s">
        <v>2955</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6968-9222-41B2-9ED5-AAC89BBF29F1}">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textbetween(str_or_arr, prefix, suffix)</v>
      </c>
      <c r="C1" s="95"/>
      <c r="D1" s="95"/>
      <c r="E1" s="95"/>
      <c r="F1" s="96"/>
      <c r="H1" s="45" t="s">
        <v>2</v>
      </c>
      <c r="I1" s="94"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98"/>
      <c r="D2" s="98"/>
      <c r="E2" s="98"/>
      <c r="F2" s="98"/>
      <c r="G2" s="98"/>
      <c r="H2" s="98"/>
      <c r="I2" s="98"/>
      <c r="J2" s="98"/>
      <c r="K2" s="98"/>
      <c r="L2" s="98"/>
      <c r="M2" s="98"/>
      <c r="N2" s="98"/>
      <c r="O2" s="98"/>
      <c r="P2" s="98"/>
      <c r="Q2" s="98"/>
      <c r="R2" s="98"/>
    </row>
    <row r="4" spans="1:19" x14ac:dyDescent="0.5">
      <c r="A4" s="45" t="s">
        <v>3184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3185</v>
      </c>
      <c r="D6" s="51" t="s">
        <v>3186</v>
      </c>
      <c r="F6" s="51" t="s">
        <v>3187</v>
      </c>
      <c r="H6" s="51" t="s">
        <v>3188</v>
      </c>
      <c r="J6" s="52" t="s">
        <v>2966</v>
      </c>
      <c r="L6" s="53" t="str" cm="1">
        <f t="array" ref="L6">textbetween(D6,F6,H6)</f>
        <v>x</v>
      </c>
      <c r="N6" s="54" t="str">
        <f>IF(L6=J6,"PASS","FAIL")</f>
        <v>PASS</v>
      </c>
    </row>
    <row r="8" spans="1:19" x14ac:dyDescent="0.5">
      <c r="A8" s="46">
        <v>2</v>
      </c>
      <c r="B8" s="47" t="s">
        <v>3189</v>
      </c>
      <c r="D8" s="51" t="s">
        <v>3190</v>
      </c>
      <c r="F8" s="51" t="s">
        <v>3191</v>
      </c>
      <c r="H8" s="51" t="s">
        <v>3192</v>
      </c>
      <c r="J8" s="52" t="s">
        <v>3072</v>
      </c>
      <c r="L8" s="53" t="str" cm="1">
        <f t="array" ref="L8">textbetween(D8,F8,H8)</f>
        <v>hi</v>
      </c>
      <c r="N8" s="54" t="str">
        <f>IF(L8=J8,"PASS","FAIL")</f>
        <v>PASS</v>
      </c>
    </row>
    <row r="10" spans="1:19" x14ac:dyDescent="0.5">
      <c r="A10" s="46">
        <v>3</v>
      </c>
      <c r="B10" s="47" t="s">
        <v>3193</v>
      </c>
      <c r="D10" s="51" t="s">
        <v>3194</v>
      </c>
      <c r="F10" s="51" t="s">
        <v>3195</v>
      </c>
      <c r="H10" s="51" t="s">
        <v>3196</v>
      </c>
      <c r="J10" s="52">
        <v>5</v>
      </c>
      <c r="L10" s="53" cm="1">
        <f t="array" ref="L10">textbetween(D10,F10,H10)</f>
        <v>5</v>
      </c>
      <c r="N10" s="54" t="str">
        <f>IF(L10=J10,"PASS","FAIL")</f>
        <v>PASS</v>
      </c>
    </row>
    <row r="12" spans="1:19" x14ac:dyDescent="0.5">
      <c r="A12" s="46">
        <v>4</v>
      </c>
      <c r="B12" s="47" t="s">
        <v>3197</v>
      </c>
      <c r="D12" s="51" t="s">
        <v>3081</v>
      </c>
      <c r="F12" s="51" t="s">
        <v>3187</v>
      </c>
      <c r="H12" s="51" t="s">
        <v>3188</v>
      </c>
      <c r="J12" s="52"/>
      <c r="L12" s="53" t="str" cm="1">
        <f t="array" ref="L12">textbetween(D12,F12,H12)</f>
        <v/>
      </c>
      <c r="N12" s="54" t="str">
        <f>IF(L12=J12,"PASS","FAIL")</f>
        <v>PASS</v>
      </c>
    </row>
    <row r="14" spans="1:19" x14ac:dyDescent="0.5">
      <c r="A14" s="46">
        <v>5</v>
      </c>
      <c r="B14" s="47" t="s">
        <v>3103</v>
      </c>
      <c r="D14" s="51" t="s">
        <v>3198</v>
      </c>
      <c r="F14" s="51" t="s">
        <v>3187</v>
      </c>
      <c r="H14" s="51" t="s">
        <v>3188</v>
      </c>
      <c r="J14" s="52" t="s">
        <v>2946</v>
      </c>
      <c r="L14" s="53" t="str" cm="1">
        <f t="array" ref="L14:L15">textbetween(D14:D15,F14,H14)</f>
        <v>a</v>
      </c>
      <c r="N14" s="54" t="str" cm="1">
        <f t="array" ref="N14">IF(AND(J14:J15=L14:L15),"PASS","FAIL")</f>
        <v>PASS</v>
      </c>
    </row>
    <row r="15" spans="1:19" x14ac:dyDescent="0.5">
      <c r="A15" s="55"/>
      <c r="B15" s="55"/>
      <c r="D15" s="51" t="s">
        <v>3199</v>
      </c>
      <c r="J15" s="52" t="s">
        <v>3200</v>
      </c>
      <c r="L15" s="53" t="str">
        <v>bc</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FB0C-37B4-4ADB-B9FB-3EDB736CFC53}">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99" t="str" cm="1">
        <f t="array" aca="1" ref="B1" ca="1">_xlfn.LET(_xlpm.fn, CELL("filename",$A$1), _xlpm.nm, MID(_xlpm.fn, FIND("]", _xlpm.fn) + 1, 255), _xlfn.XLOOKUP(_xlpm.nm &amp; "(*", Lamb!$A$2:$A$1000, Lamb!$A$2:$A$1000, "", 2))</f>
        <v>transform_array(arr, dir)</v>
      </c>
      <c r="C1" s="95"/>
      <c r="D1" s="95"/>
      <c r="E1" s="95"/>
      <c r="F1" s="96"/>
      <c r="H1" s="45" t="s">
        <v>2</v>
      </c>
      <c r="I1" s="94"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98"/>
      <c r="D2" s="98"/>
      <c r="E2" s="98"/>
      <c r="F2" s="98"/>
      <c r="G2" s="98"/>
      <c r="H2" s="98"/>
      <c r="I2" s="98"/>
      <c r="J2" s="98"/>
      <c r="K2" s="98"/>
      <c r="L2" s="98"/>
      <c r="M2" s="98"/>
      <c r="N2" s="98"/>
      <c r="O2" s="98"/>
      <c r="P2" s="98"/>
      <c r="Q2" s="98"/>
      <c r="R2" s="98"/>
    </row>
    <row r="4" spans="1:19" x14ac:dyDescent="0.5">
      <c r="A4" s="45" t="s">
        <v>3201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3202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3203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3204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3205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3206</v>
      </c>
      <c r="D18" s="51">
        <v>1</v>
      </c>
      <c r="E18" s="51">
        <v>2</v>
      </c>
      <c r="G18" s="51" t="s">
        <v>3207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3208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3297</v>
      </c>
      <c r="J25" s="52" t="s">
        <v>3298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41F46-D70A-43F8-A72B-B196A6A4E45B}">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99" t="str" cm="1">
        <f t="array" aca="1" ref="B1" ca="1">_xlfn.LET(_xlpm.fn, CELL("filename",$A$1), _xlpm.nm, MID(_xlpm.fn, FIND("]", _xlpm.fn) + 1, 255), _xlfn.XLOOKUP(_xlpm.nm &amp; "(*", Lamb!$A$2:$A$1000, Lamb!$A$2:$A$1000, "", 2))</f>
        <v>update_arr( array, r, c, value)</v>
      </c>
      <c r="C1" s="95"/>
      <c r="D1" s="95"/>
      <c r="E1" s="95"/>
      <c r="F1" s="96"/>
      <c r="H1" s="45" t="s">
        <v>2</v>
      </c>
      <c r="I1" s="94"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95"/>
      <c r="K1" s="95"/>
      <c r="L1" s="95"/>
      <c r="M1" s="95"/>
      <c r="N1" s="95"/>
      <c r="O1" s="95"/>
      <c r="P1" s="95"/>
      <c r="Q1" s="95"/>
      <c r="R1" s="96"/>
      <c r="S1" s="77" t="str">
        <f>HYPERLINK("#lambda_tests!A1","&lt;- test summary")</f>
        <v>&lt;- test summary</v>
      </c>
    </row>
    <row r="2" spans="1:22" ht="168" customHeight="1" x14ac:dyDescent="0.5">
      <c r="A2" s="45" t="s">
        <v>4</v>
      </c>
      <c r="B2" s="97" t="str" cm="1">
        <f t="array" aca="1" ref="B2" ca="1">_xlfn.LET(_xlpm.fn, CELL("filename",$A$1), _xlpm.nm, MID(_xlpm.fn, FIND("]", _xlpm.fn) + 1, 255), _xlfn.XLOOKUP(_xlpm.nm &amp; "(*", Lamb!$A$2:$A$1000, Lamb!$C$2:$C$1000, "", 2))</f>
        <v>=LAMBDA(array, r, c, value, LET(
   arr, array,
   MAKEARRAY(
      ROWS(arr),
      COLUMNS(arr),
      LAMBDA(i, j, IF((i = r) * (j = c), value, INDEX(arr, i, j)))
   )
))</v>
      </c>
      <c r="C2" s="98"/>
      <c r="D2" s="98"/>
      <c r="E2" s="98"/>
      <c r="F2" s="98"/>
      <c r="G2" s="98"/>
      <c r="H2" s="98"/>
      <c r="I2" s="98"/>
      <c r="J2" s="98"/>
      <c r="K2" s="98"/>
      <c r="L2" s="98"/>
      <c r="M2" s="98"/>
      <c r="N2" s="98"/>
      <c r="O2" s="98"/>
      <c r="P2" s="98"/>
      <c r="Q2" s="98"/>
      <c r="R2" s="98"/>
    </row>
    <row r="4" spans="1:22" x14ac:dyDescent="0.5">
      <c r="A4" s="45" t="s">
        <v>3209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3210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3211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30B83-E46E-4C9C-A8C4-61B7440FEC43}">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99" t="str" cm="1">
        <f t="array" aca="1" ref="B1" ca="1">_xlfn.LET(_xlpm.fn, CELL("filename",$A$1), _xlpm.nm, MID(_xlpm.fn, FIND("]", _xlpm.fn) + 1, 255), _xlfn.XLOOKUP(_xlpm.nm &amp; "(*", Lamb!$A$2:$A$1000, Lamb!$A$2:$A$1000, "", 2))</f>
        <v>xbyrow(arr, function)</v>
      </c>
      <c r="C1" s="95"/>
      <c r="D1" s="95"/>
      <c r="E1" s="95"/>
      <c r="F1" s="96"/>
      <c r="H1" s="45" t="s">
        <v>2</v>
      </c>
      <c r="I1" s="94"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95"/>
      <c r="K1" s="95"/>
      <c r="L1" s="95"/>
      <c r="M1" s="95"/>
      <c r="N1" s="95"/>
      <c r="O1" s="95"/>
      <c r="P1" s="95"/>
      <c r="Q1" s="95"/>
      <c r="R1" s="96"/>
      <c r="S1" s="77" t="str">
        <f>HYPERLINK("#lambda_tests!A1","&lt;- test summary")</f>
        <v>&lt;- test summary</v>
      </c>
    </row>
    <row r="2" spans="1:25" ht="63" customHeight="1" x14ac:dyDescent="0.5">
      <c r="A2" s="45" t="s">
        <v>4</v>
      </c>
      <c r="B2" s="97" t="str" cm="1">
        <f t="array" aca="1" ref="B2" ca="1">_xlfn.LET(_xlpm.fn, CELL("filename",$A$1), _xlpm.nm, MID(_xlpm.fn, FIND("]", _xlpm.fn) + 1, 255), _xlfn.XLOOKUP(_xlpm.nm &amp; "(*", Lamb!$A$2:$A$1000, Lamb!$C$2:$C$1000, "", 2))</f>
        <v>=LAMBDA(arr, function,
  IFNA(z_xbyrow_ix(arr, function, 1, ROWS(arr)), "")
)</v>
      </c>
      <c r="C2" s="98"/>
      <c r="D2" s="98"/>
      <c r="E2" s="98"/>
      <c r="F2" s="98"/>
      <c r="G2" s="98"/>
      <c r="H2" s="98"/>
      <c r="I2" s="98"/>
      <c r="J2" s="98"/>
      <c r="K2" s="98"/>
      <c r="L2" s="98"/>
      <c r="M2" s="98"/>
      <c r="N2" s="98"/>
      <c r="O2" s="98"/>
      <c r="P2" s="98"/>
      <c r="Q2" s="98"/>
      <c r="R2" s="98"/>
    </row>
    <row r="4" spans="1:25" x14ac:dyDescent="0.5">
      <c r="A4" s="45" t="s">
        <v>3212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3213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3214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3215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3216</v>
      </c>
      <c r="D18" s="51" t="s">
        <v>3058</v>
      </c>
      <c r="G18" s="52" t="s">
        <v>2934</v>
      </c>
      <c r="H18" s="52" t="s">
        <v>3030</v>
      </c>
      <c r="I18" s="52" t="s">
        <v>3062</v>
      </c>
      <c r="J18" s="52" t="s">
        <v>3059</v>
      </c>
      <c r="K18" s="52" t="s">
        <v>3060</v>
      </c>
      <c r="L18" s="52" t="s">
        <v>2937</v>
      </c>
      <c r="M18" s="52" t="s">
        <v>3026</v>
      </c>
      <c r="N18" s="52" t="s">
        <v>2999</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3217</v>
      </c>
      <c r="G19" s="52" t="s">
        <v>3218</v>
      </c>
      <c r="H19" s="52" t="s">
        <v>3067</v>
      </c>
      <c r="I19" s="52" t="s">
        <v>3006</v>
      </c>
      <c r="J19" s="52" t="s">
        <v>3219</v>
      </c>
      <c r="K19" s="52" t="s">
        <v>3220</v>
      </c>
      <c r="L19" s="52" t="s">
        <v>3221</v>
      </c>
      <c r="M19" s="52" t="s">
        <v>3222</v>
      </c>
      <c r="N19" s="52" t="s">
        <v>3223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6939B-E43E-47D5-A9DB-F8D57FCC230D}">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xcountif(arr, criteria)</v>
      </c>
      <c r="C1" s="95"/>
      <c r="D1" s="95"/>
      <c r="E1" s="95"/>
      <c r="F1" s="96"/>
      <c r="H1" s="45" t="s">
        <v>2</v>
      </c>
      <c r="I1" s="94"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95"/>
      <c r="K1" s="95"/>
      <c r="L1" s="95"/>
      <c r="M1" s="95"/>
      <c r="N1" s="95"/>
      <c r="O1" s="95"/>
      <c r="P1" s="95"/>
      <c r="Q1" s="95"/>
      <c r="R1" s="96"/>
      <c r="S1" s="77" t="str">
        <f>HYPERLINK("#lambda_tests!A1","&lt;- test summary")</f>
        <v>&lt;- test summary</v>
      </c>
    </row>
    <row r="2" spans="1:19" ht="189" customHeight="1" x14ac:dyDescent="0.5">
      <c r="A2" s="45" t="s">
        <v>4</v>
      </c>
      <c r="B2" s="97"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98"/>
      <c r="D2" s="98"/>
      <c r="E2" s="98"/>
      <c r="F2" s="98"/>
      <c r="G2" s="98"/>
      <c r="H2" s="98"/>
      <c r="I2" s="98"/>
      <c r="J2" s="98"/>
      <c r="K2" s="98"/>
      <c r="L2" s="98"/>
      <c r="M2" s="98"/>
      <c r="N2" s="98"/>
      <c r="O2" s="98"/>
      <c r="P2" s="98"/>
      <c r="Q2" s="98"/>
      <c r="R2" s="98"/>
    </row>
    <row r="4" spans="1:19" x14ac:dyDescent="0.5">
      <c r="A4" s="45" t="s">
        <v>3224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3225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3226</v>
      </c>
      <c r="D11" s="51" t="s">
        <v>2946</v>
      </c>
      <c r="F11" s="51" t="s">
        <v>2946</v>
      </c>
      <c r="H11" s="52">
        <v>2</v>
      </c>
      <c r="J11" s="53" cm="1">
        <f t="array" ref="J11">xcountif(D11:D13,F11)</f>
        <v>2</v>
      </c>
      <c r="L11" s="54" t="str">
        <f>IF(J11=H11,"PASS","FAIL")</f>
        <v>PASS</v>
      </c>
    </row>
    <row r="12" spans="1:19" x14ac:dyDescent="0.5">
      <c r="A12" s="55"/>
      <c r="B12" s="55"/>
      <c r="D12" s="51" t="s">
        <v>2947</v>
      </c>
    </row>
    <row r="13" spans="1:19" x14ac:dyDescent="0.5">
      <c r="A13" s="55"/>
      <c r="B13" s="55"/>
      <c r="D13" s="51" t="s">
        <v>2946</v>
      </c>
    </row>
    <row r="15" spans="1:19" x14ac:dyDescent="0.5">
      <c r="A15" s="46">
        <v>3</v>
      </c>
      <c r="B15" s="47" t="s">
        <v>3227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3228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3229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5BCA1-85F7-4127-8F58-9E47BD3C38FB}">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xdec2bin(number, [places])</v>
      </c>
      <c r="C1" s="95"/>
      <c r="D1" s="95"/>
      <c r="E1" s="95"/>
      <c r="F1" s="96"/>
      <c r="H1" s="45" t="s">
        <v>2</v>
      </c>
      <c r="I1" s="94"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95"/>
      <c r="K1" s="95"/>
      <c r="L1" s="95"/>
      <c r="M1" s="95"/>
      <c r="N1" s="95"/>
      <c r="O1" s="95"/>
      <c r="P1" s="95"/>
      <c r="Q1" s="95"/>
      <c r="R1" s="96"/>
      <c r="S1" s="77" t="str">
        <f>HYPERLINK("#lambda_tests!A1","&lt;- test summary")</f>
        <v>&lt;- test summary</v>
      </c>
    </row>
    <row r="2" spans="1:19" ht="336" customHeight="1" x14ac:dyDescent="0.5">
      <c r="A2" s="45" t="s">
        <v>4</v>
      </c>
      <c r="B2" s="97"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98"/>
      <c r="D2" s="98"/>
      <c r="E2" s="98"/>
      <c r="F2" s="98"/>
      <c r="G2" s="98"/>
      <c r="H2" s="98"/>
      <c r="I2" s="98"/>
      <c r="J2" s="98"/>
      <c r="K2" s="98"/>
      <c r="L2" s="98"/>
      <c r="M2" s="98"/>
      <c r="N2" s="98"/>
      <c r="O2" s="98"/>
      <c r="P2" s="98"/>
      <c r="Q2" s="98"/>
      <c r="R2" s="98"/>
    </row>
    <row r="4" spans="1:19" x14ac:dyDescent="0.5">
      <c r="A4" s="45" t="s">
        <v>3230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3231</v>
      </c>
      <c r="D6" s="51">
        <v>5</v>
      </c>
      <c r="H6" s="52" t="s">
        <v>3232</v>
      </c>
      <c r="J6" s="53" t="str" cm="1">
        <f t="array" ref="J6">xdec2bin(D6)</f>
        <v>101</v>
      </c>
      <c r="L6" s="54" t="str">
        <f>IF(J6=H6,"PASS","FAIL")</f>
        <v>PASS</v>
      </c>
    </row>
    <row r="8" spans="1:19" x14ac:dyDescent="0.5">
      <c r="A8" s="46">
        <v>2</v>
      </c>
      <c r="B8" s="47" t="s">
        <v>3233</v>
      </c>
      <c r="D8" s="51">
        <v>5</v>
      </c>
      <c r="F8" s="51">
        <v>8</v>
      </c>
      <c r="H8" s="52" t="s">
        <v>3234</v>
      </c>
      <c r="J8" s="53" t="str" cm="1">
        <f t="array" ref="J8">xdec2bin(D8,F8)</f>
        <v>00000101</v>
      </c>
      <c r="L8" s="54" t="str">
        <f>IF(J8=H8,"PASS","FAIL")</f>
        <v>PASS</v>
      </c>
    </row>
    <row r="10" spans="1:19" x14ac:dyDescent="0.5">
      <c r="A10" s="46">
        <v>3</v>
      </c>
      <c r="B10" s="47" t="s">
        <v>3235</v>
      </c>
      <c r="D10" s="51">
        <v>0</v>
      </c>
      <c r="H10" s="52" t="s">
        <v>3236</v>
      </c>
      <c r="J10" s="53" t="str" cm="1">
        <f t="array" ref="J10">xdec2bin(D10)</f>
        <v>0</v>
      </c>
      <c r="L10" s="54" t="str">
        <f>IF(J10=H10,"PASS","FAIL")</f>
        <v>PASS</v>
      </c>
    </row>
    <row r="12" spans="1:19" x14ac:dyDescent="0.5">
      <c r="A12" s="46">
        <v>4</v>
      </c>
      <c r="B12" s="47" t="s">
        <v>3237</v>
      </c>
      <c r="D12" s="51">
        <v>0</v>
      </c>
      <c r="F12" s="51">
        <v>4</v>
      </c>
      <c r="H12" s="52" t="s">
        <v>3238</v>
      </c>
      <c r="J12" s="53" t="str" cm="1">
        <f t="array" ref="J12">xdec2bin(D12,F12)</f>
        <v>0000</v>
      </c>
      <c r="L12" s="54" t="str">
        <f>IF(J12=H12,"PASS","FAIL")</f>
        <v>PASS</v>
      </c>
    </row>
    <row r="14" spans="1:19" x14ac:dyDescent="0.5">
      <c r="A14" s="46">
        <v>5</v>
      </c>
      <c r="B14" s="47" t="s">
        <v>3239</v>
      </c>
      <c r="D14" s="51">
        <v>10</v>
      </c>
      <c r="H14" s="52" t="s">
        <v>3240</v>
      </c>
      <c r="J14" s="53" t="str" cm="1">
        <f t="array" ref="J14">xdec2bin(D14)</f>
        <v>1010</v>
      </c>
      <c r="L14" s="54" t="str">
        <f>IF(J14=H14,"PASS","FAIL")</f>
        <v>PASS</v>
      </c>
    </row>
    <row r="16" spans="1:19" x14ac:dyDescent="0.5">
      <c r="A16" s="46">
        <v>6</v>
      </c>
      <c r="B16" s="47" t="s">
        <v>3241</v>
      </c>
      <c r="D16" s="51">
        <v>-1</v>
      </c>
      <c r="F16" s="51">
        <v>4</v>
      </c>
      <c r="H16" s="52" t="s">
        <v>3242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C8E8-1518-49FF-BF42-ECBEE09E9B1F}">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99" t="str" cm="1">
        <f t="array" aca="1" ref="B1" ca="1">_xlfn.LET(_xlpm.fn, CELL("filename",$A$1), _xlpm.nm, MID(_xlpm.fn, FIND("]", _xlpm.fn) + 1, 255), _xlfn.XLOOKUP(_xlpm.nm &amp; "(*", Lamb!$A$2:$A$1000, Lamb!$A$2:$A$1000, "", 2))</f>
        <v>xfilter(arr, f_1, [f_2], [f_3], [f_4], [f_5])</v>
      </c>
      <c r="C1" s="95"/>
      <c r="D1" s="95"/>
      <c r="E1" s="95"/>
      <c r="F1" s="96"/>
      <c r="H1" s="45" t="s">
        <v>2</v>
      </c>
      <c r="I1" s="94"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95"/>
      <c r="K1" s="95"/>
      <c r="L1" s="95"/>
      <c r="M1" s="95"/>
      <c r="N1" s="95"/>
      <c r="O1" s="95"/>
      <c r="P1" s="95"/>
      <c r="Q1" s="95"/>
      <c r="R1" s="96"/>
      <c r="S1" s="77" t="str">
        <f>HYPERLINK("#lambda_tests!A1","&lt;- test summary")</f>
        <v>&lt;- test summary</v>
      </c>
    </row>
    <row r="2" spans="1:22" ht="315" customHeight="1" x14ac:dyDescent="0.5">
      <c r="A2" s="45" t="s">
        <v>4</v>
      </c>
      <c r="B2" s="97"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98"/>
      <c r="D2" s="98"/>
      <c r="E2" s="98"/>
      <c r="F2" s="98"/>
      <c r="G2" s="98"/>
      <c r="H2" s="98"/>
      <c r="I2" s="98"/>
      <c r="J2" s="98"/>
      <c r="K2" s="98"/>
      <c r="L2" s="98"/>
      <c r="M2" s="98"/>
      <c r="N2" s="98"/>
      <c r="O2" s="98"/>
      <c r="P2" s="98"/>
      <c r="Q2" s="98"/>
      <c r="R2" s="98"/>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0575-0AB4-43B2-91B3-B49875744887}">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xmod(a, b)</v>
      </c>
      <c r="C1" s="95"/>
      <c r="D1" s="95"/>
      <c r="E1" s="95"/>
      <c r="F1" s="96"/>
      <c r="H1" s="45" t="s">
        <v>2</v>
      </c>
      <c r="I1" s="94"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=LAMBDA(a, b, IF(MOD(a, b) = 0, b, MOD(a, b)))</v>
      </c>
      <c r="C2" s="98"/>
      <c r="D2" s="98"/>
      <c r="E2" s="98"/>
      <c r="F2" s="98"/>
      <c r="G2" s="98"/>
      <c r="H2" s="98"/>
      <c r="I2" s="98"/>
      <c r="J2" s="98"/>
      <c r="K2" s="98"/>
      <c r="L2" s="98"/>
      <c r="M2" s="98"/>
      <c r="N2" s="98"/>
      <c r="O2" s="98"/>
      <c r="P2" s="98"/>
      <c r="Q2" s="98"/>
      <c r="R2" s="98"/>
    </row>
    <row r="4" spans="1:19" x14ac:dyDescent="0.5">
      <c r="A4" s="45" t="s">
        <v>3243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3244</v>
      </c>
      <c r="D6" s="51">
        <v>6</v>
      </c>
      <c r="F6" s="51">
        <v>3</v>
      </c>
      <c r="H6" s="52">
        <v>3</v>
      </c>
      <c r="J6" s="53" cm="1">
        <f t="array" ref="J6">xmod(D6,F6)</f>
        <v>3</v>
      </c>
      <c r="L6" s="54" t="str">
        <f>IF(J6=H6,"PASS","FAIL")</f>
        <v>PASS</v>
      </c>
    </row>
    <row r="8" spans="1:19" x14ac:dyDescent="0.5">
      <c r="A8" s="46">
        <v>2</v>
      </c>
      <c r="B8" s="47" t="s">
        <v>3245</v>
      </c>
      <c r="D8" s="51">
        <v>7</v>
      </c>
      <c r="F8" s="51">
        <v>3</v>
      </c>
      <c r="H8" s="52">
        <v>1</v>
      </c>
      <c r="J8" s="53" cm="1">
        <f t="array" ref="J8">xmod(D8,F8)</f>
        <v>1</v>
      </c>
      <c r="L8" s="54" t="str">
        <f>IF(J8=H8,"PASS","FAIL")</f>
        <v>PASS</v>
      </c>
    </row>
    <row r="10" spans="1:19" x14ac:dyDescent="0.5">
      <c r="A10" s="46">
        <v>3</v>
      </c>
      <c r="B10" s="47" t="s">
        <v>3246</v>
      </c>
      <c r="D10" s="51">
        <v>5</v>
      </c>
      <c r="F10" s="51">
        <v>5</v>
      </c>
      <c r="H10" s="52">
        <v>5</v>
      </c>
      <c r="J10" s="53" cm="1">
        <f t="array" ref="J10">xmod(D10,F10)</f>
        <v>5</v>
      </c>
      <c r="L10" s="54" t="str">
        <f>IF(J10=H10,"PASS","FAIL")</f>
        <v>PASS</v>
      </c>
    </row>
    <row r="12" spans="1:19" x14ac:dyDescent="0.5">
      <c r="A12" s="46">
        <v>4</v>
      </c>
      <c r="B12" s="47" t="s">
        <v>3247</v>
      </c>
      <c r="D12" s="51">
        <v>10</v>
      </c>
      <c r="F12" s="51">
        <v>4</v>
      </c>
      <c r="H12" s="52">
        <v>2</v>
      </c>
      <c r="J12" s="53" cm="1">
        <f t="array" ref="J12">xmod(D12,F12)</f>
        <v>2</v>
      </c>
      <c r="L12" s="54" t="str">
        <f>IF(J12=H12,"PASS","FAIL")</f>
        <v>PASS</v>
      </c>
    </row>
    <row r="14" spans="1:19" x14ac:dyDescent="0.5">
      <c r="A14" s="46">
        <v>5</v>
      </c>
      <c r="B14" s="47" t="s">
        <v>3248</v>
      </c>
      <c r="D14" s="51">
        <v>12</v>
      </c>
      <c r="F14" s="51">
        <v>6</v>
      </c>
      <c r="H14" s="52">
        <v>6</v>
      </c>
      <c r="J14" s="53" cm="1">
        <f t="array" ref="J14">xmod(D14,F14)</f>
        <v>6</v>
      </c>
      <c r="L14" s="54" t="str">
        <f>IF(J14=H14,"PASS","FAIL")</f>
        <v>PASS</v>
      </c>
    </row>
    <row r="16" spans="1:19" x14ac:dyDescent="0.5">
      <c r="A16" s="46">
        <v>6</v>
      </c>
      <c r="B16" s="47" t="s">
        <v>3249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76A-21C5-46CE-86B7-A696EC7C0B27}">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xn(value_or_array)</v>
      </c>
      <c r="C1" s="95"/>
      <c r="D1" s="95"/>
      <c r="E1" s="95"/>
      <c r="F1" s="96"/>
      <c r="H1" s="45" t="s">
        <v>2</v>
      </c>
      <c r="I1" s="94"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95"/>
      <c r="K1" s="95"/>
      <c r="L1" s="95"/>
      <c r="M1" s="95"/>
      <c r="N1" s="95"/>
      <c r="O1" s="95"/>
      <c r="P1" s="95"/>
      <c r="Q1" s="95"/>
      <c r="R1" s="96"/>
      <c r="S1" s="77" t="str">
        <f>HYPERLINK("#lambda_tests!A1","&lt;- test summary")</f>
        <v>&lt;- test summary</v>
      </c>
    </row>
    <row r="2" spans="1:19" ht="294" customHeight="1" x14ac:dyDescent="0.5">
      <c r="A2" s="45" t="s">
        <v>4</v>
      </c>
      <c r="B2" s="97"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98"/>
      <c r="D2" s="98"/>
      <c r="E2" s="98"/>
      <c r="F2" s="98"/>
      <c r="G2" s="98"/>
      <c r="H2" s="98"/>
      <c r="I2" s="98"/>
      <c r="J2" s="98"/>
      <c r="K2" s="98"/>
      <c r="L2" s="98"/>
      <c r="M2" s="98"/>
      <c r="N2" s="98"/>
      <c r="O2" s="98"/>
      <c r="P2" s="98"/>
      <c r="Q2" s="98"/>
      <c r="R2" s="98"/>
    </row>
    <row r="4" spans="1:19" x14ac:dyDescent="0.5">
      <c r="A4" s="45" t="s">
        <v>3250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3251</v>
      </c>
      <c r="D6" s="51" t="s">
        <v>3252</v>
      </c>
      <c r="F6" s="52">
        <v>42</v>
      </c>
      <c r="H6" s="53" cm="1">
        <f t="array" ref="H6">xn(D6)</f>
        <v>42</v>
      </c>
      <c r="J6" s="54" t="str">
        <f>IF(H6=F6,"PASS","FAIL")</f>
        <v>PASS</v>
      </c>
    </row>
    <row r="8" spans="1:19" x14ac:dyDescent="0.5">
      <c r="A8" s="46">
        <v>2</v>
      </c>
      <c r="B8" s="47" t="s">
        <v>3253</v>
      </c>
      <c r="D8" s="51" t="b">
        <v>1</v>
      </c>
      <c r="F8" s="52">
        <v>1</v>
      </c>
      <c r="H8" s="53" cm="1">
        <f t="array" ref="H8">xn(D8)</f>
        <v>1</v>
      </c>
      <c r="J8" s="54" t="str">
        <f>IF(H8=F8,"PASS","FAIL")</f>
        <v>PASS</v>
      </c>
    </row>
    <row r="10" spans="1:19" x14ac:dyDescent="0.5">
      <c r="A10" s="46">
        <v>3</v>
      </c>
      <c r="B10" s="47" t="s">
        <v>3254</v>
      </c>
      <c r="D10" s="51" t="s">
        <v>3081</v>
      </c>
      <c r="F10" s="52" t="s">
        <v>3081</v>
      </c>
      <c r="H10" s="53" t="str" cm="1">
        <f t="array" ref="H10">xn(D10)</f>
        <v>abc</v>
      </c>
      <c r="J10" s="54" t="str">
        <f>IF(H10=F10,"PASS","FAIL")</f>
        <v>PASS</v>
      </c>
    </row>
    <row r="12" spans="1:19" x14ac:dyDescent="0.5">
      <c r="A12" s="46">
        <v>4</v>
      </c>
      <c r="B12" s="47" t="s">
        <v>3255</v>
      </c>
      <c r="D12" s="51"/>
      <c r="F12" s="52"/>
      <c r="H12" s="53" t="str" cm="1">
        <f t="array" ref="H12">xn(D12)</f>
        <v/>
      </c>
      <c r="J12" s="54" t="str">
        <f>IF(H12=F12,"PASS","FAIL")</f>
        <v>PASS</v>
      </c>
    </row>
    <row r="14" spans="1:19" x14ac:dyDescent="0.5">
      <c r="A14" s="46">
        <v>5</v>
      </c>
      <c r="B14" s="47" t="s">
        <v>3256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2966</v>
      </c>
      <c r="F16" s="52" t="s">
        <v>2966</v>
      </c>
      <c r="H16" s="53" t="str">
        <v>x</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4B6E8-E2BA-42AC-966A-6974EA36306F}">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xrank(value, array, [order])</v>
      </c>
      <c r="C1" s="95"/>
      <c r="D1" s="95"/>
      <c r="E1" s="95"/>
      <c r="F1" s="96"/>
      <c r="H1" s="45" t="s">
        <v>2</v>
      </c>
      <c r="I1" s="94"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95"/>
      <c r="K1" s="95"/>
      <c r="L1" s="95"/>
      <c r="M1" s="95"/>
      <c r="N1" s="95"/>
      <c r="O1" s="95"/>
      <c r="P1" s="95"/>
      <c r="Q1" s="95"/>
      <c r="R1" s="96"/>
      <c r="S1" s="77" t="str">
        <f>HYPERLINK("#lambda_tests!A1","&lt;- test summary")</f>
        <v>&lt;- test summary</v>
      </c>
    </row>
    <row r="2" spans="1:19" ht="105" customHeight="1" x14ac:dyDescent="0.5">
      <c r="A2" s="45" t="s">
        <v>4</v>
      </c>
      <c r="B2" s="97"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98"/>
      <c r="D2" s="98"/>
      <c r="E2" s="98"/>
      <c r="F2" s="98"/>
      <c r="G2" s="98"/>
      <c r="H2" s="98"/>
      <c r="I2" s="98"/>
      <c r="J2" s="98"/>
      <c r="K2" s="98"/>
      <c r="L2" s="98"/>
      <c r="M2" s="98"/>
      <c r="N2" s="98"/>
      <c r="O2" s="98"/>
      <c r="P2" s="98"/>
      <c r="Q2" s="98"/>
      <c r="R2" s="98"/>
    </row>
    <row r="4" spans="1:19" x14ac:dyDescent="0.5">
      <c r="A4" s="45" t="s">
        <v>3257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3258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3259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3260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3261</v>
      </c>
      <c r="D18" s="51">
        <v>50</v>
      </c>
      <c r="F18" s="51">
        <v>10</v>
      </c>
      <c r="G18" s="51">
        <v>50</v>
      </c>
      <c r="H18" s="51">
        <v>30</v>
      </c>
      <c r="J18" s="52">
        <v>1</v>
      </c>
      <c r="L18" s="53" cm="1">
        <f t="array" ref="L18">xrank(D18,F18:H18)</f>
        <v>1</v>
      </c>
      <c r="N18" s="54" t="str">
        <f>IF(L18=J18,"PASS","FAIL")</f>
        <v>PASS</v>
      </c>
    </row>
    <row r="20" spans="1:14" x14ac:dyDescent="0.5">
      <c r="A20" s="46">
        <v>5</v>
      </c>
      <c r="B20" s="47" t="s">
        <v>3262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3299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3625-87B9-4BFF-A974-8195ECB5FEA5}">
  <sheetPr codeName="Sheet101"/>
  <dimension ref="A1:S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99" t="str" cm="1">
        <f t="array" aca="1" ref="B1" ca="1">_xlfn.LET(_xlpm.fn, CELL("filename",$A$1), _xlpm.nm, MID(_xlpm.fn, FIND("]", _xlpm.fn) + 1, 255), _xlfn.XLOOKUP(_xlpm.nm &amp; "(*", Lamb!$A$2:$A$1000, Lamb!$A$2:$A$1000, "", 2))</f>
        <v>xsequence(start, stop, [step], [repeat_element], [repeat_array])</v>
      </c>
      <c r="C1" s="95"/>
      <c r="D1" s="95"/>
      <c r="E1" s="95"/>
      <c r="F1" s="96"/>
      <c r="H1" s="45" t="s">
        <v>2</v>
      </c>
      <c r="I1" s="94"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95"/>
      <c r="K1" s="95"/>
      <c r="L1" s="95"/>
      <c r="M1" s="95"/>
      <c r="N1" s="95"/>
      <c r="O1" s="95"/>
      <c r="P1" s="95"/>
      <c r="Q1" s="95"/>
      <c r="R1" s="96"/>
      <c r="S1" s="77" t="str">
        <f>HYPERLINK("#lambda_tests!A1","&lt;- test summary")</f>
        <v>&lt;- test summary</v>
      </c>
    </row>
    <row r="2" spans="1:19" ht="315" customHeight="1" x14ac:dyDescent="0.5">
      <c r="A2" s="45" t="s">
        <v>4</v>
      </c>
      <c r="B2" s="97"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98"/>
      <c r="D2" s="98"/>
      <c r="E2" s="98"/>
      <c r="F2" s="98"/>
      <c r="G2" s="98"/>
      <c r="H2" s="98"/>
      <c r="I2" s="98"/>
      <c r="J2" s="98"/>
      <c r="K2" s="98"/>
      <c r="L2" s="98"/>
      <c r="M2" s="98"/>
      <c r="N2" s="98"/>
      <c r="O2" s="98"/>
      <c r="P2" s="98"/>
      <c r="Q2" s="98"/>
      <c r="R2" s="98"/>
    </row>
    <row r="4" spans="1:19" x14ac:dyDescent="0.5">
      <c r="A4" s="45" t="s">
        <v>3263</v>
      </c>
      <c r="R4" s="45" t="str">
        <f>COUNTIF(R6:R36,"PASS")&amp;" / 6 PASS"</f>
        <v>6 / 6 PASS</v>
      </c>
    </row>
    <row r="5" spans="1:19" x14ac:dyDescent="0.5">
      <c r="A5" s="45" t="s">
        <v>7</v>
      </c>
      <c r="B5" s="45" t="s">
        <v>8</v>
      </c>
      <c r="D5" s="45" t="s">
        <v>9</v>
      </c>
      <c r="N5" s="48" t="s">
        <v>10</v>
      </c>
      <c r="P5" s="49" t="s">
        <v>11</v>
      </c>
      <c r="R5" s="50" t="s">
        <v>12</v>
      </c>
    </row>
    <row r="6" spans="1:19" x14ac:dyDescent="0.5">
      <c r="A6" s="46">
        <v>1</v>
      </c>
      <c r="B6" s="47" t="s">
        <v>3264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3265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3266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3267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3268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3300</v>
      </c>
      <c r="D36" s="51">
        <v>1</v>
      </c>
      <c r="F36" s="51">
        <v>5</v>
      </c>
      <c r="N36" s="52" t="s">
        <v>3298</v>
      </c>
      <c r="P36" s="53" t="e" cm="1">
        <f t="array" ref="P36">xsequence(D36,F36,-1)</f>
        <v>#VALUE!</v>
      </c>
      <c r="R36" s="54" t="str">
        <f>IF(ERROR.TYPE(P36)=3,"PASS","FAIL")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3667D-8C8A-4419-9767-962FB8B7471A}">
  <sheetPr codeName="Sheet102"/>
  <dimension ref="A1:S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99" t="str" cm="1">
        <f t="array" aca="1" ref="B1" ca="1">_xlfn.LET(_xlpm.fn, CELL("filename",$A$1), _xlpm.nm, MID(_xlpm.fn, FIND("]", _xlpm.fn) + 1, 255), _xlfn.XLOOKUP(_xlpm.nm &amp; "(*", Lamb!$A$2:$A$1000, Lamb!$A$2:$A$1000, "", 2))</f>
        <v>xtextsplit(str,[delim],[as_row])</v>
      </c>
      <c r="C1" s="95"/>
      <c r="D1" s="95"/>
      <c r="E1" s="95"/>
      <c r="F1" s="96"/>
      <c r="H1" s="45" t="s">
        <v>2</v>
      </c>
      <c r="I1" s="94"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95"/>
      <c r="K1" s="95"/>
      <c r="L1" s="95"/>
      <c r="M1" s="95"/>
      <c r="N1" s="95"/>
      <c r="O1" s="95"/>
      <c r="P1" s="95"/>
      <c r="Q1" s="95"/>
      <c r="R1" s="96"/>
      <c r="S1" s="77" t="str">
        <f>HYPERLINK("#lambda_tests!A1","&lt;- test summary")</f>
        <v>&lt;- test summary</v>
      </c>
    </row>
    <row r="2" spans="1:19" ht="357" customHeight="1" x14ac:dyDescent="0.5">
      <c r="A2" s="45" t="s">
        <v>4</v>
      </c>
      <c r="B2" s="97"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98"/>
      <c r="D2" s="98"/>
      <c r="E2" s="98"/>
      <c r="F2" s="98"/>
      <c r="G2" s="98"/>
      <c r="H2" s="98"/>
      <c r="I2" s="98"/>
      <c r="J2" s="98"/>
      <c r="K2" s="98"/>
      <c r="L2" s="98"/>
      <c r="M2" s="98"/>
      <c r="N2" s="98"/>
      <c r="O2" s="98"/>
      <c r="P2" s="98"/>
      <c r="Q2" s="98"/>
      <c r="R2" s="98"/>
    </row>
    <row r="4" spans="1:19" x14ac:dyDescent="0.5">
      <c r="A4" s="45" t="s">
        <v>3269</v>
      </c>
      <c r="R4" s="45" t="str">
        <f>COUNTIF(R6:R22,"PASS")&amp;" / 5 PASS"</f>
        <v>5 / 5 PASS</v>
      </c>
    </row>
    <row r="5" spans="1:19" x14ac:dyDescent="0.5">
      <c r="A5" s="45" t="s">
        <v>7</v>
      </c>
      <c r="B5" s="45" t="s">
        <v>8</v>
      </c>
      <c r="D5" s="45" t="s">
        <v>9</v>
      </c>
      <c r="J5" s="48" t="s">
        <v>10</v>
      </c>
      <c r="N5" s="49" t="s">
        <v>11</v>
      </c>
      <c r="R5" s="50" t="s">
        <v>12</v>
      </c>
    </row>
    <row r="6" spans="1:19" x14ac:dyDescent="0.5">
      <c r="A6" s="46">
        <v>1</v>
      </c>
      <c r="B6" s="47" t="s">
        <v>3270</v>
      </c>
      <c r="D6" s="51" t="s">
        <v>3271</v>
      </c>
      <c r="J6" s="52" t="s">
        <v>2946</v>
      </c>
      <c r="N6" s="53" t="str" cm="1">
        <f t="array" ref="N6:N8">xtextsplit(D6)</f>
        <v>a</v>
      </c>
      <c r="R6" s="54" t="str" cm="1">
        <f t="array" ref="R6">IF(AND(J6:J8=N6:N8),"PASS","FAIL")</f>
        <v>PASS</v>
      </c>
    </row>
    <row r="7" spans="1:19" x14ac:dyDescent="0.5">
      <c r="A7" s="55"/>
      <c r="B7" s="55"/>
      <c r="J7" s="52" t="s">
        <v>2947</v>
      </c>
      <c r="N7" s="53" t="str">
        <v>b</v>
      </c>
    </row>
    <row r="8" spans="1:19" x14ac:dyDescent="0.5">
      <c r="A8" s="55"/>
      <c r="B8" s="55"/>
      <c r="J8" s="52" t="s">
        <v>2955</v>
      </c>
      <c r="N8" s="53" t="str">
        <v>c</v>
      </c>
    </row>
    <row r="10" spans="1:19" x14ac:dyDescent="0.5">
      <c r="A10" s="46">
        <v>2</v>
      </c>
      <c r="B10" s="47" t="s">
        <v>3272</v>
      </c>
      <c r="D10" s="51" t="s">
        <v>3273</v>
      </c>
      <c r="J10" s="52">
        <v>1</v>
      </c>
      <c r="N10" s="53" cm="1">
        <f t="array" ref="N10:N12">xtextsplit(D10)</f>
        <v>1</v>
      </c>
      <c r="R10" s="54" t="str" cm="1">
        <f t="array" ref="R10">IF(AND(J10:J12=N10:N12),"PASS","FAIL")</f>
        <v>PASS</v>
      </c>
    </row>
    <row r="11" spans="1:19" x14ac:dyDescent="0.5">
      <c r="A11" s="55"/>
      <c r="B11" s="55"/>
      <c r="J11" s="52">
        <v>2</v>
      </c>
      <c r="N11" s="53">
        <v>2</v>
      </c>
    </row>
    <row r="12" spans="1:19" x14ac:dyDescent="0.5">
      <c r="A12" s="55"/>
      <c r="B12" s="55"/>
      <c r="J12" s="52">
        <v>3</v>
      </c>
      <c r="N12" s="53">
        <v>3</v>
      </c>
    </row>
    <row r="14" spans="1:19" x14ac:dyDescent="0.5">
      <c r="A14" s="46">
        <v>3</v>
      </c>
      <c r="B14" s="47" t="s">
        <v>3274</v>
      </c>
      <c r="D14" s="51" t="s">
        <v>3275</v>
      </c>
      <c r="F14" s="51" t="s">
        <v>3276</v>
      </c>
      <c r="J14" s="52" t="s">
        <v>2946</v>
      </c>
      <c r="N14" s="53" t="str" cm="1">
        <f t="array" ref="N14:N16">xtextsplit(D14,F14)</f>
        <v>a</v>
      </c>
      <c r="R14" s="54" t="str" cm="1">
        <f t="array" ref="R14">IF(AND(J14:J16=N14:N16),"PASS","FAIL")</f>
        <v>PASS</v>
      </c>
    </row>
    <row r="15" spans="1:19" x14ac:dyDescent="0.5">
      <c r="A15" s="55"/>
      <c r="B15" s="55"/>
      <c r="J15" s="52" t="s">
        <v>2947</v>
      </c>
      <c r="N15" s="53" t="str">
        <v>b</v>
      </c>
    </row>
    <row r="16" spans="1:19" x14ac:dyDescent="0.5">
      <c r="A16" s="55"/>
      <c r="B16" s="55"/>
      <c r="J16" s="52" t="s">
        <v>2955</v>
      </c>
      <c r="N16" s="53" t="str">
        <v>c</v>
      </c>
    </row>
    <row r="18" spans="1:18" x14ac:dyDescent="0.5">
      <c r="A18" s="46">
        <v>4</v>
      </c>
      <c r="B18" s="47" t="s">
        <v>3277</v>
      </c>
      <c r="D18" s="51" t="s">
        <v>3271</v>
      </c>
      <c r="F18" s="51"/>
      <c r="H18" s="51">
        <v>1</v>
      </c>
      <c r="J18" s="52" t="s">
        <v>2946</v>
      </c>
      <c r="K18" s="52" t="s">
        <v>2947</v>
      </c>
      <c r="L18" s="52" t="s">
        <v>2955</v>
      </c>
      <c r="N18" s="53" t="str" cm="1">
        <f t="array" ref="N18:P18">xtextsplit(D18,,H18)</f>
        <v>a</v>
      </c>
      <c r="O18" s="53" t="str">
        <v>b</v>
      </c>
      <c r="P18" s="53" t="str">
        <v>c</v>
      </c>
      <c r="R18" s="54" t="str" cm="1">
        <f t="array" ref="R18">IF(AND(J18:L18=N18:P18),"PASS","FAIL")</f>
        <v>PASS</v>
      </c>
    </row>
    <row r="20" spans="1:18" x14ac:dyDescent="0.5">
      <c r="A20" s="46">
        <v>5</v>
      </c>
      <c r="B20" s="47" t="s">
        <v>3278</v>
      </c>
      <c r="D20" s="51" t="s">
        <v>3081</v>
      </c>
      <c r="J20" s="52" t="s">
        <v>3081</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4B186-0F96-4828-A801-01EE72EFB801}">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99" t="str" cm="1">
        <f t="array" aca="1" ref="B1" ca="1">_xlfn.LET(_xlpm.fn, CELL("filename",$A$1), _xlpm.nm, MID(_xlpm.fn, FIND("]", _xlpm.fn) + 1, 255), _xlfn.XLOOKUP(_xlpm.nm &amp; "(*", Lamb!$A$2:$A$1000, Lamb!$A$2:$A$1000, "", 2))</f>
        <v>xtocol(rng, [show_addr], [clean], [dir], [snake])</v>
      </c>
      <c r="C1" s="95"/>
      <c r="D1" s="95"/>
      <c r="E1" s="95"/>
      <c r="F1" s="96"/>
      <c r="H1" s="45" t="s">
        <v>2</v>
      </c>
      <c r="I1" s="94"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98"/>
      <c r="D2" s="98"/>
      <c r="E2" s="98"/>
      <c r="F2" s="98"/>
      <c r="G2" s="98"/>
      <c r="H2" s="98"/>
      <c r="I2" s="98"/>
      <c r="J2" s="98"/>
      <c r="K2" s="98"/>
      <c r="L2" s="98"/>
      <c r="M2" s="98"/>
      <c r="N2" s="98"/>
      <c r="O2" s="98"/>
      <c r="P2" s="98"/>
      <c r="Q2" s="98"/>
      <c r="R2" s="98"/>
    </row>
    <row r="4" spans="1:19" x14ac:dyDescent="0.5">
      <c r="A4" s="45" t="s">
        <v>3279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3280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3281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3282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3283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3301</v>
      </c>
      <c r="H24" s="52" t="s">
        <v>3298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FB1E4-480E-4A1D-8F5F-11D6E792E8B5}">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3338</v>
      </c>
      <c r="C1" t="s">
        <v>3363</v>
      </c>
      <c r="E1" s="15" t="s">
        <v>3396</v>
      </c>
      <c r="H1" s="15" t="s">
        <v>3469</v>
      </c>
    </row>
    <row r="2" spans="1:8" x14ac:dyDescent="0.5">
      <c r="A2" s="60" t="s">
        <v>3342</v>
      </c>
      <c r="E2" s="15" t="s">
        <v>8</v>
      </c>
      <c r="F2" s="57" t="s">
        <v>10</v>
      </c>
      <c r="G2" s="57" t="s">
        <v>11</v>
      </c>
      <c r="H2" s="15" t="s">
        <v>3327</v>
      </c>
    </row>
    <row r="3" spans="1:8" x14ac:dyDescent="0.5">
      <c r="E3" t="s">
        <v>3397</v>
      </c>
      <c r="F3" s="56" t="s">
        <v>3338</v>
      </c>
      <c r="G3" s="56" t="s">
        <v>3338</v>
      </c>
      <c r="H3" s="58" t="s">
        <v>3331</v>
      </c>
    </row>
    <row r="4" spans="1:8" x14ac:dyDescent="0.5">
      <c r="E4" t="s">
        <v>3398</v>
      </c>
      <c r="F4" s="56" t="s">
        <v>3342</v>
      </c>
      <c r="G4" s="56" t="s">
        <v>3342</v>
      </c>
      <c r="H4" s="58" t="s">
        <v>3331</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4F4-8349-4B0B-B9EF-F5D903029FED}">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3433</v>
      </c>
      <c r="F1" s="15" t="s">
        <v>3471</v>
      </c>
    </row>
    <row r="2" spans="3:6" x14ac:dyDescent="0.5">
      <c r="C2" s="15" t="s">
        <v>8</v>
      </c>
      <c r="D2" s="57" t="s">
        <v>10</v>
      </c>
      <c r="E2" s="57" t="s">
        <v>11</v>
      </c>
      <c r="F2" s="15" t="s">
        <v>3327</v>
      </c>
    </row>
    <row r="3" spans="3:6" x14ac:dyDescent="0.5">
      <c r="C3" t="s">
        <v>3434</v>
      </c>
      <c r="D3" s="56" t="s">
        <v>137</v>
      </c>
      <c r="E3" s="56" t="s">
        <v>137</v>
      </c>
      <c r="F3" s="58" t="s">
        <v>3331</v>
      </c>
    </row>
    <row r="4" spans="3:6" x14ac:dyDescent="0.5">
      <c r="C4" t="s">
        <v>3435</v>
      </c>
      <c r="D4" s="56" t="s">
        <v>2633</v>
      </c>
      <c r="E4" s="56" t="s">
        <v>2633</v>
      </c>
      <c r="F4" s="58" t="s">
        <v>3331</v>
      </c>
    </row>
    <row r="5" spans="3:6" x14ac:dyDescent="0.5">
      <c r="C5" t="s">
        <v>3436</v>
      </c>
      <c r="D5" s="56" t="s">
        <v>3437</v>
      </c>
      <c r="E5" s="56" t="s">
        <v>3437</v>
      </c>
      <c r="F5" s="58" t="s">
        <v>3331</v>
      </c>
    </row>
    <row r="6" spans="3:6" x14ac:dyDescent="0.5">
      <c r="C6" t="s">
        <v>3438</v>
      </c>
      <c r="D6" s="56" t="s">
        <v>3439</v>
      </c>
      <c r="E6" s="56" t="s">
        <v>3439</v>
      </c>
      <c r="F6" s="58" t="s">
        <v>3331</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8EFC-A610-4431-97BE-F39A3A96DBC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3355</v>
      </c>
      <c r="E1" s="15" t="s">
        <v>3336</v>
      </c>
      <c r="H1" s="15" t="s">
        <v>3468</v>
      </c>
    </row>
    <row r="2" spans="1:8" x14ac:dyDescent="0.5">
      <c r="A2" s="101"/>
      <c r="E2" s="15" t="s">
        <v>8</v>
      </c>
      <c r="F2" s="57" t="s">
        <v>10</v>
      </c>
      <c r="G2" s="57" t="s">
        <v>11</v>
      </c>
      <c r="H2" s="15" t="s">
        <v>3327</v>
      </c>
    </row>
    <row r="3" spans="1:8" x14ac:dyDescent="0.5">
      <c r="A3" s="60"/>
      <c r="E3" t="s">
        <v>3337</v>
      </c>
      <c r="F3" s="56" t="s">
        <v>3338</v>
      </c>
      <c r="G3" s="56" t="s">
        <v>3338</v>
      </c>
      <c r="H3" s="58" t="s">
        <v>3331</v>
      </c>
    </row>
    <row r="4" spans="1:8" x14ac:dyDescent="0.5">
      <c r="E4" t="s">
        <v>3339</v>
      </c>
      <c r="F4" s="56" t="s">
        <v>3340</v>
      </c>
      <c r="G4" s="56" t="s">
        <v>3340</v>
      </c>
      <c r="H4" s="58" t="s">
        <v>3331</v>
      </c>
    </row>
    <row r="5" spans="1:8" x14ac:dyDescent="0.5">
      <c r="E5" t="s">
        <v>3341</v>
      </c>
      <c r="F5" s="56" t="s">
        <v>3342</v>
      </c>
      <c r="G5" s="56" t="s">
        <v>3342</v>
      </c>
      <c r="H5" s="58" t="s">
        <v>3331</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78843-2F0B-4B7E-B341-12B8080598B1}">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3356</v>
      </c>
      <c r="B1">
        <v>100</v>
      </c>
      <c r="C1" t="s">
        <v>3357</v>
      </c>
      <c r="E1" s="15" t="s">
        <v>3377</v>
      </c>
      <c r="H1" s="15" t="s">
        <v>3470</v>
      </c>
    </row>
    <row r="2" spans="1:8" x14ac:dyDescent="0.5">
      <c r="A2" t="s">
        <v>3358</v>
      </c>
      <c r="B2">
        <v>1000</v>
      </c>
      <c r="C2" t="s">
        <v>3356</v>
      </c>
      <c r="E2" s="15" t="s">
        <v>8</v>
      </c>
      <c r="F2" s="57" t="s">
        <v>10</v>
      </c>
      <c r="G2" s="57" t="s">
        <v>11</v>
      </c>
      <c r="H2" s="15" t="s">
        <v>3327</v>
      </c>
    </row>
    <row r="3" spans="1:8" x14ac:dyDescent="0.5">
      <c r="E3" t="s">
        <v>3378</v>
      </c>
      <c r="F3" s="56" t="s">
        <v>3379</v>
      </c>
      <c r="G3" s="56" t="s">
        <v>3379</v>
      </c>
      <c r="H3" s="58" t="s">
        <v>3331</v>
      </c>
    </row>
    <row r="4" spans="1:8" x14ac:dyDescent="0.5">
      <c r="A4" t="s">
        <v>3359</v>
      </c>
      <c r="E4" t="s">
        <v>3380</v>
      </c>
      <c r="F4" s="56" t="s">
        <v>136</v>
      </c>
      <c r="G4" s="56" t="s">
        <v>136</v>
      </c>
      <c r="H4" s="58" t="s">
        <v>3331</v>
      </c>
    </row>
    <row r="5" spans="1:8" x14ac:dyDescent="0.5">
      <c r="E5" t="s">
        <v>3381</v>
      </c>
      <c r="F5" s="56" t="s">
        <v>156</v>
      </c>
      <c r="G5" s="56" t="s">
        <v>156</v>
      </c>
      <c r="H5" s="58" t="s">
        <v>3331</v>
      </c>
    </row>
    <row r="6" spans="1:8" x14ac:dyDescent="0.5">
      <c r="E6" t="s">
        <v>3382</v>
      </c>
      <c r="F6" s="56" t="s">
        <v>3383</v>
      </c>
      <c r="G6" s="56" t="s">
        <v>3383</v>
      </c>
      <c r="H6" s="58" t="s">
        <v>3331</v>
      </c>
    </row>
    <row r="7" spans="1:8" x14ac:dyDescent="0.5">
      <c r="E7" t="s">
        <v>3384</v>
      </c>
      <c r="F7" s="56" t="s">
        <v>3345</v>
      </c>
      <c r="G7" s="56" t="s">
        <v>3345</v>
      </c>
      <c r="H7" s="58" t="s">
        <v>3331</v>
      </c>
    </row>
    <row r="8" spans="1:8" x14ac:dyDescent="0.5">
      <c r="E8" t="s">
        <v>3385</v>
      </c>
      <c r="F8" s="56" t="s">
        <v>3298</v>
      </c>
      <c r="G8" s="56" t="s">
        <v>3298</v>
      </c>
      <c r="H8" s="58" t="s">
        <v>3331</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5925-544C-480E-96D2-C4E64964829B}">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3370</v>
      </c>
      <c r="B1" t="e">
        <f>NA()</f>
        <v>#N/A</v>
      </c>
      <c r="D1" s="15" t="s">
        <v>3447</v>
      </c>
      <c r="G1" s="15" t="s">
        <v>3473</v>
      </c>
    </row>
    <row r="2" spans="1:7" x14ac:dyDescent="0.5">
      <c r="A2" t="e">
        <f>1/0</f>
        <v>#DIV/0!</v>
      </c>
      <c r="B2">
        <v>5</v>
      </c>
      <c r="D2" s="15" t="s">
        <v>8</v>
      </c>
      <c r="E2" s="57" t="s">
        <v>10</v>
      </c>
      <c r="F2" s="57" t="s">
        <v>11</v>
      </c>
      <c r="G2" s="15" t="s">
        <v>3327</v>
      </c>
    </row>
    <row r="3" spans="1:7" x14ac:dyDescent="0.5">
      <c r="D3" t="s">
        <v>3448</v>
      </c>
      <c r="E3" s="56" t="s">
        <v>3345</v>
      </c>
      <c r="F3" s="56" t="s">
        <v>3345</v>
      </c>
      <c r="G3" s="58" t="s">
        <v>3331</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8FB64-B96B-4058-B3BA-9ED4B0457EC2}">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3440</v>
      </c>
      <c r="F1" s="15" t="s">
        <v>3469</v>
      </c>
    </row>
    <row r="2" spans="3:6" x14ac:dyDescent="0.5">
      <c r="C2" s="15" t="s">
        <v>8</v>
      </c>
      <c r="D2" s="57" t="s">
        <v>10</v>
      </c>
      <c r="E2" s="57" t="s">
        <v>11</v>
      </c>
      <c r="F2" s="15" t="s">
        <v>3327</v>
      </c>
    </row>
    <row r="3" spans="3:6" x14ac:dyDescent="0.5">
      <c r="C3" t="s">
        <v>3441</v>
      </c>
      <c r="D3" s="56" t="s">
        <v>3345</v>
      </c>
      <c r="E3" s="56" t="s">
        <v>3345</v>
      </c>
      <c r="F3" s="58" t="s">
        <v>3331</v>
      </c>
    </row>
    <row r="4" spans="3:6" x14ac:dyDescent="0.5">
      <c r="C4" t="s">
        <v>3442</v>
      </c>
      <c r="D4" s="56" t="s">
        <v>3345</v>
      </c>
      <c r="E4" s="56" t="s">
        <v>3345</v>
      </c>
      <c r="F4" s="58" t="s">
        <v>3331</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A70E4-98ED-4C3C-8B1F-572BFB78B364}">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3364</v>
      </c>
      <c r="F1" s="15" t="s">
        <v>3399</v>
      </c>
      <c r="I1" s="15" t="s">
        <v>3468</v>
      </c>
    </row>
    <row r="2" spans="1:9" x14ac:dyDescent="0.5">
      <c r="A2" s="59" t="s">
        <v>2631</v>
      </c>
      <c r="F2" s="15" t="s">
        <v>8</v>
      </c>
      <c r="G2" s="57" t="s">
        <v>10</v>
      </c>
      <c r="H2" s="57" t="s">
        <v>11</v>
      </c>
      <c r="I2" s="15" t="s">
        <v>3327</v>
      </c>
    </row>
    <row r="3" spans="1:9" x14ac:dyDescent="0.5">
      <c r="A3" s="62"/>
      <c r="F3" t="s">
        <v>3400</v>
      </c>
      <c r="G3" s="56" t="s">
        <v>2631</v>
      </c>
      <c r="H3" s="56" t="s">
        <v>2631</v>
      </c>
      <c r="I3" s="58" t="s">
        <v>3331</v>
      </c>
    </row>
    <row r="4" spans="1:9" x14ac:dyDescent="0.5">
      <c r="F4" t="s">
        <v>3401</v>
      </c>
      <c r="G4" s="56" t="s">
        <v>3402</v>
      </c>
      <c r="H4" s="56" t="s">
        <v>3402</v>
      </c>
      <c r="I4" s="58" t="s">
        <v>3331</v>
      </c>
    </row>
    <row r="5" spans="1:9" x14ac:dyDescent="0.5">
      <c r="F5" t="s">
        <v>3403</v>
      </c>
      <c r="G5" s="56" t="s">
        <v>3345</v>
      </c>
      <c r="H5" s="56" t="s">
        <v>3345</v>
      </c>
      <c r="I5" s="58" t="s">
        <v>3331</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2670D-9867-470E-912A-41A7C1FF6C8D}">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3365</v>
      </c>
      <c r="H1" s="15" t="s">
        <v>3404</v>
      </c>
      <c r="K1" s="15" t="s">
        <v>3471</v>
      </c>
    </row>
    <row r="2" spans="1:11" x14ac:dyDescent="0.5">
      <c r="A2" s="59" t="s">
        <v>2631</v>
      </c>
      <c r="B2" s="62"/>
      <c r="D2" s="63"/>
      <c r="H2" s="15" t="s">
        <v>8</v>
      </c>
      <c r="I2" s="57" t="s">
        <v>10</v>
      </c>
      <c r="J2" s="57" t="s">
        <v>11</v>
      </c>
      <c r="K2" s="15" t="s">
        <v>3327</v>
      </c>
    </row>
    <row r="3" spans="1:11" x14ac:dyDescent="0.5">
      <c r="A3" s="59" t="s">
        <v>2631</v>
      </c>
      <c r="B3" s="62"/>
      <c r="H3" t="s">
        <v>3405</v>
      </c>
      <c r="I3" s="56" t="s">
        <v>2631</v>
      </c>
      <c r="J3" s="56" t="s">
        <v>2631</v>
      </c>
      <c r="K3" s="58" t="s">
        <v>3331</v>
      </c>
    </row>
    <row r="4" spans="1:11" x14ac:dyDescent="0.5">
      <c r="H4" t="s">
        <v>3406</v>
      </c>
      <c r="I4" s="56" t="s">
        <v>2631</v>
      </c>
      <c r="J4" s="56" t="s">
        <v>2631</v>
      </c>
      <c r="K4" s="58" t="s">
        <v>3331</v>
      </c>
    </row>
    <row r="5" spans="1:11" x14ac:dyDescent="0.5">
      <c r="H5" t="s">
        <v>3407</v>
      </c>
      <c r="I5" s="56" t="s">
        <v>3402</v>
      </c>
      <c r="J5" s="56" t="s">
        <v>3402</v>
      </c>
      <c r="K5" s="58" t="s">
        <v>3331</v>
      </c>
    </row>
    <row r="6" spans="1:11" x14ac:dyDescent="0.5">
      <c r="H6" t="s">
        <v>3408</v>
      </c>
      <c r="I6" s="56" t="s">
        <v>3402</v>
      </c>
      <c r="J6" s="56" t="s">
        <v>3402</v>
      </c>
      <c r="K6" s="58" t="s">
        <v>3331</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CBE08-BAFD-43A3-99C7-83417D320349}">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3368</v>
      </c>
      <c r="C1" s="15" t="s">
        <v>3418</v>
      </c>
      <c r="F1" s="15" t="s">
        <v>3472</v>
      </c>
    </row>
    <row r="2" spans="1:6" x14ac:dyDescent="0.5">
      <c r="C2" s="15" t="s">
        <v>8</v>
      </c>
      <c r="D2" s="57" t="s">
        <v>10</v>
      </c>
      <c r="E2" s="57" t="s">
        <v>11</v>
      </c>
      <c r="F2" s="15" t="s">
        <v>3327</v>
      </c>
    </row>
    <row r="3" spans="1:6" x14ac:dyDescent="0.5">
      <c r="C3" t="s">
        <v>3419</v>
      </c>
      <c r="D3" s="56" t="s">
        <v>3345</v>
      </c>
      <c r="E3" s="56" t="s">
        <v>3345</v>
      </c>
      <c r="F3" s="58" t="s">
        <v>3331</v>
      </c>
    </row>
    <row r="4" spans="1:6" x14ac:dyDescent="0.5">
      <c r="C4" t="s">
        <v>3420</v>
      </c>
      <c r="D4" s="56" t="s">
        <v>3345</v>
      </c>
      <c r="E4" s="56" t="s">
        <v>3345</v>
      </c>
      <c r="F4" s="58" t="s">
        <v>3331</v>
      </c>
    </row>
    <row r="5" spans="1:6" x14ac:dyDescent="0.5">
      <c r="C5" t="s">
        <v>3421</v>
      </c>
      <c r="D5" s="56" t="s">
        <v>2946</v>
      </c>
      <c r="E5" s="56" t="s">
        <v>2946</v>
      </c>
      <c r="F5" s="58" t="s">
        <v>3331</v>
      </c>
    </row>
    <row r="6" spans="1:6" x14ac:dyDescent="0.5">
      <c r="C6" t="s">
        <v>3415</v>
      </c>
      <c r="D6" s="56" t="s">
        <v>136</v>
      </c>
      <c r="E6" s="56" t="s">
        <v>136</v>
      </c>
      <c r="F6" s="58" t="s">
        <v>3331</v>
      </c>
    </row>
    <row r="7" spans="1:6" x14ac:dyDescent="0.5">
      <c r="C7" t="s">
        <v>3422</v>
      </c>
      <c r="D7" s="56" t="s">
        <v>3423</v>
      </c>
      <c r="E7" s="56" t="s">
        <v>3423</v>
      </c>
      <c r="F7" s="58" t="s">
        <v>3331</v>
      </c>
    </row>
    <row r="8" spans="1:6" x14ac:dyDescent="0.5">
      <c r="C8" t="s">
        <v>3424</v>
      </c>
      <c r="D8" s="56" t="s">
        <v>2947</v>
      </c>
      <c r="E8" s="56" t="s">
        <v>2947</v>
      </c>
      <c r="F8" s="58" t="s">
        <v>3331</v>
      </c>
    </row>
    <row r="9" spans="1:6" x14ac:dyDescent="0.5">
      <c r="C9" t="s">
        <v>3417</v>
      </c>
      <c r="D9" s="56" t="s">
        <v>577</v>
      </c>
      <c r="E9" s="56" t="s">
        <v>577</v>
      </c>
      <c r="F9" s="58" t="s">
        <v>3331</v>
      </c>
    </row>
    <row r="10" spans="1:6" x14ac:dyDescent="0.5">
      <c r="C10" t="s">
        <v>3425</v>
      </c>
      <c r="D10" s="56" t="s">
        <v>3426</v>
      </c>
      <c r="E10" s="56" t="s">
        <v>3426</v>
      </c>
      <c r="F10" s="58" t="s">
        <v>3331</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AB71-2EAB-4AF4-A986-2917E473B29B}">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2946</v>
      </c>
      <c r="C1" s="15" t="s">
        <v>3409</v>
      </c>
      <c r="F1" s="15" t="s">
        <v>3472</v>
      </c>
    </row>
    <row r="2" spans="1:6" x14ac:dyDescent="0.5">
      <c r="A2" t="s">
        <v>2946</v>
      </c>
      <c r="C2" s="15" t="s">
        <v>8</v>
      </c>
      <c r="D2" s="57" t="s">
        <v>10</v>
      </c>
      <c r="E2" s="57" t="s">
        <v>11</v>
      </c>
      <c r="F2" s="15" t="s">
        <v>3327</v>
      </c>
    </row>
    <row r="3" spans="1:6" x14ac:dyDescent="0.5">
      <c r="A3" t="s">
        <v>2947</v>
      </c>
      <c r="C3" t="s">
        <v>3410</v>
      </c>
      <c r="D3" s="56" t="s">
        <v>3345</v>
      </c>
      <c r="E3" s="56" t="s">
        <v>3345</v>
      </c>
      <c r="F3" s="58" t="s">
        <v>3331</v>
      </c>
    </row>
    <row r="4" spans="1:6" x14ac:dyDescent="0.5">
      <c r="C4" t="s">
        <v>3411</v>
      </c>
      <c r="D4" s="56" t="s">
        <v>3345</v>
      </c>
      <c r="E4" s="56" t="s">
        <v>3345</v>
      </c>
      <c r="F4" s="58" t="s">
        <v>3331</v>
      </c>
    </row>
    <row r="5" spans="1:6" x14ac:dyDescent="0.5">
      <c r="C5" t="s">
        <v>3412</v>
      </c>
      <c r="D5" s="56" t="s">
        <v>3366</v>
      </c>
      <c r="E5" s="56" t="s">
        <v>3366</v>
      </c>
      <c r="F5" s="58" t="s">
        <v>3331</v>
      </c>
    </row>
    <row r="6" spans="1:6" x14ac:dyDescent="0.5">
      <c r="C6" t="s">
        <v>3413</v>
      </c>
      <c r="D6" s="56" t="s">
        <v>3367</v>
      </c>
      <c r="E6" s="56" t="s">
        <v>3367</v>
      </c>
      <c r="F6" s="58" t="s">
        <v>3331</v>
      </c>
    </row>
    <row r="7" spans="1:6" x14ac:dyDescent="0.5">
      <c r="C7" t="s">
        <v>3414</v>
      </c>
      <c r="D7" s="56" t="s">
        <v>2946</v>
      </c>
      <c r="E7" s="56" t="s">
        <v>2946</v>
      </c>
      <c r="F7" s="58" t="s">
        <v>3331</v>
      </c>
    </row>
    <row r="8" spans="1:6" x14ac:dyDescent="0.5">
      <c r="C8" t="s">
        <v>3415</v>
      </c>
      <c r="D8" s="56" t="s">
        <v>136</v>
      </c>
      <c r="E8" s="56" t="s">
        <v>136</v>
      </c>
      <c r="F8" s="58" t="s">
        <v>3331</v>
      </c>
    </row>
    <row r="9" spans="1:6" x14ac:dyDescent="0.5">
      <c r="C9" t="s">
        <v>3416</v>
      </c>
      <c r="D9" s="56" t="s">
        <v>2947</v>
      </c>
      <c r="E9" s="56" t="s">
        <v>2947</v>
      </c>
      <c r="F9" s="58" t="s">
        <v>3331</v>
      </c>
    </row>
    <row r="10" spans="1:6" x14ac:dyDescent="0.5">
      <c r="C10" t="s">
        <v>3417</v>
      </c>
      <c r="D10" s="56" t="s">
        <v>577</v>
      </c>
      <c r="E10" s="56" t="s">
        <v>577</v>
      </c>
      <c r="F10" s="58" t="s">
        <v>3331</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8A6CA-98A7-4E3A-BF26-E9146F31C109}">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3348</v>
      </c>
      <c r="H1" s="15" t="s">
        <v>3469</v>
      </c>
    </row>
    <row r="2" spans="2:8" x14ac:dyDescent="0.5">
      <c r="B2">
        <v>1</v>
      </c>
      <c r="C2">
        <v>2</v>
      </c>
      <c r="E2" s="15" t="s">
        <v>8</v>
      </c>
      <c r="F2" s="57" t="s">
        <v>10</v>
      </c>
      <c r="G2" s="57" t="s">
        <v>11</v>
      </c>
      <c r="H2" s="15" t="s">
        <v>3327</v>
      </c>
    </row>
    <row r="3" spans="2:8" x14ac:dyDescent="0.5">
      <c r="B3">
        <v>3</v>
      </c>
      <c r="C3">
        <v>4</v>
      </c>
      <c r="E3" t="s">
        <v>3349</v>
      </c>
      <c r="F3" s="56" t="s">
        <v>3350</v>
      </c>
      <c r="G3" s="56" t="s">
        <v>3350</v>
      </c>
      <c r="H3" s="58" t="s">
        <v>3331</v>
      </c>
    </row>
    <row r="4" spans="2:8" x14ac:dyDescent="0.5">
      <c r="E4" t="s">
        <v>3351</v>
      </c>
      <c r="F4" s="56" t="s">
        <v>3345</v>
      </c>
      <c r="G4" s="56" t="s">
        <v>3345</v>
      </c>
      <c r="H4" s="58" t="s">
        <v>3331</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A17B-4F30-4127-8BCB-6AB40D8942B4}">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D5F2D-F531-457A-8C31-25E1B3995B42}">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3498</v>
      </c>
      <c r="F1" s="15" t="s">
        <v>3472</v>
      </c>
    </row>
    <row r="2" spans="3:6" x14ac:dyDescent="0.5">
      <c r="C2" s="15" t="s">
        <v>8</v>
      </c>
      <c r="D2" s="57" t="s">
        <v>10</v>
      </c>
      <c r="E2" s="57" t="s">
        <v>11</v>
      </c>
      <c r="F2" s="15" t="s">
        <v>3327</v>
      </c>
    </row>
    <row r="3" spans="3:6" x14ac:dyDescent="0.5">
      <c r="C3" t="s">
        <v>3499</v>
      </c>
      <c r="D3" s="56" t="s">
        <v>3345</v>
      </c>
      <c r="E3" s="56" t="s">
        <v>3345</v>
      </c>
      <c r="F3" s="58" t="s">
        <v>3331</v>
      </c>
    </row>
    <row r="4" spans="3:6" x14ac:dyDescent="0.5">
      <c r="C4" t="s">
        <v>3500</v>
      </c>
      <c r="D4" s="56" t="s">
        <v>3345</v>
      </c>
      <c r="E4" s="56" t="s">
        <v>3345</v>
      </c>
      <c r="F4" s="58" t="s">
        <v>3331</v>
      </c>
    </row>
    <row r="5" spans="3:6" x14ac:dyDescent="0.5">
      <c r="C5" t="s">
        <v>3501</v>
      </c>
      <c r="D5" s="56" t="s">
        <v>3345</v>
      </c>
      <c r="E5" s="56" t="s">
        <v>3345</v>
      </c>
      <c r="F5" s="58" t="s">
        <v>3331</v>
      </c>
    </row>
    <row r="6" spans="3:6" x14ac:dyDescent="0.5">
      <c r="C6" t="s">
        <v>3502</v>
      </c>
      <c r="D6" s="56" t="s">
        <v>3345</v>
      </c>
      <c r="E6" s="56" t="s">
        <v>3345</v>
      </c>
      <c r="F6" s="58" t="s">
        <v>3331</v>
      </c>
    </row>
    <row r="7" spans="3:6" x14ac:dyDescent="0.5">
      <c r="C7" t="s">
        <v>3503</v>
      </c>
      <c r="D7" s="56" t="s">
        <v>3345</v>
      </c>
      <c r="E7" s="56" t="s">
        <v>3345</v>
      </c>
      <c r="F7" s="58" t="s">
        <v>3331</v>
      </c>
    </row>
    <row r="8" spans="3:6" x14ac:dyDescent="0.5">
      <c r="C8" t="s">
        <v>3504</v>
      </c>
      <c r="D8" s="56" t="s">
        <v>3345</v>
      </c>
      <c r="E8" s="56" t="s">
        <v>3345</v>
      </c>
      <c r="F8" s="58" t="s">
        <v>3331</v>
      </c>
    </row>
    <row r="9" spans="3:6" x14ac:dyDescent="0.5">
      <c r="C9" t="s">
        <v>3505</v>
      </c>
      <c r="D9" s="56" t="s">
        <v>3345</v>
      </c>
      <c r="E9" s="56" t="s">
        <v>3345</v>
      </c>
      <c r="F9" s="58" t="s">
        <v>3331</v>
      </c>
    </row>
    <row r="10" spans="3:6" x14ac:dyDescent="0.5">
      <c r="C10" t="s">
        <v>3506</v>
      </c>
      <c r="D10" s="56" t="s">
        <v>3345</v>
      </c>
      <c r="E10" s="56" t="s">
        <v>3345</v>
      </c>
      <c r="F10" s="58" t="s">
        <v>3331</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94302-B704-42D8-80D4-C77A409A7AB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3449</v>
      </c>
      <c r="I1" s="15" t="s">
        <v>3470</v>
      </c>
    </row>
    <row r="2" spans="2:9" x14ac:dyDescent="0.5">
      <c r="B2" t="s">
        <v>2966</v>
      </c>
      <c r="F2" s="15" t="s">
        <v>8</v>
      </c>
      <c r="G2" s="57" t="s">
        <v>10</v>
      </c>
      <c r="H2" s="57" t="s">
        <v>11</v>
      </c>
      <c r="I2" s="15" t="s">
        <v>3327</v>
      </c>
    </row>
    <row r="3" spans="2:9" x14ac:dyDescent="0.5">
      <c r="F3" t="s">
        <v>3450</v>
      </c>
      <c r="G3" s="56" t="s">
        <v>3345</v>
      </c>
      <c r="H3" s="56" t="s">
        <v>3345</v>
      </c>
      <c r="I3" s="58" t="s">
        <v>3331</v>
      </c>
    </row>
    <row r="4" spans="2:9" x14ac:dyDescent="0.5">
      <c r="F4" t="s">
        <v>3451</v>
      </c>
      <c r="G4" s="56" t="s">
        <v>3345</v>
      </c>
      <c r="H4" s="56" t="s">
        <v>3345</v>
      </c>
      <c r="I4" s="58" t="s">
        <v>3331</v>
      </c>
    </row>
    <row r="5" spans="2:9" x14ac:dyDescent="0.5">
      <c r="D5" t="s">
        <v>3169</v>
      </c>
      <c r="F5" t="s">
        <v>3491</v>
      </c>
      <c r="G5" s="56" t="s">
        <v>3345</v>
      </c>
      <c r="H5" s="56" t="s">
        <v>3345</v>
      </c>
      <c r="I5" s="58" t="s">
        <v>3331</v>
      </c>
    </row>
    <row r="6" spans="2:9" x14ac:dyDescent="0.5">
      <c r="F6" t="s">
        <v>3492</v>
      </c>
      <c r="G6" s="56" t="s">
        <v>3345</v>
      </c>
      <c r="H6" s="56" t="s">
        <v>3345</v>
      </c>
      <c r="I6" s="58" t="s">
        <v>3331</v>
      </c>
    </row>
    <row r="7" spans="2:9" x14ac:dyDescent="0.5">
      <c r="F7" t="s">
        <v>3493</v>
      </c>
      <c r="G7" s="56" t="s">
        <v>3345</v>
      </c>
      <c r="H7" s="56" t="s">
        <v>3345</v>
      </c>
      <c r="I7" s="58" t="s">
        <v>3331</v>
      </c>
    </row>
    <row r="8" spans="2:9" x14ac:dyDescent="0.5">
      <c r="F8" t="s">
        <v>3494</v>
      </c>
      <c r="G8" s="56" t="s">
        <v>3345</v>
      </c>
      <c r="H8" s="56" t="s">
        <v>3345</v>
      </c>
      <c r="I8" s="58" t="s">
        <v>3331</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07A9C-E506-4D8A-AB99-BAC760F7105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05A2D-5112-4010-B5E6-7D9E2130412B}">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3360</v>
      </c>
      <c r="E1" t="s">
        <v>3361</v>
      </c>
      <c r="I1" s="15" t="s">
        <v>3386</v>
      </c>
      <c r="L1" s="15" t="s">
        <v>3468</v>
      </c>
    </row>
    <row r="2" spans="1:12" x14ac:dyDescent="0.5">
      <c r="A2" s="61">
        <v>0</v>
      </c>
      <c r="B2" s="61">
        <v>1</v>
      </c>
      <c r="C2" s="61">
        <v>2</v>
      </c>
      <c r="E2" s="61">
        <v>0</v>
      </c>
      <c r="F2" s="61">
        <v>1</v>
      </c>
      <c r="G2" s="61">
        <v>2</v>
      </c>
      <c r="I2" s="15" t="s">
        <v>8</v>
      </c>
      <c r="J2" s="57" t="s">
        <v>10</v>
      </c>
      <c r="K2" s="57" t="s">
        <v>11</v>
      </c>
      <c r="L2" s="15" t="s">
        <v>3327</v>
      </c>
    </row>
    <row r="3" spans="1:12" x14ac:dyDescent="0.5">
      <c r="A3" s="61">
        <v>1</v>
      </c>
      <c r="B3" s="61">
        <v>2</v>
      </c>
      <c r="C3" s="61">
        <v>3</v>
      </c>
      <c r="E3" s="61">
        <v>1</v>
      </c>
      <c r="F3" s="61">
        <v>1</v>
      </c>
      <c r="G3" s="61">
        <v>2</v>
      </c>
      <c r="I3" t="s">
        <v>3387</v>
      </c>
      <c r="J3" s="56" t="s">
        <v>3388</v>
      </c>
      <c r="K3" s="56" t="s">
        <v>3388</v>
      </c>
      <c r="L3" s="58" t="s">
        <v>3331</v>
      </c>
    </row>
    <row r="4" spans="1:12" x14ac:dyDescent="0.5">
      <c r="A4" s="61">
        <v>2</v>
      </c>
      <c r="B4" s="61">
        <v>3</v>
      </c>
      <c r="C4" s="61">
        <v>4</v>
      </c>
      <c r="E4" s="61">
        <v>2</v>
      </c>
      <c r="F4" s="61">
        <v>2</v>
      </c>
      <c r="G4" s="61">
        <v>2</v>
      </c>
      <c r="I4" t="s">
        <v>3389</v>
      </c>
      <c r="J4" s="56" t="s">
        <v>3390</v>
      </c>
      <c r="K4" s="56" t="s">
        <v>3390</v>
      </c>
      <c r="L4" s="58" t="s">
        <v>3331</v>
      </c>
    </row>
    <row r="5" spans="1:12" x14ac:dyDescent="0.5">
      <c r="I5" t="s">
        <v>3391</v>
      </c>
      <c r="J5" s="56" t="s">
        <v>3392</v>
      </c>
      <c r="K5" s="56" t="s">
        <v>3392</v>
      </c>
      <c r="L5" s="58" t="s">
        <v>3331</v>
      </c>
    </row>
    <row r="6" spans="1:12" x14ac:dyDescent="0.5">
      <c r="A6" t="s">
        <v>3362</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2CE91-8291-404E-AE3D-2E199D254315}">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3371</v>
      </c>
      <c r="E1" t="s">
        <v>3373</v>
      </c>
      <c r="G1" s="15" t="s">
        <v>3454</v>
      </c>
      <c r="J1" s="15" t="s">
        <v>3469</v>
      </c>
    </row>
    <row r="2" spans="3:10" x14ac:dyDescent="0.5">
      <c r="C2" s="56" t="s">
        <v>3372</v>
      </c>
      <c r="G2" s="15" t="s">
        <v>8</v>
      </c>
      <c r="H2" s="57" t="s">
        <v>10</v>
      </c>
      <c r="I2" s="57" t="s">
        <v>11</v>
      </c>
      <c r="J2" s="15" t="s">
        <v>3327</v>
      </c>
    </row>
    <row r="3" spans="3:10" x14ac:dyDescent="0.5">
      <c r="G3" t="s">
        <v>3455</v>
      </c>
      <c r="H3" s="56" t="s">
        <v>161</v>
      </c>
      <c r="I3" s="56" t="s">
        <v>161</v>
      </c>
      <c r="J3" s="58" t="s">
        <v>3331</v>
      </c>
    </row>
    <row r="4" spans="3:10" x14ac:dyDescent="0.5">
      <c r="G4" t="s">
        <v>3456</v>
      </c>
      <c r="H4" s="56" t="s">
        <v>3236</v>
      </c>
      <c r="I4" s="56" t="s">
        <v>3236</v>
      </c>
      <c r="J4" s="58" t="s">
        <v>3331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D1B70-86AB-49FC-8363-CF6C9BE628A3}">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3443</v>
      </c>
      <c r="F1" s="15" t="s">
        <v>3469</v>
      </c>
    </row>
    <row r="2" spans="3:6" x14ac:dyDescent="0.5">
      <c r="C2" s="15" t="s">
        <v>8</v>
      </c>
      <c r="D2" s="57" t="s">
        <v>10</v>
      </c>
      <c r="E2" s="57" t="s">
        <v>11</v>
      </c>
      <c r="F2" s="15" t="s">
        <v>3327</v>
      </c>
    </row>
    <row r="3" spans="3:6" x14ac:dyDescent="0.5">
      <c r="C3" t="s">
        <v>3444</v>
      </c>
      <c r="D3" s="56" t="s">
        <v>3445</v>
      </c>
      <c r="E3" s="56" t="s">
        <v>3445</v>
      </c>
      <c r="F3" s="58" t="s">
        <v>3331</v>
      </c>
    </row>
    <row r="4" spans="3:6" x14ac:dyDescent="0.5">
      <c r="C4" t="s">
        <v>3446</v>
      </c>
      <c r="D4" s="56" t="s">
        <v>3335</v>
      </c>
      <c r="E4" s="56" t="s">
        <v>3335</v>
      </c>
      <c r="F4" s="58" t="s">
        <v>3331</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21A1B-1865-4B4D-BAFA-D85422DC52D1}">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3393</v>
      </c>
      <c r="F1" s="15" t="s">
        <v>3469</v>
      </c>
    </row>
    <row r="2" spans="3:6" x14ac:dyDescent="0.5">
      <c r="C2" s="15" t="s">
        <v>8</v>
      </c>
      <c r="D2" s="57" t="s">
        <v>10</v>
      </c>
      <c r="E2" s="57" t="s">
        <v>11</v>
      </c>
      <c r="F2" s="15" t="s">
        <v>3327</v>
      </c>
    </row>
    <row r="3" spans="3:6" x14ac:dyDescent="0.5">
      <c r="C3" t="s">
        <v>3394</v>
      </c>
      <c r="D3" s="56" t="s">
        <v>3345</v>
      </c>
      <c r="E3" s="56" t="s">
        <v>3345</v>
      </c>
      <c r="F3" s="58" t="s">
        <v>3331</v>
      </c>
    </row>
    <row r="4" spans="3:6" x14ac:dyDescent="0.5">
      <c r="C4" t="s">
        <v>3395</v>
      </c>
      <c r="D4" s="56" t="s">
        <v>3345</v>
      </c>
      <c r="E4" s="56" t="s">
        <v>3345</v>
      </c>
      <c r="F4" s="58" t="s">
        <v>3331</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C7A3-0B4C-4755-BDE0-014E8AF6D464}">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3343</v>
      </c>
      <c r="F1" s="15" t="s">
        <v>3468</v>
      </c>
    </row>
    <row r="2" spans="3:6" x14ac:dyDescent="0.5">
      <c r="C2" s="15" t="s">
        <v>8</v>
      </c>
      <c r="D2" s="57" t="s">
        <v>10</v>
      </c>
      <c r="E2" s="57" t="s">
        <v>11</v>
      </c>
      <c r="F2" s="15" t="s">
        <v>3327</v>
      </c>
    </row>
    <row r="3" spans="3:6" x14ac:dyDescent="0.5">
      <c r="C3" t="s">
        <v>3344</v>
      </c>
      <c r="D3" s="56" t="s">
        <v>3345</v>
      </c>
      <c r="E3" s="56" t="s">
        <v>3345</v>
      </c>
      <c r="F3" s="58" t="s">
        <v>3331</v>
      </c>
    </row>
    <row r="4" spans="3:6" x14ac:dyDescent="0.5">
      <c r="C4" t="s">
        <v>3346</v>
      </c>
      <c r="D4" s="56" t="s">
        <v>3345</v>
      </c>
      <c r="E4" s="56" t="s">
        <v>3345</v>
      </c>
      <c r="F4" s="58" t="s">
        <v>3331</v>
      </c>
    </row>
    <row r="5" spans="3:6" x14ac:dyDescent="0.5">
      <c r="C5" t="s">
        <v>3347</v>
      </c>
      <c r="D5" s="56" t="s">
        <v>3345</v>
      </c>
      <c r="E5" s="56" t="s">
        <v>3345</v>
      </c>
      <c r="F5" s="58" t="s">
        <v>3331</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65246-F1D0-4D0C-BAFB-85C4FDD4F07D}">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3072</v>
      </c>
      <c r="C1" s="15" t="s">
        <v>3427</v>
      </c>
      <c r="F1" s="15" t="s">
        <v>3470</v>
      </c>
    </row>
    <row r="2" spans="1:6" x14ac:dyDescent="0.5">
      <c r="C2" s="15" t="s">
        <v>8</v>
      </c>
      <c r="D2" s="57" t="s">
        <v>10</v>
      </c>
      <c r="E2" s="57" t="s">
        <v>11</v>
      </c>
      <c r="F2" s="15" t="s">
        <v>3327</v>
      </c>
    </row>
    <row r="3" spans="1:6" x14ac:dyDescent="0.5">
      <c r="C3" t="s">
        <v>3428</v>
      </c>
      <c r="D3" s="56" t="s">
        <v>3345</v>
      </c>
      <c r="E3" s="56" t="s">
        <v>3345</v>
      </c>
      <c r="F3" s="58" t="s">
        <v>3331</v>
      </c>
    </row>
    <row r="4" spans="1:6" x14ac:dyDescent="0.5">
      <c r="C4" t="s">
        <v>3429</v>
      </c>
      <c r="D4" s="56" t="s">
        <v>3345</v>
      </c>
      <c r="E4" s="56" t="s">
        <v>3345</v>
      </c>
      <c r="F4" s="58" t="s">
        <v>3331</v>
      </c>
    </row>
    <row r="5" spans="1:6" x14ac:dyDescent="0.5">
      <c r="C5" t="s">
        <v>3412</v>
      </c>
      <c r="D5" s="56" t="s">
        <v>3369</v>
      </c>
      <c r="E5" s="56" t="s">
        <v>3369</v>
      </c>
      <c r="F5" s="58" t="s">
        <v>3331</v>
      </c>
    </row>
    <row r="6" spans="1:6" x14ac:dyDescent="0.5">
      <c r="C6" t="s">
        <v>3430</v>
      </c>
      <c r="D6" s="56" t="s">
        <v>2934</v>
      </c>
      <c r="E6" s="56" t="s">
        <v>2934</v>
      </c>
      <c r="F6" s="58" t="s">
        <v>3331</v>
      </c>
    </row>
    <row r="7" spans="1:6" x14ac:dyDescent="0.5">
      <c r="C7" t="s">
        <v>3431</v>
      </c>
      <c r="D7" s="56" t="s">
        <v>3072</v>
      </c>
      <c r="E7" s="56" t="s">
        <v>3072</v>
      </c>
      <c r="F7" s="58" t="s">
        <v>3331</v>
      </c>
    </row>
    <row r="8" spans="1:6" x14ac:dyDescent="0.5">
      <c r="C8" t="s">
        <v>3432</v>
      </c>
      <c r="D8" s="56" t="s">
        <v>3338</v>
      </c>
      <c r="E8" s="56" t="s">
        <v>3338</v>
      </c>
      <c r="F8" s="58" t="s">
        <v>3331</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EB0F-58FC-4401-A6E4-172956EA460D}">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3374</v>
      </c>
      <c r="B1" t="s">
        <v>3375</v>
      </c>
      <c r="D1" s="15" t="s">
        <v>3457</v>
      </c>
      <c r="G1" s="15" t="s">
        <v>3472</v>
      </c>
    </row>
    <row r="2" spans="1:7" x14ac:dyDescent="0.5">
      <c r="A2">
        <v>101</v>
      </c>
      <c r="B2" t="s">
        <v>3376</v>
      </c>
      <c r="D2" s="15" t="s">
        <v>8</v>
      </c>
      <c r="E2" s="57" t="s">
        <v>10</v>
      </c>
      <c r="F2" s="57" t="s">
        <v>11</v>
      </c>
      <c r="G2" s="15" t="s">
        <v>3327</v>
      </c>
    </row>
    <row r="3" spans="1:7" x14ac:dyDescent="0.5">
      <c r="D3" t="s">
        <v>3458</v>
      </c>
      <c r="E3" s="56" t="s">
        <v>3345</v>
      </c>
      <c r="F3" s="56" t="s">
        <v>3345</v>
      </c>
      <c r="G3" s="58" t="s">
        <v>3331</v>
      </c>
    </row>
    <row r="4" spans="1:7" x14ac:dyDescent="0.5">
      <c r="D4" t="s">
        <v>3459</v>
      </c>
      <c r="E4" s="56" t="s">
        <v>3345</v>
      </c>
      <c r="F4" s="56" t="s">
        <v>3345</v>
      </c>
      <c r="G4" s="58" t="s">
        <v>3331</v>
      </c>
    </row>
    <row r="5" spans="1:7" x14ac:dyDescent="0.5">
      <c r="D5" t="s">
        <v>3460</v>
      </c>
      <c r="E5" s="56" t="s">
        <v>3374</v>
      </c>
      <c r="F5" s="56" t="s">
        <v>3374</v>
      </c>
      <c r="G5" s="58" t="s">
        <v>3331</v>
      </c>
    </row>
    <row r="6" spans="1:7" x14ac:dyDescent="0.5">
      <c r="D6" t="s">
        <v>3461</v>
      </c>
      <c r="E6" s="56" t="s">
        <v>3375</v>
      </c>
      <c r="F6" s="56" t="s">
        <v>3375</v>
      </c>
      <c r="G6" s="58" t="s">
        <v>3331</v>
      </c>
    </row>
    <row r="7" spans="1:7" x14ac:dyDescent="0.5">
      <c r="D7" t="s">
        <v>3462</v>
      </c>
      <c r="E7" s="56" t="s">
        <v>3232</v>
      </c>
      <c r="F7" s="56" t="s">
        <v>3232</v>
      </c>
      <c r="G7" s="58" t="s">
        <v>3331</v>
      </c>
    </row>
    <row r="8" spans="1:7" x14ac:dyDescent="0.5">
      <c r="D8" t="s">
        <v>3463</v>
      </c>
      <c r="E8" s="56" t="s">
        <v>3464</v>
      </c>
      <c r="F8" s="56" t="s">
        <v>3464</v>
      </c>
      <c r="G8" s="58" t="s">
        <v>3331</v>
      </c>
    </row>
    <row r="9" spans="1:7" x14ac:dyDescent="0.5">
      <c r="D9" t="s">
        <v>3465</v>
      </c>
      <c r="E9" s="56" t="s">
        <v>3232</v>
      </c>
      <c r="F9" s="56" t="s">
        <v>3232</v>
      </c>
      <c r="G9" s="58" t="s">
        <v>3331</v>
      </c>
    </row>
    <row r="10" spans="1:7" x14ac:dyDescent="0.5">
      <c r="D10" t="s">
        <v>3466</v>
      </c>
      <c r="E10" s="56" t="s">
        <v>3467</v>
      </c>
      <c r="F10" s="56" t="s">
        <v>3467</v>
      </c>
      <c r="G10" s="58" t="s">
        <v>3331</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388A2-98B8-4ADD-A7C2-81C690132BA0}">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3328</v>
      </c>
      <c r="F1" s="15" t="s">
        <v>3468</v>
      </c>
    </row>
    <row r="2" spans="3:6" x14ac:dyDescent="0.5">
      <c r="C2" s="15" t="s">
        <v>8</v>
      </c>
      <c r="D2" s="57" t="s">
        <v>10</v>
      </c>
      <c r="E2" s="57" t="s">
        <v>11</v>
      </c>
      <c r="F2" s="15" t="s">
        <v>3327</v>
      </c>
    </row>
    <row r="3" spans="3:6" x14ac:dyDescent="0.5">
      <c r="C3" t="s">
        <v>3329</v>
      </c>
      <c r="D3" s="56" t="s">
        <v>3330</v>
      </c>
      <c r="E3" s="56" t="s">
        <v>3330</v>
      </c>
      <c r="F3" s="58" t="s">
        <v>3331</v>
      </c>
    </row>
    <row r="4" spans="3:6" x14ac:dyDescent="0.5">
      <c r="C4" t="s">
        <v>3332</v>
      </c>
      <c r="D4" s="56" t="s">
        <v>3333</v>
      </c>
      <c r="E4" s="56" t="s">
        <v>3333</v>
      </c>
      <c r="F4" s="58" t="s">
        <v>3331</v>
      </c>
    </row>
    <row r="5" spans="3:6" x14ac:dyDescent="0.5">
      <c r="C5" t="s">
        <v>3334</v>
      </c>
      <c r="D5" s="56" t="s">
        <v>3335</v>
      </c>
      <c r="E5" s="56" t="s">
        <v>3335</v>
      </c>
      <c r="F5" s="58" t="s">
        <v>3331</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9974B-331A-4755-891B-CF4CFB1E5FB8}">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3452</v>
      </c>
      <c r="G1" s="15" t="s">
        <v>3473</v>
      </c>
    </row>
    <row r="2" spans="2:7" x14ac:dyDescent="0.5">
      <c r="D2" s="15" t="s">
        <v>8</v>
      </c>
      <c r="E2" s="57" t="s">
        <v>10</v>
      </c>
      <c r="F2" s="57" t="s">
        <v>11</v>
      </c>
      <c r="G2" s="15" t="s">
        <v>3327</v>
      </c>
    </row>
    <row r="3" spans="2:7" x14ac:dyDescent="0.5">
      <c r="D3" t="s">
        <v>3453</v>
      </c>
      <c r="E3" s="56" t="s">
        <v>3345</v>
      </c>
      <c r="F3" s="56" t="s">
        <v>3345</v>
      </c>
      <c r="G3" s="58" t="s">
        <v>3331</v>
      </c>
    </row>
    <row r="5" spans="2:7" x14ac:dyDescent="0.5">
      <c r="B5" s="65" t="s">
        <v>2966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85</vt:i4>
      </vt:variant>
    </vt:vector>
  </HeadingPairs>
  <TitlesOfParts>
    <vt:vector size="85"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2026-07-31T21:25:41Z</dcterms:modified>
</cp:coreProperties>
</file>