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<sst xmlns="http://schemas.openxmlformats.org/spreadsheetml/2006/main" count="5826" uniqueCount="3671">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</sst>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An invalid input returns "inv" - a non-address, or a range used as an element inside an array (a range is fine as a scalar input, but a range-within-an-array is not).</t>
        </is>
      </c>
      <c r="C2" s="73" t="inlineStr">
        <is>
          <t xml:space="preserve">'=LAMBDA(ad_or_rng, arr,
  LET(
    s_row, ROW(INDEX(arr, 1, 1)),
    s_col, COLUMN(INDEX(arr, 1, 1)),
    a_rows, ROWS(arr),
    a_cols, COLUMNS(arr),
    cell_at, LAMBDA(one,
      LET(box, IFERROR(z_ad_box(one), 0),
        IF(COUNT(box) &lt;&gt; 4, "inv",
        IF(OR(INDEX(box, 1) &lt;&gt; INDEX(box, 3), INDEX(box, 2) &lt;&gt; INDEX(box, 4)), "inv",
          LET(rel_r, INDEX(box, 1) - s_row + 1, rel_c, INDEX(box, 2) - s_col + 1,
            IF(OR(rel_r &lt; 1, rel_r &gt; a_rows, rel_c &lt; 1, rel_c &gt; a_cols), "oob",
              LET(cval, INDEX(arr, rel_r, rel_c), IF(cval = "", "", cval)))))))),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non-address single value     -&gt; "inv"
  an array of addresses            -&gt; element-wise contents; an out-of-bounds address -&gt; "oob"; an empty in-bounds cell -&gt; ""; anything that is not a single address (a range element, or junk) -&gt; "inv"
Empty cells come back as "" rather than 0 - fake coerced zeros corrupt later aggregates. The three string sentinels are distinct: "" = an in-bounds cell that is blank; "oob" = a valid address/range that landed entirely outside arr; "inv" = the input was not a usable single address (a non-address, or a range used as an array element). A range is a valid scalar input (clipped to its overlap), but a range inside an array is invalid because it would nest an array within the array.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"inv" for a non-address or a range used as an array element; and "" only for an in-bounds empty cell.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s">
        <v>3620</v>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s">
        <v>2782</v>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s">
        <v>3650</v>
      </c>
      <c r="D37" s="74" t="s">
        <v>2828</v>
      </c>
    </row>
    <row r="38" spans="1:4" s="75" customFormat="1" ht="19.25" customHeight="1" x14ac:dyDescent="0.5">
      <c r="A38" s="71" t="s">
        <v>2829</v>
      </c>
      <c r="B38" s="72" t="s">
        <v>2830</v>
      </c>
      <c r="C38" s="73" t="s">
        <v>2831</v>
      </c>
      <c r="D38" s="74" t="s">
        <v>2832</v>
      </c>
    </row>
    <row r="39" spans="1:4" s="75" customFormat="1" ht="19.25" customHeight="1" x14ac:dyDescent="0.5">
      <c r="A39" s="71" t="s">
        <v>2833</v>
      </c>
      <c r="B39" s="72" t="s">
        <v>2834</v>
      </c>
      <c r="C39" s="73" t="s">
        <v>2835</v>
      </c>
      <c r="D39" s="74" t="s">
        <v>2836</v>
      </c>
    </row>
    <row r="40" spans="1:4" s="75" customFormat="1" ht="19.25" customHeight="1" x14ac:dyDescent="0.5">
      <c r="A40" s="71" t="s">
        <v>2837</v>
      </c>
      <c r="B40" s="72" t="s">
        <v>2838</v>
      </c>
      <c r="C40" s="73" t="s">
        <v>2839</v>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s">
        <v>3634</v>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s">
        <v>2865</v>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s">
        <v>5</v>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IFNA(z_xbycol_ix(arr, function, 1, COLUMNS(arr)), "")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HYPERLINK("#'expand_rng'!A1","expand_rng")</f>
      </c>
      <c r="B22" s="48">
        <f>COUNTIF(expand_rng!$A:$BZ,"PASS")</f>
      </c>
      <c r="C22" s="50">
        <f>COUNTIF(expand_rng!$A:$BZ,"FAIL")</f>
      </c>
      <c r="D22" s="45">
        <f>B22+C22</f>
      </c>
      <c r="E22" s="45">
        <f>IF(C22&gt;0,"FAIL ("&amp;C22&amp;")",IF(D22=0,"-","all pass"))</f>
      </c>
    </row>
    <row r="23" spans="1:5" x14ac:dyDescent="0.5">
      <c r="A23" s="77">
        <f>HYPERLINK("#'first_time'!A1","first_time")</f>
      </c>
      <c r="B23" s="48">
        <f>COUNTIF(first_time!$A:$BZ,"PASS")</f>
      </c>
      <c r="C23" s="50">
        <f>COUNTIF(first_time!$A:$BZ,"FAIL")</f>
      </c>
      <c r="D23" s="45">
        <f>B23+C23</f>
      </c>
      <c r="E23" s="45">
        <f>IF(C23&gt;0,"FAIL ("&amp;C23&amp;")",IF(D23=0,"-","all pass"))</f>
      </c>
    </row>
    <row r="24" spans="1:5" x14ac:dyDescent="0.5">
      <c r="A24" s="77">
        <f>HYPERLINK("#'freq_table'!A1","freq_table")</f>
      </c>
      <c r="B24" s="48">
        <f>COUNTIF(freq_table!$A:$BZ,"PASS")</f>
      </c>
      <c r="C24" s="50">
        <f>COUNTIF(freq_table!$A:$BZ,"FAIL")</f>
      </c>
      <c r="D24" s="45">
        <f>B24+C24</f>
      </c>
      <c r="E24" s="45">
        <f>IF(C24&gt;0,"FAIL ("&amp;C24&amp;")",IF(D24=0,"-","all pass"))</f>
      </c>
    </row>
    <row r="25" spans="1:5" x14ac:dyDescent="0.5">
      <c r="A25" s="77">
        <f>HYPERLINK("#'ftd_maze_cost'!A1","ftd_maze_cost")</f>
      </c>
      <c r="B25" s="48">
        <f>COUNTIF(ftd_maze_cost!$A:$BZ,"PASS")</f>
      </c>
      <c r="C25" s="50">
        <f>COUNTIF(ftd_maze_cost!$A:$BZ,"FAIL")</f>
      </c>
      <c r="D25" s="45">
        <f>B25+C25</f>
      </c>
      <c r="E25" s="45">
        <f>IF(C25&gt;0,"FAIL ("&amp;C25&amp;")",IF(D25=0,"-","all pass"))</f>
      </c>
    </row>
    <row r="26" spans="1:5" x14ac:dyDescent="0.5">
      <c r="A26" s="77">
        <f>HYPERLINK("#'is_unique'!A1","is_unique")</f>
      </c>
      <c r="B26" s="48">
        <f>COUNTIF(is_unique!$A:$BZ,"PASS")</f>
      </c>
      <c r="C26" s="50">
        <f>COUNTIF(is_unique!$A:$BZ,"FAIL")</f>
      </c>
      <c r="D26" s="45">
        <f>B26+C26</f>
      </c>
      <c r="E26" s="45">
        <f>IF(C26&gt;0,"FAIL ("&amp;C26&amp;")",IF(D26=0,"-","all pass"))</f>
      </c>
    </row>
    <row r="27" spans="1:5" x14ac:dyDescent="0.5">
      <c r="A27" s="77">
        <f>HYPERLINK("#'knight_moves'!A1","knight_moves")</f>
      </c>
      <c r="B27" s="48">
        <f>COUNTIF(knight_moves!$A:$BZ,"PASS")</f>
      </c>
      <c r="C27" s="50">
        <f>COUNTIF(knight_moves!$A:$BZ,"FAIL")</f>
      </c>
      <c r="D27" s="45">
        <f>B27+C27</f>
      </c>
      <c r="E27" s="45">
        <f>IF(C27&gt;0,"FAIL ("&amp;C27&amp;")",IF(D27=0,"-","all pass"))</f>
      </c>
    </row>
    <row r="28" spans="1:5" x14ac:dyDescent="0.5">
      <c r="A28" s="77">
        <f>HYPERLINK("#'label_lookup'!A1","label_lookup")</f>
      </c>
      <c r="B28" s="48">
        <f>COUNTIF(label_lookup!$A:$BZ,"PASS")</f>
      </c>
      <c r="C28" s="50">
        <f>COUNTIF(label_lookup!$A:$BZ,"FAIL")</f>
      </c>
      <c r="D28" s="45">
        <f>B28+C28</f>
      </c>
      <c r="E28" s="45">
        <f>IF(C28&gt;0,"FAIL ("&amp;C28&amp;")",IF(D28=0,"-","all pass"))</f>
      </c>
    </row>
    <row r="29" spans="1:5" x14ac:dyDescent="0.5">
      <c r="A29" s="77">
        <f>HYPERLINK("#'load_array'!A1","load_array")</f>
      </c>
      <c r="B29" s="48">
        <f>COUNTIF(load_array!$A:$BZ,"PASS")</f>
      </c>
      <c r="C29" s="50">
        <f>COUNTIF(load_array!$A:$BZ,"FAIL")</f>
      </c>
      <c r="D29" s="45">
        <f>B29+C29</f>
      </c>
      <c r="E29" s="45">
        <f>IF(C29&gt;0,"FAIL ("&amp;C29&amp;")",IF(D29=0,"-","all pass"))</f>
      </c>
    </row>
    <row r="30" spans="1:5" x14ac:dyDescent="0.5">
      <c r="A30" s="77">
        <f>HYPERLINK("#'make_change'!A1","make_change")</f>
      </c>
      <c r="B30" s="48">
        <f>COUNTIF(make_change!$A:$BZ,"PASS")</f>
      </c>
      <c r="C30" s="50">
        <f>COUNTIF(make_change!$A:$BZ,"FAIL")</f>
      </c>
      <c r="D30" s="45">
        <f>B30+C30</f>
      </c>
      <c r="E30" s="45">
        <f>IF(C30&gt;0,"FAIL ("&amp;C30&amp;")",IF(D30=0,"-","all pass"))</f>
      </c>
    </row>
    <row r="31" spans="1:5" x14ac:dyDescent="0.5">
      <c r="A31" s="77">
        <f>HYPERLINK("#'neighbors_count'!A1","neighbors_count")</f>
      </c>
      <c r="B31" s="48">
        <f>COUNTIF(neighbors_count!$A:$BZ,"PASS")</f>
      </c>
      <c r="C31" s="50">
        <f>COUNTIF(neighbors_count!$A:$BZ,"FAIL")</f>
      </c>
      <c r="D31" s="45">
        <f>B31+C31</f>
      </c>
      <c r="E31" s="45">
        <f>IF(C31&gt;0,"FAIL ("&amp;C31&amp;")",IF(D31=0,"-","all pass"))</f>
      </c>
    </row>
    <row r="32" spans="1:5" x14ac:dyDescent="0.5">
      <c r="A32" s="77">
        <f>HYPERLINK("#'neighbors_list'!A1","neighbors_list")</f>
      </c>
      <c r="B32" s="48">
        <f>COUNTIF(neighbors_list!$A:$BZ,"PASS")</f>
      </c>
      <c r="C32" s="50">
        <f>COUNTIF(neighbors_list!$A:$BZ,"FAIL")</f>
      </c>
      <c r="D32" s="45">
        <f>B32+C32</f>
      </c>
      <c r="E32" s="45">
        <f>IF(C32&gt;0,"FAIL ("&amp;C32&amp;")",IF(D32=0,"-","all pass"))</f>
      </c>
    </row>
    <row r="33" spans="1:5" x14ac:dyDescent="0.5">
      <c r="A33" s="77">
        <f>HYPERLINK("#'num_ad'!A1","num_ad")</f>
      </c>
      <c r="B33" s="48">
        <f>COUNTIF(num_ad!$A:$BZ,"PASS")</f>
      </c>
      <c r="C33" s="50">
        <f>COUNTIF(num_ad!$A:$BZ,"FAIL")</f>
      </c>
      <c r="D33" s="45">
        <f>B33+C33</f>
      </c>
      <c r="E33" s="45">
        <f>IF(C33&gt;0,"FAIL ("&amp;C33&amp;")",IF(D33=0,"-","all pass"))</f>
      </c>
    </row>
    <row r="34" spans="1:5" x14ac:dyDescent="0.5">
      <c r="A34" s="77">
        <f>HYPERLINK("#'offset_letter'!A1","offset_letter")</f>
      </c>
      <c r="B34" s="48">
        <f>COUNTIF(offset_letter!$A:$BZ,"PASS")</f>
      </c>
      <c r="C34" s="50">
        <f>COUNTIF(offset_letter!$A:$BZ,"FAIL")</f>
      </c>
      <c r="D34" s="45">
        <f>B34+C34</f>
      </c>
      <c r="E34" s="45">
        <f>IF(C34&gt;0,"FAIL ("&amp;C34&amp;")",IF(D34=0,"-","all pass"))</f>
      </c>
    </row>
    <row r="35" spans="1:5" x14ac:dyDescent="0.5">
      <c r="A35" s="77">
        <f>HYPERLINK("#'only_letters'!A1","only_letters")</f>
      </c>
      <c r="B35" s="48">
        <f>COUNTIF(only_letters!$A:$BZ,"PASS")</f>
      </c>
      <c r="C35" s="50">
        <f>COUNTIF(only_letters!$A:$BZ,"FAIL")</f>
      </c>
      <c r="D35" s="45">
        <f>B35+C35</f>
      </c>
      <c r="E35" s="45">
        <f>IF(C35&gt;0,"FAIL ("&amp;C35&amp;")",IF(D35=0,"-","all pass"))</f>
      </c>
    </row>
    <row r="36" spans="1:5" x14ac:dyDescent="0.5">
      <c r="A36" s="77">
        <f>HYPERLINK("#'only_numbers'!A1","only_numbers")</f>
      </c>
      <c r="B36" s="48">
        <f>COUNTIF(only_numbers!$A:$BZ,"PASS")</f>
      </c>
      <c r="C36" s="50">
        <f>COUNTIF(only_numbers!$A:$BZ,"FAIL")</f>
      </c>
      <c r="D36" s="45">
        <f>B36+C36</f>
      </c>
      <c r="E36" s="45">
        <f>IF(C36&gt;0,"FAIL ("&amp;C36&amp;")",IF(D36=0,"-","all pass"))</f>
      </c>
    </row>
    <row r="37" spans="1:5" x14ac:dyDescent="0.5">
      <c r="A37" s="77">
        <f>HYPERLINK("#'rc_to_ad'!A1","rc_to_ad")</f>
      </c>
      <c r="B37" s="48">
        <f>COUNTIF(rc_to_ad!$A:$BZ,"PASS")</f>
      </c>
      <c r="C37" s="50">
        <f>COUNTIF(rc_to_ad!$A:$BZ,"FAIL")</f>
      </c>
      <c r="D37" s="45">
        <f>B37+C37</f>
      </c>
      <c r="E37" s="45">
        <f>IF(C37&gt;0,"FAIL ("&amp;C37&amp;")",IF(D37=0,"-","all pass"))</f>
      </c>
    </row>
    <row r="38" spans="1:5" x14ac:dyDescent="0.5">
      <c r="A38" s="77">
        <f>HYPERLINK("#'rev'!A1","rev")</f>
      </c>
      <c r="B38" s="48">
        <f>COUNTIF(rev!$A:$BZ,"PASS")</f>
      </c>
      <c r="C38" s="50">
        <f>COUNTIF(rev!$A:$BZ,"FAIL")</f>
      </c>
      <c r="D38" s="45">
        <f>B38+C38</f>
      </c>
      <c r="E38" s="45">
        <f>IF(C38&gt;0,"FAIL ("&amp;C38&amp;")",IF(D38=0,"-","all pass"))</f>
      </c>
    </row>
    <row r="39" spans="1:5" x14ac:dyDescent="0.5">
      <c r="A39" s="77">
        <f>HYPERLINK("#'rotate_arrow'!A1","rotate_arrow")</f>
      </c>
      <c r="B39" s="48">
        <f>COUNTIF(rotate_arrow!$A:$BZ,"PASS")</f>
      </c>
      <c r="C39" s="50">
        <f>COUNTIF(rotate_arrow!$A:$BZ,"FAIL")</f>
      </c>
      <c r="D39" s="45">
        <f>B39+C39</f>
      </c>
      <c r="E39" s="45">
        <f>IF(C39&gt;0,"FAIL ("&amp;C39&amp;")",IF(D39=0,"-","all pass"))</f>
      </c>
    </row>
    <row r="40" spans="1:5" x14ac:dyDescent="0.5">
      <c r="A40" s="77">
        <f>HYPERLINK("#'route_cost'!A1","route_cost")</f>
      </c>
      <c r="B40" s="48">
        <f>COUNTIF(route_cost!$A:$BZ,"PASS")</f>
      </c>
      <c r="C40" s="50">
        <f>COUNTIF(route_cost!$A:$BZ,"FAIL")</f>
      </c>
      <c r="D40" s="45">
        <f>B40+C40</f>
      </c>
      <c r="E40" s="45">
        <f>IF(C40&gt;0,"FAIL ("&amp;C40&amp;")",IF(D40=0,"-","all pass"))</f>
      </c>
    </row>
    <row r="41" spans="1:5" x14ac:dyDescent="0.5">
      <c r="A41" s="77">
        <f>HYPERLINK("#'save_array'!A1","save_array")</f>
      </c>
      <c r="B41" s="48">
        <f>COUNTIF(save_array!$A:$BZ,"PASS")</f>
      </c>
      <c r="C41" s="50">
        <f>COUNTIF(save_array!$A:$BZ,"FAIL")</f>
      </c>
      <c r="D41" s="45">
        <f>B41+C41</f>
      </c>
      <c r="E41" s="45">
        <f>IF(C41&gt;0,"FAIL ("&amp;C41&amp;")",IF(D41=0,"-","all pass"))</f>
      </c>
    </row>
    <row r="42" spans="1:5" x14ac:dyDescent="0.5">
      <c r="A42" s="77">
        <f>HYPERLINK("#'scan2'!A1","scan2")</f>
      </c>
      <c r="B42" s="48">
        <f>COUNTIF(scan2!$A:$BZ,"PASS")</f>
      </c>
      <c r="C42" s="50">
        <f>COUNTIF(scan2!$A:$BZ,"FAIL")</f>
      </c>
      <c r="D42" s="45">
        <f>B42+C42</f>
      </c>
      <c r="E42" s="45">
        <f>IF(C42&gt;0,"FAIL ("&amp;C42&amp;")",IF(D42=0,"-","all pass"))</f>
      </c>
    </row>
    <row r="43" spans="1:5" x14ac:dyDescent="0.5">
      <c r="A43" s="77">
        <f>HYPERLINK("#'scan3'!A1","scan3")</f>
      </c>
      <c r="B43" s="48">
        <f>COUNTIF(scan3!$A:$BZ,"PASS")</f>
      </c>
      <c r="C43" s="50">
        <f>COUNTIF(scan3!$A:$BZ,"FAIL")</f>
      </c>
      <c r="D43" s="45">
        <f>B43+C43</f>
      </c>
      <c r="E43" s="45">
        <f>IF(C43&gt;0,"FAIL ("&amp;C43&amp;")",IF(D43=0,"-","all pass"))</f>
      </c>
    </row>
    <row r="44" spans="1:5" x14ac:dyDescent="0.5">
      <c r="A44" s="77">
        <f>HYPERLINK("#'selections'!A1","selections")</f>
      </c>
      <c r="B44" s="48">
        <f>COUNTIF(selections!$A:$BZ,"PASS")</f>
      </c>
      <c r="C44" s="50">
        <f>COUNTIF(selections!$A:$BZ,"FAIL")</f>
      </c>
      <c r="D44" s="45">
        <f>B44+C44</f>
      </c>
      <c r="E44" s="45">
        <f>IF(C44&gt;0,"FAIL ("&amp;C44&amp;")",IF(D44=0,"-","all pass"))</f>
      </c>
    </row>
    <row r="45" spans="1:5" x14ac:dyDescent="0.5">
      <c r="A45" s="77">
        <f>HYPERLINK("#'set'!A1","set")</f>
      </c>
      <c r="B45" s="48">
        <f>COUNTIF(set!$A:$BZ,"PASS")</f>
      </c>
      <c r="C45" s="50">
        <f>COUNTIF(set!$A:$BZ,"FAIL")</f>
      </c>
      <c r="D45" s="45">
        <f>B45+C45</f>
      </c>
      <c r="E45" s="45">
        <f>IF(C45&gt;0,"FAIL ("&amp;C45&amp;")",IF(D45=0,"-","all pass"))</f>
      </c>
    </row>
    <row r="46" spans="1:5" x14ac:dyDescent="0.5">
      <c r="A46" s="77">
        <f>HYPERLINK("#'set_d'!A1","set_d")</f>
      </c>
      <c r="B46" s="48">
        <f>COUNTIF(set_d!$A:$BZ,"PASS")</f>
      </c>
      <c r="C46" s="50">
        <f>COUNTIF(set_d!$A:$BZ,"FAIL")</f>
      </c>
      <c r="D46" s="45">
        <f>B46+C46</f>
      </c>
      <c r="E46" s="45">
        <f>IF(C46&gt;0,"FAIL ("&amp;C46&amp;")",IF(D46=0,"-","all pass"))</f>
      </c>
    </row>
    <row r="47" spans="1:5" x14ac:dyDescent="0.5">
      <c r="A47" s="77">
        <f>HYPERLINK("#'set_i'!A1","set_i")</f>
      </c>
      <c r="B47" s="48">
        <f>COUNTIF(set_i!$A:$BZ,"PASS")</f>
      </c>
      <c r="C47" s="50">
        <f>COUNTIF(set_i!$A:$BZ,"FAIL")</f>
      </c>
      <c r="D47" s="45">
        <f>B47+C47</f>
      </c>
      <c r="E47" s="45">
        <f>IF(C47&gt;0,"FAIL ("&amp;C47&amp;")",IF(D47=0,"-","all pass"))</f>
      </c>
    </row>
    <row r="48" spans="1:5" x14ac:dyDescent="0.5">
      <c r="A48" s="77">
        <f>HYPERLINK("#'set_u'!A1","set_u")</f>
      </c>
      <c r="B48" s="48">
        <f>COUNTIF(set_u!$A:$BZ,"PASS")</f>
      </c>
      <c r="C48" s="50">
        <f>COUNTIF(set_u!$A:$BZ,"FAIL")</f>
      </c>
      <c r="D48" s="45">
        <f>B48+C48</f>
      </c>
      <c r="E48" s="45">
        <f>IF(C48&gt;0,"FAIL ("&amp;C48&amp;")",IF(D48=0,"-","all pass"))</f>
      </c>
    </row>
    <row r="49" spans="1:5" x14ac:dyDescent="0.5">
      <c r="A49" s="77">
        <f>HYPERLINK("#'shift_arr'!A1","shift_arr")</f>
      </c>
      <c r="B49" s="48">
        <f>COUNTIF(shift_arr!$A:$BZ,"PASS")</f>
      </c>
      <c r="C49" s="50">
        <f>COUNTIF(shift_arr!$A:$BZ,"FAIL")</f>
      </c>
      <c r="D49" s="45">
        <f>B49+C49</f>
      </c>
      <c r="E49" s="45">
        <f>IF(C49&gt;0,"FAIL ("&amp;C49&amp;")",IF(D49=0,"-","all pass"))</f>
      </c>
    </row>
    <row r="50" spans="1:5" x14ac:dyDescent="0.5">
      <c r="A50" s="77">
        <f>HYPERLINK("#'smallest'!A1","smallest")</f>
      </c>
      <c r="B50" s="48">
        <f>COUNTIF(smallest!$A:$BZ,"PASS")</f>
      </c>
      <c r="C50" s="50">
        <f>COUNTIF(smallest!$A:$BZ,"FAIL")</f>
      </c>
      <c r="D50" s="45">
        <f>B50+C50</f>
      </c>
      <c r="E50" s="45">
        <f>IF(C50&gt;0,"FAIL ("&amp;C50&amp;")",IF(D50=0,"-","all pass"))</f>
      </c>
    </row>
    <row r="51" spans="1:5" x14ac:dyDescent="0.5">
      <c r="A51" s="77">
        <f>HYPERLINK("#'str_ad'!A1","str_ad")</f>
      </c>
      <c r="B51" s="48">
        <f>COUNTIF(str_ad!$A:$BZ,"PASS")</f>
      </c>
      <c r="C51" s="50">
        <f>COUNTIF(str_ad!$A:$BZ,"FAIL")</f>
      </c>
      <c r="D51" s="45">
        <f>B51+C51</f>
      </c>
      <c r="E51" s="45">
        <f>IF(C51&gt;0,"FAIL ("&amp;C51&amp;")",IF(D51=0,"-","all pass"))</f>
      </c>
    </row>
    <row r="52" spans="1:5" x14ac:dyDescent="0.5">
      <c r="A52" s="77">
        <f>HYPERLINK("#'str_rev'!A1","str_rev")</f>
      </c>
      <c r="B52" s="48">
        <f>COUNTIF(str_rev!$A:$BZ,"PASS")</f>
      </c>
      <c r="C52" s="50">
        <f>COUNTIF(str_rev!$A:$BZ,"FAIL")</f>
      </c>
      <c r="D52" s="45">
        <f>B52+C52</f>
      </c>
      <c r="E52" s="45">
        <f>IF(C52&gt;0,"FAIL ("&amp;C52&amp;")",IF(D52=0,"-","all pass"))</f>
      </c>
    </row>
    <row r="53" spans="1:5" x14ac:dyDescent="0.5">
      <c r="A53" s="77">
        <f>HYPERLINK("#'str_to_arr'!A1","str_to_arr")</f>
      </c>
      <c r="B53" s="48">
        <f>COUNTIF(str_to_arr!$A:$BZ,"PASS")</f>
      </c>
      <c r="C53" s="50">
        <f>COUNTIF(str_to_arr!$A:$BZ,"FAIL")</f>
      </c>
      <c r="D53" s="45">
        <f>B53+C53</f>
      </c>
      <c r="E53" s="45">
        <f>IF(C53&gt;0,"FAIL ("&amp;C53&amp;")",IF(D53=0,"-","all pass"))</f>
      </c>
    </row>
    <row r="54" spans="1:5" x14ac:dyDescent="0.5">
      <c r="A54" s="77">
        <f>HYPERLINK("#'streak'!A1","streak")</f>
      </c>
      <c r="B54" s="48">
        <f>COUNTIF(streak!$A:$BZ,"PASS")</f>
      </c>
      <c r="C54" s="50">
        <f>COUNTIF(streak!$A:$BZ,"FAIL")</f>
      </c>
      <c r="D54" s="45">
        <f>B54+C54</f>
      </c>
      <c r="E54" s="45">
        <f>IF(C54&gt;0,"FAIL ("&amp;C54&amp;")",IF(D54=0,"-","all pass"))</f>
      </c>
    </row>
    <row r="55" spans="1:5" x14ac:dyDescent="0.5">
      <c r="A55" s="77">
        <f>HYPERLINK("#'textbetween'!A1","textbetween")</f>
      </c>
      <c r="B55" s="48">
        <f>COUNTIF(textbetween!$A:$BZ,"PASS")</f>
      </c>
      <c r="C55" s="50">
        <f>COUNTIF(textbetween!$A:$BZ,"FAIL")</f>
      </c>
      <c r="D55" s="45">
        <f>B55+C55</f>
      </c>
      <c r="E55" s="45">
        <f>IF(C55&gt;0,"FAIL ("&amp;C55&amp;")",IF(D55=0,"-","all pass"))</f>
      </c>
    </row>
    <row r="56" spans="1:5" x14ac:dyDescent="0.5">
      <c r="A56" s="77">
        <f>HYPERLINK("#'transform_array'!A1","transform_array")</f>
      </c>
      <c r="B56" s="48">
        <f>COUNTIF(transform_array!$A:$BZ,"PASS")</f>
      </c>
      <c r="C56" s="50">
        <f>COUNTIF(transform_array!$A:$BZ,"FAIL")</f>
      </c>
      <c r="D56" s="45">
        <f>B56+C56</f>
      </c>
      <c r="E56" s="45">
        <f>IF(C56&gt;0,"FAIL ("&amp;C56&amp;")",IF(D56=0,"-","all pass"))</f>
      </c>
    </row>
    <row r="57" spans="1:5" x14ac:dyDescent="0.5">
      <c r="A57" s="77">
        <f>HYPERLINK("#'update_arr'!A1","update_arr")</f>
      </c>
      <c r="B57" s="48">
        <f>COUNTIF(update_arr!$A:$BZ,"PASS")</f>
      </c>
      <c r="C57" s="50">
        <f>COUNTIF(update_arr!$A:$BZ,"FAIL")</f>
      </c>
      <c r="D57" s="45">
        <f>B57+C57</f>
      </c>
      <c r="E57" s="45">
        <f>IF(C57&gt;0,"FAIL ("&amp;C57&amp;")",IF(D57=0,"-","all pass"))</f>
      </c>
    </row>
    <row r="58" spans="1:5" x14ac:dyDescent="0.5">
      <c r="A58" s="77">
        <f>HYPERLINK("#'xbycol'!A1","xbycol")</f>
      </c>
      <c r="B58" s="48">
        <f>COUNTIF(xbycol!$A:$BZ,"PASS")</f>
      </c>
      <c r="C58" s="50">
        <f>COUNTIF(xbycol!$A:$BZ,"FAIL")</f>
      </c>
      <c r="D58" s="45">
        <f>B58+C58</f>
      </c>
      <c r="E58" s="45">
        <f>IF(C58&gt;0,"FAIL ("&amp;C58&amp;")",IF(D58=0,"-","all pass"))</f>
      </c>
    </row>
    <row r="59" spans="1:5" x14ac:dyDescent="0.5">
      <c r="A59" s="77">
        <f>HYPERLINK("#'xbyrow'!A1","xbyrow")</f>
      </c>
      <c r="B59" s="48">
        <f>COUNTIF(xbyrow!$A:$BZ,"PASS")</f>
      </c>
      <c r="C59" s="50">
        <f>COUNTIF(xbyrow!$A:$BZ,"FAIL")</f>
      </c>
      <c r="D59" s="45">
        <f>B59+C59</f>
      </c>
      <c r="E59" s="45">
        <f>IF(C59&gt;0,"FAIL ("&amp;C59&amp;")",IF(D59=0,"-","all pass"))</f>
      </c>
    </row>
    <row r="60" spans="1:5" x14ac:dyDescent="0.5">
      <c r="A60" s="77">
        <f>HYPERLINK("#'xcountif'!A1","xcountif")</f>
      </c>
      <c r="B60" s="48">
        <f>COUNTIF(xcountif!$A:$BZ,"PASS")</f>
      </c>
      <c r="C60" s="50">
        <f>COUNTIF(xcountif!$A:$BZ,"FAIL")</f>
      </c>
      <c r="D60" s="45">
        <f>B60+C60</f>
      </c>
      <c r="E60" s="45">
        <f>IF(C60&gt;0,"FAIL ("&amp;C60&amp;")",IF(D60=0,"-","all pass"))</f>
      </c>
    </row>
    <row r="61" spans="1:5" x14ac:dyDescent="0.5">
      <c r="A61" s="77">
        <f>HYPERLINK("#'xdec2bin'!A1","xdec2bin")</f>
      </c>
      <c r="B61" s="48">
        <f>COUNTIF(xdec2bin!$A:$BZ,"PASS")</f>
      </c>
      <c r="C61" s="50">
        <f>COUNTIF(xdec2bin!$A:$BZ,"FAIL")</f>
      </c>
      <c r="D61" s="45">
        <f>B61+C61</f>
      </c>
      <c r="E61" s="45">
        <f>IF(C61&gt;0,"FAIL ("&amp;C61&amp;")",IF(D61=0,"-","all pass"))</f>
      </c>
    </row>
    <row r="62" spans="1:5" x14ac:dyDescent="0.5">
      <c r="A62" s="77">
        <f>HYPERLINK("#'xfilter'!A1","xfilter")</f>
      </c>
      <c r="B62" s="48">
        <f>COUNTIF(xfilter!$A:$BZ,"PASS")</f>
      </c>
      <c r="C62" s="50">
        <f>COUNTIF(xfilter!$A:$BZ,"FAIL")</f>
      </c>
      <c r="D62" s="45">
        <f>B62+C62</f>
      </c>
      <c r="E62" s="45">
        <f>IF(C62&gt;0,"FAIL ("&amp;C62&amp;")",IF(D62=0,"-","all pass"))</f>
      </c>
    </row>
    <row r="63" spans="1:5" x14ac:dyDescent="0.5">
      <c r="A63" s="77">
        <f>HYPERLINK("#'xmod'!A1","xmod")</f>
      </c>
      <c r="B63" s="48">
        <f>COUNTIF(xmod!$A:$BZ,"PASS")</f>
      </c>
      <c r="C63" s="50">
        <f>COUNTIF(xmod!$A:$BZ,"FAIL")</f>
      </c>
      <c r="D63" s="45">
        <f>B63+C63</f>
      </c>
      <c r="E63" s="45">
        <f>IF(C63&gt;0,"FAIL ("&amp;C63&amp;")",IF(D63=0,"-","all pass"))</f>
      </c>
    </row>
    <row r="64" spans="1:5" x14ac:dyDescent="0.5">
      <c r="A64" s="77">
        <f>HYPERLINK("#'xn'!A1","xn")</f>
      </c>
      <c r="B64" s="48">
        <f>COUNTIF(xn!$A:$BZ,"PASS")</f>
      </c>
      <c r="C64" s="50">
        <f>COUNTIF(xn!$A:$BZ,"FAIL")</f>
      </c>
      <c r="D64" s="45">
        <f>B64+C64</f>
      </c>
      <c r="E64" s="45">
        <f>IF(C64&gt;0,"FAIL ("&amp;C64&amp;")",IF(D64=0,"-","all pass"))</f>
      </c>
    </row>
    <row r="65" spans="2:5" x14ac:dyDescent="0.5">
      <c r="A65" s="77">
        <f>HYPERLINK("#'xrank'!A1","xrank")</f>
      </c>
      <c r="B65" s="48">
        <f>COUNTIF(xrank!$A:$BZ,"PASS")</f>
      </c>
      <c r="C65" s="50">
        <f>COUNTIF(xrank!$A:$BZ,"FAIL")</f>
      </c>
      <c r="D65" s="45">
        <f>B65+C65</f>
      </c>
      <c r="E65" s="45">
        <f>IF(C65&gt;0,"FAIL ("&amp;C65&amp;")",IF(D65=0,"-","all pass"))</f>
      </c>
    </row>
    <row r="66" spans="2:5" x14ac:dyDescent="0.5">
      <c r="A66" s="77">
        <f>HYPERLINK("#'xsequence'!A1","xsequence")</f>
      </c>
      <c r="B66" s="48">
        <f>COUNTIF(xsequence!$A:$BZ,"PASS")</f>
      </c>
      <c r="C66" s="50">
        <f>COUNTIF(xsequence!$A:$BZ,"FAIL")</f>
      </c>
      <c r="D66" s="45">
        <f>B66+C66</f>
      </c>
      <c r="E66" s="45">
        <f>IF(C66&gt;0,"FAIL ("&amp;C66&amp;")",IF(D66=0,"-","all pass"))</f>
      </c>
    </row>
    <row r="67">
      <c r="A67" s="77">
        <f>HYPERLINK("#'xtextjoin'!A1","xtextjoin")</f>
      </c>
      <c r="B67" s="48">
        <f>COUNTIF(xtextjoin!$A:$BZ,"PASS")</f>
      </c>
      <c r="C67" s="50">
        <f>COUNTIF(xtextjoin!$A:$BZ,"FAIL")</f>
      </c>
      <c r="D67" s="45">
        <f>B67+C67</f>
      </c>
      <c r="E67" s="45">
        <f>IF(C67&gt;0,"FAIL ("&amp;C67&amp;")",IF(D67=0,"-","all pass"))</f>
      </c>
    </row>
    <row r="68">
      <c r="A68" s="77">
        <f>HYPERLINK("#'xtocol'!A1","xtocol")</f>
      </c>
      <c r="B68" s="48">
        <f>COUNTIF(xtocol!$A:$BZ,"PASS")</f>
      </c>
      <c r="C68" s="50">
        <f>COUNTIF(xtocol!$A:$BZ,"FAIL")</f>
      </c>
      <c r="D68" s="45">
        <f>B68+C68</f>
      </c>
      <c r="E68" s="45">
        <f>IF(C68&gt;0,"FAIL ("&amp;C68&amp;")",IF(D68=0,"-","all pass"))</f>
      </c>
    </row>
    <row r="69">
      <c r="A69" s="101" t="inlineStr">
        <is>
          <t xml:space="preserve">TOTAL</t>
        </is>
      </c>
      <c r="B69" s="48">
        <f>SUM(B5:B68)</f>
      </c>
      <c r="C69" s="50">
        <f>SUM(C5:C68)</f>
      </c>
      <c r="D69" s="45">
        <f>SUM(D5:D68)</f>
      </c>
      <c r="E69" s="45">
        <f>IF(C69&gt;0,C69&amp;" FAILING","ALL PASS")</f>
      </c>
    </row>
    <row r="70">
      <c r="A70"/>
      <c r="B70" s="48"/>
      <c r="C70" s="50"/>
      <c r="D70" s="45"/>
      <c r="E70" s="45"/>
    </row>
    <row r="71">
      <c r="A71"/>
      <c r="B71" s="48"/>
      <c r="C71" s="50"/>
      <c r="D71" s="45"/>
      <c r="E71" s="45"/>
    </row>
    <row r="72">
      <c r="A72"/>
      <c r="B72" s="48"/>
      <c r="C72" s="50"/>
      <c r="D72" s="45"/>
      <c r="E72"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In-bounds empty cell -&gt; ""; a valid address/range fully outside arr -&gt; "oob"; a non-address, or a range used as an array element -&gt; "inv". Fixture: D7:F9 holds 10..90.</t>
        </is>
      </c>
      <c r="S4" s="45">
        <f>COUNTIF(S11:S60,"PASS")&amp;" / 13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K14" t="inlineStr">
        <is>
          <t xml:space="preserve">D7</t>
        </is>
      </c>
      <c r="M14" s="52"/>
      <c r="N14" s="52"/>
      <c r="P14" s="53"/>
      <c r="Q14" s="53"/>
      <c r="S14" s="54"/>
    </row>
    <row r="15" spans="1:19" x14ac:dyDescent="0.5">
      <c r="B15" s="47" t="s">
        <v>3492</v>
      </c>
      <c r="E15" s="51"/>
      <c r="K15" t="inlineStr">
        <is>
          <t xml:space="preserve">D7:E8</t>
        </is>
      </c>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K17">
        <f>REPT("z",300)</f>
      </c>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c r="B35" s="47" t="inlineStr">
        <is>
          <t xml:space="preserve">non-address "hello" -&gt; "inv"</t>
        </is>
      </c>
      <c r="M35" s="52" t="inlineStr">
        <is>
          <t xml:space="preserve">inv</t>
        </is>
      </c>
      <c r="P35" s="53" cm="1">
        <f t="array" ref="P35">ad_to_cont("hello",D7:F9)</f>
        <v>0</v>
      </c>
      <c r="S35" s="54">
        <f>IF(P35=M35,"PASS","FAIL")</f>
      </c>
    </row>
    <row r="37">
      <c r="B37" t="inlineStr">
        <is>
          <t xml:space="preserve">array w/ range elt {D7;D7:E8} -&gt; {10;"inv"}</t>
        </is>
      </c>
      <c r="M37" s="52">
        <v>10</v>
      </c>
      <c r="P37" s="53" cm="1">
        <f t="array" ref="P37:P38">ad_to_cont(K14:K15,D7:F9)</f>
        <v>0</v>
      </c>
      <c r="S37" s="54" cm="1">
        <f t="array" ref="S37">IF(AND(M37:M38=P37:P38),"PASS","FAIL")</f>
        <v>0</v>
      </c>
    </row>
    <row r="38" spans="2:19" x14ac:dyDescent="0.5">
      <c r="B38" s="47"/>
      <c r="M38" s="52" t="inlineStr">
        <is>
          <t xml:space="preserve">inv</t>
        </is>
      </c>
      <c r="N38" s="52"/>
      <c r="Q38" s="53"/>
    </row>
    <row r="39" spans="2:19" x14ac:dyDescent="0.5">
      <c r="B39" s="47" t="inlineStr">
        <is>
          <t xml:space="preserve">&gt;255-char value survives (IFERROR would blank it)</t>
        </is>
      </c>
      <c r="M39" s="52">
        <f>REPT("z",300)</f>
      </c>
      <c r="N39" s="52"/>
      <c r="P39" cm="1">
        <f t="array" ref="P39">ad_to_cont("K17",K17)</f>
        <v>0</v>
      </c>
      <c r="Q39" s="53"/>
      <c r="S39" cm="1">
        <f t="array" ref="S39">IF(AND(M39=P39),"PASS","FAIL")</f>
        <v>0</v>
      </c>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10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t="str">
        <f>COUNTIF(P9:P60,"PASS")&amp;" / 7 PASS"</f>
        <v>7 / 7 PASS</v>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t="str">
        <f>COUNTIF(R6:R40,"PASS")&amp;" / 5 PASS"</f>
        <v>5 / 5 PASS</v>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COUNTIF(R6:R40,"PASS")&amp;" / 7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COUNTIF(Y6:Y40,"PASS")&amp;" / 4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