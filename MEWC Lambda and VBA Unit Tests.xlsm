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2FEF98BD-C056-43C1-B9B5-146FB41F21CE}" xr6:coauthVersionLast="47" xr6:coauthVersionMax="47" xr10:uidLastSave="{00000000-0000-0000-0000-000000000000}"/>
  <bookViews>
    <workbookView xWindow="11130" yWindow="3850" windowWidth="23640" windowHeight="12160" firstSheet="17" activeTab="26"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is_unique" sheetId="17" r:id="rId21"/>
    <sheet name="knight_moves" sheetId="18" r:id="rId22"/>
    <sheet name="label_lookup" sheetId="19" r:id="rId23"/>
    <sheet name="load_array" sheetId="20" r:id="rId24"/>
    <sheet name="neighbors_count" sheetId="21" r:id="rId25"/>
    <sheet name="neighbors_list" sheetId="22" r:id="rId26"/>
    <sheet name="num_ad" sheetId="23" r:id="rId27"/>
    <sheet name="offset_letter" sheetId="24" r:id="rId28"/>
    <sheet name="only_letters" sheetId="25" r:id="rId29"/>
    <sheet name="only_numbers" sheetId="26" r:id="rId30"/>
    <sheet name="rc_to_ad" sheetId="90" r:id="rId31"/>
    <sheet name="rev" sheetId="28" r:id="rId32"/>
    <sheet name="rotate_arrow" sheetId="29" r:id="rId33"/>
    <sheet name="route_cost" sheetId="30" r:id="rId34"/>
    <sheet name="save_array" sheetId="31" r:id="rId35"/>
    <sheet name="selections" sheetId="32" r:id="rId36"/>
    <sheet name="set" sheetId="33" r:id="rId37"/>
    <sheet name="set_d" sheetId="34" r:id="rId38"/>
    <sheet name="set_i" sheetId="35" r:id="rId39"/>
    <sheet name="set_u" sheetId="36" r:id="rId40"/>
    <sheet name="shift_arr" sheetId="37" r:id="rId41"/>
    <sheet name="smallest" sheetId="38" r:id="rId42"/>
    <sheet name="str_ad" sheetId="40" r:id="rId43"/>
    <sheet name="str_rev" sheetId="41" r:id="rId44"/>
    <sheet name="str_to_arr" sheetId="39" r:id="rId45"/>
    <sheet name="textbetween" sheetId="42" r:id="rId46"/>
    <sheet name="transform_array" sheetId="43" r:id="rId47"/>
    <sheet name="update_arr" sheetId="44" r:id="rId48"/>
    <sheet name="xbyrow" sheetId="45" r:id="rId49"/>
    <sheet name="xcountif" sheetId="46" r:id="rId50"/>
    <sheet name="xdec2bin" sheetId="47" r:id="rId51"/>
    <sheet name="xfilter" sheetId="48" r:id="rId52"/>
    <sheet name="xmod" sheetId="49" r:id="rId53"/>
    <sheet name="xn" sheetId="50" r:id="rId54"/>
    <sheet name="xrank" sheetId="51" r:id="rId55"/>
    <sheet name="xsequence" sheetId="52" r:id="rId56"/>
    <sheet name="xtextsplit" sheetId="53" r:id="rId57"/>
    <sheet name="xtocol" sheetId="54" r:id="rId58"/>
    <sheet name="zz_bgc" sheetId="64" r:id="rId59"/>
    <sheet name="zz_ColNumToLetter" sheetId="83" r:id="rId60"/>
    <sheet name="zz_color" sheetId="59" r:id="rId61"/>
    <sheet name="zz_conv" sheetId="62" r:id="rId62"/>
    <sheet name="zz_errcells" sheetId="74" r:id="rId63"/>
    <sheet name="zz_exists" sheetId="73" r:id="rId64"/>
    <sheet name="zz_fillcolor" sheetId="65" r:id="rId65"/>
    <sheet name="zz_flood" sheetId="66" r:id="rId66"/>
    <sheet name="zz_freqcharsrc" sheetId="69" r:id="rId67"/>
    <sheet name="zz_freqsrc" sheetId="67" r:id="rId68"/>
    <sheet name="zz_fx1" sheetId="60" r:id="rId69"/>
    <sheet name="zz_fx2" sheetId="61" r:id="rId70"/>
    <sheet name="zz_is_lambda_test_sheet" sheetId="95" r:id="rId71"/>
    <sheet name="zz_lastused" sheetId="75" r:id="rId72"/>
    <sheet name="zz_lastused_empty" sheetId="88" r:id="rId73"/>
    <sheet name="zz_maze" sheetId="63" r:id="rId74"/>
    <sheet name="zz_retcol" sheetId="77" r:id="rId75"/>
    <sheet name="zz_SanitizeRow" sheetId="84" r:id="rId76"/>
    <sheet name="zz_select_sheets" sheetId="82" r:id="rId77"/>
    <sheet name="zz_sheet_names" sheetId="81" r:id="rId78"/>
    <sheet name="zz_tallsrc" sheetId="71" r:id="rId79"/>
    <sheet name="zz_tmsrc" sheetId="78" r:id="rId80"/>
    <sheet name="zz_UNICODE_SPLIT" sheetId="80" r:id="rId81"/>
    <sheet name="zz_yellow" sheetId="76" r:id="rId82"/>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lft"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range (A1 or numeric) expands to an array of numeric addresses top-left to bottom-right; empty becomes &quot;&quot;; anything else passes thr">_xlfn.LAMBDA(_xlpm.ad_or_rng,
  _xlfn.LET(
    _xlpm.to_num_1, _xlfn.LAMBDA(_xlpm.one, IF(_xlpm.one = "", "",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74" l="1"/>
  <c r="A2" i="74"/>
  <c r="B1" i="65"/>
  <c r="J24" i="54" a="1"/>
  <c r="J24" i="54" s="1"/>
  <c r="L24" i="54" s="1"/>
  <c r="J19" i="54" a="1"/>
  <c r="J19" i="54" s="1"/>
  <c r="L19" i="54" s="1" a="1"/>
  <c r="L19" i="54" s="1"/>
  <c r="J16" i="54" a="1"/>
  <c r="J16" i="54" s="1"/>
  <c r="L16" i="54" s="1" a="1"/>
  <c r="L16" i="54" s="1"/>
  <c r="J11" i="54" a="1"/>
  <c r="J11" i="54" s="1"/>
  <c r="L11" i="54" s="1" a="1"/>
  <c r="L11" i="54" s="1"/>
  <c r="J6" i="54" a="1"/>
  <c r="J6" i="54" s="1"/>
  <c r="L6" i="54" s="1" a="1"/>
  <c r="L6" i="54" s="1"/>
  <c r="B2" i="54" a="1"/>
  <c r="B2" i="54" s="1"/>
  <c r="S1" i="54"/>
  <c r="I1" i="54" a="1"/>
  <c r="I1" i="54" s="1"/>
  <c r="B1" i="54" a="1"/>
  <c r="B1" i="54" s="1"/>
  <c r="N20" i="53" a="1"/>
  <c r="N20" i="53"/>
  <c r="R20" i="53" s="1"/>
  <c r="N18" i="53" a="1"/>
  <c r="N18" i="53" s="1"/>
  <c r="R18" i="53" s="1" a="1"/>
  <c r="R18" i="53" s="1"/>
  <c r="N14" i="53" a="1"/>
  <c r="N14" i="53" s="1"/>
  <c r="R14" i="53" s="1" a="1"/>
  <c r="R14" i="53" s="1"/>
  <c r="N10" i="53" a="1"/>
  <c r="N10" i="53" s="1"/>
  <c r="R10" i="53" s="1" a="1"/>
  <c r="R10" i="53" s="1"/>
  <c r="N6" i="53" a="1"/>
  <c r="N6" i="53" s="1"/>
  <c r="R6" i="53" s="1" a="1"/>
  <c r="R6" i="53" s="1"/>
  <c r="B2" i="53" a="1"/>
  <c r="B2" i="53" s="1"/>
  <c r="S1" i="53"/>
  <c r="I1" i="53" a="1"/>
  <c r="I1" i="53" s="1"/>
  <c r="B1" i="53" a="1"/>
  <c r="B1" i="53" s="1"/>
  <c r="P36" i="52" a="1"/>
  <c r="P36" i="52"/>
  <c r="R36" i="52" s="1"/>
  <c r="P30" i="52" a="1"/>
  <c r="P30" i="52"/>
  <c r="R30" i="52" s="1" a="1"/>
  <c r="R30" i="52" s="1"/>
  <c r="R23" i="52" a="1"/>
  <c r="R23" i="52" s="1"/>
  <c r="P23" i="52" a="1"/>
  <c r="P23" i="52"/>
  <c r="P16" i="52" a="1"/>
  <c r="P16" i="52"/>
  <c r="R16" i="52" s="1" a="1"/>
  <c r="R16" i="52" s="1"/>
  <c r="P12" i="52" a="1"/>
  <c r="P12" i="52" s="1"/>
  <c r="R12" i="52" s="1" a="1"/>
  <c r="R12" i="52" s="1"/>
  <c r="P6" i="52" a="1"/>
  <c r="P6" i="52"/>
  <c r="R6" i="52" s="1" a="1"/>
  <c r="R6" i="52" s="1"/>
  <c r="B2" i="52" a="1"/>
  <c r="B2" i="52" s="1"/>
  <c r="S1" i="52"/>
  <c r="I1" i="52" a="1"/>
  <c r="I1" i="52" s="1"/>
  <c r="B1" i="52" a="1"/>
  <c r="B1" i="52" s="1"/>
  <c r="L25" i="51" a="1"/>
  <c r="L25" i="51" s="1"/>
  <c r="N25" i="51" s="1"/>
  <c r="J25" i="51"/>
  <c r="L20" i="51" a="1"/>
  <c r="L20" i="51"/>
  <c r="N20" i="51" s="1"/>
  <c r="L18" i="51" a="1"/>
  <c r="L18" i="51" s="1"/>
  <c r="N18" i="51" s="1"/>
  <c r="L14" i="51" a="1"/>
  <c r="L14" i="51"/>
  <c r="N14" i="51" s="1"/>
  <c r="L10" i="51" a="1"/>
  <c r="L10" i="51"/>
  <c r="N10" i="51" s="1"/>
  <c r="L6" i="51" a="1"/>
  <c r="L6" i="51" s="1"/>
  <c r="N6" i="51" s="1"/>
  <c r="B2" i="51" a="1"/>
  <c r="B2" i="51" s="1"/>
  <c r="S1" i="51"/>
  <c r="I1" i="51" a="1"/>
  <c r="I1" i="51" s="1"/>
  <c r="B1" i="51" a="1"/>
  <c r="B1" i="51" s="1"/>
  <c r="H14" i="50" a="1"/>
  <c r="H14" i="50" s="1"/>
  <c r="J14" i="50" s="1" a="1"/>
  <c r="J14" i="50" s="1"/>
  <c r="H12" i="50" a="1"/>
  <c r="H12" i="50" s="1"/>
  <c r="J12" i="50" s="1"/>
  <c r="H10" i="50" a="1"/>
  <c r="H10" i="50"/>
  <c r="J10" i="50" s="1"/>
  <c r="H8" i="50" a="1"/>
  <c r="H8" i="50" s="1"/>
  <c r="J8" i="50" s="1"/>
  <c r="H6" i="50" a="1"/>
  <c r="H6" i="50" s="1"/>
  <c r="J6" i="50" s="1"/>
  <c r="B2" i="50" a="1"/>
  <c r="B2" i="50" s="1"/>
  <c r="S1" i="50"/>
  <c r="I1" i="50" a="1"/>
  <c r="I1" i="50" s="1"/>
  <c r="B1" i="50" a="1"/>
  <c r="B1" i="50" s="1"/>
  <c r="J16" i="49" a="1"/>
  <c r="J16" i="49"/>
  <c r="L16" i="49" s="1"/>
  <c r="J14" i="49" a="1"/>
  <c r="J14" i="49" s="1"/>
  <c r="L14" i="49" s="1"/>
  <c r="J12" i="49" a="1"/>
  <c r="J12" i="49" s="1"/>
  <c r="L12" i="49" s="1"/>
  <c r="J10" i="49" a="1"/>
  <c r="J10" i="49"/>
  <c r="L10" i="49" s="1"/>
  <c r="J8" i="49" a="1"/>
  <c r="J8" i="49"/>
  <c r="L8" i="49" s="1"/>
  <c r="J6" i="49" a="1"/>
  <c r="J6" i="49" s="1"/>
  <c r="L6" i="49" s="1"/>
  <c r="B2" i="49" a="1"/>
  <c r="B2" i="49" s="1"/>
  <c r="S1" i="49"/>
  <c r="I1" i="49" a="1"/>
  <c r="I1" i="49" s="1"/>
  <c r="B1" i="49" a="1"/>
  <c r="B1" i="49" s="1"/>
  <c r="R31" i="48" a="1"/>
  <c r="R31" i="48"/>
  <c r="V31" i="48" s="1"/>
  <c r="R26" i="48" a="1"/>
  <c r="R26" i="48" s="1"/>
  <c r="V26" i="48" s="1" a="1"/>
  <c r="V26" i="48" s="1"/>
  <c r="R21" i="48" a="1"/>
  <c r="R21" i="48" s="1"/>
  <c r="V21" i="48" s="1" a="1"/>
  <c r="V21" i="48" s="1"/>
  <c r="R16" i="48" a="1"/>
  <c r="R16" i="48"/>
  <c r="V16" i="48" s="1" a="1"/>
  <c r="V16" i="48" s="1"/>
  <c r="R11" i="48" a="1"/>
  <c r="R11" i="48"/>
  <c r="V11" i="48" s="1" a="1"/>
  <c r="V11" i="48" s="1"/>
  <c r="V6" i="48" a="1"/>
  <c r="V6" i="48" s="1"/>
  <c r="R6" i="48" a="1"/>
  <c r="R6" i="48"/>
  <c r="B2" i="48" a="1"/>
  <c r="B2" i="48" s="1"/>
  <c r="S1" i="48"/>
  <c r="I1" i="48" a="1"/>
  <c r="I1" i="48" s="1"/>
  <c r="B1" i="48" a="1"/>
  <c r="B1" i="48" s="1"/>
  <c r="J16" i="47" a="1"/>
  <c r="J16" i="47"/>
  <c r="L16" i="47" s="1"/>
  <c r="J14" i="47" a="1"/>
  <c r="J14" i="47" s="1"/>
  <c r="L14" i="47" s="1"/>
  <c r="J12" i="47" a="1"/>
  <c r="J12" i="47" s="1"/>
  <c r="L12" i="47" s="1"/>
  <c r="J10" i="47" a="1"/>
  <c r="J10" i="47" s="1"/>
  <c r="L10" i="47" s="1"/>
  <c r="J8" i="47" a="1"/>
  <c r="J8" i="47" s="1"/>
  <c r="L8" i="47" s="1"/>
  <c r="J6" i="47" a="1"/>
  <c r="J6" i="47" s="1"/>
  <c r="L6" i="47" s="1"/>
  <c r="B2" i="47" a="1"/>
  <c r="B2" i="47" s="1"/>
  <c r="S1" i="47"/>
  <c r="I1" i="47" a="1"/>
  <c r="I1" i="47" s="1"/>
  <c r="B1" i="47" a="1"/>
  <c r="B1" i="47" s="1"/>
  <c r="D27" i="46"/>
  <c r="J25" i="46" s="1" a="1"/>
  <c r="J25" i="46" s="1"/>
  <c r="L25" i="46" s="1"/>
  <c r="J20" i="46" a="1"/>
  <c r="J20" i="46" s="1"/>
  <c r="L20" i="46" s="1"/>
  <c r="J15" i="46" a="1"/>
  <c r="J15" i="46" s="1"/>
  <c r="L15" i="46" s="1" a="1"/>
  <c r="L15" i="46" s="1"/>
  <c r="J11" i="46" a="1"/>
  <c r="J11" i="46"/>
  <c r="L11" i="46" s="1"/>
  <c r="L6" i="46"/>
  <c r="L4" i="46" s="1"/>
  <c r="J6" i="46" a="1"/>
  <c r="J6" i="46"/>
  <c r="B2" i="46" a="1"/>
  <c r="B2" i="46" s="1"/>
  <c r="S1" i="46"/>
  <c r="I1" i="46" a="1"/>
  <c r="I1" i="46" s="1"/>
  <c r="B1" i="46" a="1"/>
  <c r="B1" i="46" s="1"/>
  <c r="P18" i="45" a="1"/>
  <c r="P18" i="45" s="1"/>
  <c r="Y18" i="45" s="1" a="1"/>
  <c r="Y18" i="45" s="1"/>
  <c r="P14" i="45" a="1"/>
  <c r="P14" i="45" s="1"/>
  <c r="Y14" i="45" s="1" a="1"/>
  <c r="Y14" i="45" s="1"/>
  <c r="P10" i="45" a="1"/>
  <c r="P10" i="45" s="1"/>
  <c r="Y10" i="45" s="1" a="1"/>
  <c r="Y10" i="45" s="1"/>
  <c r="P6" i="45" a="1"/>
  <c r="P6" i="45" s="1"/>
  <c r="Y6" i="45" s="1" a="1"/>
  <c r="Y6" i="45" s="1"/>
  <c r="B2" i="45" a="1"/>
  <c r="B2" i="45" s="1"/>
  <c r="S1" i="45"/>
  <c r="I1" i="45" a="1"/>
  <c r="I1" i="45" s="1"/>
  <c r="B1" i="45" a="1"/>
  <c r="B1" i="45" s="1"/>
  <c r="R9" i="44" a="1"/>
  <c r="R9" i="44" s="1"/>
  <c r="V9" i="44" s="1" a="1"/>
  <c r="V9" i="44" s="1"/>
  <c r="R6" i="44" a="1"/>
  <c r="R6" i="44"/>
  <c r="V6" i="44" s="1" a="1"/>
  <c r="V6" i="44" s="1"/>
  <c r="V4" i="44" s="1"/>
  <c r="B2" i="44" a="1"/>
  <c r="B2" i="44" s="1"/>
  <c r="S1" i="44"/>
  <c r="I1" i="44" a="1"/>
  <c r="I1" i="44" s="1"/>
  <c r="B1" i="44" a="1"/>
  <c r="B1" i="44" s="1"/>
  <c r="M25" i="43" a="1"/>
  <c r="M25" i="43" s="1"/>
  <c r="P25" i="43" s="1"/>
  <c r="M21" i="43" a="1"/>
  <c r="M21" i="43" s="1"/>
  <c r="P21" i="43" s="1" a="1"/>
  <c r="P21" i="43" s="1"/>
  <c r="M18" i="43" a="1"/>
  <c r="M18" i="43"/>
  <c r="P18" i="43" s="1" a="1"/>
  <c r="P18" i="43" s="1"/>
  <c r="M15" i="43" a="1"/>
  <c r="M15" i="43" s="1"/>
  <c r="P15" i="43" s="1" a="1"/>
  <c r="P15" i="43" s="1"/>
  <c r="M12" i="43" a="1"/>
  <c r="M12" i="43"/>
  <c r="P12" i="43" s="1" a="1"/>
  <c r="P12" i="43" s="1"/>
  <c r="M9" i="43" a="1"/>
  <c r="M9" i="43" s="1"/>
  <c r="P9" i="43" s="1" a="1"/>
  <c r="P9" i="43" s="1"/>
  <c r="M6" i="43" a="1"/>
  <c r="M6" i="43" s="1"/>
  <c r="P6" i="43" s="1" a="1"/>
  <c r="P6" i="43" s="1"/>
  <c r="B2" i="43" a="1"/>
  <c r="B2" i="43" s="1"/>
  <c r="S1" i="43"/>
  <c r="I1" i="43" a="1"/>
  <c r="I1" i="43" s="1"/>
  <c r="B1" i="43" a="1"/>
  <c r="B1" i="43" s="1"/>
  <c r="L14" i="42" a="1"/>
  <c r="L14" i="42" s="1"/>
  <c r="N14" i="42" s="1" a="1"/>
  <c r="N14" i="42" s="1"/>
  <c r="L12" i="42" a="1"/>
  <c r="L12" i="42" s="1"/>
  <c r="N12" i="42" s="1"/>
  <c r="N10" i="42"/>
  <c r="L10" i="42" a="1"/>
  <c r="L10" i="42"/>
  <c r="L8" i="42" a="1"/>
  <c r="L8" i="42" s="1"/>
  <c r="N8" i="42" s="1"/>
  <c r="L6" i="42" a="1"/>
  <c r="L6" i="42" s="1"/>
  <c r="N6" i="42" s="1"/>
  <c r="B2" i="42" a="1"/>
  <c r="B2" i="42" s="1"/>
  <c r="S1" i="42"/>
  <c r="I1" i="42" a="1"/>
  <c r="I1" i="42" s="1"/>
  <c r="B1" i="42" a="1"/>
  <c r="B1" i="42" s="1"/>
  <c r="L14" i="39" a="1"/>
  <c r="L14" i="39" s="1"/>
  <c r="P14" i="39" s="1" a="1"/>
  <c r="P14" i="39" s="1"/>
  <c r="L10" i="39" a="1"/>
  <c r="L10" i="39" s="1"/>
  <c r="P10" i="39" s="1" a="1"/>
  <c r="P10" i="39" s="1"/>
  <c r="L6" i="39" a="1"/>
  <c r="L6" i="39" s="1"/>
  <c r="P6" i="39" s="1" a="1"/>
  <c r="P6" i="39" s="1"/>
  <c r="P4" i="39" s="1"/>
  <c r="B2" i="39" a="1"/>
  <c r="B2" i="39" s="1"/>
  <c r="S1" i="39"/>
  <c r="I1" i="39" a="1"/>
  <c r="I1" i="39" s="1"/>
  <c r="B1" i="39" a="1"/>
  <c r="B1" i="39" s="1"/>
  <c r="H12" i="41" a="1"/>
  <c r="H12" i="41"/>
  <c r="J12" i="41" s="1" a="1"/>
  <c r="J12" i="41" s="1"/>
  <c r="H10" i="41" a="1"/>
  <c r="H10" i="41"/>
  <c r="J10" i="41" s="1"/>
  <c r="H8" i="41" a="1"/>
  <c r="H8" i="41" s="1"/>
  <c r="J8" i="41" s="1"/>
  <c r="H6" i="41" a="1"/>
  <c r="H6" i="41" s="1"/>
  <c r="J6" i="41" s="1"/>
  <c r="B2" i="41" a="1"/>
  <c r="B2" i="41" s="1"/>
  <c r="S1" i="41"/>
  <c r="I1" i="41" a="1"/>
  <c r="I1" i="41" s="1"/>
  <c r="B1" i="41" a="1"/>
  <c r="B1" i="41" s="1"/>
  <c r="H20" i="40" a="1"/>
  <c r="H20" i="40" s="1"/>
  <c r="J20" i="40" s="1"/>
  <c r="H18" i="40" a="1"/>
  <c r="H18" i="40"/>
  <c r="J18" i="40" s="1" a="1"/>
  <c r="J18" i="40" s="1"/>
  <c r="H15" i="40" a="1"/>
  <c r="H15" i="40" s="1"/>
  <c r="J15" i="40" s="1" a="1"/>
  <c r="J15" i="40" s="1"/>
  <c r="H12" i="40" a="1"/>
  <c r="H12" i="40" s="1"/>
  <c r="J12" i="40" s="1" a="1"/>
  <c r="J12" i="40" s="1"/>
  <c r="H10" i="40" a="1"/>
  <c r="H10" i="40" s="1"/>
  <c r="J10" i="40" s="1"/>
  <c r="H8" i="40" a="1"/>
  <c r="H8" i="40" s="1"/>
  <c r="J8" i="40" s="1"/>
  <c r="J6" i="40"/>
  <c r="H6" i="40" a="1"/>
  <c r="H6" i="40"/>
  <c r="B2" i="40" a="1"/>
  <c r="B2" i="40" s="1"/>
  <c r="S1" i="40"/>
  <c r="I1" i="40" a="1"/>
  <c r="I1" i="40" s="1"/>
  <c r="B1" i="40" a="1"/>
  <c r="B1" i="40" s="1"/>
  <c r="J15" i="38" a="1"/>
  <c r="J15" i="38" s="1"/>
  <c r="L15" i="38" s="1"/>
  <c r="H15" i="38"/>
  <c r="J10" i="38" a="1"/>
  <c r="J10" i="38" s="1"/>
  <c r="L10" i="38" s="1"/>
  <c r="J6" i="38" a="1"/>
  <c r="J6" i="38" s="1"/>
  <c r="L6" i="38" s="1"/>
  <c r="L4" i="38" s="1"/>
  <c r="B2" i="38" a="1"/>
  <c r="B2" i="38" s="1"/>
  <c r="S1" i="38"/>
  <c r="I1" i="38" a="1"/>
  <c r="I1" i="38" s="1"/>
  <c r="B1" i="38" a="1"/>
  <c r="B1" i="38" s="1"/>
  <c r="O21" i="37" a="1"/>
  <c r="O21" i="37" s="1"/>
  <c r="R21" i="37" s="1"/>
  <c r="L21" i="37"/>
  <c r="R18" i="37" a="1"/>
  <c r="R18" i="37" s="1"/>
  <c r="O18" i="37" a="1"/>
  <c r="O18" i="37"/>
  <c r="O14" i="37" a="1"/>
  <c r="O14" i="37"/>
  <c r="R14" i="37" s="1" a="1"/>
  <c r="R14" i="37" s="1"/>
  <c r="O10" i="37" a="1"/>
  <c r="O10" i="37" s="1"/>
  <c r="R10" i="37" s="1" a="1"/>
  <c r="R10" i="37" s="1"/>
  <c r="O6" i="37" a="1"/>
  <c r="O6" i="37" s="1"/>
  <c r="R6" i="37" s="1" a="1"/>
  <c r="R6" i="37" s="1"/>
  <c r="B2" i="37" a="1"/>
  <c r="B2" i="37" s="1"/>
  <c r="S1" i="37"/>
  <c r="I1" i="37" a="1"/>
  <c r="I1" i="37" s="1"/>
  <c r="B1" i="37" a="1"/>
  <c r="B1" i="37" s="1"/>
  <c r="R15" i="36" a="1"/>
  <c r="R15" i="36" s="1"/>
  <c r="N15" i="36" a="1"/>
  <c r="N15" i="36"/>
  <c r="N10" i="36" a="1"/>
  <c r="N10" i="36"/>
  <c r="R10" i="36" s="1" a="1"/>
  <c r="R10" i="36" s="1"/>
  <c r="N6" i="36" a="1"/>
  <c r="N6" i="36" s="1"/>
  <c r="R6" i="36" s="1" a="1"/>
  <c r="R6" i="36" s="1"/>
  <c r="B2" i="36" a="1"/>
  <c r="B2" i="36" s="1"/>
  <c r="S1" i="36"/>
  <c r="I1" i="36" a="1"/>
  <c r="I1" i="36" s="1"/>
  <c r="B1" i="36" a="1"/>
  <c r="B1" i="36" s="1"/>
  <c r="J14" i="35" a="1"/>
  <c r="J14" i="35" s="1"/>
  <c r="L14" i="35" s="1"/>
  <c r="L10" i="35" a="1"/>
  <c r="L10" i="35"/>
  <c r="J10" i="35" a="1"/>
  <c r="J10" i="35"/>
  <c r="J6" i="35" a="1"/>
  <c r="J6" i="35" s="1"/>
  <c r="L6" i="35" s="1" a="1"/>
  <c r="L6" i="35" s="1"/>
  <c r="L4" i="35" s="1"/>
  <c r="B2" i="35" a="1"/>
  <c r="B2" i="35" s="1"/>
  <c r="S1" i="35"/>
  <c r="I1" i="35" a="1"/>
  <c r="I1" i="35" s="1"/>
  <c r="B1" i="35" a="1"/>
  <c r="B1" i="35" s="1"/>
  <c r="J10" i="34" a="1"/>
  <c r="J10" i="34" s="1"/>
  <c r="L10" i="34" s="1" a="1"/>
  <c r="L10" i="34" s="1"/>
  <c r="J6" i="34" a="1"/>
  <c r="J6" i="34" s="1"/>
  <c r="L6" i="34" s="1" a="1"/>
  <c r="L6" i="34" s="1"/>
  <c r="B2" i="34" a="1"/>
  <c r="B2" i="34" s="1"/>
  <c r="S1" i="34"/>
  <c r="I1" i="34" a="1"/>
  <c r="I1" i="34" s="1"/>
  <c r="B1" i="34" a="1"/>
  <c r="B1" i="34" s="1"/>
  <c r="L21" i="33" a="1"/>
  <c r="L21" i="33"/>
  <c r="P21" i="33" s="1" a="1"/>
  <c r="P21" i="33" s="1"/>
  <c r="L16" i="33" a="1"/>
  <c r="L16" i="33" s="1"/>
  <c r="P16" i="33" s="1" a="1"/>
  <c r="P16" i="33" s="1"/>
  <c r="L11" i="33" a="1"/>
  <c r="L11" i="33" s="1"/>
  <c r="P11" i="33" s="1" a="1"/>
  <c r="P11" i="33" s="1"/>
  <c r="L6" i="33" a="1"/>
  <c r="L6" i="33" s="1"/>
  <c r="P6" i="33" s="1" a="1"/>
  <c r="P6" i="33" s="1"/>
  <c r="P4" i="33" s="1"/>
  <c r="B2" i="33" a="1"/>
  <c r="B2" i="33" s="1"/>
  <c r="S1" i="33"/>
  <c r="I1" i="33" a="1"/>
  <c r="I1" i="33" s="1"/>
  <c r="B1" i="33" a="1"/>
  <c r="B1" i="33" s="1"/>
  <c r="O24" i="32" a="1"/>
  <c r="O24" i="32"/>
  <c r="R24" i="32" s="1" a="1"/>
  <c r="R24" i="32" s="1"/>
  <c r="O17" i="32" a="1"/>
  <c r="O17" i="32" s="1"/>
  <c r="R17" i="32" s="1" a="1"/>
  <c r="R17" i="32" s="1"/>
  <c r="O10" i="32" a="1"/>
  <c r="O10" i="32" s="1"/>
  <c r="R10" i="32" s="1" a="1"/>
  <c r="R10" i="32" s="1"/>
  <c r="O6" i="32" a="1"/>
  <c r="O6" i="32" s="1"/>
  <c r="R6" i="32" s="1" a="1"/>
  <c r="R6" i="32" s="1"/>
  <c r="B2" i="32" a="1"/>
  <c r="B2" i="32" s="1"/>
  <c r="S1" i="32"/>
  <c r="I1" i="32" a="1"/>
  <c r="I1" i="32" s="1"/>
  <c r="B1" i="32" a="1"/>
  <c r="B1" i="32" s="1"/>
  <c r="M11" i="31" a="1"/>
  <c r="M11" i="31"/>
  <c r="O11" i="31" s="1"/>
  <c r="M9" i="31" a="1"/>
  <c r="M9" i="31" s="1"/>
  <c r="O9" i="31" s="1"/>
  <c r="M6" i="31" a="1"/>
  <c r="M6" i="31" s="1"/>
  <c r="O6" i="31" s="1"/>
  <c r="O4" i="31" s="1"/>
  <c r="B2" i="31" a="1"/>
  <c r="B2" i="31" s="1"/>
  <c r="S1" i="31"/>
  <c r="I1" i="31" a="1"/>
  <c r="I1" i="31" s="1"/>
  <c r="B1" i="31" a="1"/>
  <c r="B1" i="31" s="1"/>
  <c r="O23" i="30"/>
  <c r="L23" i="30" a="1"/>
  <c r="L23" i="30"/>
  <c r="L20" i="30" a="1"/>
  <c r="L20" i="30" s="1"/>
  <c r="O20" i="30" s="1" a="1"/>
  <c r="O20" i="30" s="1"/>
  <c r="L17" i="30" a="1"/>
  <c r="L17" i="30" s="1"/>
  <c r="O17" i="30" s="1" a="1"/>
  <c r="O17" i="30" s="1"/>
  <c r="L14" i="30" a="1"/>
  <c r="L14" i="30" s="1"/>
  <c r="O14" i="30" s="1" a="1"/>
  <c r="O14" i="30" s="1"/>
  <c r="L11" i="30" a="1"/>
  <c r="L11" i="30" s="1"/>
  <c r="O11" i="30" s="1" a="1"/>
  <c r="O11" i="30" s="1"/>
  <c r="O4" i="30" s="1"/>
  <c r="B2" i="30" a="1"/>
  <c r="B2" i="30" s="1"/>
  <c r="S1" i="30"/>
  <c r="I1" i="30" a="1"/>
  <c r="I1" i="30" s="1"/>
  <c r="B1" i="30" a="1"/>
  <c r="B1" i="30" s="1"/>
  <c r="L16" i="29" a="1"/>
  <c r="L16" i="29"/>
  <c r="N16" i="29" s="1"/>
  <c r="J16" i="29"/>
  <c r="L14" i="29" a="1"/>
  <c r="L14" i="29"/>
  <c r="N14" i="29" s="1"/>
  <c r="L12" i="29" a="1"/>
  <c r="L12" i="29" s="1"/>
  <c r="N12" i="29" s="1"/>
  <c r="L10" i="29" a="1"/>
  <c r="L10" i="29" s="1"/>
  <c r="N10" i="29" s="1"/>
  <c r="L8" i="29" a="1"/>
  <c r="L8" i="29" s="1"/>
  <c r="N8" i="29" s="1"/>
  <c r="L6" i="29" a="1"/>
  <c r="L6" i="29"/>
  <c r="N6" i="29" s="1"/>
  <c r="B2" i="29" a="1"/>
  <c r="B2" i="29" s="1"/>
  <c r="S1" i="29"/>
  <c r="I1" i="29" a="1"/>
  <c r="I1" i="29" s="1"/>
  <c r="B1" i="29" a="1"/>
  <c r="B1" i="29" s="1"/>
  <c r="H14" i="28" a="1"/>
  <c r="H14" i="28"/>
  <c r="J14" i="28" s="1" a="1"/>
  <c r="J14" i="28" s="1"/>
  <c r="H10" i="28" a="1"/>
  <c r="H10" i="28"/>
  <c r="J10" i="28" s="1" a="1"/>
  <c r="J10" i="28" s="1"/>
  <c r="H6" i="28" a="1"/>
  <c r="H6" i="28"/>
  <c r="J6" i="28" s="1" a="1"/>
  <c r="J6" i="28" s="1"/>
  <c r="J4" i="28" s="1"/>
  <c r="B2" i="28" a="1"/>
  <c r="B2" i="28" s="1"/>
  <c r="S1" i="28"/>
  <c r="I1" i="28" a="1"/>
  <c r="I1" i="28" s="1"/>
  <c r="B1" i="28" a="1"/>
  <c r="B1" i="28" s="1"/>
  <c r="H18" i="90" a="1"/>
  <c r="H18" i="90" s="1"/>
  <c r="J18" i="90" s="1"/>
  <c r="H16" i="90" a="1"/>
  <c r="H16" i="90" s="1"/>
  <c r="J16" i="90" s="1"/>
  <c r="H14" i="90" a="1"/>
  <c r="H14" i="90" s="1"/>
  <c r="J14" i="90" s="1"/>
  <c r="H12" i="90" a="1"/>
  <c r="H12" i="90"/>
  <c r="J12" i="90" s="1"/>
  <c r="H10" i="90" a="1"/>
  <c r="H10" i="90"/>
  <c r="J10" i="90" s="1"/>
  <c r="H8" i="90" a="1"/>
  <c r="H8" i="90" s="1"/>
  <c r="J8" i="90" s="1"/>
  <c r="H6" i="90" a="1"/>
  <c r="H6" i="90" s="1"/>
  <c r="J6" i="90" s="1"/>
  <c r="B2" i="90" a="1"/>
  <c r="B2" i="90" s="1"/>
  <c r="S1" i="90"/>
  <c r="I1" i="90" a="1"/>
  <c r="I1" i="90" s="1"/>
  <c r="B1" i="90" a="1"/>
  <c r="B1" i="90" s="1"/>
  <c r="H16" i="26" a="1"/>
  <c r="H16" i="26" s="1"/>
  <c r="J16" i="26" s="1" a="1"/>
  <c r="J16" i="26" s="1"/>
  <c r="H12" i="26" a="1"/>
  <c r="H12" i="26" s="1"/>
  <c r="J12" i="26" s="1" a="1"/>
  <c r="J12" i="26" s="1"/>
  <c r="H10" i="26" a="1"/>
  <c r="H10" i="26" s="1"/>
  <c r="J10" i="26" s="1" a="1"/>
  <c r="J10" i="26" s="1"/>
  <c r="H8" i="26" a="1"/>
  <c r="H8" i="26"/>
  <c r="J8" i="26" s="1"/>
  <c r="H6" i="26" a="1"/>
  <c r="H6" i="26" s="1"/>
  <c r="J6" i="26" s="1"/>
  <c r="J4" i="26" s="1"/>
  <c r="B2" i="26" a="1"/>
  <c r="B2" i="26" s="1"/>
  <c r="S1" i="26"/>
  <c r="I1" i="26" a="1"/>
  <c r="I1" i="26" s="1"/>
  <c r="B1" i="26" a="1"/>
  <c r="B1" i="26" s="1"/>
  <c r="J14" i="25" a="1"/>
  <c r="J14" i="25" s="1"/>
  <c r="H14" i="25" a="1"/>
  <c r="H14" i="25"/>
  <c r="H12" i="25" a="1"/>
  <c r="H12" i="25" s="1"/>
  <c r="J12" i="25" s="1"/>
  <c r="H10" i="25" a="1"/>
  <c r="H10" i="25" s="1"/>
  <c r="J10" i="25" s="1"/>
  <c r="H8" i="25" a="1"/>
  <c r="H8" i="25"/>
  <c r="J8" i="25" s="1"/>
  <c r="H6" i="25" a="1"/>
  <c r="H6" i="25" s="1"/>
  <c r="J6" i="25" s="1"/>
  <c r="B2" i="25" a="1"/>
  <c r="B2" i="25" s="1"/>
  <c r="S1" i="25"/>
  <c r="I1" i="25" a="1"/>
  <c r="I1" i="25" s="1"/>
  <c r="B1" i="25" a="1"/>
  <c r="B1" i="25" s="1"/>
  <c r="L16" i="24" a="1"/>
  <c r="L16" i="24" s="1"/>
  <c r="J16" i="24" a="1"/>
  <c r="J16" i="24"/>
  <c r="J14" i="24" a="1"/>
  <c r="J14" i="24" s="1"/>
  <c r="L14" i="24" s="1"/>
  <c r="J12" i="24" a="1"/>
  <c r="J12" i="24" s="1"/>
  <c r="L12" i="24" s="1"/>
  <c r="J10" i="24" a="1"/>
  <c r="J10" i="24"/>
  <c r="L10" i="24" s="1"/>
  <c r="J8" i="24" a="1"/>
  <c r="J8" i="24" s="1"/>
  <c r="L8" i="24" s="1"/>
  <c r="J6" i="24" a="1"/>
  <c r="J6" i="24"/>
  <c r="L6" i="24" s="1"/>
  <c r="B2" i="24" a="1"/>
  <c r="B2" i="24" s="1"/>
  <c r="S1" i="24"/>
  <c r="I1" i="24" a="1"/>
  <c r="I1" i="24" s="1"/>
  <c r="B1" i="24" a="1"/>
  <c r="B1" i="24" s="1"/>
  <c r="H21" i="23" a="1"/>
  <c r="H21" i="23" s="1"/>
  <c r="J21" i="23" s="1"/>
  <c r="H19" i="23" a="1"/>
  <c r="H19" i="23" s="1"/>
  <c r="J19" i="23" s="1" a="1"/>
  <c r="J19" i="23" s="1"/>
  <c r="H16" i="23" a="1"/>
  <c r="H16" i="23" s="1"/>
  <c r="J16" i="23" s="1" a="1"/>
  <c r="J16" i="23" s="1"/>
  <c r="J14" i="23" a="1"/>
  <c r="J14" i="23" s="1"/>
  <c r="H14" i="23" a="1"/>
  <c r="H14" i="23"/>
  <c r="H12" i="23" a="1"/>
  <c r="H12" i="23"/>
  <c r="J12" i="23" s="1"/>
  <c r="H10" i="23" a="1"/>
  <c r="H10" i="23"/>
  <c r="J10" i="23" s="1"/>
  <c r="H8" i="23" a="1"/>
  <c r="H8" i="23" s="1"/>
  <c r="J8" i="23" s="1"/>
  <c r="H6" i="23" a="1"/>
  <c r="H6" i="23" s="1"/>
  <c r="J6" i="23" s="1"/>
  <c r="J4" i="23" s="1"/>
  <c r="B2" i="23" a="1"/>
  <c r="B2" i="23" s="1"/>
  <c r="S1" i="23"/>
  <c r="I1" i="23" a="1"/>
  <c r="I1" i="23" s="1"/>
  <c r="B1" i="23" a="1"/>
  <c r="B1" i="23" s="1"/>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B2" i="22" a="1"/>
  <c r="B2" i="22" s="1"/>
  <c r="S1" i="22"/>
  <c r="I1" i="22" a="1"/>
  <c r="I1" i="22" s="1"/>
  <c r="B1" i="22" a="1"/>
  <c r="B1" i="22" s="1"/>
  <c r="M15" i="21" a="1"/>
  <c r="M15" i="21" s="1"/>
  <c r="Q15" i="21" s="1" a="1"/>
  <c r="Q15" i="21" s="1"/>
  <c r="M11" i="21" a="1"/>
  <c r="M11" i="21" s="1"/>
  <c r="Q11" i="21" s="1" a="1"/>
  <c r="Q11" i="21" s="1"/>
  <c r="M7" i="21" a="1"/>
  <c r="M7" i="21" s="1"/>
  <c r="Q7" i="21" s="1" a="1"/>
  <c r="Q7" i="21" s="1"/>
  <c r="B2" i="21" a="1"/>
  <c r="B2" i="21" s="1"/>
  <c r="S1" i="21"/>
  <c r="I1" i="21" a="1"/>
  <c r="I1" i="21" s="1"/>
  <c r="B1" i="21" a="1"/>
  <c r="B1" i="21" s="1"/>
  <c r="M12" i="20" a="1"/>
  <c r="M12" i="20" s="1"/>
  <c r="P12" i="20" s="1" a="1"/>
  <c r="P12" i="20" s="1"/>
  <c r="M9" i="20" a="1"/>
  <c r="M9" i="20" s="1"/>
  <c r="P9" i="20" s="1" a="1"/>
  <c r="P9" i="20" s="1"/>
  <c r="M6" i="20" a="1"/>
  <c r="M6" i="20" s="1"/>
  <c r="P6" i="20" s="1" a="1"/>
  <c r="P6" i="20" s="1"/>
  <c r="B2" i="20" a="1"/>
  <c r="B2" i="20" s="1"/>
  <c r="S1" i="20"/>
  <c r="I1" i="20" a="1"/>
  <c r="I1" i="20" s="1"/>
  <c r="B1" i="20" a="1"/>
  <c r="B1" i="20" s="1"/>
  <c r="L17" i="19" a="1"/>
  <c r="L17" i="19"/>
  <c r="N17" i="19" s="1"/>
  <c r="J17" i="19"/>
  <c r="N15" i="19"/>
  <c r="L15" i="19" a="1"/>
  <c r="L15" i="19"/>
  <c r="L13" i="19" a="1"/>
  <c r="L13" i="19" s="1"/>
  <c r="N13" i="19" s="1"/>
  <c r="N11" i="19"/>
  <c r="N4" i="19" s="1"/>
  <c r="L11" i="19" a="1"/>
  <c r="L11" i="19"/>
  <c r="B2" i="19" a="1"/>
  <c r="B2" i="19" s="1"/>
  <c r="S1" i="19"/>
  <c r="I1" i="19" a="1"/>
  <c r="I1" i="19" s="1"/>
  <c r="B1" i="19" a="1"/>
  <c r="B1" i="19" s="1"/>
  <c r="J18" i="18" a="1"/>
  <c r="J18" i="18" s="1"/>
  <c r="L18" i="18" s="1"/>
  <c r="J16" i="18" a="1"/>
  <c r="J16" i="18"/>
  <c r="L16" i="18" s="1"/>
  <c r="J14" i="18" a="1"/>
  <c r="J14" i="18" s="1"/>
  <c r="L14" i="18" s="1"/>
  <c r="J12" i="18" a="1"/>
  <c r="J12" i="18" s="1"/>
  <c r="L12" i="18" s="1"/>
  <c r="J10" i="18" a="1"/>
  <c r="J10" i="18" s="1"/>
  <c r="L10" i="18" s="1"/>
  <c r="J8" i="18" a="1"/>
  <c r="J8" i="18" s="1"/>
  <c r="L8" i="18" s="1"/>
  <c r="J6" i="18" a="1"/>
  <c r="J6" i="18"/>
  <c r="L6" i="18" s="1"/>
  <c r="B2" i="18" a="1"/>
  <c r="B2" i="18" s="1"/>
  <c r="S1" i="18"/>
  <c r="I1" i="18" a="1"/>
  <c r="I1" i="18" s="1"/>
  <c r="B1" i="18" a="1"/>
  <c r="B1" i="18" s="1"/>
  <c r="H17" i="17" a="1"/>
  <c r="H17" i="17"/>
  <c r="J17" i="17" s="1"/>
  <c r="H14" i="17" a="1"/>
  <c r="H14" i="17"/>
  <c r="J14" i="17" s="1"/>
  <c r="H10" i="17" a="1"/>
  <c r="H10" i="17"/>
  <c r="J10" i="17" s="1"/>
  <c r="H6" i="17" a="1"/>
  <c r="H6" i="17"/>
  <c r="J6" i="17" s="1"/>
  <c r="B2" i="17" a="1"/>
  <c r="B2" i="17" s="1"/>
  <c r="S1" i="17"/>
  <c r="I1" i="17" a="1"/>
  <c r="I1" i="17" s="1"/>
  <c r="B1" i="17" a="1"/>
  <c r="B1" i="17" s="1"/>
  <c r="D31" i="16"/>
  <c r="K29" i="16" s="1" a="1"/>
  <c r="K29" i="16" s="1"/>
  <c r="N29" i="16" s="1"/>
  <c r="K22" i="16" a="1"/>
  <c r="K22" i="16" s="1"/>
  <c r="N22" i="16" s="1" a="1"/>
  <c r="N22" i="16" s="1"/>
  <c r="K17" i="16" a="1"/>
  <c r="K17" i="16" s="1"/>
  <c r="N17" i="16" s="1" a="1"/>
  <c r="N17" i="16" s="1"/>
  <c r="N10" i="16" a="1"/>
  <c r="N10" i="16" s="1"/>
  <c r="K10" i="16" a="1"/>
  <c r="K10" i="16"/>
  <c r="N6" i="16" a="1"/>
  <c r="N6" i="16" s="1"/>
  <c r="K6" i="16" a="1"/>
  <c r="K6" i="16"/>
  <c r="B2" i="16" a="1"/>
  <c r="B2" i="16" s="1"/>
  <c r="S1" i="16"/>
  <c r="I1" i="16" a="1"/>
  <c r="I1" i="16" s="1"/>
  <c r="B1" i="16" a="1"/>
  <c r="B1" i="16" s="1"/>
  <c r="H18" i="27" a="1"/>
  <c r="H18" i="27"/>
  <c r="J18" i="27" s="1"/>
  <c r="H16" i="27" a="1"/>
  <c r="H16" i="27" s="1"/>
  <c r="J16" i="27" s="1"/>
  <c r="H14" i="27" a="1"/>
  <c r="H14" i="27"/>
  <c r="J14" i="27" s="1"/>
  <c r="H12" i="27" a="1"/>
  <c r="H12" i="27"/>
  <c r="J12" i="27" s="1"/>
  <c r="H10" i="27" a="1"/>
  <c r="H10" i="27" s="1"/>
  <c r="J10" i="27" s="1"/>
  <c r="H8" i="27" a="1"/>
  <c r="H8" i="27" s="1"/>
  <c r="J8" i="27" s="1"/>
  <c r="H6" i="27" a="1"/>
  <c r="H6" i="27"/>
  <c r="J6" i="27" s="1"/>
  <c r="J4" i="27" s="1"/>
  <c r="B2" i="27" a="1"/>
  <c r="B2" i="27" s="1"/>
  <c r="S1" i="27"/>
  <c r="I1" i="27" a="1"/>
  <c r="I1" i="27" s="1"/>
  <c r="B1" i="27" a="1"/>
  <c r="B1" i="27" s="1"/>
  <c r="J18" i="15" a="1"/>
  <c r="J18" i="15"/>
  <c r="L18" i="15" s="1" a="1"/>
  <c r="L18" i="15" s="1"/>
  <c r="J14" i="15" a="1"/>
  <c r="J14" i="15"/>
  <c r="L14" i="15" s="1" a="1"/>
  <c r="L14" i="15" s="1"/>
  <c r="J10" i="15" a="1"/>
  <c r="J10" i="15"/>
  <c r="L10" i="15" s="1"/>
  <c r="J6" i="15" a="1"/>
  <c r="J6" i="15" s="1"/>
  <c r="L6" i="15" s="1"/>
  <c r="B2" i="15" a="1"/>
  <c r="B2" i="15" s="1"/>
  <c r="S1" i="15"/>
  <c r="I1" i="15" a="1"/>
  <c r="I1" i="15" s="1"/>
  <c r="B1" i="15" a="1"/>
  <c r="B1" i="15" s="1"/>
  <c r="N28" i="14" a="1"/>
  <c r="N28" i="14" s="1"/>
  <c r="P28" i="14" s="1" a="1"/>
  <c r="P28" i="14" s="1"/>
  <c r="N21" i="14" a="1"/>
  <c r="N21" i="14"/>
  <c r="P21" i="14" s="1" a="1"/>
  <c r="P21" i="14" s="1"/>
  <c r="N14" i="14" a="1"/>
  <c r="N14" i="14" s="1"/>
  <c r="P14" i="14" s="1" a="1"/>
  <c r="P14" i="14" s="1"/>
  <c r="N12" i="14" a="1"/>
  <c r="N12" i="14" s="1"/>
  <c r="P12" i="14" s="1"/>
  <c r="N10" i="14" a="1"/>
  <c r="N10" i="14" s="1"/>
  <c r="P10" i="14" s="1"/>
  <c r="N8" i="14" a="1"/>
  <c r="N8" i="14" s="1"/>
  <c r="P8" i="14" s="1"/>
  <c r="N6" i="14" a="1"/>
  <c r="N6" i="14"/>
  <c r="P6" i="14" s="1"/>
  <c r="B2" i="14" a="1"/>
  <c r="B2" i="14" s="1"/>
  <c r="S1" i="14"/>
  <c r="I1" i="14" a="1"/>
  <c r="I1" i="14" s="1"/>
  <c r="B1" i="14" a="1"/>
  <c r="B1" i="14" s="1"/>
  <c r="H16" i="13" a="1"/>
  <c r="H16" i="13" s="1"/>
  <c r="J16" i="13" s="1"/>
  <c r="F16" i="13"/>
  <c r="H13" i="13" a="1"/>
  <c r="H13" i="13" s="1"/>
  <c r="J13" i="13" s="1" a="1"/>
  <c r="J13" i="13" s="1"/>
  <c r="J10" i="13" a="1"/>
  <c r="J10" i="13"/>
  <c r="H10" i="13" a="1"/>
  <c r="H10" i="13"/>
  <c r="H8" i="13" a="1"/>
  <c r="H8" i="13" s="1"/>
  <c r="J8" i="13" s="1"/>
  <c r="H6" i="13" a="1"/>
  <c r="H6" i="13"/>
  <c r="J6" i="13" s="1"/>
  <c r="B2" i="13" a="1"/>
  <c r="B2" i="13" s="1"/>
  <c r="S1" i="13"/>
  <c r="I1" i="13" a="1"/>
  <c r="I1" i="13" s="1"/>
  <c r="B1" i="13" a="1"/>
  <c r="B1" i="13" s="1"/>
  <c r="K13" i="12" a="1"/>
  <c r="K13" i="12"/>
  <c r="N13" i="12" s="1" a="1"/>
  <c r="N13" i="12" s="1"/>
  <c r="K6" i="12" a="1"/>
  <c r="K6" i="12"/>
  <c r="N6" i="12" s="1" a="1"/>
  <c r="N6" i="12" s="1"/>
  <c r="N4" i="12" s="1"/>
  <c r="B2" i="12" a="1"/>
  <c r="B2" i="12" s="1"/>
  <c r="S1" i="12"/>
  <c r="I1" i="12" a="1"/>
  <c r="I1" i="12" s="1"/>
  <c r="B1" i="12" a="1"/>
  <c r="B1" i="12" s="1"/>
  <c r="N18" i="11" a="1"/>
  <c r="N18" i="11"/>
  <c r="S18" i="11" s="1" a="1"/>
  <c r="S18" i="11" s="1"/>
  <c r="N14" i="11" a="1"/>
  <c r="N14" i="11"/>
  <c r="S14" i="11" s="1" a="1"/>
  <c r="S14" i="11" s="1"/>
  <c r="N10" i="11" a="1"/>
  <c r="N10" i="11"/>
  <c r="S10" i="11" s="1" a="1"/>
  <c r="S10" i="11" s="1"/>
  <c r="N6" i="11" a="1"/>
  <c r="N6" i="11"/>
  <c r="S6" i="11" s="1" a="1"/>
  <c r="S6" i="11" s="1"/>
  <c r="B2" i="11" a="1"/>
  <c r="B2" i="11" s="1"/>
  <c r="S1" i="11"/>
  <c r="I1" i="11" a="1"/>
  <c r="I1" i="11" s="1"/>
  <c r="B1" i="11" a="1"/>
  <c r="B1" i="11" s="1"/>
  <c r="L17" i="10" a="1"/>
  <c r="L17" i="10"/>
  <c r="N17" i="10" s="1" a="1"/>
  <c r="N17" i="10" s="1"/>
  <c r="L14" i="10" a="1"/>
  <c r="L14" i="10" s="1"/>
  <c r="N14" i="10" s="1" a="1"/>
  <c r="N14" i="10" s="1"/>
  <c r="L12" i="10" a="1"/>
  <c r="L12" i="10" s="1"/>
  <c r="N12" i="10" s="1"/>
  <c r="L10" i="10" a="1"/>
  <c r="L10" i="10" s="1"/>
  <c r="N10" i="10" s="1"/>
  <c r="L8" i="10" a="1"/>
  <c r="L8" i="10" s="1"/>
  <c r="N8" i="10" s="1"/>
  <c r="L6" i="10" a="1"/>
  <c r="L6" i="10"/>
  <c r="N6" i="10" s="1"/>
  <c r="B2" i="10" a="1"/>
  <c r="B2" i="10" s="1"/>
  <c r="S1" i="10"/>
  <c r="I1" i="10" a="1"/>
  <c r="I1" i="10" s="1"/>
  <c r="B1" i="10" a="1"/>
  <c r="B1" i="10" s="1"/>
  <c r="H19" i="96" a="1"/>
  <c r="H19" i="96" s="1"/>
  <c r="J19" i="96" s="1" a="1"/>
  <c r="J19" i="96" s="1"/>
  <c r="H17" i="96" a="1"/>
  <c r="H17" i="96" s="1"/>
  <c r="J17" i="96" s="1"/>
  <c r="H15" i="96" a="1"/>
  <c r="H15" i="96" s="1"/>
  <c r="J15" i="96" s="1"/>
  <c r="H13" i="96" a="1"/>
  <c r="H13" i="96" s="1"/>
  <c r="J13" i="96" s="1"/>
  <c r="H11" i="96" a="1"/>
  <c r="H11" i="96"/>
  <c r="J11" i="96" s="1"/>
  <c r="J4" i="96" s="1"/>
  <c r="B2" i="96" a="1"/>
  <c r="B2" i="96" s="1"/>
  <c r="S1" i="96"/>
  <c r="I1" i="96" a="1"/>
  <c r="I1" i="96" s="1"/>
  <c r="B1" i="96" a="1"/>
  <c r="B1" i="96" s="1"/>
  <c r="D19" i="9"/>
  <c r="L19" i="9" s="1" a="1"/>
  <c r="L19" i="9" s="1"/>
  <c r="N19" i="9" s="1"/>
  <c r="L14" i="9" a="1"/>
  <c r="L14" i="9"/>
  <c r="N14" i="9" s="1" a="1"/>
  <c r="N14" i="9" s="1"/>
  <c r="L12" i="9" a="1"/>
  <c r="L12" i="9"/>
  <c r="N12" i="9" s="1"/>
  <c r="N10" i="9"/>
  <c r="L10" i="9" a="1"/>
  <c r="L10" i="9"/>
  <c r="L6" i="9" a="1"/>
  <c r="L6" i="9"/>
  <c r="N6" i="9" s="1" a="1"/>
  <c r="N6" i="9" s="1"/>
  <c r="B2" i="9" a="1"/>
  <c r="B2" i="9" s="1"/>
  <c r="S1" i="9"/>
  <c r="I1" i="9" a="1"/>
  <c r="I1" i="9" s="1"/>
  <c r="B1" i="9" a="1"/>
  <c r="B1" i="9" s="1"/>
  <c r="J15" i="8" a="1"/>
  <c r="J15" i="8" s="1"/>
  <c r="L15" i="8" s="1"/>
  <c r="H15" i="8"/>
  <c r="J10" i="8" a="1"/>
  <c r="J10" i="8" s="1"/>
  <c r="L10" i="8" s="1"/>
  <c r="J6" i="8" a="1"/>
  <c r="J6" i="8"/>
  <c r="L6" i="8" s="1"/>
  <c r="L4" i="8" s="1"/>
  <c r="B2" i="8" a="1"/>
  <c r="B2" i="8" s="1"/>
  <c r="S1" i="8"/>
  <c r="I1" i="8" a="1"/>
  <c r="I1" i="8" s="1"/>
  <c r="B1" i="8" a="1"/>
  <c r="B1" i="8" s="1"/>
  <c r="M27" i="7" a="1"/>
  <c r="M27" i="7" s="1"/>
  <c r="P27" i="7" s="1"/>
  <c r="J27" i="7"/>
  <c r="M25" i="7" a="1"/>
  <c r="M25" i="7"/>
  <c r="P25" i="7" s="1"/>
  <c r="M19" i="7" a="1"/>
  <c r="M19" i="7" s="1"/>
  <c r="P19" i="7" s="1" a="1"/>
  <c r="P19" i="7" s="1"/>
  <c r="M15" i="7" a="1"/>
  <c r="M15" i="7" s="1"/>
  <c r="P15" i="7" s="1" a="1"/>
  <c r="P15" i="7" s="1"/>
  <c r="M9" i="7" a="1"/>
  <c r="M9" i="7" s="1"/>
  <c r="P9" i="7" s="1" a="1"/>
  <c r="P9" i="7" s="1"/>
  <c r="B2" i="7" a="1"/>
  <c r="B2" i="7" s="1"/>
  <c r="S1" i="7"/>
  <c r="I1" i="7" a="1"/>
  <c r="I1" i="7" s="1"/>
  <c r="B1" i="7" a="1"/>
  <c r="B1" i="7" s="1"/>
  <c r="N14" i="6" a="1"/>
  <c r="N14" i="6" s="1"/>
  <c r="P14" i="6" s="1"/>
  <c r="N12" i="6" a="1"/>
  <c r="N12" i="6" s="1"/>
  <c r="P12" i="6" s="1"/>
  <c r="N10" i="6" a="1"/>
  <c r="N10" i="6"/>
  <c r="P10" i="6" s="1"/>
  <c r="N8" i="6" a="1"/>
  <c r="N8" i="6"/>
  <c r="P8" i="6" s="1"/>
  <c r="P6" i="6"/>
  <c r="N6" i="6" a="1"/>
  <c r="N6" i="6"/>
  <c r="B2" i="6" a="1"/>
  <c r="B2" i="6" s="1"/>
  <c r="S1" i="6"/>
  <c r="I1" i="6" a="1"/>
  <c r="I1" i="6" s="1"/>
  <c r="B1" i="6" a="1"/>
  <c r="B1" i="6" s="1"/>
  <c r="H18" i="5" a="1"/>
  <c r="H18" i="5" s="1"/>
  <c r="J18" i="5" s="1"/>
  <c r="F18" i="5"/>
  <c r="H16" i="5" a="1"/>
  <c r="H16" i="5" s="1"/>
  <c r="J16" i="5" s="1"/>
  <c r="H14" i="5" a="1"/>
  <c r="H14" i="5"/>
  <c r="J14" i="5" s="1"/>
  <c r="H12" i="5" a="1"/>
  <c r="H12" i="5"/>
  <c r="J12" i="5" s="1"/>
  <c r="J10" i="5"/>
  <c r="H10" i="5" a="1"/>
  <c r="H10" i="5"/>
  <c r="H8" i="5" a="1"/>
  <c r="H8" i="5" s="1"/>
  <c r="J8" i="5" s="1"/>
  <c r="H6" i="5" a="1"/>
  <c r="H6" i="5" s="1"/>
  <c r="J6" i="5" s="1"/>
  <c r="B2" i="5" a="1"/>
  <c r="B2" i="5" s="1"/>
  <c r="S1" i="5"/>
  <c r="I1" i="5" a="1"/>
  <c r="I1" i="5" s="1"/>
  <c r="B1" i="5" a="1"/>
  <c r="B1" i="5" s="1"/>
  <c r="H18" i="89" a="1"/>
  <c r="H18" i="89"/>
  <c r="J18" i="89" s="1" a="1"/>
  <c r="J18" i="89" s="1"/>
  <c r="H16" i="89" a="1"/>
  <c r="H16" i="89"/>
  <c r="J16" i="89" s="1"/>
  <c r="J14" i="89"/>
  <c r="H14" i="89" a="1"/>
  <c r="H14" i="89"/>
  <c r="H12" i="89" a="1"/>
  <c r="H12" i="89"/>
  <c r="J12" i="89" s="1" a="1"/>
  <c r="J12" i="89" s="1"/>
  <c r="H10" i="89" a="1"/>
  <c r="H10" i="89" s="1"/>
  <c r="J10" i="89" s="1" a="1"/>
  <c r="J10" i="89" s="1"/>
  <c r="H8" i="89" a="1"/>
  <c r="H8" i="89" s="1"/>
  <c r="J8" i="89" s="1" a="1"/>
  <c r="J8" i="89" s="1"/>
  <c r="J6" i="89" a="1"/>
  <c r="J6" i="89"/>
  <c r="H6" i="89" a="1"/>
  <c r="H6" i="89"/>
  <c r="B2" i="89" a="1"/>
  <c r="B2" i="89" s="1"/>
  <c r="S1" i="89"/>
  <c r="I1" i="89" a="1"/>
  <c r="I1" i="89" s="1"/>
  <c r="B1" i="89" a="1"/>
  <c r="B1" i="89" s="1"/>
  <c r="P28" i="4" a="1"/>
  <c r="P28" i="4" s="1"/>
  <c r="S28" i="4" s="1"/>
  <c r="P26" i="4" a="1"/>
  <c r="P26" i="4" s="1"/>
  <c r="S26" i="4" s="1"/>
  <c r="P24" i="4" a="1"/>
  <c r="P24" i="4" s="1"/>
  <c r="S24" i="4" s="1"/>
  <c r="P21" i="4" a="1"/>
  <c r="P21" i="4" s="1"/>
  <c r="S21" i="4" s="1" a="1"/>
  <c r="S21" i="4" s="1"/>
  <c r="P18" i="4" a="1"/>
  <c r="P18" i="4"/>
  <c r="S18" i="4" s="1" a="1"/>
  <c r="S18" i="4" s="1"/>
  <c r="S15" i="4" a="1"/>
  <c r="S15" i="4" s="1"/>
  <c r="P15" i="4" a="1"/>
  <c r="P15" i="4"/>
  <c r="S13" i="4"/>
  <c r="P13" i="4" a="1"/>
  <c r="P13" i="4"/>
  <c r="P11" i="4" a="1"/>
  <c r="P11" i="4" s="1"/>
  <c r="S11" i="4" s="1"/>
  <c r="B2" i="4" a="1"/>
  <c r="B2" i="4" s="1"/>
  <c r="S1" i="4"/>
  <c r="I1" i="4" a="1"/>
  <c r="I1" i="4" s="1"/>
  <c r="B1" i="4" a="1"/>
  <c r="B1" i="4" s="1"/>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A6" i="3"/>
  <c r="A5" i="3"/>
  <c r="M67" i="1" a="1"/>
  <c r="O67" i="1" s="1"/>
  <c r="M67" i="1"/>
  <c r="H67" i="1" a="1"/>
  <c r="J67" i="1" s="1"/>
  <c r="H67" i="1"/>
  <c r="H66" i="1" a="1"/>
  <c r="J66" i="1" s="1"/>
  <c r="M65" i="1" a="1"/>
  <c r="M65" i="1" s="1"/>
  <c r="F65" i="1"/>
  <c r="H65" i="1" s="1" a="1"/>
  <c r="H65" i="1" s="1"/>
  <c r="M64" i="1" a="1"/>
  <c r="M64" i="1" s="1"/>
  <c r="H64" i="1" a="1"/>
  <c r="H64" i="1" s="1"/>
  <c r="M63" i="1" a="1"/>
  <c r="M63" i="1" s="1"/>
  <c r="H63" i="1" a="1"/>
  <c r="H63" i="1" s="1"/>
  <c r="M62" i="1" a="1"/>
  <c r="M62" i="1"/>
  <c r="H62" i="1" a="1"/>
  <c r="I62" i="1" s="1"/>
  <c r="H62" i="1"/>
  <c r="M61" i="1" a="1"/>
  <c r="M61" i="1"/>
  <c r="H61" i="1" a="1"/>
  <c r="H61" i="1"/>
  <c r="M60" i="1" a="1"/>
  <c r="M60" i="1" s="1"/>
  <c r="H60" i="1" a="1"/>
  <c r="H60" i="1"/>
  <c r="M59" i="1" a="1"/>
  <c r="M59" i="1"/>
  <c r="H59" i="1" a="1"/>
  <c r="H59" i="1"/>
  <c r="Q58" i="1"/>
  <c r="P58" i="1"/>
  <c r="O58" i="1"/>
  <c r="N58" i="1"/>
  <c r="M58" i="1" a="1"/>
  <c r="M58" i="1"/>
  <c r="H58" i="1" a="1"/>
  <c r="K58" i="1" s="1"/>
  <c r="H58" i="1"/>
  <c r="M57" i="1" a="1"/>
  <c r="M57" i="1"/>
  <c r="H57" i="1" a="1"/>
  <c r="I57" i="1" s="1"/>
  <c r="H57" i="1"/>
  <c r="N56" i="1"/>
  <c r="M56" i="1" a="1"/>
  <c r="M56" i="1"/>
  <c r="J56" i="1"/>
  <c r="H56" i="1" a="1"/>
  <c r="I56" i="1" s="1"/>
  <c r="H56" i="1"/>
  <c r="M55" i="1" a="1"/>
  <c r="M55" i="1" s="1"/>
  <c r="H55" i="1" a="1"/>
  <c r="H55" i="1" s="1"/>
  <c r="M54" i="1" a="1"/>
  <c r="M54" i="1" s="1"/>
  <c r="H54" i="1" a="1"/>
  <c r="H54" i="1" s="1"/>
  <c r="M53" i="1" a="1"/>
  <c r="O53" i="1" s="1"/>
  <c r="H53" i="1" a="1"/>
  <c r="K53" i="1" s="1"/>
  <c r="M52" i="1" a="1"/>
  <c r="R52" i="1" s="1"/>
  <c r="H52" i="1" a="1"/>
  <c r="I52" i="1" s="1"/>
  <c r="H52" i="1"/>
  <c r="M51" i="1" a="1"/>
  <c r="N51" i="1" s="1"/>
  <c r="H51" i="1" a="1"/>
  <c r="H51" i="1"/>
  <c r="M50" i="1" a="1"/>
  <c r="N50" i="1" s="1"/>
  <c r="M50" i="1"/>
  <c r="H50" i="1" a="1"/>
  <c r="J50" i="1" s="1"/>
  <c r="P49" i="1"/>
  <c r="O49" i="1"/>
  <c r="N49" i="1"/>
  <c r="M49" i="1" a="1"/>
  <c r="M49" i="1"/>
  <c r="J49" i="1"/>
  <c r="H49" i="1" a="1"/>
  <c r="K49" i="1" s="1"/>
  <c r="O48" i="1"/>
  <c r="M48" i="1" a="1"/>
  <c r="N48" i="1" s="1"/>
  <c r="H48" i="1" a="1"/>
  <c r="I48" i="1" s="1"/>
  <c r="H48" i="1"/>
  <c r="M47" i="1" a="1"/>
  <c r="M47" i="1"/>
  <c r="H47" i="1" a="1"/>
  <c r="H47" i="1"/>
  <c r="M46" i="1" a="1"/>
  <c r="M46" i="1"/>
  <c r="H46" i="1" a="1"/>
  <c r="H46" i="1" s="1"/>
  <c r="M45" i="1" a="1"/>
  <c r="N45" i="1" s="1"/>
  <c r="H45" i="1" a="1"/>
  <c r="H45" i="1"/>
  <c r="Q44" i="1"/>
  <c r="M44" i="1" a="1"/>
  <c r="M44" i="1" s="1"/>
  <c r="K44" i="1"/>
  <c r="H44" i="1" a="1"/>
  <c r="J44" i="1" s="1"/>
  <c r="H44" i="1"/>
  <c r="M43" i="1" a="1"/>
  <c r="M43" i="1"/>
  <c r="H43" i="1" a="1"/>
  <c r="I43" i="1" s="1"/>
  <c r="H43" i="1"/>
  <c r="M42" i="1" a="1"/>
  <c r="N42" i="1" s="1"/>
  <c r="H42" i="1" a="1"/>
  <c r="H42" i="1"/>
  <c r="M41" i="1" a="1"/>
  <c r="O41" i="1" s="1"/>
  <c r="M41" i="1"/>
  <c r="H41" i="1" a="1"/>
  <c r="H41" i="1" s="1"/>
  <c r="BB8" i="1"/>
  <c r="AT8" i="1"/>
  <c r="AS8" i="1"/>
  <c r="AR8" i="1"/>
  <c r="AQ8" i="1"/>
  <c r="AO8" i="1"/>
  <c r="AN8" i="1"/>
  <c r="AK8" i="1"/>
  <c r="AJ8" i="1"/>
  <c r="AH8" i="1"/>
  <c r="AG8" i="1"/>
  <c r="AF8" i="1"/>
  <c r="AD8" i="1"/>
  <c r="W8" i="1" a="1"/>
  <c r="AE8" i="1" s="1"/>
  <c r="W8" i="1"/>
  <c r="J4" i="25" l="1"/>
  <c r="J4" i="90"/>
  <c r="C46" i="3"/>
  <c r="B46" i="3"/>
  <c r="P4" i="6"/>
  <c r="N4" i="16"/>
  <c r="L4" i="22"/>
  <c r="N4" i="29"/>
  <c r="B48" i="3"/>
  <c r="C48" i="3"/>
  <c r="C57" i="3"/>
  <c r="B57" i="3"/>
  <c r="P4" i="14"/>
  <c r="L4" i="18"/>
  <c r="C22" i="3" s="1"/>
  <c r="C24" i="3"/>
  <c r="B24" i="3"/>
  <c r="C28" i="3"/>
  <c r="C40" i="3"/>
  <c r="B40" i="3"/>
  <c r="C50" i="3"/>
  <c r="B50" i="3"/>
  <c r="R4" i="36"/>
  <c r="N4" i="42"/>
  <c r="R4" i="53"/>
  <c r="B42" i="3"/>
  <c r="C42" i="3"/>
  <c r="V4" i="48"/>
  <c r="C52" i="3" s="1"/>
  <c r="J4" i="5"/>
  <c r="B7" i="3" s="1"/>
  <c r="C27" i="3"/>
  <c r="B27" i="3"/>
  <c r="L4" i="24"/>
  <c r="C35" i="3"/>
  <c r="B35" i="3"/>
  <c r="C44" i="3"/>
  <c r="B44" i="3"/>
  <c r="C9" i="3"/>
  <c r="B9" i="3"/>
  <c r="C32" i="3"/>
  <c r="B32" i="3"/>
  <c r="J4" i="41"/>
  <c r="B19" i="3"/>
  <c r="C19" i="3"/>
  <c r="P4" i="20"/>
  <c r="B30" i="3"/>
  <c r="C30" i="3"/>
  <c r="B12" i="3"/>
  <c r="C12" i="3"/>
  <c r="L4" i="34"/>
  <c r="C38" i="3" s="1"/>
  <c r="J4" i="50"/>
  <c r="C54" i="3" s="1"/>
  <c r="S4" i="11"/>
  <c r="C14" i="3" s="1"/>
  <c r="J4" i="13"/>
  <c r="C16" i="3" s="1"/>
  <c r="C21" i="3"/>
  <c r="B21" i="3"/>
  <c r="B43" i="3"/>
  <c r="C43" i="3"/>
  <c r="C23" i="3"/>
  <c r="B23" i="3"/>
  <c r="C39" i="3"/>
  <c r="B39" i="3"/>
  <c r="C51" i="3"/>
  <c r="B51" i="3"/>
  <c r="R4" i="52"/>
  <c r="C56" i="3" s="1"/>
  <c r="C47" i="3"/>
  <c r="J4" i="89"/>
  <c r="P4" i="7"/>
  <c r="C13" i="3"/>
  <c r="J4" i="17"/>
  <c r="C45" i="3"/>
  <c r="B45" i="3"/>
  <c r="L4" i="54"/>
  <c r="C58" i="3" s="1"/>
  <c r="R4" i="32"/>
  <c r="B36" i="3" s="1"/>
  <c r="R4" i="37"/>
  <c r="B41" i="3" s="1"/>
  <c r="L4" i="47"/>
  <c r="B13" i="3"/>
  <c r="P4" i="43"/>
  <c r="B47" i="3" s="1"/>
  <c r="Y4" i="45"/>
  <c r="B49" i="3" s="1"/>
  <c r="C53" i="3"/>
  <c r="B53" i="3"/>
  <c r="Q4" i="21"/>
  <c r="B25" i="3" s="1"/>
  <c r="J4" i="40"/>
  <c r="B6" i="3"/>
  <c r="C29" i="3"/>
  <c r="B29" i="3"/>
  <c r="B31" i="3"/>
  <c r="C31" i="3"/>
  <c r="C34" i="3"/>
  <c r="B34" i="3"/>
  <c r="S4" i="4"/>
  <c r="C5" i="3" s="1"/>
  <c r="N4" i="51"/>
  <c r="B55" i="3" s="1"/>
  <c r="C10" i="3"/>
  <c r="C20" i="3"/>
  <c r="B20" i="3"/>
  <c r="C26" i="3"/>
  <c r="B26" i="3"/>
  <c r="B37" i="3"/>
  <c r="C37" i="3"/>
  <c r="L4" i="49"/>
  <c r="N4" i="9"/>
  <c r="C8" i="3"/>
  <c r="B8" i="3"/>
  <c r="C15" i="3"/>
  <c r="L4" i="15"/>
  <c r="B18" i="3" s="1"/>
  <c r="N4" i="10"/>
  <c r="C6" i="3"/>
  <c r="C7" i="3"/>
  <c r="B15" i="3"/>
  <c r="B16" i="3"/>
  <c r="B28" i="3"/>
  <c r="B10" i="3"/>
  <c r="I41" i="1"/>
  <c r="N44" i="1"/>
  <c r="H49" i="1"/>
  <c r="J41" i="1"/>
  <c r="O44" i="1"/>
  <c r="AI8" i="1"/>
  <c r="K41" i="1"/>
  <c r="P44" i="1"/>
  <c r="I49" i="1"/>
  <c r="M52" i="1"/>
  <c r="N52" i="1"/>
  <c r="AL8" i="1"/>
  <c r="N41" i="1"/>
  <c r="O52" i="1"/>
  <c r="AM8" i="1"/>
  <c r="M45" i="1"/>
  <c r="P52" i="1"/>
  <c r="AP8" i="1"/>
  <c r="M42" i="1"/>
  <c r="S52" i="1"/>
  <c r="H66" i="1"/>
  <c r="Q52" i="1"/>
  <c r="H53" i="1"/>
  <c r="I66" i="1"/>
  <c r="I50" i="1"/>
  <c r="I53" i="1"/>
  <c r="H50" i="1"/>
  <c r="T52" i="1"/>
  <c r="AU8" i="1"/>
  <c r="K50" i="1"/>
  <c r="I67" i="1"/>
  <c r="J53" i="1"/>
  <c r="X8" i="1"/>
  <c r="AV8" i="1"/>
  <c r="Y8" i="1"/>
  <c r="AW8" i="1"/>
  <c r="M53" i="1"/>
  <c r="Z8" i="1"/>
  <c r="AX8" i="1"/>
  <c r="AA8" i="1"/>
  <c r="AY8" i="1"/>
  <c r="N53" i="1"/>
  <c r="I58" i="1"/>
  <c r="AB8" i="1"/>
  <c r="AZ8" i="1"/>
  <c r="I44" i="1"/>
  <c r="N67" i="1"/>
  <c r="J58" i="1"/>
  <c r="AC8" i="1"/>
  <c r="BA8" i="1"/>
  <c r="M48" i="1"/>
  <c r="M51" i="1"/>
  <c r="D35" i="3" l="1"/>
  <c r="D29" i="3"/>
  <c r="E29" i="3" s="1"/>
  <c r="D20" i="3"/>
  <c r="D51" i="3"/>
  <c r="E51" i="3" s="1"/>
  <c r="D53" i="3"/>
  <c r="D8" i="3"/>
  <c r="E8" i="3" s="1"/>
  <c r="D40" i="3"/>
  <c r="D28" i="3"/>
  <c r="E28" i="3" s="1"/>
  <c r="D39" i="3"/>
  <c r="E39" i="3" s="1"/>
  <c r="D50" i="3"/>
  <c r="D43" i="3"/>
  <c r="E43" i="3" s="1"/>
  <c r="D24" i="3"/>
  <c r="E24" i="3" s="1"/>
  <c r="D57" i="3"/>
  <c r="E57" i="3" s="1"/>
  <c r="D15" i="3"/>
  <c r="E15" i="3" s="1"/>
  <c r="D27" i="3"/>
  <c r="E27" i="3" s="1"/>
  <c r="D45" i="3"/>
  <c r="E45" i="3" s="1"/>
  <c r="D46" i="3"/>
  <c r="E46" i="3" s="1"/>
  <c r="E40" i="3"/>
  <c r="D9" i="3"/>
  <c r="E9" i="3" s="1"/>
  <c r="D34" i="3"/>
  <c r="E34" i="3" s="1"/>
  <c r="D30" i="3"/>
  <c r="E30" i="3" s="1"/>
  <c r="D42" i="3"/>
  <c r="E42" i="3" s="1"/>
  <c r="E50" i="3"/>
  <c r="D44" i="3"/>
  <c r="E44" i="3" s="1"/>
  <c r="D21" i="3"/>
  <c r="E21" i="3" s="1"/>
  <c r="D7" i="3"/>
  <c r="E7" i="3" s="1"/>
  <c r="D26" i="3"/>
  <c r="E26" i="3" s="1"/>
  <c r="D47" i="3"/>
  <c r="E47" i="3" s="1"/>
  <c r="C41" i="3"/>
  <c r="B58" i="3"/>
  <c r="D58" i="3" s="1"/>
  <c r="E58" i="3" s="1"/>
  <c r="E35" i="3"/>
  <c r="C17" i="3"/>
  <c r="B17" i="3"/>
  <c r="D16" i="3"/>
  <c r="E16" i="3" s="1"/>
  <c r="B5" i="3"/>
  <c r="D6" i="3"/>
  <c r="E6" i="3" s="1"/>
  <c r="D48" i="3"/>
  <c r="E48" i="3" s="1"/>
  <c r="D31" i="3"/>
  <c r="E31" i="3" s="1"/>
  <c r="B54" i="3"/>
  <c r="D54" i="3" s="1"/>
  <c r="E54" i="3" s="1"/>
  <c r="C33" i="3"/>
  <c r="B33" i="3"/>
  <c r="D10" i="3"/>
  <c r="E10" i="3" s="1"/>
  <c r="E53" i="3"/>
  <c r="D12" i="3"/>
  <c r="E12" i="3" s="1"/>
  <c r="C11" i="3"/>
  <c r="B11" i="3"/>
  <c r="B14" i="3"/>
  <c r="D14" i="3" s="1"/>
  <c r="E14" i="3" s="1"/>
  <c r="C18" i="3"/>
  <c r="D18" i="3" s="1"/>
  <c r="B38" i="3"/>
  <c r="D38" i="3" s="1"/>
  <c r="E38" i="3" s="1"/>
  <c r="D13" i="3"/>
  <c r="E13" i="3" s="1"/>
  <c r="C36" i="3"/>
  <c r="B22" i="3"/>
  <c r="D22" i="3" s="1"/>
  <c r="E22" i="3" s="1"/>
  <c r="D37" i="3"/>
  <c r="E37" i="3" s="1"/>
  <c r="C55" i="3"/>
  <c r="D19" i="3"/>
  <c r="E19" i="3" s="1"/>
  <c r="C25" i="3"/>
  <c r="B56" i="3"/>
  <c r="D56" i="3" s="1"/>
  <c r="E56" i="3" s="1"/>
  <c r="B52" i="3"/>
  <c r="D52" i="3" s="1"/>
  <c r="E52" i="3" s="1"/>
  <c r="C49" i="3"/>
  <c r="D49" i="3" s="1"/>
  <c r="D23" i="3"/>
  <c r="E23" i="3" s="1"/>
  <c r="E20" i="3"/>
  <c r="D32" i="3"/>
  <c r="E32" i="3" s="1"/>
  <c r="D11" i="3" l="1"/>
  <c r="E11" i="3" s="1"/>
  <c r="D17" i="3"/>
  <c r="D33" i="3"/>
  <c r="D55" i="3"/>
  <c r="E55" i="3" s="1"/>
  <c r="D5" i="3"/>
  <c r="B59" i="3"/>
  <c r="C59" i="3"/>
  <c r="E59" i="3" s="1"/>
  <c r="E18" i="3"/>
  <c r="D25" i="3"/>
  <c r="E25" i="3" s="1"/>
  <c r="E17" i="3"/>
  <c r="D36" i="3"/>
  <c r="E36" i="3" s="1"/>
  <c r="E33" i="3"/>
  <c r="E49" i="3"/>
  <c r="D41" i="3"/>
  <c r="E41" i="3" s="1"/>
  <c r="D59" i="3" l="1"/>
  <c r="E5"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<sst xmlns="http://schemas.openxmlformats.org/spreadsheetml/2006/main" count="5671" uniqueCount="3598">
  <si>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</si>
  <si>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</si>
  <si>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</si>
  <si>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</si>
  <si>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</si>
  <si>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</si>
  <si>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</si>
  <si>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</si>
  <si>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</si>
  <si>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</si>
  <si>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</si>
  <si>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</si>
  <si>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</si>
  <si>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</si>
  <si>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</si>
  <si>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</si>
  <si>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</si>
  <si>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</si>
  <si>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</si>
  <si>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</si>
  <si>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</si>
  <si>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</si>
  <si>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</si>
  <si>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</si>
  <si>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</si>
  <si>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</si>
  <si>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</si>
  <si>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</si>
  <si>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</si>
  <si>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</si>
  <si>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</si>
  <si>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</si>
  <si>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</si>
  <si>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</si>
  <si>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</si>
  <si>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</si>
  <si>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</si>
  <si>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</si>
  <si>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</si>
  <si>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</si>
  <si>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</si>
  <si>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</si>
  <si>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</si>
  <si>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</si>
  <si>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</si>
  <si>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</si>
  <si>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</si>
  <si>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</si>
  <si>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</si>
  <si>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</si>
  <si>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</si>
  <si>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</si>
  <si>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</si>
  <si>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</si>
  <si>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</si>
  <si>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</si>
  <si>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</si>
  <si>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</si>
  <si>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</si>
  <si>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</si>
  <si>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</si>
  <si>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</si>
  <si>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</si>
  <si>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</si>
  <si>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</si>
  <si>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</si>
  <si>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</si>
  <si>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</si>
  <si>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</si>
  <si>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</si>
  <si>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</si>
  <si>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</si>
  <si>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</si>
  <si>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</si>
  <si>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</si>
  <si>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</si>
  <si>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</si>
  <si>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</si>
  <si>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</si>
  <si>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</si>
  <si>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</si>
  <si>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</si>
  <si>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</si>
  <si>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</si>
  <si>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</si>
  <si>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</si>
  <si>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</si>
  <si>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</si>
  <si>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</si>
  <si>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</si>
  <si>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</si>
  <si>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</si>
  <si>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</si>
  <si>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</si>
  <si>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</si>
  <si>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</si>
  <si>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</si>
  <si>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</si>
  <si>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</si>
  <si>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</si>
  <si>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</si>
  <si>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</si>
  <si>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</si>
  <si>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</si>
  <si>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</si>
  <si>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</si>
  <si>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</si>
  <si>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</si>
  <si>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</si>
  <si>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</si>
  <si>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</si>
  <si>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</si>
  <si>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</si>
  <si>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</si>
  <si>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</si>
  <si>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</si>
  <si>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</si>
  <si>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</si>
  <si>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</si>
  <si>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</si>
  <si>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</si>
  <si>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</si>
  <si>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</si>
  <si>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</si>
  <si>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</si>
  <si>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</si>
  <si>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</si>
  <si>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</si>
  <si>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</si>
  <si>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</si>
  <si>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</si>
  <si>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</si>
  <si>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</si>
  <si>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</si>
  <si>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</si>
  <si>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</si>
  <si>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</si>
  <si>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</si>
  <si>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</si>
  <si>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</si>
  <si>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</si>
  <si>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</si>
  <si>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</si>
  <si>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</si>
  <si>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</si>
  <si>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</si>
  <si>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</si>
  <si>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</si>
  <si>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</si>
  <si>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</si>
  <si>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</si>
  <si>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</si>
  <si>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</si>
  <si>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</si>
  <si>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</si>
  <si>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</si>
  <si>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</si>
  <si>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</si>
  <si>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</si>
  <si>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</si>
  <si>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</si>
  <si>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</si>
  <si>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</si>
  <si>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</si>
  <si>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</si>
  <si>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</si>
  <si>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</si>
  <si>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</si>
  <si>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</si>
  <si>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</si>
  <si>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</si>
  <si>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</si>
  <si>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</si>
  <si>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</si>
  <si>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</si>
  <si>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</si>
  <si>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</si>
  <si>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</si>
  <si>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</si>
  <si>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</si>
  <si>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</si>
  <si>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</si>
  <si>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</si>
  <si>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</si>
  <si>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</si>
  <si>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</si>
  <si>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</si>
  <si>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</si>
  <si>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</si>
  <si>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</si>
  <si>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</si>
  <si>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</si>
  <si>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</si>
  <si>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</si>
  <si>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</si>
  <si>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</si>
  <si>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</si>
  <si>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</si>
  <si>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</si>
  <si>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</si>
  <si>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</si>
  <si>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</si>
  <si>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</si>
  <si>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</si>
  <si>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</si>
  <si>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</si>
  <si>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</si>
  <si>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</si>
  <si>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</si>
  <si>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</si>
  <si>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</si>
  <si>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</si>
  <si>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</si>
  <si>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</si>
  <si>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</si>
  <si>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</si>
  <si>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</si>
  <si>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</si>
  <si>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</si>
  <si>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</si>
  <si>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</si>
  <si>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</si>
  <si>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</si>
  <si>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</si>
  <si>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</si>
  <si>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</si>
  <si>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</si>
  <si>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</si>
  <si>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</si>
  <si>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</si>
  <si>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</si>
  <si>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</si>
  <si>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</si>
  <si>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</si>
  <si>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</si>
  <si>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</si>
  <si>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</si>
  <si>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</si>
  <si>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</si>
  <si>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</si>
  <si>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</si>
  <si>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</si>
  <si>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</si>
  <si>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</si>
  <si>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</si>
  <si>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</si>
  <si>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</si>
  <si>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</si>
  <si>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</si>
  <si>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</si>
  <si>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</si>
  <si>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</si>
  <si>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</si>
  <si>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</si>
  <si>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</si>
  <si>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</si>
  <si>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</si>
  <si>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</si>
  <si>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</si>
  <si>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</si>
  <si>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</si>
  <si>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</si>
  <si>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</si>
  <si>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</si>
  <si>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</si>
  <si>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</si>
  <si>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</si>
  <si>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</si>
  <si>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</si>
  <si>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</si>
  <si>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</si>
  <si>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</si>
  <si>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</si>
  <si>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</si>
  <si>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</si>
  <si>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</si>
  <si>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</si>
  <si>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</si>
  <si>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</si>
  <si>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</si>
  <si>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</si>
  <si>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</si>
  <si>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</si>
  <si>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</si>
  <si>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</si>
  <si>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</si>
  <si>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</si>
  <si>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</si>
  <si>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</si>
  <si>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</si>
  <si>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</si>
  <si>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</si>
  <si>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</si>
  <si>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</si>
  <si>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</si>
  <si>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</si>
  <si>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</si>
  <si>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</si>
  <si>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</si>
  <si>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</si>
  <si>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</si>
  <si>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</si>
  <si>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</si>
  <si>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</si>
  <si>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</si>
  <si>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</si>
  <si>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</si>
  <si>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</si>
  <si>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</si>
  <si>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</si>
  <si>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</si>
  <si>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</si>
  <si>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</si>
  <si>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</si>
  <si>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</si>
  <si>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</si>
  <si>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</si>
  <si>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</si>
  <si>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</si>
  <si>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</si>
  <si>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</si>
  <si>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</si>
  <si>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</si>
  <si>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</si>
  <si>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</si>
  <si>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</si>
  <si>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</si>
  <si>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</si>
  <si>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</si>
  <si>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</si>
  <si>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</si>
  <si>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</si>
  <si>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</si>
  <si>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</si>
  <si>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</si>
  <si>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</si>
  <si>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</si>
  <si>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</si>
  <si>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</si>
  <si>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</si>
  <si>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</si>
  <si>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</si>
  <si>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</si>
  <si>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</si>
  <si>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</si>
  <si>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</si>
  <si>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</si>
  <si>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</si>
  <si>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</si>
  <si>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</si>
  <si>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</si>
  <si>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</si>
  <si>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</si>
  <si>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</si>
  <si>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</si>
  <si>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</si>
  <si>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</si>
  <si>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</si>
  <si>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</si>
  <si>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</si>
  <si>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</si>
  <si>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</si>
  <si>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</si>
  <si>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</si>
  <si>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</si>
  <si>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</si>
  <si>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</si>
  <si>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</si>
  <si>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</si>
  <si>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</si>
  <si>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</si>
  <si>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</si>
  <si>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</si>
  <si>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</si>
  <si>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</si>
  <si>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</si>
  <si>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</si>
  <si>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</si>
  <si>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</si>
  <si>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</si>
  <si>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</si>
  <si>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</si>
  <si>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</si>
  <si>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</si>
  <si>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</si>
  <si>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</si>
  <si>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</si>
  <si>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</si>
  <si>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</si>
  <si>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</si>
  <si>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</si>
  <si>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</si>
  <si>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</si>
  <si>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</si>
  <si>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</si>
  <si>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</si>
  <si>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</si>
  <si>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</si>
  <si>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</si>
  <si>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</si>
  <si>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</si>
  <si>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</si>
  <si>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</si>
  <si>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</si>
  <si>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</si>
  <si>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</si>
  <si>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</si>
  <si>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</si>
  <si>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</si>
  <si>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</si>
  <si>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</si>
  <si>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</si>
  <si>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</si>
  <si>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</si>
  <si>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</si>
  <si>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</si>
  <si>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</si>
  <si>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</si>
  <si>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</si>
  <si>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</si>
  <si>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</si>
  <si>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</si>
  <si>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</si>
  <si>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</si>
  <si>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</si>
  <si>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</si>
  <si>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</si>
  <si>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</si>
  <si>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</si>
  <si>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</si>
  <si>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</si>
  <si>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</si>
  <si>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</si>
  <si>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</si>
  <si>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</si>
  <si>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</si>
  <si>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</si>
  <si>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</si>
  <si>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</si>
  <si>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</si>
  <si>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</si>
  <si>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</si>
  <si>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</si>
  <si>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</si>
  <si>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</si>
  <si>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</si>
  <si>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</si>
  <si>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</si>
  <si>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</si>
  <si>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</si>
  <si>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</si>
  <si>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</si>
  <si>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</si>
  <si>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</si>
  <si>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</si>
  <si>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</si>
  <si>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</si>
  <si>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</si>
  <si>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</si>
  <si>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</si>
  <si>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</si>
  <si>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</si>
  <si>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</si>
  <si>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</si>
  <si>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</si>
  <si>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</si>
  <si>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</si>
  <si>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</si>
  <si>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</si>
  <si>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</si>
  <si>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</si>
  <si>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</si>
  <si>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</si>
  <si>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</si>
  <si>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</si>
  <si>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</si>
  <si>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</si>
  <si>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</si>
  <si>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</si>
  <si>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</si>
  <si>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</si>
  <si>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</si>
  <si>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</si>
  <si>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</si>
  <si>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</si>
  <si>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</si>
  <si>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</si>
  <si>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</si>
  <si>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</si>
  <si>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</si>
  <si>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</si>
  <si>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</si>
  <si>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</si>
  <si>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</si>
  <si>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</si>
  <si>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</si>
  <si>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</si>
  <si>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</si>
  <si>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</si>
  <si>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</si>
  <si>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</si>
  <si>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</si>
  <si>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</si>
  <si>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</si>
  <si>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</si>
  <si>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</si>
  <si>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</si>
  <si>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</si>
  <si>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</si>
  <si>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</si>
  <si>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</si>
  <si>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</si>
  <si>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</si>
  <si>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</si>
  <si>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</si>
  <si>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</si>
  <si>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</si>
  <si>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</si>
  <si>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</si>
  <si>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</si>
  <si>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</si>
  <si>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</si>
  <si>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</si>
  <si>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</si>
  <si>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</si>
  <si>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</si>
  <si>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</si>
  <si>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</si>
  <si>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</si>
  <si>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</si>
  <si>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</si>
  <si>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</si>
  <si>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</si>
  <si>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</si>
  <si>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</si>
  <si>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</si>
  <si>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</si>
  <si>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</si>
  <si>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</si>
  <si>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</si>
  <si>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</si>
  <si>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</si>
  <si>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</si>
  <si>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</si>
  <si>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</si>
  <si>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</si>
  <si>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</si>
  <si>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</si>
  <si>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</si>
  <si>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</si>
  <si>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</si>
  <si>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</si>
  <si>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</si>
  <si>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</si>
  <si>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</si>
  <si>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</si>
  <si>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</si>
  <si>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</si>
  <si>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</si>
  <si>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</si>
  <si>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</si>
  <si>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</si>
  <si>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</si>
  <si>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</si>
  <si>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</si>
  <si>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</si>
  <si>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</si>
  <si>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</si>
  <si>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</si>
  <si>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</si>
  <si>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</si>
  <si>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</si>
  <si>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</si>
  <si>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</si>
  <si>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</si>
  <si>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</si>
  <si>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</si>
  <si>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</si>
  <si>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</si>
  <si>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</si>
  <si>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</si>
  <si>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</si>
  <si>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</si>
  <si>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</si>
  <si>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</si>
  <si>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</si>
  <si>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</si>
  <si>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</si>
  <si>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</si>
  <si>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</si>
  <si>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</si>
  <si>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</si>
  <si>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</si>
  <si>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</si>
  <si>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</si>
  <si>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</si>
  <si>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</si>
  <si>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</si>
  <si>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</si>
  <si>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</si>
  <si>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</si>
  <si>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</si>
  <si>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</si>
  <si>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</si>
  <si>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</si>
  <si>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</si>
  <si>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</si>
  <si>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</si>
  <si>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</si>
  <si>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</si>
  <si>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</si>
  <si>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</si>
  <si>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</si>
  <si>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</si>
  <si>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</si>
  <si>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</si>
  <si>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</si>
  <si>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</si>
  <si>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</si>
  <si>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</si>
  <si>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</si>
  <si>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</si>
  <si>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</si>
  <si>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</si>
  <si>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</si>
  <si>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</si>
  <si>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</si>
  <si>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</si>
  <si>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</si>
  <si>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</si>
  <si>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</si>
  <si>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</si>
  <si>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</si>
  <si>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</si>
  <si>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</si>
  <si>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</si>
  <si>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</si>
  <si>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</si>
  <si>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</si>
  <si>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</si>
  <si>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</si>
  <si>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</si>
  <si>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</si>
  <si>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</si>
  <si>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</si>
  <si>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</si>
  <si>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</si>
  <si>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</si>
  <si>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</si>
  <si>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</si>
  <si>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</si>
  <si>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</si>
  <si>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</si>
  <si>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</si>
  <si>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</si>
  <si>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</si>
  <si>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</si>
  <si>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</si>
  <si>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</si>
  <si>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</si>
  <si>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</si>
  <si>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</si>
  <si>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</si>
  <si>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</si>
  <si>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</si>
  <si>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</si>
  <si>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</si>
  <si>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</si>
  <si>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</si>
  <si>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</si>
  <si>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</si>
  <si>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</si>
  <si>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</si>
  <si>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</si>
  <si>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</si>
  <si>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</si>
  <si>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</si>
  <si>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</si>
  <si>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</si>
  <si>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</si>
  <si>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</si>
  <si>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</si>
  <si>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</si>
  <si>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</si>
  <si>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</si>
  <si>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</si>
  <si>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</si>
  <si>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</si>
  <si>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</si>
  <si>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</si>
  <si>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</si>
  <si>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</si>
  <si>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</si>
  <si>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</si>
  <si>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</si>
  <si>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</si>
  <si>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</si>
  <si>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</si>
  <si>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</si>
  <si>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</si>
  <si>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</si>
  <si>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</si>
  <si>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</si>
  <si>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</si>
  <si>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</si>
  <si>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</si>
  <si>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</si>
  <si>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</si>
  <si>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</si>
  <si>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</si>
  <si>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</si>
  <si>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</si>
  <si>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</si>
  <si>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</si>
  <si>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</si>
  <si>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</si>
  <si>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</si>
  <si>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</si>
  <si>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</si>
  <si>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</si>
  <si>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</si>
  <si>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</si>
  <si>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</si>
  <si>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</si>
  <si>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</si>
  <si>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</si>
  <si>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</si>
  <si>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</si>
  <si>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</si>
  <si>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</si>
  <si>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</si>
  <si>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</si>
  <si>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</si>
  <si>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</si>
  <si>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</si>
  <si>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</si>
  <si>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</si>
  <si>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</si>
  <si>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</si>
  <si>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</si>
  <si>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</si>
  <si>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</si>
  <si>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</si>
  <si>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</si>
  <si>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</si>
  <si>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</si>
  <si>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</si>
  <si>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</si>
  <si>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</si>
  <si>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</si>
  <si>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</si>
  <si>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</si>
  <si>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</si>
  <si>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</si>
  <si>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</si>
  <si>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</si>
  <si>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</si>
  <si>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</si>
  <si>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</si>
  <si>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</si>
  <si>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</si>
  <si>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</si>
  <si>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</si>
  <si>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</si>
  <si>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</si>
  <si>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</si>
  <si>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</si>
  <si>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</si>
  <si>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</si>
  <si>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</si>
  <si>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</si>
  <si>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</si>
  <si>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</si>
  <si>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</si>
  <si>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</si>
  <si>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</si>
  <si>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</si>
  <si>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</si>
  <si>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</si>
  <si>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</si>
  <si>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</si>
  <si>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</si>
  <si>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</si>
  <si>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</si>
  <si>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</si>
  <si>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</si>
  <si>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</si>
  <si>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</si>
  <si>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</si>
  <si>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</si>
  <si>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</si>
  <si>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</si>
  <si>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</si>
  <si>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</si>
  <si>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</si>
  <si>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</si>
  <si>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</si>
  <si>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</si>
  <si>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</si>
  <si>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</si>
  <si>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</si>
  <si>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</si>
  <si>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</si>
  <si>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</si>
  <si>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</si>
  <si>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</si>
  <si>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</si>
  <si>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</si>
  <si>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</si>
  <si>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</si>
  <si>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</si>
  <si>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</si>
  <si>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</si>
  <si>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</si>
  <si>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</si>
  <si>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</si>
  <si>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</si>
  <si>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</si>
  <si>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</si>
  <si>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</si>
  <si>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</si>
  <si>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</si>
  <si>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</si>
  <si>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</si>
  <si>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</si>
  <si>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</si>
  <si>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</si>
  <si>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</si>
  <si>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</si>
  <si>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</si>
  <si>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</si>
  <si>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</si>
  <si>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</si>
  <si>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</si>
  <si>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</si>
  <si>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</si>
  <si>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</si>
  <si>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</si>
  <si>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</si>
  <si>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</si>
  <si>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</si>
  <si>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</si>
  <si>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</si>
  <si>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</si>
  <si>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</si>
  <si>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</si>
  <si>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</si>
  <si>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</si>
  <si>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</si>
  <si>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</si>
  <si>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</si>
  <si>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</si>
  <si>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</si>
  <si>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</si>
  <si>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</si>
  <si>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</si>
  <si>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</si>
  <si>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</si>
  <si>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</si>
  <si>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</si>
  <si>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</si>
  <si>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</si>
  <si>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</si>
  <si>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</si>
  <si>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</si>
  <si>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</si>
  <si>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</si>
  <si>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</si>
  <si>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</si>
  <si>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</si>
  <si>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</si>
  <si>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</si>
  <si>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</si>
  <si>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</si>
  <si>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</si>
  <si>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</si>
  <si>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</si>
  <si>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</si>
  <si>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</si>
  <si>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</si>
  <si>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</si>
  <si>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</si>
  <si>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</si>
  <si>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</si>
  <si>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</si>
  <si>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</si>
  <si>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</si>
  <si>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</si>
  <si>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</si>
  <si>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</si>
  <si>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</si>
  <si>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</si>
  <si>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</si>
  <si>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</si>
  <si>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</si>
  <si>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</si>
  <si>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</si>
  <si>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</si>
  <si>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</si>
  <si>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</si>
  <si>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</si>
  <si>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</si>
  <si>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</si>
  <si>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</si>
  <si>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</si>
  <si>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</si>
  <si>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</si>
  <si>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</si>
  <si>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</si>
  <si>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</si>
  <si>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</si>
  <si>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</si>
  <si>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</si>
  <si>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</si>
  <si>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</si>
  <si>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</si>
  <si>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</si>
  <si>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</si>
  <si>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</si>
  <si>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</si>
  <si>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</si>
  <si>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</si>
  <si>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</si>
  <si>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</si>
  <si>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</si>
  <si>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</si>
  <si>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</si>
  <si>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</si>
  <si>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</si>
  <si>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</si>
  <si>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</si>
  <si>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</si>
  <si>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</si>
  <si>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</si>
  <si>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</si>
  <si>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</si>
  <si>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</si>
  <si>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</si>
  <si>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</si>
  <si>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</si>
  <si>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</si>
  <si>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</si>
  <si>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</si>
  <si>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</si>
  <si>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</si>
  <si>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</si>
  <si>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</si>
  <si>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</si>
  <si>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</si>
  <si>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</si>
  <si>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</si>
  <si>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</si>
  <si>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</si>
  <si>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</si>
  <si>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</si>
  <si>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</si>
  <si>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</si>
  <si>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</si>
  <si>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</si>
  <si>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</si>
  <si>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</si>
  <si>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</si>
  <si>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</si>
  <si>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</si>
  <si>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</si>
  <si>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</si>
  <si>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</si>
  <si>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</si>
  <si>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</si>
  <si>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</si>
  <si>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</si>
  <si>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</si>
  <si>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</si>
  <si>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</si>
  <si>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</si>
  <si>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</si>
  <si>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</si>
  <si>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</si>
  <si>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</si>
  <si>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</si>
  <si>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</si>
  <si>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</si>
  <si>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</si>
  <si>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</si>
  <si>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</si>
  <si>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</si>
  <si>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</si>
  <si>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</si>
  <si>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</si>
  <si>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</si>
  <si>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</si>
  <si>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</si>
  <si>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</si>
  <si>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</si>
  <si>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</si>
  <si>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</si>
  <si>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</si>
  <si>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</si>
  <si>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</si>
  <si>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</si>
  <si>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</si>
  <si>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</si>
  <si>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</si>
  <si>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</si>
  <si>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</si>
  <si>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</si>
  <si>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</si>
  <si>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</si>
  <si>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</si>
  <si>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</si>
  <si>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</si>
  <si>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</si>
  <si>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</si>
  <si>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</si>
  <si>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</si>
  <si>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</si>
  <si>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</si>
  <si>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</si>
  <si>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</si>
  <si>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</si>
  <si>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</si>
  <si>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</si>
  <si>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</si>
  <si>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</si>
  <si>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</si>
  <si>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</si>
  <si>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</si>
  <si>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</si>
  <si>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</si>
  <si>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</si>
  <si>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</si>
  <si>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</si>
  <si>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</si>
  <si>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</si>
  <si>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</si>
  <si>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</si>
  <si>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</si>
  <si>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</si>
  <si>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</si>
  <si>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</si>
  <si>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</si>
  <si>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</si>
  <si>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</si>
  <si>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</si>
  <si>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</si>
  <si>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</si>
  <si>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</si>
  <si>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</si>
  <si>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</si>
  <si>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</si>
  <si>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</si>
  <si>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</si>
  <si>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</si>
  <si>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</si>
  <si>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</si>
  <si>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</si>
  <si>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</si>
  <si>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</si>
  <si>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</si>
  <si>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</si>
  <si>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</si>
  <si>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</si>
  <si>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</si>
  <si>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</si>
  <si>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</si>
  <si>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</si>
  <si>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</si>
  <si>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</si>
  <si>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</si>
  <si>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</si>
  <si>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</si>
  <si>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</si>
  <si>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</si>
  <si>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</si>
  <si>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</si>
  <si>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</si>
  <si>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</si>
  <si>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</si>
  <si>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</si>
  <si>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</si>
  <si>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</si>
  <si>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</si>
  <si>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</si>
  <si>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</si>
  <si>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</si>
  <si>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</si>
  <si>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</si>
  <si>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</si>
  <si>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</si>
  <si>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</si>
  <si>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</si>
  <si>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</si>
  <si>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</si>
  <si>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</si>
  <si>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</si>
  <si>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</si>
  <si>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</si>
  <si>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</si>
  <si>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</si>
  <si>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</si>
  <si>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</si>
  <si>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</si>
  <si>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</si>
  <si>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</si>
  <si>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</si>
  <si>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</si>
  <si>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</si>
  <si>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</si>
  <si>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</si>
  <si>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</si>
  <si>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</si>
  <si>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</si>
  <si>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</si>
  <si>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</si>
  <si>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</si>
  <si>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</si>
  <si>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</si>
  <si>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</si>
  <si>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</si>
  <si>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</si>
  <si>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</si>
  <si>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</si>
  <si>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</si>
  <si>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</si>
  <si>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</si>
  <si>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</si>
  <si>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</si>
  <si>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</si>
  <si>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</si>
  <si>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</si>
  <si>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</si>
  <si>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</si>
  <si>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</si>
  <si>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</si>
  <si>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</si>
  <si>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</si>
  <si>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</si>
  <si>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</si>
  <si>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</si>
  <si>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</si>
  <si>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</si>
  <si>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</si>
  <si>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</si>
  <si>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</si>
  <si>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</si>
  <si>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</si>
  <si>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</si>
  <si>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</si>
  <si>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</si>
  <si>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</si>
  <si>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</si>
  <si>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</si>
  <si>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</si>
  <si>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</si>
  <si>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</si>
  <si>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</si>
  <si>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</si>
  <si>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</si>
  <si>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</si>
  <si>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</si>
  <si>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</si>
  <si>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</si>
  <si>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</si>
  <si>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</si>
  <si>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</si>
  <si>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</si>
  <si>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</si>
  <si>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</si>
  <si>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</si>
  <si>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</si>
  <si>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</si>
  <si>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</si>
  <si>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</si>
  <si>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</si>
  <si>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</si>
  <si>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</si>
  <si>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</si>
  <si>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</si>
  <si>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</si>
  <si>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</si>
  <si>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</si>
  <si>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</si>
  <si>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</si>
  <si>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</si>
  <si>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</si>
  <si>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</si>
  <si>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</si>
  <si>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</si>
  <si>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</si>
  <si>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</si>
  <si>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</si>
  <si>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</si>
  <si>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</si>
  <si>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</si>
  <si>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</si>
  <si>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</si>
  <si>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</si>
  <si>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</si>
  <si>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</si>
  <si>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</si>
  <si>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</si>
  <si>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</si>
  <si>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</si>
  <si>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</si>
  <si>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</si>
  <si>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</si>
  <si>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</si>
  <si>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</si>
  <si>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</si>
  <si>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</si>
  <si>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</si>
  <si>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</si>
  <si>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</si>
  <si>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</si>
  <si>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</si>
  <si>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</si>
  <si>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</si>
  <si>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</si>
  <si>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</si>
  <si>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</si>
  <si>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</si>
  <si>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</si>
  <si>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</si>
  <si>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</si>
  <si>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</si>
  <si>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</si>
  <si>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</si>
  <si>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</si>
  <si>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</si>
  <si>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</si>
  <si>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</si>
  <si>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</si>
  <si>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</si>
  <si>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</si>
  <si>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</si>
  <si>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</si>
  <si>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</si>
  <si>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</si>
  <si>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</si>
  <si>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</si>
  <si>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</si>
  <si>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</si>
  <si>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</si>
  <si>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</si>
  <si>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</si>
  <si>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</si>
  <si>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</si>
  <si>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</si>
  <si>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</si>
  <si>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</si>
  <si>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</si>
  <si>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</si>
  <si>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</si>
  <si>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</si>
  <si>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</si>
  <si>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</si>
  <si>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</si>
  <si>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</si>
  <si>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</si>
  <si>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</si>
  <si>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</si>
  <si>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</si>
  <si>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</si>
  <si>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</si>
  <si>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</si>
  <si>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</si>
  <si>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</si>
  <si>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</si>
  <si>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</si>
  <si>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</si>
  <si>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</si>
  <si>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</si>
  <si>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</si>
  <si>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</si>
  <si>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</si>
  <si>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</si>
  <si>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</si>
  <si>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</si>
  <si>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</si>
  <si>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</si>
  <si>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</si>
  <si>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</si>
  <si>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</si>
  <si>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</si>
  <si>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</si>
  <si>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</si>
  <si>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</si>
  <si>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</si>
  <si>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</si>
  <si>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</si>
  <si>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</si>
  <si>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</si>
  <si>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</si>
  <si>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</si>
  <si>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</si>
  <si>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</si>
  <si>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</si>
  <si>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</si>
  <si>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</si>
  <si>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</si>
  <si>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</si>
  <si>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</si>
  <si>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</si>
  <si>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</si>
  <si>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</si>
  <si>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</si>
  <si>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</si>
  <si>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</si>
  <si>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</si>
  <si>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</si>
  <si>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</si>
  <si>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</si>
  <si>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</si>
  <si>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</si>
  <si>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</si>
  <si>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</si>
  <si>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</si>
  <si>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</si>
  <si>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</si>
  <si>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</si>
  <si>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</si>
  <si>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</si>
  <si>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</si>
  <si>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</si>
  <si>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</si>
  <si>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</si>
  <si>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</si>
  <si>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</si>
  <si>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</si>
  <si>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</si>
  <si>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</si>
  <si>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</si>
  <si>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</si>
  <si>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</si>
  <si>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</si>
  <si>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</si>
  <si>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</si>
  <si>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</si>
  <si>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</si>
  <si>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</si>
  <si>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</si>
  <si>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</si>
  <si>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</si>
  <si>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</si>
  <si>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</si>
  <si>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</si>
  <si>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</si>
  <si>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</si>
  <si>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</si>
  <si>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</si>
  <si>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</si>
  <si>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</si>
  <si>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</si>
  <si>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</si>
  <si>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</si>
  <si>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</si>
  <si>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</si>
  <si>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</si>
  <si>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</si>
  <si>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</si>
  <si>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</si>
  <si>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</si>
  <si>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</si>
  <si>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</si>
  <si>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</si>
  <si>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</si>
  <si>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</si>
  <si>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</si>
  <si>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</si>
  <si>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</si>
  <si>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</si>
  <si>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</si>
  <si>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</si>
  <si>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</si>
  <si>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</si>
  <si>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</si>
  <si>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</si>
  <si>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</si>
  <si>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</si>
  <si>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</si>
  <si>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</si>
  <si>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</si>
  <si>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</si>
  <si>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</si>
  <si>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</si>
  <si>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</si>
  <si>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</si>
  <si>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</si>
  <si>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</si>
  <si>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</si>
  <si>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</si>
  <si>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</si>
  <si>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</si>
  <si>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</si>
  <si>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</si>
  <si>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</si>
  <si>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</si>
  <si>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</si>
  <si>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</si>
  <si>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</si>
  <si>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</si>
  <si>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</si>
  <si>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</si>
  <si>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</si>
  <si>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</si>
  <si>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</si>
  <si>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</si>
  <si>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</si>
  <si>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</si>
  <si>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</si>
  <si>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</si>
  <si>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</si>
  <si>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</si>
  <si>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</si>
  <si>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</si>
  <si>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</si>
  <si>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</si>
  <si>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</si>
  <si>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</si>
  <si>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</si>
  <si>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</si>
  <si>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</si>
  <si>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</si>
  <si>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</si>
  <si>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</si>
  <si>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</si>
  <si>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</si>
  <si>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</si>
  <si>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</si>
  <si>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</si>
  <si>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</si>
  <si>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</si>
  <si>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</si>
  <si>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</si>
  <si>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</si>
  <si>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</si>
  <si>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</si>
  <si>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</si>
  <si>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</si>
  <si>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</si>
  <si>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</si>
  <si>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</si>
  <si>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</si>
  <si>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</si>
  <si>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</si>
  <si>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</si>
  <si>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</si>
  <si>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</si>
  <si>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</si>
  <si>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</si>
  <si>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</si>
  <si>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</si>
  <si>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</si>
  <si>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</si>
  <si>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</si>
  <si>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</si>
  <si>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</si>
  <si>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</si>
  <si>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</si>
  <si>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</si>
  <si>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</si>
  <si>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</si>
  <si>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</si>
  <si>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</si>
  <si>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</si>
  <si>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</si>
  <si>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</si>
  <si>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</si>
  <si>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</si>
  <si>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</si>
  <si>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</si>
  <si>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</si>
  <si>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</si>
  <si>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</si>
  <si>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</si>
  <si>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</si>
  <si>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</si>
  <si>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</si>
  <si>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</si>
  <si>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</si>
  <si>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</si>
  <si>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</si>
  <si>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</si>
  <si>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</si>
  <si>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</si>
  <si>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</si>
  <si>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</si>
  <si>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</si>
  <si>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</si>
  <si>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</si>
  <si>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</si>
  <si>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</si>
  <si>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</si>
  <si>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</si>
  <si>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</si>
  <si>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</si>
  <si>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</si>
  <si>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</si>
  <si>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</si>
  <si>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</si>
  <si>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</si>
  <si>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</si>
  <si>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</si>
  <si>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</si>
  <si>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</si>
  <si>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</si>
  <si>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</si>
  <si>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</si>
  <si>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</si>
  <si>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</si>
  <si>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</si>
  <si>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</si>
  <si>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</si>
  <si>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</si>
  <si>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</si>
  <si>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</si>
  <si>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</si>
  <si>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</si>
  <si>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</si>
  <si>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</si>
  <si>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</si>
  <si>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</si>
  <si>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</si>
  <si>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</si>
  <si>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</si>
  <si>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</si>
  <si>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</si>
  <si>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</si>
  <si>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</si>
  <si>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</si>
  <si>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</si>
  <si>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</si>
  <si>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</si>
  <si>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</si>
  <si>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</si>
  <si>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</si>
  <si>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</si>
  <si>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</si>
  <si>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</si>
  <si>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</si>
  <si>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</si>
  <si>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</si>
  <si>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</si>
  <si>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</si>
  <si>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</si>
  <si>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</si>
  <si>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</si>
  <si>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</si>
  <si>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</si>
  <si>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</si>
  <si>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</si>
  <si>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</si>
  <si>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</si>
  <si>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</si>
  <si>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</si>
  <si>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</si>
  <si>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</si>
  <si>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</si>
  <si>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</si>
  <si>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</si>
  <si>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</si>
  <si>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</si>
  <si>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</si>
  <si>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</si>
  <si>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</si>
  <si>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</si>
  <si>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</si>
  <si>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</si>
  <si>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</si>
  <si>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</si>
  <si>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</si>
  <si>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</si>
  <si>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</si>
  <si>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</si>
  <si>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</si>
  <si>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</si>
  <si>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</si>
  <si>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</si>
  <si>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</si>
  <si>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</si>
  <si>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</si>
  <si>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</si>
  <si>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</si>
  <si>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</si>
  <si>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</si>
  <si>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</si>
  <si>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</si>
  <si>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</si>
  <si>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</si>
  <si>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</si>
  <si>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</si>
  <si>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</si>
  <si>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</si>
  <si>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</si>
  <si>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</si>
  <si>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</si>
  <si>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</si>
  <si>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</si>
  <si>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</si>
  <si>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</si>
  <si>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</si>
  <si>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</si>
  <si>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</si>
  <si>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</si>
  <si>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</si>
  <si>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</si>
  <si>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</si>
  <si>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</si>
  <si>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</si>
  <si>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</si>
  <si>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</si>
  <si>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</si>
  <si>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</si>
  <si>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</si>
  <si>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</si>
  <si>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</si>
  <si>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</si>
  <si>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</si>
  <si>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</si>
  <si>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</si>
  <si>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</si>
  <si>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</si>
  <si>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</si>
  <si>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</si>
  <si>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</si>
  <si>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</si>
  <si>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</si>
  <si>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</si>
  <si>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</si>
  <si>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</si>
  <si>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</si>
  <si>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</si>
  <si>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</si>
  <si>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</si>
  <si>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</si>
  <si>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</si>
  <si>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</si>
  <si>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</si>
  <si>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</si>
  <si>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</si>
  <si>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</si>
  <si>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</si>
  <si>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</si>
  <si>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</si>
  <si>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</si>
  <si>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</si>
  <si>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</si>
  <si>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</si>
  <si>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</si>
  <si>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</si>
  <si>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</si>
  <si>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</si>
  <si>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</si>
  <si>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</si>
  <si>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</si>
  <si>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</si>
  <si>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</si>
  <si>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</si>
  <si>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</si>
  <si>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</si>
  <si>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</si>
  <si>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</si>
  <si>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</si>
  <si>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</si>
  <si>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</si>
  <si>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</si>
  <si>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</si>
  <si>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</si>
  <si>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</si>
  <si>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</si>
  <si>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</si>
  <si>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</si>
  <si>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</si>
  <si>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</si>
  <si>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</si>
  <si>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</si>
  <si>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</si>
  <si>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</si>
  <si>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</si>
  <si>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</si>
  <si>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</si>
  <si>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</si>
  <si>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</si>
  <si>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</si>
  <si>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</si>
  <si>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</si>
  <si>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</si>
  <si>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</si>
  <si>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</si>
  <si>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</si>
  <si>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</si>
  <si>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</si>
  <si>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</si>
  <si>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</si>
  <si>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</si>
  <si>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</si>
  <si>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</si>
  <si>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</si>
  <si>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</si>
  <si>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</si>
  <si>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</si>
  <si>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</si>
  <si>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</si>
  <si>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</si>
  <si>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</si>
  <si>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</si>
  <si>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</si>
  <si>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</si>
  <si>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</si>
  <si>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</si>
  <si>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</si>
  <si>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</si>
  <si>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</si>
  <si>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</si>
  <si>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</si>
  <si>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</si>
  <si>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</si>
  <si>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</si>
  <si>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</si>
  <si>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</si>
  <si>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</si>
  <si>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</si>
  <si>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</si>
  <si>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</si>
  <si>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</si>
  <si>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</si>
  <si>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</si>
  <si>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</si>
  <si>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</si>
  <si>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</si>
  <si>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</si>
  <si>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</si>
  <si>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</si>
  <si>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</si>
  <si>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</si>
  <si>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</si>
  <si>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</si>
  <si>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</si>
  <si>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</si>
  <si>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</si>
  <si>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</si>
  <si>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</si>
  <si>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</si>
  <si>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</si>
  <si>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</si>
  <si>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</si>
  <si>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</si>
  <si>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</si>
  <si>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</si>
  <si>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</si>
  <si>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</si>
  <si>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</si>
  <si>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</si>
  <si>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</si>
  <si>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</si>
  <si>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</si>
  <si>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</si>
  <si>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</si>
  <si>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</si>
  <si>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</si>
  <si>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</si>
  <si>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</si>
  <si>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</si>
  <si>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</si>
  <si>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</si>
  <si>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</si>
  <si>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</si>
  <si>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</si>
  <si>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</si>
  <si>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</si>
  <si>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</si>
  <si>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</si>
  <si>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</si>
  <si>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</si>
  <si>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</si>
  <si>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</si>
  <si>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</si>
  <si>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</si>
  <si>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</si>
  <si>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</si>
  <si>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</si>
  <si>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</si>
  <si>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</si>
  <si>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</si>
  <si>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</si>
  <si>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</si>
  <si>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</si>
  <si>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</si>
  <si>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</si>
  <si>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</si>
  <si>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</si>
  <si>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</si>
  <si>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</si>
  <si>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</si>
  <si>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</si>
  <si>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</si>
  <si>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</si>
  <si>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</si>
  <si>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</si>
  <si>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</si>
  <si>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</si>
  <si>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</si>
  <si>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</si>
  <si>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</si>
  <si>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</si>
  <si>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</si>
  <si>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</si>
  <si>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</si>
  <si>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</si>
  <si>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</si>
  <si>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</si>
  <si>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</si>
  <si>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</si>
  <si>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</si>
  <si>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</si>
  <si>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</si>
  <si>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</si>
  <si>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</si>
  <si>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</si>
  <si>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</si>
  <si>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</si>
  <si>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</si>
  <si>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</si>
  <si>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</si>
  <si>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</si>
  <si>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</si>
  <si>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</si>
  <si>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</si>
  <si>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</si>
  <si>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</si>
  <si>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</si>
  <si>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</si>
  <si>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</si>
  <si>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</si>
  <si>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</si>
  <si>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</si>
  <si>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</si>
  <si>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</si>
  <si>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</si>
  <si>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</si>
  <si>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</si>
  <si>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</si>
  <si>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</si>
  <si>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</si>
  <si>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</si>
  <si>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</si>
  <si>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</si>
  <si>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</si>
  <si>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</si>
  <si>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</si>
  <si>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</si>
  <si>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</si>
  <si>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</si>
  <si>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</si>
  <si>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</si>
  <si>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</si>
  <si>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</si>
  <si>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</si>
  <si>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</si>
  <si>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</si>
  <si>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</si>
  <si>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</si>
  <si>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</si>
  <si>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</si>
  <si>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</si>
  <si>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</si>
  <si>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</si>
  <si>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</si>
  <si>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</si>
  <si>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</si>
  <si>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</si>
  <si>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</si>
  <si>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</si>
  <si>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</si>
  <si>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</si>
  <si>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</si>
  <si>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</si>
  <si>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</si>
  <si>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</si>
  <si>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</si>
  <si>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</si>
  <si>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</si>
  <si>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</si>
  <si>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</si>
  <si>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</si>
  <si>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</si>
  <si>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</si>
  <si>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</si>
  <si>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</si>
  <si>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</si>
  <si>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</si>
  <si>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</si>
  <si>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</si>
  <si>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</si>
  <si>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</si>
  <si>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</si>
  <si>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</si>
  <si>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</si>
  <si>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</si>
  <si>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</si>
  <si>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</si>
  <si>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</si>
  <si>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</si>
  <si>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</si>
  <si>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</si>
  <si>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</si>
  <si>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</si>
  <si>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</si>
  <si>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</si>
  <si>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</si>
  <si>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</si>
  <si>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</si>
  <si>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</si>
  <si>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</si>
  <si>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</si>
  <si>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</si>
  <si>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</si>
  <si>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</si>
  <si>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</si>
  <si>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</si>
  <si>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</si>
  <si>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</si>
  <si>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</si>
  <si>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</si>
  <si>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</si>
  <si>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</si>
  <si>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</si>
  <si>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</si>
  <si>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</si>
  <si>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</si>
  <si>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</si>
  <si>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</si>
  <si>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</si>
  <si>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</si>
  <si>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</si>
  <si>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</si>
  <si>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</si>
  <si>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</si>
  <si>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</si>
  <si>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</si>
  <si>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</si>
  <si>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</si>
  <si>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</si>
  <si>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</si>
  <si>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</si>
  <si>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</si>
  <si>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</si>
  <si>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</si>
  <si>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</si>
  <si>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</si>
  <si>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</si>
  <si>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</si>
  <si>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</si>
  <si>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</si>
  <si>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</si>
  <si>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</si>
  <si>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</si>
  <si>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</si>
  <si>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</si>
  <si>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</si>
  <si>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</si>
  <si>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</si>
  <si>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</si>
  <si>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</si>
  <si>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</si>
  <si>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</si>
  <si>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</si>
  <si>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</si>
  <si>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</si>
  <si>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</si>
  <si>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</si>
  <si>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</si>
  <si>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</si>
  <si>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</si>
  <si>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</si>
  <si>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</si>
  <si>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</si>
  <si>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</si>
  <si>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</si>
  <si>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</si>
  <si>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</si>
  <si>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</si>
  <si>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</si>
  <si>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</si>
  <si>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</si>
  <si>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</si>
  <si>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</si>
  <si>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</si>
  <si>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</si>
  <si>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</si>
  <si>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</si>
  <si>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</si>
  <si>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</si>
  <si>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</si>
  <si>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</si>
  <si>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</si>
  <si>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</si>
  <si>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</si>
  <si>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</si>
  <si>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</si>
  <si>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</si>
  <si>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</si>
  <si>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</si>
  <si>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</si>
  <si>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</si>
  <si>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</si>
  <si>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</si>
  <si>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</si>
  <si>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</si>
  <si>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</si>
  <si>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</si>
  <si>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</si>
  <si>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</si>
  <si>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</si>
  <si>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</si>
  <si>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</si>
  <si>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</si>
  <si>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</si>
  <si>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</si>
  <si>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</si>
  <si>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</si>
  <si>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</si>
  <si>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</si>
  <si>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</si>
  <si>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</si>
  <si>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</si>
  <si>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</si>
  <si>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</si>
  <si>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</si>
  <si>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</si>
  <si>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</si>
  <si>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</si>
  <si>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</si>
  <si>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</si>
  <si>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</si>
  <si>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</si>
  <si>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</si>
  <si>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</si>
  <si>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</si>
  <si>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</si>
  <si>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</si>
  <si>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</si>
  <si>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</si>
  <si>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</si>
  <si>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</si>
  <si>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</si>
  <si>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</si>
  <si>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</si>
  <si>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</si>
  <si>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</si>
  <si>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</si>
  <si>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</si>
  <si>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</si>
  <si>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</si>
  <si>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</si>
  <si>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</si>
  <si>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</si>
  <si>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</si>
  <si>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</si>
  <si>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</si>
  <si>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</si>
  <si>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</si>
  <si>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</si>
  <si>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</si>
  <si>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</si>
  <si>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</si>
  <si>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</si>
  <si>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</si>
  <si>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</si>
  <si>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</si>
  <si>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</si>
  <si>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</si>
  <si>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</si>
  <si>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</si>
  <si>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</si>
  <si>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</si>
  <si>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</si>
  <si>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</si>
  <si>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</si>
  <si>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</si>
  <si>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</si>
  <si>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</si>
  <si>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</si>
  <si>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</si>
  <si>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</si>
  <si>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</si>
  <si>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</si>
  <si>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</si>
  <si>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</si>
  <si>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</si>
  <si>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</si>
  <si>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</si>
  <si>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</si>
  <si>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</si>
  <si>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</si>
  <si>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</si>
  <si>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</si>
  <si>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</si>
  <si>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</si>
  <si>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</si>
  <si>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</si>
  <si>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</si>
  <si>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</si>
  <si>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</si>
  <si>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</si>
  <si>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</si>
  <si>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</si>
  <si>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</si>
  <si>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</si>
  <si>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</si>
  <si>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</si>
  <si>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</si>
  <si>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</si>
  <si>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</si>
  <si>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</si>
  <si>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</si>
  <si>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</si>
  <si>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</si>
  <si>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</si>
  <si>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</si>
  <si>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</si>
  <si>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</si>
  <si>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</si>
  <si>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</si>
  <si>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</si>
  <si>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</si>
  <si>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</si>
  <si>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</si>
  <si>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</si>
  <si>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</si>
  <si>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</si>
  <si>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</si>
  <si>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</si>
  <si>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</si>
  <si>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</si>
  <si>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</si>
  <si>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</si>
  <si>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</si>
  <si>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</si>
  <si>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</si>
  <si>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</si>
  <si>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</si>
  <si>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</si>
  <si>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</si>
  <si>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</si>
  <si>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</si>
  <si>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</si>
  <si>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</si>
  <si>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</si>
  <si>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</si>
  <si>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</si>
  <si>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</si>
  <si>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</si>
  <si>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</si>
  <si>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</si>
  <si>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</si>
  <si>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</si>
  <si>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</si>
  <si>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</si>
  <si>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</si>
  <si>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</si>
  <si>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</si>
  <si>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</si>
  <si>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</si>
  <si>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</si>
  <si>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</si>
  <si>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</si>
  <si>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</si>
  <si>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</si>
  <si>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</si>
  <si>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</si>
  <si>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</si>
  <si>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</si>
  <si>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</si>
  <si>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</si>
  <si>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</si>
  <si>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</si>
  <si>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</si>
  <si>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</si>
  <si>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</si>
  <si>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</si>
  <si>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</si>
  <si>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</si>
  <si>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</si>
  <si>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</si>
  <si>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</si>
  <si>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</si>
  <si>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</si>
  <si>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</si>
  <si>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</si>
  <si>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</si>
  <si>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</si>
  <si>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</si>
  <si>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</si>
  <si>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</si>
  <si>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</si>
  <si>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</si>
  <si>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</si>
  <si>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</si>
  <si>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</si>
  <si>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</si>
  <si>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</si>
  <si>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</si>
  <si>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</si>
  <si>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</si>
  <si>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</si>
  <si>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</si>
  <si>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</si>
  <si>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</si>
  <si>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</si>
  <si>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</si>
  <si>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</si>
  <si>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</si>
  <si>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</si>
  <si>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</si>
  <si>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</si>
  <si>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</si>
  <si>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</si>
  <si>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</si>
  <si>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</si>
  <si>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</si>
  <si>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</si>
  <si>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</si>
  <si>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</si>
  <si>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</si>
  <si>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</si>
  <si>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</si>
  <si>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</si>
  <si>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</si>
  <si>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</si>
  <si>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</si>
  <si>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</si>
  <si>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</si>
  <si>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</si>
  <si>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</si>
  <si>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</si>
  <si>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</si>
  <si>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</si>
  <si>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</si>
  <si>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</si>
  <si>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</si>
  <si>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</si>
  <si>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</si>
  <si>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</si>
  <si>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</si>
  <si>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</si>
  <si>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</si>
  <si>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</si>
  <si>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</si>
  <si>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</si>
  <si>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</si>
  <si>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</si>
  <si>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</si>
  <si>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</si>
  <si>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</si>
  <si>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</si>
  <si>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</si>
  <si>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</si>
  <si>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</si>
  <si>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</si>
  <si>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</si>
  <si>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</si>
  <si>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</si>
  <si>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</si>
  <si>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</si>
  <si>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</si>
  <si>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</si>
  <si>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</si>
  <si>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</si>
  <si>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</si>
  <si>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</si>
  <si>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</si>
  <si>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</si>
  <si>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</si>
  <si>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</si>
  <si>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</si>
  <si>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</si>
  <si>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</si>
  <si>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</si>
  <si>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</si>
  <si>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</si>
  <si>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</si>
  <si>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</si>
  <si>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</si>
  <si>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</si>
  <si>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</si>
  <si>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</si>
  <si>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</si>
  <si>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</si>
  <si>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</si>
  <si>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</si>
  <si>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</si>
  <si>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</si>
  <si>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</si>
  <si>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</si>
  <si>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</si>
  <si>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</si>
  <si>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</si>
  <si>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</si>
  <si>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</si>
  <si>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</si>
  <si>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</si>
  <si>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</si>
  <si>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</si>
  <si>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</si>
  <si>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</si>
  <si>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</si>
  <si>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</si>
  <si>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</si>
  <si>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</si>
  <si>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</si>
  <si>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</si>
  <si>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</si>
  <si>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</si>
  <si>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</si>
  <si>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</si>
  <si>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</si>
  <si>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</si>
  <si>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</si>
  <si>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</si>
  <si>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</si>
  <si>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</si>
  <si>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</si>
  <si>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</si>
  <si>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</si>
  <si>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</si>
  <si>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</si>
  <si>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</si>
  <si>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</si>
  <si>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</si>
  <si>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</si>
  <si>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</si>
  <si>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</si>
  <si>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</si>
  <si>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</si>
  <si>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</si>
  <si>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</si>
  <si>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</si>
  <si>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</si>
  <si>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</si>
  <si>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</si>
  <si>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</si>
  <si>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</si>
  <si>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</si>
  <si>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</si>
  <si>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</si>
  <si>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</si>
  <si>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</si>
  <si>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</si>
  <si>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</si>
  <si>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</si>
  <si>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</si>
  <si>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</si>
  <si>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</si>
  <si>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</si>
  <si>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</si>
  <si>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</si>
  <si>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</si>
  <si>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</si>
  <si>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</si>
  <si>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</si>
  <si>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</si>
  <si>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</si>
  <si>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</si>
  <si>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</si>
  <si>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</si>
  <si>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</si>
  <si>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</si>
  <si>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</si>
  <si>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</si>
  <si>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</si>
  <si>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</si>
  <si>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</si>
  <si>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</si>
  <si>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</si>
  <si>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</si>
  <si>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</si>
  <si>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</si>
  <si>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</si>
  <si>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</si>
  <si>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</si>
  <si>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</si>
  <si>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</si>
  <si>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</si>
  <si>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</si>
  <si>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</si>
  <si>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</si>
  <si>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</si>
  <si>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</si>
  <si>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</si>
  <si>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</si>
  <si>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</si>
  <si>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</si>
  <si>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</si>
  <si>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</si>
  <si>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</si>
  <si>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</si>
  <si>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</si>
  <si>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</si>
  <si>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</si>
  <si>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</si>
  <si>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</si>
  <si>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</si>
  <si>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</si>
  <si>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</si>
  <si>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</si>
  <si>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</si>
  <si>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</si>
  <si>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</si>
  <si>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</si>
  <si>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</si>
  <si>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</si>
  <si>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</si>
  <si>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</si>
  <si>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</si>
  <si>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</si>
  <si>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</si>
  <si>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</si>
  <si>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</si>
  <si>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</si>
  <si>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</si>
  <si>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</si>
  <si>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</si>
  <si>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</si>
  <si>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</si>
  <si>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</si>
  <si>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</si>
  <si>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</si>
  <si>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</si>
  <si>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</si>
  <si>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</si>
  <si>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</si>
  <si>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</si>
  <si>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</si>
  <si>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</si>
  <si>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</si>
  <si>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</si>
  <si>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</si>
  <si>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</si>
  <si>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</si>
  <si>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</si>
  <si>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</si>
  <si>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</si>
  <si>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</si>
  <si>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</si>
  <si>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</si>
  <si>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</si>
  <si>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</si>
  <si>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</si>
  <si>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</si>
  <si>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</si>
  <si>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</si>
  <si>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</si>
  <si>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</si>
  <si>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</si>
  <si>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</si>
  <si>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</si>
  <si>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</si>
  <si>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</si>
  <si>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</si>
  <si>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</si>
  <si>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</si>
  <si>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</si>
  <si>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</si>
  <si>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</si>
  <si>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</si>
  <si>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</si>
  <si>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</si>
  <si>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</si>
  <si>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</si>
  <si>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</si>
  <si>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</si>
  <si>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</si>
  <si>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</si>
  <si>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</si>
  <si>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</si>
  <si>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</si>
  <si>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</si>
  <si>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</si>
  <si>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</si>
  <si>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</si>
  <si>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</si>
  <si>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</si>
  <si>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</si>
  <si>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</si>
  <si>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</si>
  <si>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</si>
  <si>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</si>
  <si>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</si>
  <si>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</si>
  <si>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</si>
  <si>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</si>
  <si>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</si>
  <si>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</si>
  <si>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</si>
  <si>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</si>
  <si>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</si>
  <si>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</si>
  <si>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</si>
  <si>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</si>
  <si>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</si>
  <si>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</si>
  <si>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</si>
  <si>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</si>
  <si>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</si>
  <si>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</si>
  <si>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</si>
  <si>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</si>
  <si>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</si>
  <si>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</si>
  <si>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</si>
  <si>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</si>
  <si>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</si>
  <si>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</si>
  <si>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</si>
  <si>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</si>
  <si>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</si>
  <si>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</si>
  <si>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</si>
  <si>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</si>
  <si>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</si>
  <si>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</si>
  <si>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</si>
  <si>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</si>
  <si>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</si>
  <si>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</si>
  <si>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</si>
  <si>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</si>
  <si>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</si>
  <si>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</si>
  <si>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</si>
  <si>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</si>
  <si>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</si>
  <si>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</si>
  <si>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</si>
  <si>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</si>
  <si>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</si>
  <si>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</si>
  <si>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</si>
  <si>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</si>
  <si>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</si>
  <si>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</si>
  <si>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</si>
  <si>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</si>
  <si>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</si>
  <si>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</si>
  <si>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</si>
  <si>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</si>
  <si>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</si>
  <si>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</si>
  <si>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</si>
  <si>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</si>
  <si>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</si>
  <si>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</si>
  <si>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</si>
  <si>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</si>
  <si>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</si>
  <si>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</si>
  <si>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</si>
  <si>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</si>
  <si>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</si>
  <si>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</si>
  <si>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</si>
  <si>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</si>
  <si>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</si>
  <si>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</si>
  <si>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</si>
  <si>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</si>
  <si>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</si>
  <si>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</si>
  <si>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</si>
  <si>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</si>
  <si>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</si>
  <si>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</si>
  <si>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</si>
  <si>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</si>
  <si>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</si>
  <si>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</si>
  <si>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</si>
  <si>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</si>
  <si>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</si>
  <si>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</si>
  <si>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</si>
  <si>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</si>
  <si>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</si>
  <si>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</si>
  <si>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</si>
  <si>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</si>
  <si>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</si>
  <si>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</si>
  <si>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</si>
  <si>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</si>
  <si>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</si>
  <si>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</si>
  <si>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</si>
  <si>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</si>
  <si>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</si>
  <si>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</si>
  <si>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</si>
  <si>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</si>
  <si>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</si>
  <si>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</si>
  <si>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</si>
  <si>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</si>
  <si>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</si>
  <si>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</si>
  <si>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</si>
  <si>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</si>
  <si>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</si>
  <si>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</si>
  <si>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</si>
  <si>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</si>
  <si>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</si>
  <si>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</si>
  <si>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</si>
  <si>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</si>
  <si>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</si>
  <si>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</si>
  <si>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</si>
  <si>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</si>
  <si>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</si>
  <si>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</si>
  <si>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</si>
  <si>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</si>
  <si>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</si>
  <si>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</si>
  <si>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</si>
  <si>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</si>
  <si>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</si>
  <si>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</si>
  <si>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</si>
  <si>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</si>
  <si>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</si>
  <si>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</si>
  <si>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</si>
  <si>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</si>
  <si>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</si>
  <si>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</si>
  <si>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</si>
  <si>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</si>
  <si>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</si>
  <si>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</si>
  <si>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</si>
  <si>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</si>
  <si>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</si>
  <si>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</si>
  <si>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</si>
  <si>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</si>
  <si>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</si>
  <si>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</si>
  <si>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</si>
  <si>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</si>
  <si>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</si>
  <si>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</si>
  <si>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</si>
  <si>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</si>
  <si>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</si>
  <si>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</si>
  <si>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</si>
  <si>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</si>
  <si>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</si>
  <si>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</si>
  <si>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</si>
  <si>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</si>
  <si>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</si>
  <si>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</si>
  <si>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</si>
  <si>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</si>
  <si>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</si>
  <si>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</si>
  <si>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</si>
  <si>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</si>
  <si>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</si>
  <si>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</si>
  <si>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</si>
  <si>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</si>
  <si>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</si>
  <si>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</si>
  <si>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</si>
  <si>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</si>
  <si>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</si>
  <si>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</si>
  <si>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</si>
  <si>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</si>
  <si>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</si>
  <si>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</si>
  <si>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</si>
  <si>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</si>
  <si>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</si>
  <si>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</si>
  <si>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</si>
  <si>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</si>
  <si>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</si>
  <si>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</si>
  <si>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</si>
  <si>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</si>
  <si>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</si>
  <si>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</si>
  <si>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</si>
  <si>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</si>
  <si>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</si>
  <si>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</si>
  <si>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</si>
  <si>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</si>
  <si>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</si>
  <si>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</si>
  <si>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</si>
  <si>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</si>
  <si>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</si>
  <si>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</si>
  <si>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</si>
  <si>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</si>
  <si>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</si>
  <si>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</si>
  <si>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</si>
  <si>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</si>
  <si>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</si>
  <si>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</si>
  <si>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</si>
  <si>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</si>
  <si>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</si>
  <si>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</si>
  <si>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</si>
  <si>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</si>
  <si>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</si>
  <si>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</si>
  <si>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</si>
  <si>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</si>
  <si>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</si>
  <si>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</si>
  <si>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</si>
  <si>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</si>
  <si>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</si>
  <si>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</si>
  <si>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</si>
  <si>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</si>
  <si>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</si>
  <si>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</si>
  <si>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</si>
  <si>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</si>
  <si>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</si>
  <si>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</si>
  <si>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</si>
  <si>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</si>
  <si>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</si>
  <si>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</si>
  <si>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</si>
  <si>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</si>
  <si>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</si>
  <si>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</si>
  <si>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</si>
  <si>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</si>
  <si>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</si>
  <si>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</si>
  <si>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</si>
  <si>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</si>
  <si>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</si>
  <si>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</si>
  <si>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</si>
  <si>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</si>
  <si>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</si>
  <si>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</si>
  <si>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</si>
  <si>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</si>
  <si>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</si>
  <si>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</si>
  <si>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</si>
  <si>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</si>
  <si>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</si>
  <si>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</si>
  <si>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</si>
  <si>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</si>
  <si>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</si>
  <si>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</si>
  <si>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</si>
  <si>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</si>
  <si>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</si>
  <si>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</si>
  <si>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</si>
  <si>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</si>
  <si>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</si>
  <si>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</si>
  <si>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</si>
  <si>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</si>
  <si>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</si>
  <si>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</si>
  <si>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</si>
  <si>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</si>
  <si>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</si>
  <si>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</si>
  <si>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</si>
  <si>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</si>
  <si>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</si>
  <si>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</si>
  <si>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</si>
  <si>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</si>
  <si>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</si>
  <si>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</si>
  <si>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</si>
  <si>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</si>
  <si>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</si>
  <si>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</si>
  <si>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</si>
  <si>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</si>
  <si>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</si>
  <si>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</si>
  <si>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</si>
  <si>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</si>
  <si>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</si>
  <si>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</si>
  <si>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</si>
  <si>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</si>
  <si>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</si>
  <si>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</si>
  <si>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</si>
  <si>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</si>
  <si>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</si>
  <si>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</si>
  <si>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</si>
  <si>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</si>
  <si>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</si>
  <si>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</si>
  <si>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</si>
  <si>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</si>
  <si>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</si>
  <si>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</si>
  <si>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</si>
  <si>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</si>
  <si>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</si>
  <si>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</si>
  <si>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</si>
  <si>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</si>
  <si>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</si>
  <si>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</si>
  <si>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</si>
  <si>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</si>
  <si>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</si>
  <si>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</si>
  <si>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</si>
  <si>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</si>
  <si>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</si>
  <si>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</si>
  <si>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</si>
  <si>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</si>
  <si>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</si>
  <si>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</si>
  <si>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</si>
  <si>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</si>
  <si>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</si>
  <si>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</si>
  <si>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</si>
  <si>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</si>
  <si>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</si>
  <si>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</si>
  <si>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</si>
  <si>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</si>
  <si>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</si>
  <si>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</si>
  <si>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</si>
  <si>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</si>
  <si>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</si>
  <si>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</si>
  <si>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</si>
  <si>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</si>
  <si>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</si>
  <si>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</si>
  <si>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</si>
  <si>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</si>
  <si>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</si>
  <si>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</si>
  <si>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</si>
  <si>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</si>
  <si>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</si>
  <si>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</si>
  <si>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</si>
  <si>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</si>
  <si>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</si>
  <si>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</si>
  <si>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</si>
  <si>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</si>
  <si>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</si>
  <si>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</si>
  <si>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</si>
  <si>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</si>
  <si>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</si>
  <si>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</si>
  <si>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</si>
  <si>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</si>
  <si>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</si>
  <si>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</si>
  <si>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</si>
  <si>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</si>
  <si>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</si>
  <si>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</si>
  <si>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</si>
  <si>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</si>
  <si>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</si>
  <si>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</si>
  <si>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</si>
  <si>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</si>
  <si>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</si>
  <si>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</si>
  <si>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</si>
  <si>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</si>
  <si>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</si>
  <si>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</si>
  <si>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</si>
  <si>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</si>
  <si>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</si>
  <si>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</si>
  <si>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</si>
  <si>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</si>
  <si>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</si>
  <si>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</si>
  <si>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</si>
  <si>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</si>
  <si>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</si>
  <si>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</si>
  <si>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</si>
  <si>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</si>
  <si>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</si>
  <si>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</si>
  <si>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</si>
  <si>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</si>
  <si>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</si>
  <si>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</si>
  <si>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</si>
  <si>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</si>
  <si>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</si>
  <si>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</si>
  <si>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</si>
  <si>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</si>
  <si>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</si>
  <si>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</si>
  <si>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</si>
  <si>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</si>
  <si>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</si>
  <si>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</si>
  <si>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</si>
  <si>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</si>
  <si>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</si>
  <si>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</si>
  <si>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</si>
  <si>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</si>
  <si>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</si>
  <si>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</si>
  <si>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</si>
  <si>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</si>
  <si>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</si>
  <si>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</si>
  <si>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</si>
  <si>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</si>
  <si>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</si>
  <si>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</si>
  <si>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</si>
  <si>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</si>
  <si>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</si>
  <si>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</si>
  <si>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</si>
  <si>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</si>
  <si>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</si>
  <si>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</si>
  <si>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</si>
  <si>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</si>
  <si>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</si>
  <si>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</si>
  <si>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</si>
  <si>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</si>
  <si>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</si>
  <si>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</si>
  <si>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</si>
  <si>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</si>
  <si>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</si>
  <si>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</si>
  <si>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</si>
  <si>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</si>
  <si>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</si>
  <si>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</si>
  <si>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</si>
  <si>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</si>
  <si>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</si>
  <si>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</si>
  <si>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</si>
  <si>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</si>
  <si>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</si>
  <si>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</si>
  <si>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</si>
  <si>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</si>
  <si>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</si>
  <si>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</si>
  <si>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</si>
  <si>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</si>
  <si>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</si>
  <si>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</si>
  <si>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</si>
  <si>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</si>
  <si>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</si>
  <si>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</si>
  <si>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</si>
  <si>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</si>
  <si>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</si>
  <si>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</si>
  <si>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</si>
  <si>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</si>
  <si>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</si>
  <si>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</si>
  <si>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</si>
  <si>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</si>
  <si>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</si>
  <si>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</si>
  <si>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</si>
  <si>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</si>
  <si>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</si>
  <si>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</si>
  <si>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</si>
  <si>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</si>
  <si>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</si>
  <si>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</si>
  <si>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</si>
  <si>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</si>
  <si>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</si>
  <si>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</si>
  <si>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</si>
  <si>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</si>
  <si>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</si>
  <si>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</si>
  <si>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</si>
  <si>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</si>
  <si>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</si>
  <si>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</si>
  <si>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</si>
  <si>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</si>
  <si>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</si>
  <si>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</si>
  <si>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</si>
  <si>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</si>
  <si>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</si>
  <si>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</si>
  <si>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</si>
  <si>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</si>
  <si>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</si>
  <si>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</si>
  <si>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</si>
  <si>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</si>
  <si>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</si>
  <si>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</si>
  <si>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</si>
  <si>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</si>
  <si>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</si>
  <si>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</si>
  <si>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</si>
  <si>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</si>
  <si>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</si>
  <si>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</si>
  <si>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</si>
  <si>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</si>
  <si>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</si>
  <si>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</si>
  <si>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</si>
  <si>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</si>
  <si>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</si>
  <si>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</si>
  <si>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</si>
  <si>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</si>
  <si>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</si>
  <si>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</si>
  <si>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</si>
  <si>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</si>
  <si>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</si>
  <si>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</si>
  <si>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</si>
  <si>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</si>
  <si>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</si>
  <si>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</si>
  <si>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</si>
  <si>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</si>
  <si>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</si>
  <si>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</si>
  <si>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</si>
  <si>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</si>
  <si>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</si>
  <si>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</si>
  <si>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</si>
  <si>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</si>
  <si>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</si>
  <si>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</si>
  <si>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</si>
  <si>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</si>
  <si>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</si>
  <si>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</si>
  <si>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</si>
  <si>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</si>
  <si>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</si>
  <si>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</si>
  <si>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</si>
  <si>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</si>
  <si>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</si>
  <si>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</si>
  <si>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</si>
  <si>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</si>
  <si>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</si>
  <si>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</si>
  <si>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</si>
  <si>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</si>
  <si>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</si>
  <si>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</si>
  <si>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</si>
  <si>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</si>
  <si>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</si>
  <si>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</si>
  <si>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</si>
  <si>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</si>
  <si>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</si>
  <si>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</si>
  <si>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</si>
  <si>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</si>
  <si>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</si>
  <si>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</si>
  <si>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</si>
  <si>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</si>
  <si>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</si>
  <si>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</si>
  <si>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</si>
  <si>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</si>
  <si>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</si>
  <si>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</si>
  <si>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</si>
  <si>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</si>
  <si>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</si>
  <si>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</si>
  <si>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</si>
  <si>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</si>
  <si>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</si>
  <si>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</si>
  <si>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</si>
  <si>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</si>
  <si>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</si>
  <si>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</si>
  <si>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</si>
  <si>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</si>
  <si>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</si>
  <si>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</si>
  <si>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</si>
  <si>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</si>
  <si>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</si>
  <si>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</si>
  <si>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</si>
  <si>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</si>
  <si>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</si>
  <si>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</si>
  <si>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</si>
  <si>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</si>
  <si>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</si>
  <si>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</si>
  <si>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</si>
  <si>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</si>
  <si>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</si>
  <si>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</si>
  <si>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</si>
  <si>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</si>
  <si>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</si>
  <si>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</si>
  <si>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</si>
  <si>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</si>
  <si>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</si>
  <si>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</si>
  <si>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</si>
  <si>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</si>
  <si>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</si>
  <si>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</si>
  <si>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</si>
  <si>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</si>
  <si>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</si>
  <si>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</si>
  <si>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</si>
  <si>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</si>
  <si>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</si>
  <si>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</si>
  <si>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</si>
  <si>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</si>
  <si>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</si>
  <si>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</si>
  <si>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</si>
  <si>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</si>
  <si>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</si>
  <si>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</si>
  <si>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</si>
  <si>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</si>
  <si>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</si>
  <si>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</si>
  <si>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</si>
  <si>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</si>
  <si>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</si>
  <si>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</si>
  <si>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</si>
  <si>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</si>
  <si>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</si>
  <si>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</si>
  <si>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</si>
  <si>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</si>
  <si>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</si>
  <si>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</si>
  <si>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</si>
  <si>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</si>
  <si>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</si>
  <si>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</si>
  <si>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</si>
  <si>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</si>
  <si>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</si>
  <si>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</si>
  <si>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</si>
  <si>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</si>
  <si>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</si>
  <si>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</si>
  <si>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</si>
  <si>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</si>
  <si>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</si>
  <si>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</si>
  <si>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</si>
  <si>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</si>
  <si>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</si>
  <si>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</si>
  <si>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</si>
  <si>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</si>
  <si>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</si>
  <si>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</si>
  <si>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</si>
  <si>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</si>
  <si>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</si>
  <si>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</si>
  <si>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</si>
  <si>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</si>
  <si>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</si>
  <si>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</si>
  <si>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</si>
  <si>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</si>
  <si>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</si>
  <si>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</si>
  <si>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</si>
  <si>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</si>
  <si>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</si>
  <si>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</si>
  <si>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</si>
  <si>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</si>
  <si>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</si>
  <si>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</si>
  <si>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</si>
  <si>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</si>
  <si>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</si>
  <si>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</si>
  <si>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</si>
  <si>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</si>
  <si>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</si>
  <si>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</si>
  <si>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</si>
  <si>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</si>
  <si>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</si>
  <si>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</si>
  <si>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</si>
  <si>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</si>
  <si>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</si>
  <si>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</si>
  <si>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</si>
  <si>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</si>
  <si>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</si>
  <si>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</si>
  <si>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</si>
  <si>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</si>
  <si>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</si>
  <si>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</si>
  <si>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</si>
  <si>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</si>
  <si>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</si>
  <si>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</si>
  <si>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</si>
  <si>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</si>
  <si>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</si>
  <si>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</si>
  <si>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</si>
  <si>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</si>
  <si>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</si>
  <si>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</si>
  <si>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</si>
  <si>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</si>
  <si>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</si>
  <si>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</si>
  <si>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</si>
  <si>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</si>
  <si>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</si>
  <si>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</si>
  <si>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</si>
  <si>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</si>
  <si>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</si>
  <si>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</si>
  <si>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</si>
  <si>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</si>
  <si>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</si>
  <si>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</si>
  <si>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</si>
  <si>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</si>
  <si>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</si>
  <si>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</si>
  <si>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</si>
  <si>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</si>
  <si>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</si>
  <si>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</si>
  <si>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</si>
  <si>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</si>
  <si>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</si>
  <si>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</si>
  <si>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</si>
  <si>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</si>
  <si>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</si>
  <si>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</si>
  <si>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</si>
  <si>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</si>
  <si>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</si>
  <si>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</si>
  <si>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</si>
  <si>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</si>
  <si>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</si>
  <si>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</si>
  <si>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</si>
  <si>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</si>
  <si>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</si>
  <si>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</si>
  <si>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</si>
  <si>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</si>
  <si>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</si>
  <si>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</si>
  <si>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</si>
  <si>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</si>
  <si>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</si>
  <si>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</si>
  <si>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</si>
  <si>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</si>
  <si>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</si>
  <si>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</si>
  <si>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</si>
  <si>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</si>
  <si>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</si>
  <si>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</si>
  <si>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</si>
  <si>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</si>
  <si>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</si>
  <si>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</si>
  <si>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</si>
  <si>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</si>
  <si>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</si>
  <si>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</si>
  <si>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</si>
  <si>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</si>
  <si>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</si>
  <si>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</si>
  <si>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</si>
  <si>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</si>
  <si>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</si>
  <si>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</si>
  <si>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</si>
  <si>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</si>
  <si>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</si>
  <si>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</si>
  <si>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</si>
  <si>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</si>
  <si>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</si>
  <si>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</si>
  <si>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</si>
  <si>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</si>
  <si>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</si>
  <si>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</si>
  <si>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</si>
  <si>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</si>
  <si>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</si>
  <si>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</si>
  <si>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</si>
  <si>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</si>
  <si>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</si>
  <si>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</si>
  <si>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</si>
  <si>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</si>
  <si>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</si>
  <si>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</si>
  <si>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</si>
  <si>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</si>
  <si>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</si>
  <si>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</si>
  <si>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</si>
  <si>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</si>
  <si>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</si>
  <si>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</si>
  <si>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</si>
  <si>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</si>
  <si>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</si>
  <si>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</si>
  <si>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</si>
  <si>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</si>
  <si>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</si>
  <si>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</si>
  <si>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</si>
  <si>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</si>
  <si>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</si>
  <si>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</si>
  <si>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</si>
  <si>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</si>
  <si>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</si>
  <si>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</si>
  <si>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</si>
  <si>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</si>
  <si>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</si>
  <si>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</si>
  <si>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</si>
  <si>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</si>
  <si>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</si>
  <si>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</si>
  <si>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</si>
  <si>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</si>
  <si>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</si>
  <si>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</si>
  <si>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</si>
  <si>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</si>
  <si>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</si>
  <si>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</si>
  <si>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</si>
  <si>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</si>
  <si>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</si>
  <si>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</si>
  <si>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</si>
  <si>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</si>
  <si>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</si>
  <si>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</si>
  <si>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</si>
  <si>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</si>
  <si>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</si>
  <si>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</si>
  <si>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</si>
  <si>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</si>
  <si>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</si>
  <si>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</si>
  <si>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</si>
  <si>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</si>
  <si>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</si>
  <si>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</si>
  <si>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</si>
  <si>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</si>
  <si>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</si>
  <si>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</si>
  <si>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</si>
  <si>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</si>
  <si>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</si>
  <si>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</si>
  <si>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</si>
  <si>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</si>
  <si>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</si>
  <si>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</si>
  <si>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</si>
  <si>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</si>
  <si>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</si>
  <si>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</si>
  <si>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</si>
  <si>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</si>
  <si>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</si>
  <si>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</si>
  <si>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</si>
  <si>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</si>
  <si>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</si>
  <si>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</si>
  <si>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</si>
  <si>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</si>
  <si>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</si>
  <si>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</si>
  <si>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</si>
  <si>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</si>
  <si>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</si>
  <si>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</si>
  <si>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</si>
  <si>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</si>
  <si>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</si>
  <si>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</si>
  <si>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</si>
  <si>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</si>
  <si>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</si>
  <si>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</si>
  <si>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</si>
  <si>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</si>
  <si>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</si>
  <si>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</si>
  <si>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</si>
  <si>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</si>
  <si>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</si>
  <si>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</si>
  <si>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</si>
  <si>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</si>
  <si>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</si>
  <si>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</si>
  <si>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</si>
  <si>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</si>
  <si>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</si>
  <si>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</si>
  <si>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</si>
  <si>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</si>
  <si>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</si>
  <si>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</si>
  <si>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</si>
  <si>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</si>
  <si>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</si>
  <si>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</si>
  <si>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</si>
  <si>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</si>
  <si>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</si>
  <si>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</si>
  <si>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</si>
  <si>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</si>
  <si>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</si>
  <si>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</si>
  <si>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</si>
  <si>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</si>
  <si>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</si>
  <si>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</si>
  <si>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</si>
  <si>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</si>
  <si>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</si>
  <si>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</si>
  <si>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</si>
  <si>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</si>
  <si>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</si>
  <si>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</si>
  <si>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</si>
  <si>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</si>
  <si>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</si>
  <si>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</si>
  <si>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</si>
  <si>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</si>
  <si>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</si>
  <si>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</si>
  <si>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</si>
  <si>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</si>
  <si>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</si>
  <si>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</si>
  <si>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</si>
  <si>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</si>
  <si>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</si>
  <si>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</si>
  <si>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</si>
  <si>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</si>
  <si>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</si>
  <si>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</si>
  <si>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</si>
  <si>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</si>
  <si>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</si>
  <si>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</si>
  <si>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</si>
  <si>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</si>
  <si>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</si>
  <si>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</si>
  <si>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</si>
  <si>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</si>
  <si>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</si>
  <si>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</si>
  <si>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</si>
  <si>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</si>
  <si>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</si>
  <si>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</si>
  <si>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</si>
  <si>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</si>
  <si>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</si>
  <si>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</si>
  <si>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</si>
  <si>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</si>
  <si>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</si>
  <si>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</si>
  <si>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Convert any address or range to a numeric address (1e6*row+col) or an array of them. A string address becomes its number; a range (A1 or numeric) expands to an array of numeric addresses top-left to bottom-right; empty becomes ""; anything else passes through. Element-wise over an array (ranges inside an array pass through).</t>
  </si>
  <si>
    <t>Convert any address or range to numeric form - the mirror of str_ad, and the standard way to coerce mixed address input to numbers.
Behaviour by input: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num_ad("hi")                -&gt;  "hi"</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</si>
  <si>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</si>
  <si>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</si>
  <si>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</si>
  <si>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</si>
  <si>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</si>
  <si>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</si>
  <si>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</si>
  <si>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</si>
  <si>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</si>
  <si>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</si>
  <si>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</si>
  <si>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</si>
  <si>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</si>
  <si>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</si>
  <si>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</si>
  <si>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</si>
  <si>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</si>
  <si>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</si>
  <si>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</si>
  <si>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</si>
  <si>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</si>
  <si>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</si>
  <si>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</si>
  <si>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</si>
  <si>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to_num_1, LAMBDA(one, IF(one = "", "",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</si>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</sst>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1">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styles" Target="styles.xml"/><Relationship Id="rId89" Type="http://schemas.microsoft.com/office/2017/06/relationships/rdRichValueTypes" Target="richData/rdRichValueType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theme" Target="theme/theme1.xml"/><Relationship Id="rId88" Type="http://schemas.microsoft.com/office/2017/06/relationships/rdRichValueStructure" Target="richData/rdrichvaluestructure.xml"/><Relationship Id="rId9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microsoft.com/office/2017/06/relationships/rdRichValue" Target="richData/rdrichvalue.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DF62A-C9B9-4F31-B268-08FFD4570F4F}">
  <sheetPr codeName="Sheet1">
    <tabColor theme="8" tint="0.79998168889431442"/>
  </sheetPr>
  <dimension ref="A1:AMH74"/>
  <sheetViews>
    <sheetView showGridLines="0" zoomScale="115" zoomScaleNormal="115" workbookViewId="0">
      <selection activeCell="F18" sqref="A18:F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3352</v>
      </c>
      <c r="C1" s="91"/>
      <c r="D1" s="91"/>
      <c r="E1" s="91"/>
      <c r="F1" s="91"/>
      <c r="G1" s="92"/>
    </row>
    <row r="2" spans="1:1022" ht="19.25" customHeight="1" thickBot="1" x14ac:dyDescent="0.5">
      <c r="A2" s="27" t="s">
        <v>20</v>
      </c>
      <c r="B2" s="90" t="s">
        <v>3353</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3354</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41E5D-9301-46A8-91DA-C4752D0ECE45}">
  <sheetPr codeName="Sheet2">
    <tabColor theme="8" tint="0.79998168889431442"/>
  </sheetPr>
  <dimension ref="A1:S74"/>
  <sheetViews>
    <sheetView zoomScale="85" zoomScaleNormal="85" workbookViewId="0"/>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3552</v>
      </c>
      <c r="B2" s="72" t="s">
        <v>3553</v>
      </c>
      <c r="C2" s="73" t="s">
        <v>3594</v>
      </c>
      <c r="D2" s="74" t="s">
        <v>3554</v>
      </c>
    </row>
    <row r="3" spans="1:19" s="75" customFormat="1" ht="19.25" customHeight="1" x14ac:dyDescent="0.5">
      <c r="A3" s="71" t="s">
        <v>3555</v>
      </c>
      <c r="B3" s="72" t="s">
        <v>3556</v>
      </c>
      <c r="C3" s="73" t="s">
        <v>3557</v>
      </c>
      <c r="D3" s="74" t="s">
        <v>3558</v>
      </c>
    </row>
    <row r="4" spans="1:19" s="75" customFormat="1" ht="19.25" customHeight="1" x14ac:dyDescent="0.5">
      <c r="A4" s="71" t="s">
        <v>2749</v>
      </c>
      <c r="B4" s="72" t="s">
        <v>3286</v>
      </c>
      <c r="C4" s="73" t="s">
        <v>3287</v>
      </c>
      <c r="D4" s="74" t="s">
        <v>3288</v>
      </c>
    </row>
    <row r="5" spans="1:19" s="75" customFormat="1" ht="19.25" customHeight="1" x14ac:dyDescent="0.5">
      <c r="A5" s="71" t="s">
        <v>2750</v>
      </c>
      <c r="B5" s="72" t="s">
        <v>2751</v>
      </c>
      <c r="C5" s="73" t="s">
        <v>2752</v>
      </c>
      <c r="D5" s="74" t="s">
        <v>2753</v>
      </c>
    </row>
    <row r="6" spans="1:19" s="75" customFormat="1" ht="19.25" customHeight="1" x14ac:dyDescent="0.5">
      <c r="A6" s="71" t="s">
        <v>2754</v>
      </c>
      <c r="B6" s="72" t="s">
        <v>2755</v>
      </c>
      <c r="C6" s="73" t="s">
        <v>3559</v>
      </c>
      <c r="D6" s="74" t="s">
        <v>3302</v>
      </c>
    </row>
    <row r="7" spans="1:19" s="75" customFormat="1" ht="19.25" customHeight="1" x14ac:dyDescent="0.5">
      <c r="A7" s="71" t="s">
        <v>2756</v>
      </c>
      <c r="B7" s="72" t="s">
        <v>2757</v>
      </c>
      <c r="C7" s="73" t="s">
        <v>3303</v>
      </c>
      <c r="D7" s="74" t="s">
        <v>3304</v>
      </c>
    </row>
    <row r="8" spans="1:19" s="75" customFormat="1" ht="19.25" customHeight="1" x14ac:dyDescent="0.5">
      <c r="A8" s="71" t="s">
        <v>2758</v>
      </c>
      <c r="B8" s="72" t="s">
        <v>2759</v>
      </c>
      <c r="C8" s="73" t="s">
        <v>2760</v>
      </c>
      <c r="D8" s="74" t="s">
        <v>2761</v>
      </c>
    </row>
    <row r="9" spans="1:19" s="75" customFormat="1" ht="19.25" customHeight="1" x14ac:dyDescent="0.5">
      <c r="A9" s="71" t="s">
        <v>3560</v>
      </c>
      <c r="B9" s="72" t="s">
        <v>3561</v>
      </c>
      <c r="C9" s="73" t="s">
        <v>3562</v>
      </c>
      <c r="D9" s="74" t="s">
        <v>3563</v>
      </c>
    </row>
    <row r="10" spans="1:19" s="75" customFormat="1" ht="19.25" customHeight="1" x14ac:dyDescent="0.5">
      <c r="A10" s="71" t="s">
        <v>2762</v>
      </c>
      <c r="B10" s="72" t="s">
        <v>2763</v>
      </c>
      <c r="C10" s="73" t="s">
        <v>2764</v>
      </c>
      <c r="D10" s="74" t="s">
        <v>2765</v>
      </c>
    </row>
    <row r="11" spans="1:19" s="75" customFormat="1" ht="19.25" customHeight="1" x14ac:dyDescent="0.5">
      <c r="A11" s="71" t="s">
        <v>2766</v>
      </c>
      <c r="B11" s="72" t="s">
        <v>2767</v>
      </c>
      <c r="C11" s="73" t="s">
        <v>2768</v>
      </c>
      <c r="D11" s="74" t="s">
        <v>2769</v>
      </c>
    </row>
    <row r="12" spans="1:19" s="75" customFormat="1" ht="19.25" customHeight="1" x14ac:dyDescent="0.5">
      <c r="A12" s="71" t="s">
        <v>2770</v>
      </c>
      <c r="B12" s="72" t="s">
        <v>2771</v>
      </c>
      <c r="C12" s="73" t="s">
        <v>2772</v>
      </c>
      <c r="D12" s="74" t="s">
        <v>2773</v>
      </c>
    </row>
    <row r="13" spans="1:19" s="75" customFormat="1" ht="19.25" customHeight="1" x14ac:dyDescent="0.5">
      <c r="A13" s="71" t="s">
        <v>2774</v>
      </c>
      <c r="B13" s="72" t="s">
        <v>2775</v>
      </c>
      <c r="C13" s="73" t="s">
        <v>3305</v>
      </c>
      <c r="D13" s="74" t="s">
        <v>3306</v>
      </c>
    </row>
    <row r="14" spans="1:19" s="75" customFormat="1" ht="19.25" customHeight="1" x14ac:dyDescent="0.5">
      <c r="A14" s="71" t="s">
        <v>2776</v>
      </c>
      <c r="B14" s="72" t="s">
        <v>2777</v>
      </c>
      <c r="C14" s="73" t="s">
        <v>2778</v>
      </c>
      <c r="D14" s="74" t="s">
        <v>2779</v>
      </c>
    </row>
    <row r="15" spans="1:19" s="75" customFormat="1" ht="19.25" customHeight="1" x14ac:dyDescent="0.5">
      <c r="A15" s="71" t="s">
        <v>2780</v>
      </c>
      <c r="B15" s="72" t="s">
        <v>2781</v>
      </c>
      <c r="C15" s="73" t="s">
        <v>2782</v>
      </c>
      <c r="D15" s="74" t="s">
        <v>2783</v>
      </c>
    </row>
    <row r="16" spans="1:19" s="75" customFormat="1" ht="19.25" customHeight="1" x14ac:dyDescent="0.5">
      <c r="A16" s="71" t="s">
        <v>3564</v>
      </c>
      <c r="B16" s="72" t="s">
        <v>3565</v>
      </c>
      <c r="C16" s="73" t="s">
        <v>3595</v>
      </c>
      <c r="D16" s="74" t="s">
        <v>3566</v>
      </c>
    </row>
    <row r="17" spans="1:4" s="75" customFormat="1" ht="19.25" customHeight="1" x14ac:dyDescent="0.5">
      <c r="A17" s="71" t="s">
        <v>2784</v>
      </c>
      <c r="B17" s="72" t="s">
        <v>2785</v>
      </c>
      <c r="C17" s="73" t="s">
        <v>2786</v>
      </c>
      <c r="D17" s="74" t="s">
        <v>2787</v>
      </c>
    </row>
    <row r="18" spans="1:4" s="75" customFormat="1" ht="19.25" customHeight="1" x14ac:dyDescent="0.5">
      <c r="A18" s="71" t="s">
        <v>2788</v>
      </c>
      <c r="B18" s="72" t="s">
        <v>3567</v>
      </c>
      <c r="C18" s="73" t="s">
        <v>2789</v>
      </c>
      <c r="D18" s="74" t="s">
        <v>3568</v>
      </c>
    </row>
    <row r="19" spans="1:4" s="75" customFormat="1" ht="19.25" customHeight="1" x14ac:dyDescent="0.5">
      <c r="A19" s="71" t="s">
        <v>2790</v>
      </c>
      <c r="B19" s="72" t="s">
        <v>2791</v>
      </c>
      <c r="C19" s="73" t="s">
        <v>2792</v>
      </c>
      <c r="D19" s="74" t="s">
        <v>2793</v>
      </c>
    </row>
    <row r="20" spans="1:4" s="75" customFormat="1" ht="19.25" customHeight="1" x14ac:dyDescent="0.5">
      <c r="A20" s="71" t="s">
        <v>2794</v>
      </c>
      <c r="B20" s="72" t="s">
        <v>2795</v>
      </c>
      <c r="C20" s="73" t="s">
        <v>3307</v>
      </c>
      <c r="D20" s="74" t="s">
        <v>3308</v>
      </c>
    </row>
    <row r="21" spans="1:4" s="75" customFormat="1" ht="19.25" customHeight="1" x14ac:dyDescent="0.5">
      <c r="A21" s="71" t="s">
        <v>2796</v>
      </c>
      <c r="B21" s="72" t="s">
        <v>2797</v>
      </c>
      <c r="C21" s="73" t="s">
        <v>2798</v>
      </c>
      <c r="D21" s="74" t="s">
        <v>2799</v>
      </c>
    </row>
    <row r="22" spans="1:4" s="75" customFormat="1" ht="19.25" customHeight="1" x14ac:dyDescent="0.5">
      <c r="A22" s="71" t="s">
        <v>2800</v>
      </c>
      <c r="B22" s="72" t="s">
        <v>2801</v>
      </c>
      <c r="C22" s="73" t="s">
        <v>2802</v>
      </c>
      <c r="D22" s="74" t="s">
        <v>2803</v>
      </c>
    </row>
    <row r="23" spans="1:4" s="75" customFormat="1" ht="19.25" customHeight="1" x14ac:dyDescent="0.5">
      <c r="A23" s="71" t="s">
        <v>2804</v>
      </c>
      <c r="B23" s="72" t="s">
        <v>2805</v>
      </c>
      <c r="C23" s="73" t="s">
        <v>2806</v>
      </c>
      <c r="D23" s="74" t="s">
        <v>2807</v>
      </c>
    </row>
    <row r="24" spans="1:4" s="75" customFormat="1" ht="19.25" customHeight="1" x14ac:dyDescent="0.5">
      <c r="A24" s="71" t="s">
        <v>3569</v>
      </c>
      <c r="B24" s="72" t="s">
        <v>3570</v>
      </c>
      <c r="C24" s="73" t="s">
        <v>3596</v>
      </c>
      <c r="D24" s="74" t="s">
        <v>3571</v>
      </c>
    </row>
    <row r="25" spans="1:4" s="75" customFormat="1" ht="19.25" customHeight="1" x14ac:dyDescent="0.5">
      <c r="A25" s="71" t="s">
        <v>2808</v>
      </c>
      <c r="B25" s="72" t="s">
        <v>2809</v>
      </c>
      <c r="C25" s="73" t="s">
        <v>2810</v>
      </c>
      <c r="D25" s="74" t="s">
        <v>2811</v>
      </c>
    </row>
    <row r="26" spans="1:4" s="75" customFormat="1" ht="19.25" customHeight="1" x14ac:dyDescent="0.5">
      <c r="A26" s="71" t="s">
        <v>2812</v>
      </c>
      <c r="B26" s="72" t="s">
        <v>2813</v>
      </c>
      <c r="C26" s="73" t="s">
        <v>2814</v>
      </c>
      <c r="D26" s="74" t="s">
        <v>2815</v>
      </c>
    </row>
    <row r="27" spans="1:4" s="75" customFormat="1" ht="19.25" customHeight="1" x14ac:dyDescent="0.5">
      <c r="A27" s="71" t="s">
        <v>2816</v>
      </c>
      <c r="B27" s="72" t="s">
        <v>2817</v>
      </c>
      <c r="C27" s="73" t="s">
        <v>2818</v>
      </c>
      <c r="D27" s="74" t="s">
        <v>2819</v>
      </c>
    </row>
    <row r="28" spans="1:4" s="75" customFormat="1" ht="19.25" customHeight="1" x14ac:dyDescent="0.5">
      <c r="A28" s="71" t="s">
        <v>3572</v>
      </c>
      <c r="B28" s="72" t="s">
        <v>3573</v>
      </c>
      <c r="C28" s="73" t="s">
        <v>3490</v>
      </c>
      <c r="D28" s="74" t="s">
        <v>3574</v>
      </c>
    </row>
    <row r="29" spans="1:4" s="75" customFormat="1" ht="19.25" customHeight="1" x14ac:dyDescent="0.5">
      <c r="A29" s="71" t="s">
        <v>2820</v>
      </c>
      <c r="B29" s="72" t="s">
        <v>2821</v>
      </c>
      <c r="C29" s="73" t="s">
        <v>2822</v>
      </c>
      <c r="D29" s="74" t="s">
        <v>2823</v>
      </c>
    </row>
    <row r="30" spans="1:4" s="75" customFormat="1" ht="19.25" customHeight="1" x14ac:dyDescent="0.5">
      <c r="A30" s="71" t="s">
        <v>2824</v>
      </c>
      <c r="B30" s="72" t="s">
        <v>2825</v>
      </c>
      <c r="C30" s="73" t="s">
        <v>3309</v>
      </c>
      <c r="D30" s="74" t="s">
        <v>3310</v>
      </c>
    </row>
    <row r="31" spans="1:4" s="75" customFormat="1" ht="19.25" customHeight="1" x14ac:dyDescent="0.5">
      <c r="A31" s="71" t="s">
        <v>2826</v>
      </c>
      <c r="B31" s="72" t="s">
        <v>2827</v>
      </c>
      <c r="C31" s="73" t="s">
        <v>3311</v>
      </c>
      <c r="D31" s="74" t="s">
        <v>3312</v>
      </c>
    </row>
    <row r="32" spans="1:4" s="75" customFormat="1" ht="19.25" customHeight="1" x14ac:dyDescent="0.5">
      <c r="A32" s="71" t="s">
        <v>2828</v>
      </c>
      <c r="B32" s="72" t="s">
        <v>2829</v>
      </c>
      <c r="C32" s="73" t="s">
        <v>2830</v>
      </c>
      <c r="D32" s="74" t="s">
        <v>2831</v>
      </c>
    </row>
    <row r="33" spans="1:4" s="75" customFormat="1" ht="19.25" customHeight="1" x14ac:dyDescent="0.5">
      <c r="A33" s="71" t="s">
        <v>2832</v>
      </c>
      <c r="B33" s="72" t="s">
        <v>2833</v>
      </c>
      <c r="C33" s="73" t="s">
        <v>2834</v>
      </c>
      <c r="D33" s="74" t="s">
        <v>2835</v>
      </c>
    </row>
    <row r="34" spans="1:4" s="75" customFormat="1" ht="19.25" customHeight="1" x14ac:dyDescent="0.5">
      <c r="A34" s="71" t="s">
        <v>2836</v>
      </c>
      <c r="B34" s="72" t="s">
        <v>2837</v>
      </c>
      <c r="C34" s="73" t="s">
        <v>2838</v>
      </c>
      <c r="D34" s="74" t="s">
        <v>2839</v>
      </c>
    </row>
    <row r="35" spans="1:4" s="75" customFormat="1" ht="19.25" customHeight="1" x14ac:dyDescent="0.5">
      <c r="A35" s="71" t="s">
        <v>2840</v>
      </c>
      <c r="B35" s="72" t="s">
        <v>2841</v>
      </c>
      <c r="C35" s="73" t="s">
        <v>2842</v>
      </c>
      <c r="D35" s="74" t="s">
        <v>2843</v>
      </c>
    </row>
    <row r="36" spans="1:4" s="75" customFormat="1" ht="19.25" customHeight="1" x14ac:dyDescent="0.5">
      <c r="A36" s="71" t="s">
        <v>2844</v>
      </c>
      <c r="B36" s="72" t="s">
        <v>2845</v>
      </c>
      <c r="C36" s="73" t="s">
        <v>2846</v>
      </c>
      <c r="D36" s="74" t="s">
        <v>2847</v>
      </c>
    </row>
    <row r="37" spans="1:4" s="75" customFormat="1" ht="19.25" customHeight="1" x14ac:dyDescent="0.5">
      <c r="A37" s="71" t="s">
        <v>2848</v>
      </c>
      <c r="B37" s="72" t="s">
        <v>2849</v>
      </c>
      <c r="C37" s="73" t="s">
        <v>2850</v>
      </c>
      <c r="D37" s="74" t="s">
        <v>2851</v>
      </c>
    </row>
    <row r="38" spans="1:4" s="75" customFormat="1" ht="19.25" customHeight="1" x14ac:dyDescent="0.5">
      <c r="A38" s="71" t="s">
        <v>2852</v>
      </c>
      <c r="B38" s="72" t="s">
        <v>2853</v>
      </c>
      <c r="C38" s="73" t="s">
        <v>3313</v>
      </c>
      <c r="D38" s="74" t="s">
        <v>3314</v>
      </c>
    </row>
    <row r="39" spans="1:4" s="75" customFormat="1" ht="19.25" customHeight="1" x14ac:dyDescent="0.5">
      <c r="A39" s="71" t="s">
        <v>2854</v>
      </c>
      <c r="B39" s="72" t="s">
        <v>2855</v>
      </c>
      <c r="C39" s="73" t="s">
        <v>3315</v>
      </c>
      <c r="D39" s="74" t="s">
        <v>3316</v>
      </c>
    </row>
    <row r="40" spans="1:4" s="75" customFormat="1" ht="19.25" customHeight="1" x14ac:dyDescent="0.5">
      <c r="A40" s="71" t="s">
        <v>3575</v>
      </c>
      <c r="B40" s="72" t="s">
        <v>3576</v>
      </c>
      <c r="C40" s="73" t="s">
        <v>3597</v>
      </c>
      <c r="D40" s="74" t="s">
        <v>3577</v>
      </c>
    </row>
    <row r="41" spans="1:4" s="75" customFormat="1" ht="19.25" customHeight="1" x14ac:dyDescent="0.5">
      <c r="A41" s="71" t="s">
        <v>2858</v>
      </c>
      <c r="B41" s="72" t="s">
        <v>2859</v>
      </c>
      <c r="C41" s="73" t="s">
        <v>2860</v>
      </c>
      <c r="D41" s="74" t="s">
        <v>2861</v>
      </c>
    </row>
    <row r="42" spans="1:4" s="75" customFormat="1" ht="19.25" customHeight="1" x14ac:dyDescent="0.5">
      <c r="A42" s="71" t="s">
        <v>3578</v>
      </c>
      <c r="B42" s="72" t="s">
        <v>2856</v>
      </c>
      <c r="C42" s="73" t="s">
        <v>2857</v>
      </c>
      <c r="D42" s="74" t="s">
        <v>3579</v>
      </c>
    </row>
    <row r="43" spans="1:4" s="75" customFormat="1" ht="19.25" customHeight="1" x14ac:dyDescent="0.5">
      <c r="A43" s="71" t="s">
        <v>2862</v>
      </c>
      <c r="B43" s="72" t="s">
        <v>2863</v>
      </c>
      <c r="C43" s="73" t="s">
        <v>2864</v>
      </c>
      <c r="D43" s="74" t="s">
        <v>2865</v>
      </c>
    </row>
    <row r="44" spans="1:4" s="75" customFormat="1" ht="19.25" customHeight="1" x14ac:dyDescent="0.5">
      <c r="A44" s="71" t="s">
        <v>2866</v>
      </c>
      <c r="B44" s="72" t="s">
        <v>2867</v>
      </c>
      <c r="C44" s="73" t="s">
        <v>3317</v>
      </c>
      <c r="D44" s="74" t="s">
        <v>3318</v>
      </c>
    </row>
    <row r="45" spans="1:4" s="75" customFormat="1" ht="19.25" customHeight="1" x14ac:dyDescent="0.5">
      <c r="A45" s="71" t="s">
        <v>2868</v>
      </c>
      <c r="B45" s="72" t="s">
        <v>2869</v>
      </c>
      <c r="C45" s="73" t="s">
        <v>2870</v>
      </c>
      <c r="D45" s="74" t="s">
        <v>2871</v>
      </c>
    </row>
    <row r="46" spans="1:4" s="75" customFormat="1" ht="19.25" customHeight="1" x14ac:dyDescent="0.5">
      <c r="A46" s="71" t="s">
        <v>2872</v>
      </c>
      <c r="B46" s="72" t="s">
        <v>2873</v>
      </c>
      <c r="C46" s="73" t="s">
        <v>2874</v>
      </c>
      <c r="D46" s="74" t="s">
        <v>2875</v>
      </c>
    </row>
    <row r="47" spans="1:4" s="75" customFormat="1" ht="19.25" customHeight="1" x14ac:dyDescent="0.5">
      <c r="A47" s="71" t="s">
        <v>2876</v>
      </c>
      <c r="B47" s="72" t="s">
        <v>2877</v>
      </c>
      <c r="C47" s="73" t="s">
        <v>2878</v>
      </c>
      <c r="D47" s="74" t="s">
        <v>2879</v>
      </c>
    </row>
    <row r="48" spans="1:4" s="75" customFormat="1" ht="19.25" customHeight="1" x14ac:dyDescent="0.5">
      <c r="A48" s="71" t="s">
        <v>2880</v>
      </c>
      <c r="B48" s="72" t="s">
        <v>2881</v>
      </c>
      <c r="C48" s="73" t="s">
        <v>2882</v>
      </c>
      <c r="D48" s="74" t="s">
        <v>2883</v>
      </c>
    </row>
    <row r="49" spans="1:4" s="75" customFormat="1" ht="19.25" customHeight="1" x14ac:dyDescent="0.5">
      <c r="A49" s="71" t="s">
        <v>1</v>
      </c>
      <c r="B49" s="72" t="s">
        <v>2884</v>
      </c>
      <c r="C49" s="73" t="s">
        <v>5</v>
      </c>
      <c r="D49" s="74" t="s">
        <v>3</v>
      </c>
    </row>
    <row r="50" spans="1:4" s="75" customFormat="1" ht="19.25" customHeight="1" x14ac:dyDescent="0.5">
      <c r="A50" s="71" t="s">
        <v>2885</v>
      </c>
      <c r="B50" s="72" t="s">
        <v>2886</v>
      </c>
      <c r="C50" s="73" t="s">
        <v>2887</v>
      </c>
      <c r="D50" s="74" t="s">
        <v>2888</v>
      </c>
    </row>
    <row r="51" spans="1:4" s="75" customFormat="1" ht="19.25" customHeight="1" x14ac:dyDescent="0.5">
      <c r="A51" s="71" t="s">
        <v>2889</v>
      </c>
      <c r="B51" s="72" t="s">
        <v>2890</v>
      </c>
      <c r="C51" s="73" t="s">
        <v>2891</v>
      </c>
      <c r="D51" s="74" t="s">
        <v>2892</v>
      </c>
    </row>
    <row r="52" spans="1:4" ht="19.25" customHeight="1" x14ac:dyDescent="0.5">
      <c r="A52" s="71" t="s">
        <v>2893</v>
      </c>
      <c r="B52" s="72" t="s">
        <v>2894</v>
      </c>
      <c r="C52" s="73" t="s">
        <v>3319</v>
      </c>
      <c r="D52" s="74" t="s">
        <v>3320</v>
      </c>
    </row>
    <row r="53" spans="1:4" ht="19.25" customHeight="1" x14ac:dyDescent="0.5">
      <c r="A53" s="71" t="s">
        <v>2895</v>
      </c>
      <c r="B53" s="72" t="s">
        <v>2896</v>
      </c>
      <c r="C53" s="73" t="s">
        <v>3321</v>
      </c>
      <c r="D53" s="74" t="s">
        <v>3322</v>
      </c>
    </row>
    <row r="54" spans="1:4" ht="19.25" customHeight="1" x14ac:dyDescent="0.5">
      <c r="A54" s="71" t="s">
        <v>2897</v>
      </c>
      <c r="B54" s="72" t="s">
        <v>2898</v>
      </c>
      <c r="C54" s="73" t="s">
        <v>2899</v>
      </c>
      <c r="D54" s="74" t="s">
        <v>2900</v>
      </c>
    </row>
    <row r="55" spans="1:4" ht="19.25" customHeight="1" x14ac:dyDescent="0.5">
      <c r="A55" s="71" t="s">
        <v>2901</v>
      </c>
      <c r="B55" s="72" t="s">
        <v>2902</v>
      </c>
      <c r="C55" s="73" t="s">
        <v>3323</v>
      </c>
      <c r="D55" s="74" t="s">
        <v>3324</v>
      </c>
    </row>
    <row r="56" spans="1:4" ht="19.25" customHeight="1" x14ac:dyDescent="0.5">
      <c r="A56" s="71" t="s">
        <v>3580</v>
      </c>
      <c r="B56" s="72" t="s">
        <v>3581</v>
      </c>
      <c r="C56" s="73" t="s">
        <v>3582</v>
      </c>
      <c r="D56" s="74" t="s">
        <v>3583</v>
      </c>
    </row>
    <row r="57" spans="1:4" ht="19.25" customHeight="1" x14ac:dyDescent="0.5">
      <c r="A57" s="71" t="s">
        <v>3495</v>
      </c>
      <c r="B57" s="72" t="s">
        <v>3584</v>
      </c>
      <c r="C57" s="73" t="s">
        <v>3585</v>
      </c>
      <c r="D57" s="74" t="s">
        <v>3586</v>
      </c>
    </row>
    <row r="58" spans="1:4" ht="19.25" customHeight="1" x14ac:dyDescent="0.5">
      <c r="A58" s="71" t="s">
        <v>3496</v>
      </c>
      <c r="B58" s="72" t="s">
        <v>3587</v>
      </c>
      <c r="C58" s="73" t="s">
        <v>3497</v>
      </c>
      <c r="D58" s="74" t="s">
        <v>3588</v>
      </c>
    </row>
    <row r="59" spans="1:4" ht="19.25" customHeight="1" x14ac:dyDescent="0.5">
      <c r="A59" s="71" t="s">
        <v>3589</v>
      </c>
      <c r="B59" s="72" t="s">
        <v>3590</v>
      </c>
      <c r="C59" s="73" t="s">
        <v>3591</v>
      </c>
      <c r="D59" s="74" t="s">
        <v>3592</v>
      </c>
    </row>
    <row r="60" spans="1:4" ht="19.25" customHeight="1" x14ac:dyDescent="0.5">
      <c r="A60" s="71" t="s">
        <v>2903</v>
      </c>
      <c r="B60" s="72" t="s">
        <v>2904</v>
      </c>
      <c r="C60" s="73" t="s">
        <v>2905</v>
      </c>
      <c r="D60" s="74" t="s">
        <v>2906</v>
      </c>
    </row>
    <row r="61" spans="1:4" ht="19.25" customHeight="1" x14ac:dyDescent="0.5">
      <c r="A61" s="71" t="s">
        <v>2907</v>
      </c>
      <c r="B61" s="72" t="s">
        <v>2908</v>
      </c>
      <c r="C61" s="73" t="s">
        <v>2909</v>
      </c>
      <c r="D61" s="74" t="s">
        <v>2910</v>
      </c>
    </row>
    <row r="62" spans="1:4" ht="19.25" customHeight="1" x14ac:dyDescent="0.5">
      <c r="A62" s="71"/>
      <c r="B62" s="72"/>
      <c r="C62" s="73"/>
      <c r="D62" s="74"/>
    </row>
    <row r="63" spans="1:4" ht="19.25" customHeight="1" x14ac:dyDescent="0.5">
      <c r="A63" s="71"/>
      <c r="B63" s="72"/>
      <c r="C63" s="73"/>
      <c r="D63" s="74"/>
    </row>
    <row r="64" spans="1:4" ht="19.25" customHeight="1" x14ac:dyDescent="0.5">
      <c r="A64" s="71"/>
      <c r="B64" s="72"/>
      <c r="C64" s="73"/>
      <c r="D64" s="74"/>
    </row>
    <row r="65" spans="1:4" ht="19.25" customHeight="1" x14ac:dyDescent="0.5">
      <c r="A65" s="71"/>
      <c r="B65" s="72"/>
      <c r="C65" s="73"/>
      <c r="D65" s="74"/>
    </row>
    <row r="66" spans="1:4" ht="19.25" customHeight="1" x14ac:dyDescent="0.5">
      <c r="A66" s="71"/>
      <c r="B66" s="72"/>
      <c r="C66" s="73"/>
      <c r="D66" s="74"/>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FA4BC-0EEF-4A4B-913F-1EBE51D5BCCB}">
  <sheetPr codeName="Sheet52"/>
  <dimension ref="A1:E66"/>
  <sheetViews>
    <sheetView workbookViewId="0">
      <pane ySplit="4" topLeftCell="A17" activePane="bottomLeft" state="frozen"/>
      <selection pane="bottomLeft" activeCell="A27" sqref="A27"/>
    </sheetView>
  </sheetViews>
  <sheetFormatPr defaultRowHeight="21" x14ac:dyDescent="0.5"/>
  <cols>
    <col min="1" max="1" width="18" customWidth="1"/>
    <col min="2" max="4" width="8" customWidth="1"/>
    <col min="5" max="5" width="14" customWidth="1"/>
  </cols>
  <sheetData>
    <row r="1" spans="1:5" x14ac:dyDescent="0.5">
      <c r="A1" s="45" t="s">
        <v>2911</v>
      </c>
    </row>
    <row r="2" spans="1:5" x14ac:dyDescent="0.5">
      <c r="A2" s="46" t="s">
        <v>2912</v>
      </c>
    </row>
    <row r="4" spans="1:5" x14ac:dyDescent="0.5">
      <c r="A4" s="45" t="s">
        <v>2913</v>
      </c>
      <c r="B4" s="48" t="s">
        <v>2914</v>
      </c>
      <c r="C4" s="50" t="s">
        <v>2915</v>
      </c>
      <c r="D4" s="45" t="s">
        <v>2916</v>
      </c>
      <c r="E4" s="45" t="s">
        <v>2917</v>
      </c>
    </row>
    <row r="5" spans="1:5" x14ac:dyDescent="0.5">
      <c r="A5" s="77" t="str">
        <f>HYPERLINK("#'ad_to_cont'!A1","ad_to_cont")</f>
        <v>ad_to_cont</v>
      </c>
      <c r="B5" s="52">
        <f ca="1">COUNTIF(ad_to_cont!$A:$BZ,"PASS")</f>
        <v>8</v>
      </c>
      <c r="C5" s="54">
        <f ca="1">COUNTIF(ad_to_cont!$A:$BZ,"FAIL")</f>
        <v>0</v>
      </c>
      <c r="D5" s="46">
        <f t="shared" ref="D5:D36" ca="1" si="0">B5+C5</f>
        <v>8</v>
      </c>
      <c r="E5" s="46" t="str">
        <f t="shared" ref="E5:E36" ca="1" si="1">IF(C5&gt;0,"FAIL ("&amp;C5&amp;")",IF(D5=0,"-","all pass"))</f>
        <v>all pass</v>
      </c>
    </row>
    <row r="6" spans="1:5" x14ac:dyDescent="0.5">
      <c r="A6" s="77" t="str">
        <f>HYPERLINK("#'ad_to_rc'!A1","ad_to_rc")</f>
        <v>ad_to_rc</v>
      </c>
      <c r="B6" s="52">
        <f ca="1">COUNTIF(ad_to_rc!$A:$BZ,"PASS")</f>
        <v>7</v>
      </c>
      <c r="C6" s="54">
        <f ca="1">COUNTIF(ad_to_rc!$A:$BZ,"FAIL")</f>
        <v>0</v>
      </c>
      <c r="D6" s="46">
        <f t="shared" ca="1" si="0"/>
        <v>7</v>
      </c>
      <c r="E6" s="46" t="str">
        <f t="shared" ca="1" si="1"/>
        <v>all pass</v>
      </c>
    </row>
    <row r="7" spans="1:5" x14ac:dyDescent="0.5">
      <c r="A7" s="77" t="str">
        <f>HYPERLINK("#'arrow'!A1","arrow")</f>
        <v>arrow</v>
      </c>
      <c r="B7" s="52">
        <f ca="1">COUNTIF(arrow!$A:$BZ,"PASS")</f>
        <v>7</v>
      </c>
      <c r="C7" s="54">
        <f ca="1">COUNTIF(arrow!$A:$BZ,"FAIL")</f>
        <v>0</v>
      </c>
      <c r="D7" s="46">
        <f t="shared" ca="1" si="0"/>
        <v>7</v>
      </c>
      <c r="E7" s="46" t="str">
        <f t="shared" ca="1" si="1"/>
        <v>all pass</v>
      </c>
    </row>
    <row r="8" spans="1:5" x14ac:dyDescent="0.5">
      <c r="A8" s="77" t="str">
        <f>HYPERLINK("#'arrow_move'!A1","arrow_move")</f>
        <v>arrow_move</v>
      </c>
      <c r="B8" s="52">
        <f ca="1">COUNTIF(arrow_move!$A:$BZ,"PASS")</f>
        <v>5</v>
      </c>
      <c r="C8" s="54">
        <f ca="1">COUNTIF(arrow_move!$A:$BZ,"FAIL")</f>
        <v>0</v>
      </c>
      <c r="D8" s="46">
        <f t="shared" ca="1" si="0"/>
        <v>5</v>
      </c>
      <c r="E8" s="46" t="str">
        <f t="shared" ca="1" si="1"/>
        <v>all pass</v>
      </c>
    </row>
    <row r="9" spans="1:5" x14ac:dyDescent="0.5">
      <c r="A9" s="77" t="str">
        <f>HYPERLINK("#'arrow_trip'!A1","arrow_trip")</f>
        <v>arrow_trip</v>
      </c>
      <c r="B9" s="52">
        <f ca="1">COUNTIF(arrow_trip!$A:$BZ,"PASS")</f>
        <v>5</v>
      </c>
      <c r="C9" s="54">
        <f ca="1">COUNTIF(arrow_trip!$A:$BZ,"FAIL")</f>
        <v>0</v>
      </c>
      <c r="D9" s="46">
        <f t="shared" ca="1" si="0"/>
        <v>5</v>
      </c>
      <c r="E9" s="46" t="str">
        <f t="shared" ca="1" si="1"/>
        <v>all pass</v>
      </c>
    </row>
    <row r="10" spans="1:5" x14ac:dyDescent="0.5">
      <c r="A10" s="77" t="str">
        <f>HYPERLINK("#'biggest'!A1","biggest")</f>
        <v>biggest</v>
      </c>
      <c r="B10" s="52">
        <f ca="1">COUNTIF(biggest!$A:$BZ,"PASS")</f>
        <v>3</v>
      </c>
      <c r="C10" s="54">
        <f ca="1">COUNTIF(biggest!$A:$BZ,"FAIL")</f>
        <v>0</v>
      </c>
      <c r="D10" s="46">
        <f t="shared" ca="1" si="0"/>
        <v>3</v>
      </c>
      <c r="E10" s="46" t="str">
        <f t="shared" ca="1" si="1"/>
        <v>all pass</v>
      </c>
    </row>
    <row r="11" spans="1:5" x14ac:dyDescent="0.5">
      <c r="A11" s="77" t="str">
        <f>HYPERLINK("#'clamp'!A1","clamp")</f>
        <v>clamp</v>
      </c>
      <c r="B11" s="52">
        <f ca="1">COUNTIF(clamp!$A:$BZ,"PASS")</f>
        <v>5</v>
      </c>
      <c r="C11" s="54">
        <f ca="1">COUNTIF(clamp!$A:$BZ,"FAIL")</f>
        <v>0</v>
      </c>
      <c r="D11" s="46">
        <f t="shared" ca="1" si="0"/>
        <v>5</v>
      </c>
      <c r="E11" s="46" t="str">
        <f t="shared" ca="1" si="1"/>
        <v>all pass</v>
      </c>
    </row>
    <row r="12" spans="1:5" x14ac:dyDescent="0.5">
      <c r="A12" s="77" t="str">
        <f>HYPERLINK("#'cont_to_ad'!A1","cont_to_ad")</f>
        <v>cont_to_ad</v>
      </c>
      <c r="B12" s="52">
        <f ca="1">COUNTIF(cont_to_ad!$A:$BZ,"PASS")</f>
        <v>5</v>
      </c>
      <c r="C12" s="54">
        <f ca="1">COUNTIF(cont_to_ad!$A:$BZ,"FAIL")</f>
        <v>0</v>
      </c>
      <c r="D12" s="46">
        <f t="shared" ca="1" si="0"/>
        <v>5</v>
      </c>
      <c r="E12" s="46" t="str">
        <f t="shared" ca="1" si="1"/>
        <v>all pass</v>
      </c>
    </row>
    <row r="13" spans="1:5" x14ac:dyDescent="0.5">
      <c r="A13" s="77" t="str">
        <f>HYPERLINK("#'count_substring'!A1","count_substring")</f>
        <v>count_substring</v>
      </c>
      <c r="B13" s="52">
        <f ca="1">COUNTIF(count_substring!$A:$BZ,"PASS")</f>
        <v>6</v>
      </c>
      <c r="C13" s="54">
        <f ca="1">COUNTIF(count_substring!$A:$BZ,"FAIL")</f>
        <v>0</v>
      </c>
      <c r="D13" s="46">
        <f t="shared" ca="1" si="0"/>
        <v>6</v>
      </c>
      <c r="E13" s="46" t="str">
        <f t="shared" ca="1" si="1"/>
        <v>all pass</v>
      </c>
    </row>
    <row r="14" spans="1:5" x14ac:dyDescent="0.5">
      <c r="A14" s="77" t="str">
        <f>HYPERLINK("#'ctotal'!A1","ctotal")</f>
        <v>ctotal</v>
      </c>
      <c r="B14" s="52">
        <f ca="1">COUNTIF(ctotal!$A:$BZ,"PASS")</f>
        <v>4</v>
      </c>
      <c r="C14" s="54">
        <f ca="1">COUNTIF(ctotal!$A:$BZ,"FAIL")</f>
        <v>0</v>
      </c>
      <c r="D14" s="46">
        <f t="shared" ca="1" si="0"/>
        <v>4</v>
      </c>
      <c r="E14" s="46" t="str">
        <f t="shared" ca="1" si="1"/>
        <v>all pass</v>
      </c>
    </row>
    <row r="15" spans="1:5" x14ac:dyDescent="0.5">
      <c r="A15" s="77" t="str">
        <f>HYPERLINK("#'cycles'!A1","cycles")</f>
        <v>cycles</v>
      </c>
      <c r="B15" s="52">
        <f ca="1">COUNTIF(cycles!$A:$BZ,"PASS")</f>
        <v>2</v>
      </c>
      <c r="C15" s="54">
        <f ca="1">COUNTIF(cycles!$A:$BZ,"FAIL")</f>
        <v>0</v>
      </c>
      <c r="D15" s="46">
        <f t="shared" ca="1" si="0"/>
        <v>2</v>
      </c>
      <c r="E15" s="46" t="str">
        <f t="shared" ca="1" si="1"/>
        <v>all pass</v>
      </c>
    </row>
    <row r="16" spans="1:5" x14ac:dyDescent="0.5">
      <c r="A16" s="77" t="str">
        <f>HYPERLINK("#'die_pips'!A1","die_pips")</f>
        <v>die_pips</v>
      </c>
      <c r="B16" s="52">
        <f ca="1">COUNTIF(die_pips!$A:$BZ,"PASS")</f>
        <v>5</v>
      </c>
      <c r="C16" s="54">
        <f ca="1">COUNTIF(die_pips!$A:$BZ,"FAIL")</f>
        <v>0</v>
      </c>
      <c r="D16" s="46">
        <f t="shared" ca="1" si="0"/>
        <v>5</v>
      </c>
      <c r="E16" s="46" t="str">
        <f t="shared" ca="1" si="1"/>
        <v>all pass</v>
      </c>
    </row>
    <row r="17" spans="1:5" x14ac:dyDescent="0.5">
      <c r="A17" s="77" t="str">
        <f>HYPERLINK("#'dist'!A1","dist")</f>
        <v>dist</v>
      </c>
      <c r="B17" s="52">
        <f ca="1">COUNTIF(dist!$A:$BZ,"PASS")</f>
        <v>7</v>
      </c>
      <c r="C17" s="54">
        <f ca="1">COUNTIF(dist!$A:$BZ,"FAIL")</f>
        <v>0</v>
      </c>
      <c r="D17" s="46">
        <f t="shared" ca="1" si="0"/>
        <v>7</v>
      </c>
      <c r="E17" s="46" t="str">
        <f t="shared" ca="1" si="1"/>
        <v>all pass</v>
      </c>
    </row>
    <row r="18" spans="1:5" x14ac:dyDescent="0.5">
      <c r="A18" s="77" t="str">
        <f>HYPERLINK("#'exists'!A1","exists")</f>
        <v>exists</v>
      </c>
      <c r="B18" s="52">
        <f ca="1">COUNTIF(exists!$A:$BZ,"PASS")</f>
        <v>4</v>
      </c>
      <c r="C18" s="54">
        <f ca="1">COUNTIF(exists!$A:$BZ,"FAIL")</f>
        <v>0</v>
      </c>
      <c r="D18" s="46">
        <f t="shared" ca="1" si="0"/>
        <v>4</v>
      </c>
      <c r="E18" s="46" t="str">
        <f t="shared" ca="1" si="1"/>
        <v>all pass</v>
      </c>
    </row>
    <row r="19" spans="1:5" x14ac:dyDescent="0.5">
      <c r="A19" s="77" t="str">
        <f>HYPERLINK("#'expand_rng'!A1","expand_rng")</f>
        <v>expand_rng</v>
      </c>
      <c r="B19" s="52">
        <f ca="1">COUNTIF(expand_rng!$A:$BZ,"PASS")</f>
        <v>7</v>
      </c>
      <c r="C19" s="54">
        <f ca="1">COUNTIF(expand_rng!$A:$BZ,"FAIL")</f>
        <v>0</v>
      </c>
      <c r="D19" s="46">
        <f t="shared" ca="1" si="0"/>
        <v>7</v>
      </c>
      <c r="E19" s="46" t="str">
        <f t="shared" ca="1" si="1"/>
        <v>all pass</v>
      </c>
    </row>
    <row r="20" spans="1:5" x14ac:dyDescent="0.5">
      <c r="A20" s="77" t="str">
        <f>HYPERLINK("#'freq_table'!A1","freq_table")</f>
        <v>freq_table</v>
      </c>
      <c r="B20" s="52">
        <f ca="1">COUNTIF(freq_table!$A:$BZ,"PASS")</f>
        <v>5</v>
      </c>
      <c r="C20" s="54">
        <f ca="1">COUNTIF(freq_table!$A:$BZ,"FAIL")</f>
        <v>0</v>
      </c>
      <c r="D20" s="46">
        <f t="shared" ca="1" si="0"/>
        <v>5</v>
      </c>
      <c r="E20" s="46" t="str">
        <f t="shared" ca="1" si="1"/>
        <v>all pass</v>
      </c>
    </row>
    <row r="21" spans="1:5" x14ac:dyDescent="0.5">
      <c r="A21" s="77" t="str">
        <f>HYPERLINK("#'is_unique'!A1","is_unique")</f>
        <v>is_unique</v>
      </c>
      <c r="B21" s="52">
        <f ca="1">COUNTIF(is_unique!$A:$BZ,"PASS")</f>
        <v>4</v>
      </c>
      <c r="C21" s="54">
        <f ca="1">COUNTIF(is_unique!$A:$BZ,"FAIL")</f>
        <v>0</v>
      </c>
      <c r="D21" s="46">
        <f t="shared" ca="1" si="0"/>
        <v>4</v>
      </c>
      <c r="E21" s="46" t="str">
        <f t="shared" ca="1" si="1"/>
        <v>all pass</v>
      </c>
    </row>
    <row r="22" spans="1:5" x14ac:dyDescent="0.5">
      <c r="A22" s="77" t="str">
        <f>HYPERLINK("#'knight_moves'!A1","knight_moves")</f>
        <v>knight_moves</v>
      </c>
      <c r="B22" s="52">
        <f ca="1">COUNTIF(knight_moves!$A:$BZ,"PASS")</f>
        <v>7</v>
      </c>
      <c r="C22" s="54">
        <f ca="1">COUNTIF(knight_moves!$A:$BZ,"FAIL")</f>
        <v>0</v>
      </c>
      <c r="D22" s="46">
        <f t="shared" ca="1" si="0"/>
        <v>7</v>
      </c>
      <c r="E22" s="46" t="str">
        <f t="shared" ca="1" si="1"/>
        <v>all pass</v>
      </c>
    </row>
    <row r="23" spans="1:5" x14ac:dyDescent="0.5">
      <c r="A23" s="77" t="str">
        <f>HYPERLINK("#'label_lookup'!A1","label_lookup")</f>
        <v>label_lookup</v>
      </c>
      <c r="B23" s="52">
        <f ca="1">COUNTIF(label_lookup!$A:$BZ,"PASS")</f>
        <v>4</v>
      </c>
      <c r="C23" s="54">
        <f ca="1">COUNTIF(label_lookup!$A:$BZ,"FAIL")</f>
        <v>0</v>
      </c>
      <c r="D23" s="46">
        <f t="shared" ca="1" si="0"/>
        <v>4</v>
      </c>
      <c r="E23" s="46" t="str">
        <f t="shared" ca="1" si="1"/>
        <v>all pass</v>
      </c>
    </row>
    <row r="24" spans="1:5" x14ac:dyDescent="0.5">
      <c r="A24" s="77" t="str">
        <f>HYPERLINK("#'load_array'!A1","load_array")</f>
        <v>load_array</v>
      </c>
      <c r="B24" s="52">
        <f ca="1">COUNTIF(load_array!$A:$BZ,"PASS")</f>
        <v>3</v>
      </c>
      <c r="C24" s="54">
        <f ca="1">COUNTIF(load_array!$A:$BZ,"FAIL")</f>
        <v>0</v>
      </c>
      <c r="D24" s="46">
        <f t="shared" ca="1" si="0"/>
        <v>3</v>
      </c>
      <c r="E24" s="46" t="str">
        <f t="shared" ca="1" si="1"/>
        <v>all pass</v>
      </c>
    </row>
    <row r="25" spans="1:5" x14ac:dyDescent="0.5">
      <c r="A25" s="77" t="str">
        <f>HYPERLINK("#'neighbors_count'!A1","neighbors_count")</f>
        <v>neighbors_count</v>
      </c>
      <c r="B25" s="52">
        <f ca="1">COUNTIF(neighbors_count!$A:$BZ,"PASS")</f>
        <v>3</v>
      </c>
      <c r="C25" s="54">
        <f ca="1">COUNTIF(neighbors_count!$A:$BZ,"FAIL")</f>
        <v>0</v>
      </c>
      <c r="D25" s="46">
        <f t="shared" ca="1" si="0"/>
        <v>3</v>
      </c>
      <c r="E25" s="46" t="str">
        <f t="shared" ca="1" si="1"/>
        <v>all pass</v>
      </c>
    </row>
    <row r="26" spans="1:5" x14ac:dyDescent="0.5">
      <c r="A26" s="77" t="str">
        <f>HYPERLINK("#'neighbors_list'!A1","neighbors_list")</f>
        <v>neighbors_list</v>
      </c>
      <c r="B26" s="52">
        <f ca="1">COUNTIF(neighbors_list!$A:$BZ,"PASS")</f>
        <v>5</v>
      </c>
      <c r="C26" s="54">
        <f ca="1">COUNTIF(neighbors_list!$A:$BZ,"FAIL")</f>
        <v>0</v>
      </c>
      <c r="D26" s="46">
        <f t="shared" ca="1" si="0"/>
        <v>5</v>
      </c>
      <c r="E26" s="46" t="str">
        <f t="shared" ca="1" si="1"/>
        <v>all pass</v>
      </c>
    </row>
    <row r="27" spans="1:5" x14ac:dyDescent="0.5">
      <c r="A27" s="77" t="str">
        <f>HYPERLINK("#'num_ad'!A1","num_ad")</f>
        <v>num_ad</v>
      </c>
      <c r="B27" s="52">
        <f ca="1">COUNTIF(num_ad!$A:$BZ,"PASS")</f>
        <v>8</v>
      </c>
      <c r="C27" s="54">
        <f ca="1">COUNTIF(num_ad!$A:$BZ,"FAIL")</f>
        <v>0</v>
      </c>
      <c r="D27" s="46">
        <f t="shared" ca="1" si="0"/>
        <v>8</v>
      </c>
      <c r="E27" s="46" t="str">
        <f t="shared" ca="1" si="1"/>
        <v>all pass</v>
      </c>
    </row>
    <row r="28" spans="1:5" x14ac:dyDescent="0.5">
      <c r="A28" s="77" t="str">
        <f>HYPERLINK("#'offset_letter'!A1","offset_letter")</f>
        <v>offset_letter</v>
      </c>
      <c r="B28" s="52">
        <f ca="1">COUNTIF(offset_letter!$A:$BZ,"PASS")</f>
        <v>6</v>
      </c>
      <c r="C28" s="54">
        <f ca="1">COUNTIF(offset_letter!$A:$BZ,"FAIL")</f>
        <v>0</v>
      </c>
      <c r="D28" s="46">
        <f t="shared" ca="1" si="0"/>
        <v>6</v>
      </c>
      <c r="E28" s="46" t="str">
        <f t="shared" ca="1" si="1"/>
        <v>all pass</v>
      </c>
    </row>
    <row r="29" spans="1:5" x14ac:dyDescent="0.5">
      <c r="A29" s="77" t="str">
        <f>HYPERLINK("#'only_letters'!A1","only_letters")</f>
        <v>only_letters</v>
      </c>
      <c r="B29" s="52">
        <f ca="1">COUNTIF(only_letters!$A:$BZ,"PASS")</f>
        <v>5</v>
      </c>
      <c r="C29" s="54">
        <f ca="1">COUNTIF(only_letters!$A:$BZ,"FAIL")</f>
        <v>0</v>
      </c>
      <c r="D29" s="46">
        <f t="shared" ca="1" si="0"/>
        <v>5</v>
      </c>
      <c r="E29" s="46" t="str">
        <f t="shared" ca="1" si="1"/>
        <v>all pass</v>
      </c>
    </row>
    <row r="30" spans="1:5" x14ac:dyDescent="0.5">
      <c r="A30" s="77" t="str">
        <f>HYPERLINK("#'only_numbers'!A1","only_numbers")</f>
        <v>only_numbers</v>
      </c>
      <c r="B30" s="52">
        <f ca="1">COUNTIF(only_numbers!$A:$BZ,"PASS")</f>
        <v>5</v>
      </c>
      <c r="C30" s="54">
        <f ca="1">COUNTIF(only_numbers!$A:$BZ,"FAIL")</f>
        <v>0</v>
      </c>
      <c r="D30" s="46">
        <f t="shared" ca="1" si="0"/>
        <v>5</v>
      </c>
      <c r="E30" s="46" t="str">
        <f t="shared" ca="1" si="1"/>
        <v>all pass</v>
      </c>
    </row>
    <row r="31" spans="1:5" x14ac:dyDescent="0.5">
      <c r="A31" s="77" t="str">
        <f>HYPERLINK("#'rc_to_ad'!A1","rc_to_ad")</f>
        <v>rc_to_ad</v>
      </c>
      <c r="B31" s="52">
        <f ca="1">COUNTIF(rc_to_ad!$A:$BZ,"PASS")</f>
        <v>7</v>
      </c>
      <c r="C31" s="54">
        <f ca="1">COUNTIF(rc_to_ad!$A:$BZ,"FAIL")</f>
        <v>0</v>
      </c>
      <c r="D31" s="46">
        <f t="shared" ca="1" si="0"/>
        <v>7</v>
      </c>
      <c r="E31" s="46" t="str">
        <f t="shared" ca="1" si="1"/>
        <v>all pass</v>
      </c>
    </row>
    <row r="32" spans="1:5" x14ac:dyDescent="0.5">
      <c r="A32" s="77" t="str">
        <f>HYPERLINK("#'rev'!A1","rev")</f>
        <v>rev</v>
      </c>
      <c r="B32" s="52">
        <f ca="1">COUNTIF(rev!$A:$BZ,"PASS")</f>
        <v>3</v>
      </c>
      <c r="C32" s="54">
        <f ca="1">COUNTIF(rev!$A:$BZ,"FAIL")</f>
        <v>0</v>
      </c>
      <c r="D32" s="46">
        <f t="shared" ca="1" si="0"/>
        <v>3</v>
      </c>
      <c r="E32" s="46" t="str">
        <f t="shared" ca="1" si="1"/>
        <v>all pass</v>
      </c>
    </row>
    <row r="33" spans="1:5" x14ac:dyDescent="0.5">
      <c r="A33" s="77" t="str">
        <f>HYPERLINK("#'rotate_arrow'!A1","rotate_arrow")</f>
        <v>rotate_arrow</v>
      </c>
      <c r="B33" s="52">
        <f ca="1">COUNTIF(rotate_arrow!$A:$BZ,"PASS")</f>
        <v>6</v>
      </c>
      <c r="C33" s="54">
        <f ca="1">COUNTIF(rotate_arrow!$A:$BZ,"FAIL")</f>
        <v>0</v>
      </c>
      <c r="D33" s="46">
        <f t="shared" ca="1" si="0"/>
        <v>6</v>
      </c>
      <c r="E33" s="46" t="str">
        <f t="shared" ca="1" si="1"/>
        <v>all pass</v>
      </c>
    </row>
    <row r="34" spans="1:5" x14ac:dyDescent="0.5">
      <c r="A34" s="77" t="str">
        <f>HYPERLINK("#'route_cost'!A1","route_cost")</f>
        <v>route_cost</v>
      </c>
      <c r="B34" s="52">
        <f ca="1">COUNTIF(route_cost!$A:$BZ,"PASS")</f>
        <v>5</v>
      </c>
      <c r="C34" s="54">
        <f ca="1">COUNTIF(route_cost!$A:$BZ,"FAIL")</f>
        <v>0</v>
      </c>
      <c r="D34" s="46">
        <f t="shared" ca="1" si="0"/>
        <v>5</v>
      </c>
      <c r="E34" s="46" t="str">
        <f t="shared" ca="1" si="1"/>
        <v>all pass</v>
      </c>
    </row>
    <row r="35" spans="1:5" x14ac:dyDescent="0.5">
      <c r="A35" s="77" t="str">
        <f>HYPERLINK("#'save_array'!A1","save_array")</f>
        <v>save_array</v>
      </c>
      <c r="B35" s="52">
        <f ca="1">COUNTIF(save_array!$A:$BZ,"PASS")</f>
        <v>3</v>
      </c>
      <c r="C35" s="54">
        <f ca="1">COUNTIF(save_array!$A:$BZ,"FAIL")</f>
        <v>0</v>
      </c>
      <c r="D35" s="46">
        <f t="shared" ca="1" si="0"/>
        <v>3</v>
      </c>
      <c r="E35" s="46" t="str">
        <f t="shared" ca="1" si="1"/>
        <v>all pass</v>
      </c>
    </row>
    <row r="36" spans="1:5" x14ac:dyDescent="0.5">
      <c r="A36" s="77" t="str">
        <f>HYPERLINK("#'selections'!A1","selections")</f>
        <v>selections</v>
      </c>
      <c r="B36" s="52">
        <f ca="1">COUNTIF(selections!$A:$BZ,"PASS")</f>
        <v>4</v>
      </c>
      <c r="C36" s="54">
        <f ca="1">COUNTIF(selections!$A:$BZ,"FAIL")</f>
        <v>0</v>
      </c>
      <c r="D36" s="46">
        <f t="shared" ca="1" si="0"/>
        <v>4</v>
      </c>
      <c r="E36" s="46" t="str">
        <f t="shared" ca="1" si="1"/>
        <v>all pass</v>
      </c>
    </row>
    <row r="37" spans="1:5" x14ac:dyDescent="0.5">
      <c r="A37" s="77" t="str">
        <f>HYPERLINK("#'set'!A1","set")</f>
        <v>set</v>
      </c>
      <c r="B37" s="52">
        <f ca="1">COUNTIF(set!$A:$BZ,"PASS")</f>
        <v>4</v>
      </c>
      <c r="C37" s="54">
        <f ca="1">COUNTIF(set!$A:$BZ,"FAIL")</f>
        <v>0</v>
      </c>
      <c r="D37" s="46">
        <f t="shared" ref="D37:D68" ca="1" si="2">B37+C37</f>
        <v>4</v>
      </c>
      <c r="E37" s="46" t="str">
        <f t="shared" ref="E37:E68" ca="1" si="3">IF(C37&gt;0,"FAIL ("&amp;C37&amp;")",IF(D37=0,"-","all pass"))</f>
        <v>all pass</v>
      </c>
    </row>
    <row r="38" spans="1:5" x14ac:dyDescent="0.5">
      <c r="A38" s="77" t="str">
        <f>HYPERLINK("#'set_d'!A1","set_d")</f>
        <v>set_d</v>
      </c>
      <c r="B38" s="52">
        <f ca="1">COUNTIF(set_d!$A:$BZ,"PASS")</f>
        <v>2</v>
      </c>
      <c r="C38" s="54">
        <f ca="1">COUNTIF(set_d!$A:$BZ,"FAIL")</f>
        <v>0</v>
      </c>
      <c r="D38" s="46">
        <f t="shared" ca="1" si="2"/>
        <v>2</v>
      </c>
      <c r="E38" s="46" t="str">
        <f t="shared" ca="1" si="3"/>
        <v>all pass</v>
      </c>
    </row>
    <row r="39" spans="1:5" x14ac:dyDescent="0.5">
      <c r="A39" s="77" t="str">
        <f>HYPERLINK("#'set_i'!A1","set_i")</f>
        <v>set_i</v>
      </c>
      <c r="B39" s="52">
        <f ca="1">COUNTIF(set_i!$A:$BZ,"PASS")</f>
        <v>3</v>
      </c>
      <c r="C39" s="54">
        <f ca="1">COUNTIF(set_i!$A:$BZ,"FAIL")</f>
        <v>0</v>
      </c>
      <c r="D39" s="46">
        <f t="shared" ca="1" si="2"/>
        <v>3</v>
      </c>
      <c r="E39" s="46" t="str">
        <f t="shared" ca="1" si="3"/>
        <v>all pass</v>
      </c>
    </row>
    <row r="40" spans="1:5" x14ac:dyDescent="0.5">
      <c r="A40" s="77" t="str">
        <f>HYPERLINK("#'set_u'!A1","set_u")</f>
        <v>set_u</v>
      </c>
      <c r="B40" s="52">
        <f ca="1">COUNTIF(set_u!$A:$BZ,"PASS")</f>
        <v>3</v>
      </c>
      <c r="C40" s="54">
        <f ca="1">COUNTIF(set_u!$A:$BZ,"FAIL")</f>
        <v>0</v>
      </c>
      <c r="D40" s="46">
        <f t="shared" ca="1" si="2"/>
        <v>3</v>
      </c>
      <c r="E40" s="46" t="str">
        <f t="shared" ca="1" si="3"/>
        <v>all pass</v>
      </c>
    </row>
    <row r="41" spans="1:5" x14ac:dyDescent="0.5">
      <c r="A41" s="77" t="str">
        <f>HYPERLINK("#'shift_arr'!A1","shift_arr")</f>
        <v>shift_arr</v>
      </c>
      <c r="B41" s="52">
        <f ca="1">COUNTIF(shift_arr!$A:$BZ,"PASS")</f>
        <v>5</v>
      </c>
      <c r="C41" s="54">
        <f ca="1">COUNTIF(shift_arr!$A:$BZ,"FAIL")</f>
        <v>0</v>
      </c>
      <c r="D41" s="46">
        <f t="shared" ca="1" si="2"/>
        <v>5</v>
      </c>
      <c r="E41" s="46" t="str">
        <f t="shared" ca="1" si="3"/>
        <v>all pass</v>
      </c>
    </row>
    <row r="42" spans="1:5" x14ac:dyDescent="0.5">
      <c r="A42" s="77" t="str">
        <f>HYPERLINK("#'smallest'!A1","smallest")</f>
        <v>smallest</v>
      </c>
      <c r="B42" s="52">
        <f ca="1">COUNTIF(smallest!$A:$BZ,"PASS")</f>
        <v>3</v>
      </c>
      <c r="C42" s="54">
        <f ca="1">COUNTIF(smallest!$A:$BZ,"FAIL")</f>
        <v>0</v>
      </c>
      <c r="D42" s="46">
        <f t="shared" ca="1" si="2"/>
        <v>3</v>
      </c>
      <c r="E42" s="46" t="str">
        <f t="shared" ca="1" si="3"/>
        <v>all pass</v>
      </c>
    </row>
    <row r="43" spans="1:5" x14ac:dyDescent="0.5">
      <c r="A43" s="77" t="str">
        <f>HYPERLINK("#'str_ad'!A1","str_ad")</f>
        <v>str_ad</v>
      </c>
      <c r="B43" s="52">
        <f ca="1">COUNTIF(str_ad!$A:$BZ,"PASS")</f>
        <v>7</v>
      </c>
      <c r="C43" s="54">
        <f ca="1">COUNTIF(str_ad!$A:$BZ,"FAIL")</f>
        <v>0</v>
      </c>
      <c r="D43" s="46">
        <f t="shared" ca="1" si="2"/>
        <v>7</v>
      </c>
      <c r="E43" s="46" t="str">
        <f t="shared" ca="1" si="3"/>
        <v>all pass</v>
      </c>
    </row>
    <row r="44" spans="1:5" x14ac:dyDescent="0.5">
      <c r="A44" s="77" t="str">
        <f>HYPERLINK("#'str_rev'!A1","str_rev")</f>
        <v>str_rev</v>
      </c>
      <c r="B44" s="52">
        <f ca="1">COUNTIF(str_rev!$A:$BZ,"PASS")</f>
        <v>4</v>
      </c>
      <c r="C44" s="54">
        <f ca="1">COUNTIF(str_rev!$A:$BZ,"FAIL")</f>
        <v>0</v>
      </c>
      <c r="D44" s="46">
        <f t="shared" ca="1" si="2"/>
        <v>4</v>
      </c>
      <c r="E44" s="46" t="str">
        <f t="shared" ca="1" si="3"/>
        <v>all pass</v>
      </c>
    </row>
    <row r="45" spans="1:5" x14ac:dyDescent="0.5">
      <c r="A45" s="77" t="str">
        <f>HYPERLINK("#'str_to_arr'!A1","str_to_arr")</f>
        <v>str_to_arr</v>
      </c>
      <c r="B45" s="52">
        <f ca="1">COUNTIF(str_to_arr!$A:$BZ,"PASS")</f>
        <v>3</v>
      </c>
      <c r="C45" s="54">
        <f ca="1">COUNTIF(str_to_arr!$A:$BZ,"FAIL")</f>
        <v>0</v>
      </c>
      <c r="D45" s="46">
        <f t="shared" ca="1" si="2"/>
        <v>3</v>
      </c>
      <c r="E45" s="46" t="str">
        <f t="shared" ca="1" si="3"/>
        <v>all pass</v>
      </c>
    </row>
    <row r="46" spans="1:5" x14ac:dyDescent="0.5">
      <c r="A46" s="77" t="str">
        <f>HYPERLINK("#'textbetween'!A1","textbetween")</f>
        <v>textbetween</v>
      </c>
      <c r="B46" s="52">
        <f ca="1">COUNTIF(textbetween!$A:$BZ,"PASS")</f>
        <v>5</v>
      </c>
      <c r="C46" s="54">
        <f ca="1">COUNTIF(textbetween!$A:$BZ,"FAIL")</f>
        <v>0</v>
      </c>
      <c r="D46" s="46">
        <f t="shared" ca="1" si="2"/>
        <v>5</v>
      </c>
      <c r="E46" s="46" t="str">
        <f t="shared" ca="1" si="3"/>
        <v>all pass</v>
      </c>
    </row>
    <row r="47" spans="1:5" x14ac:dyDescent="0.5">
      <c r="A47" s="77" t="str">
        <f>HYPERLINK("#'transform_array'!A1","transform_array")</f>
        <v>transform_array</v>
      </c>
      <c r="B47" s="52">
        <f ca="1">COUNTIF(transform_array!$A:$BZ,"PASS")</f>
        <v>7</v>
      </c>
      <c r="C47" s="54">
        <f ca="1">COUNTIF(transform_array!$A:$BZ,"FAIL")</f>
        <v>0</v>
      </c>
      <c r="D47" s="46">
        <f t="shared" ca="1" si="2"/>
        <v>7</v>
      </c>
      <c r="E47" s="46" t="str">
        <f t="shared" ca="1" si="3"/>
        <v>all pass</v>
      </c>
    </row>
    <row r="48" spans="1:5" x14ac:dyDescent="0.5">
      <c r="A48" s="77" t="str">
        <f>HYPERLINK("#'update_arr'!A1","update_arr")</f>
        <v>update_arr</v>
      </c>
      <c r="B48" s="52">
        <f ca="1">COUNTIF(update_arr!$A:$BZ,"PASS")</f>
        <v>2</v>
      </c>
      <c r="C48" s="54">
        <f ca="1">COUNTIF(update_arr!$A:$BZ,"FAIL")</f>
        <v>0</v>
      </c>
      <c r="D48" s="46">
        <f t="shared" ca="1" si="2"/>
        <v>2</v>
      </c>
      <c r="E48" s="46" t="str">
        <f t="shared" ca="1" si="3"/>
        <v>all pass</v>
      </c>
    </row>
    <row r="49" spans="1:5" x14ac:dyDescent="0.5">
      <c r="A49" s="77" t="str">
        <f>HYPERLINK("#'xbyrow'!A1","xbyrow")</f>
        <v>xbyrow</v>
      </c>
      <c r="B49" s="52">
        <f ca="1">COUNTIF(xbyrow!$A:$BZ,"PASS")</f>
        <v>3</v>
      </c>
      <c r="C49" s="54">
        <f ca="1">COUNTIF(xbyrow!$A:$BZ,"FAIL")</f>
        <v>0</v>
      </c>
      <c r="D49" s="46">
        <f t="shared" ca="1" si="2"/>
        <v>3</v>
      </c>
      <c r="E49" s="46" t="str">
        <f t="shared" ca="1" si="3"/>
        <v>all pass</v>
      </c>
    </row>
    <row r="50" spans="1:5" x14ac:dyDescent="0.5">
      <c r="A50" s="77" t="str">
        <f>HYPERLINK("#'xcountif'!A1","xcountif")</f>
        <v>xcountif</v>
      </c>
      <c r="B50" s="52">
        <f ca="1">COUNTIF(xcountif!$A:$BZ,"PASS")</f>
        <v>5</v>
      </c>
      <c r="C50" s="54">
        <f ca="1">COUNTIF(xcountif!$A:$BZ,"FAIL")</f>
        <v>0</v>
      </c>
      <c r="D50" s="46">
        <f t="shared" ca="1" si="2"/>
        <v>5</v>
      </c>
      <c r="E50" s="46" t="str">
        <f t="shared" ca="1" si="3"/>
        <v>all pass</v>
      </c>
    </row>
    <row r="51" spans="1:5" x14ac:dyDescent="0.5">
      <c r="A51" s="77" t="str">
        <f>HYPERLINK("#'xdec2bin'!A1","xdec2bin")</f>
        <v>xdec2bin</v>
      </c>
      <c r="B51" s="52">
        <f ca="1">COUNTIF(xdec2bin!$A:$BZ,"PASS")</f>
        <v>6</v>
      </c>
      <c r="C51" s="54">
        <f ca="1">COUNTIF(xdec2bin!$A:$BZ,"FAIL")</f>
        <v>0</v>
      </c>
      <c r="D51" s="46">
        <f t="shared" ca="1" si="2"/>
        <v>6</v>
      </c>
      <c r="E51" s="46" t="str">
        <f t="shared" ca="1" si="3"/>
        <v>all pass</v>
      </c>
    </row>
    <row r="52" spans="1:5" x14ac:dyDescent="0.5">
      <c r="A52" s="77" t="str">
        <f>HYPERLINK("#'xfilter'!A1","xfilter")</f>
        <v>xfilter</v>
      </c>
      <c r="B52" s="52">
        <f ca="1">COUNTIF(xfilter!$A:$BZ,"PASS")</f>
        <v>6</v>
      </c>
      <c r="C52" s="54">
        <f ca="1">COUNTIF(xfilter!$A:$BZ,"FAIL")</f>
        <v>0</v>
      </c>
      <c r="D52" s="46">
        <f t="shared" ca="1" si="2"/>
        <v>6</v>
      </c>
      <c r="E52" s="46" t="str">
        <f t="shared" ca="1" si="3"/>
        <v>all pass</v>
      </c>
    </row>
    <row r="53" spans="1:5" x14ac:dyDescent="0.5">
      <c r="A53" s="77" t="str">
        <f>HYPERLINK("#'xmod'!A1","xmod")</f>
        <v>xmod</v>
      </c>
      <c r="B53" s="52">
        <f ca="1">COUNTIF(xmod!$A:$BZ,"PASS")</f>
        <v>6</v>
      </c>
      <c r="C53" s="54">
        <f ca="1">COUNTIF(xmod!$A:$BZ,"FAIL")</f>
        <v>0</v>
      </c>
      <c r="D53" s="46">
        <f t="shared" ca="1" si="2"/>
        <v>6</v>
      </c>
      <c r="E53" s="46" t="str">
        <f t="shared" ca="1" si="3"/>
        <v>all pass</v>
      </c>
    </row>
    <row r="54" spans="1:5" x14ac:dyDescent="0.5">
      <c r="A54" s="77" t="str">
        <f>HYPERLINK("#'xn'!A1","xn")</f>
        <v>xn</v>
      </c>
      <c r="B54" s="52">
        <f ca="1">COUNTIF(xn!$A:$BZ,"PASS")</f>
        <v>5</v>
      </c>
      <c r="C54" s="54">
        <f ca="1">COUNTIF(xn!$A:$BZ,"FAIL")</f>
        <v>0</v>
      </c>
      <c r="D54" s="46">
        <f t="shared" ca="1" si="2"/>
        <v>5</v>
      </c>
      <c r="E54" s="46" t="str">
        <f t="shared" ca="1" si="3"/>
        <v>all pass</v>
      </c>
    </row>
    <row r="55" spans="1:5" x14ac:dyDescent="0.5">
      <c r="A55" s="77" t="str">
        <f>HYPERLINK("#'xrank'!A1","xrank")</f>
        <v>xrank</v>
      </c>
      <c r="B55" s="52">
        <f ca="1">COUNTIF(xrank!$A:$BZ,"PASS")</f>
        <v>6</v>
      </c>
      <c r="C55" s="54">
        <f ca="1">COUNTIF(xrank!$A:$BZ,"FAIL")</f>
        <v>0</v>
      </c>
      <c r="D55" s="46">
        <f t="shared" ca="1" si="2"/>
        <v>6</v>
      </c>
      <c r="E55" s="46" t="str">
        <f t="shared" ca="1" si="3"/>
        <v>all pass</v>
      </c>
    </row>
    <row r="56" spans="1:5" x14ac:dyDescent="0.5">
      <c r="A56" s="77" t="str">
        <f>HYPERLINK("#'xsequence'!A1","xsequence")</f>
        <v>xsequence</v>
      </c>
      <c r="B56" s="52">
        <f ca="1">COUNTIF(xsequence!$A:$BZ,"PASS")</f>
        <v>6</v>
      </c>
      <c r="C56" s="54">
        <f ca="1">COUNTIF(xsequence!$A:$BZ,"FAIL")</f>
        <v>0</v>
      </c>
      <c r="D56" s="46">
        <f t="shared" ca="1" si="2"/>
        <v>6</v>
      </c>
      <c r="E56" s="46" t="str">
        <f t="shared" ca="1" si="3"/>
        <v>all pass</v>
      </c>
    </row>
    <row r="57" spans="1:5" x14ac:dyDescent="0.5">
      <c r="A57" s="77" t="str">
        <f>HYPERLINK("#'xtextsplit'!A1","xtextsplit")</f>
        <v>xtextsplit</v>
      </c>
      <c r="B57" s="52">
        <f ca="1">COUNTIF(xtextsplit!$A:$BZ,"PASS")</f>
        <v>5</v>
      </c>
      <c r="C57" s="54">
        <f ca="1">COUNTIF(xtextsplit!$A:$BZ,"FAIL")</f>
        <v>0</v>
      </c>
      <c r="D57" s="46">
        <f t="shared" ca="1" si="2"/>
        <v>5</v>
      </c>
      <c r="E57" s="46" t="str">
        <f t="shared" ca="1" si="3"/>
        <v>all pass</v>
      </c>
    </row>
    <row r="58" spans="1:5" x14ac:dyDescent="0.5">
      <c r="A58" s="77" t="str">
        <f>HYPERLINK("#'xtocol'!A1","xtocol")</f>
        <v>xtocol</v>
      </c>
      <c r="B58" s="48">
        <f ca="1">COUNTIF(xtocol!$A:$BZ,"PASS")</f>
        <v>5</v>
      </c>
      <c r="C58" s="50">
        <f ca="1">COUNTIF(xtocol!$A:$BZ,"FAIL")</f>
        <v>0</v>
      </c>
      <c r="D58" s="45">
        <f t="shared" ca="1" si="2"/>
        <v>5</v>
      </c>
      <c r="E58" s="45" t="str">
        <f t="shared" ca="1" si="3"/>
        <v>all pass</v>
      </c>
    </row>
    <row r="59" spans="1:5" x14ac:dyDescent="0.5">
      <c r="A59" t="s">
        <v>2918</v>
      </c>
      <c r="B59" s="48">
        <f ca="1">SUM(B5:B58)</f>
        <v>264</v>
      </c>
      <c r="C59" s="50">
        <f ca="1">SUM(C5:C58)</f>
        <v>0</v>
      </c>
      <c r="D59" s="45">
        <f ca="1">SUM(D5:D58)</f>
        <v>264</v>
      </c>
      <c r="E59" s="45" t="str">
        <f ca="1">IF(C59&gt;0,C59&amp;" FAILING","ALL PASS")</f>
        <v>ALL PASS</v>
      </c>
    </row>
    <row r="60" spans="1:5" x14ac:dyDescent="0.5">
      <c r="B60" s="48"/>
      <c r="C60" s="50"/>
      <c r="D60" s="45"/>
      <c r="E60" s="45"/>
    </row>
    <row r="61" spans="1:5" x14ac:dyDescent="0.5">
      <c r="B61" s="48"/>
      <c r="C61" s="50"/>
      <c r="D61" s="45"/>
      <c r="E61" s="45"/>
    </row>
    <row r="62" spans="1:5" x14ac:dyDescent="0.5">
      <c r="B62" s="48"/>
      <c r="C62" s="50"/>
      <c r="D62" s="45"/>
      <c r="E62" s="45"/>
    </row>
    <row r="63" spans="1:5" x14ac:dyDescent="0.5">
      <c r="B63" s="48"/>
      <c r="C63" s="50"/>
      <c r="D63" s="45"/>
      <c r="E63" s="45"/>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6BB92-814E-45F6-A0D7-F057A6E258F7}">
  <sheetPr codeName="Sheet107"/>
  <dimension ref="A1:F83"/>
  <sheetViews>
    <sheetView workbookViewId="0">
      <selection activeCell="C39" sqref="C39"/>
    </sheetView>
  </sheetViews>
  <sheetFormatPr defaultRowHeight="21" x14ac:dyDescent="0.5"/>
  <cols>
    <col min="1" max="1" width="12.8125" bestFit="1" customWidth="1"/>
    <col min="2" max="2" width="22.125" bestFit="1" customWidth="1"/>
    <col min="3" max="3" width="50.3125" bestFit="1" customWidth="1"/>
    <col min="4" max="5" width="65.3125" style="56" bestFit="1" customWidth="1"/>
    <col min="6" max="6" width="6.125" bestFit="1" customWidth="1"/>
  </cols>
  <sheetData>
    <row r="1" spans="1:6" x14ac:dyDescent="0.5">
      <c r="A1" s="15" t="s">
        <v>3325</v>
      </c>
    </row>
    <row r="2" spans="1:6" x14ac:dyDescent="0.5">
      <c r="A2" t="s">
        <v>3593</v>
      </c>
    </row>
    <row r="4" spans="1:6" x14ac:dyDescent="0.5">
      <c r="A4" s="15" t="s">
        <v>7</v>
      </c>
      <c r="B4" s="15" t="s">
        <v>3326</v>
      </c>
      <c r="C4" s="15" t="s">
        <v>8</v>
      </c>
      <c r="D4" s="57" t="s">
        <v>10</v>
      </c>
      <c r="E4" s="57" t="s">
        <v>11</v>
      </c>
      <c r="F4" s="15" t="s">
        <v>3327</v>
      </c>
    </row>
    <row r="5" spans="1:6" x14ac:dyDescent="0.5">
      <c r="A5">
        <v>1</v>
      </c>
      <c r="B5" t="s">
        <v>3328</v>
      </c>
      <c r="C5" t="s">
        <v>3329</v>
      </c>
      <c r="D5" s="56" t="s">
        <v>3330</v>
      </c>
      <c r="E5" s="56" t="s">
        <v>3330</v>
      </c>
      <c r="F5" s="58" t="s">
        <v>3331</v>
      </c>
    </row>
    <row r="6" spans="1:6" x14ac:dyDescent="0.5">
      <c r="A6">
        <v>2</v>
      </c>
      <c r="B6" t="s">
        <v>3328</v>
      </c>
      <c r="C6" t="s">
        <v>3332</v>
      </c>
      <c r="D6" s="56" t="s">
        <v>3333</v>
      </c>
      <c r="E6" s="56" t="s">
        <v>3333</v>
      </c>
      <c r="F6" s="58" t="s">
        <v>3331</v>
      </c>
    </row>
    <row r="7" spans="1:6" x14ac:dyDescent="0.5">
      <c r="A7">
        <v>3</v>
      </c>
      <c r="B7" t="s">
        <v>3328</v>
      </c>
      <c r="C7" t="s">
        <v>3334</v>
      </c>
      <c r="D7" s="56" t="s">
        <v>3335</v>
      </c>
      <c r="E7" s="56" t="s">
        <v>3335</v>
      </c>
      <c r="F7" s="58" t="s">
        <v>3331</v>
      </c>
    </row>
    <row r="8" spans="1:6" x14ac:dyDescent="0.5">
      <c r="A8">
        <v>4</v>
      </c>
      <c r="B8" t="s">
        <v>3336</v>
      </c>
      <c r="C8" t="s">
        <v>3337</v>
      </c>
      <c r="D8" s="56" t="s">
        <v>3338</v>
      </c>
      <c r="E8" s="56" t="s">
        <v>3338</v>
      </c>
      <c r="F8" s="58" t="s">
        <v>3331</v>
      </c>
    </row>
    <row r="9" spans="1:6" x14ac:dyDescent="0.5">
      <c r="A9">
        <v>5</v>
      </c>
      <c r="B9" t="s">
        <v>3336</v>
      </c>
      <c r="C9" t="s">
        <v>3339</v>
      </c>
      <c r="D9" s="56" t="s">
        <v>3340</v>
      </c>
      <c r="E9" s="56" t="s">
        <v>3340</v>
      </c>
      <c r="F9" s="58" t="s">
        <v>3331</v>
      </c>
    </row>
    <row r="10" spans="1:6" x14ac:dyDescent="0.5">
      <c r="A10">
        <v>6</v>
      </c>
      <c r="B10" t="s">
        <v>3336</v>
      </c>
      <c r="C10" t="s">
        <v>3341</v>
      </c>
      <c r="D10" s="56" t="s">
        <v>3342</v>
      </c>
      <c r="E10" s="56" t="s">
        <v>3342</v>
      </c>
      <c r="F10" s="58" t="s">
        <v>3331</v>
      </c>
    </row>
    <row r="11" spans="1:6" x14ac:dyDescent="0.5">
      <c r="A11">
        <v>7</v>
      </c>
      <c r="B11" t="s">
        <v>3343</v>
      </c>
      <c r="C11" t="s">
        <v>3344</v>
      </c>
      <c r="D11" s="56" t="s">
        <v>3345</v>
      </c>
      <c r="E11" s="56" t="s">
        <v>3345</v>
      </c>
      <c r="F11" s="58" t="s">
        <v>3331</v>
      </c>
    </row>
    <row r="12" spans="1:6" x14ac:dyDescent="0.5">
      <c r="A12">
        <v>8</v>
      </c>
      <c r="B12" t="s">
        <v>3343</v>
      </c>
      <c r="C12" t="s">
        <v>3346</v>
      </c>
      <c r="D12" s="56" t="s">
        <v>3345</v>
      </c>
      <c r="E12" s="56" t="s">
        <v>3345</v>
      </c>
      <c r="F12" s="58" t="s">
        <v>3331</v>
      </c>
    </row>
    <row r="13" spans="1:6" x14ac:dyDescent="0.5">
      <c r="A13">
        <v>9</v>
      </c>
      <c r="B13" t="s">
        <v>3343</v>
      </c>
      <c r="C13" t="s">
        <v>3347</v>
      </c>
      <c r="D13" s="56" t="s">
        <v>3345</v>
      </c>
      <c r="E13" s="56" t="s">
        <v>3345</v>
      </c>
      <c r="F13" s="58" t="s">
        <v>3331</v>
      </c>
    </row>
    <row r="14" spans="1:6" x14ac:dyDescent="0.5">
      <c r="A14">
        <v>10</v>
      </c>
      <c r="B14" t="s">
        <v>3348</v>
      </c>
      <c r="C14" t="s">
        <v>3349</v>
      </c>
      <c r="D14" s="56" t="s">
        <v>3350</v>
      </c>
      <c r="E14" s="56" t="s">
        <v>3350</v>
      </c>
      <c r="F14" s="58" t="s">
        <v>3331</v>
      </c>
    </row>
    <row r="15" spans="1:6" x14ac:dyDescent="0.5">
      <c r="A15">
        <v>11</v>
      </c>
      <c r="B15" t="s">
        <v>3348</v>
      </c>
      <c r="C15" t="s">
        <v>3351</v>
      </c>
      <c r="D15" s="56" t="s">
        <v>3345</v>
      </c>
      <c r="E15" s="56" t="s">
        <v>3345</v>
      </c>
      <c r="F15" s="58" t="s">
        <v>3331</v>
      </c>
    </row>
    <row r="16" spans="1:6" x14ac:dyDescent="0.5">
      <c r="A16">
        <v>12</v>
      </c>
      <c r="B16" t="s">
        <v>3377</v>
      </c>
      <c r="C16" t="s">
        <v>3378</v>
      </c>
      <c r="D16" s="56" t="s">
        <v>3379</v>
      </c>
      <c r="E16" s="56" t="s">
        <v>3379</v>
      </c>
      <c r="F16" s="58" t="s">
        <v>3331</v>
      </c>
    </row>
    <row r="17" spans="1:6" x14ac:dyDescent="0.5">
      <c r="A17">
        <v>13</v>
      </c>
      <c r="B17" t="s">
        <v>3377</v>
      </c>
      <c r="C17" t="s">
        <v>3380</v>
      </c>
      <c r="D17" s="56" t="s">
        <v>136</v>
      </c>
      <c r="E17" s="56" t="s">
        <v>136</v>
      </c>
      <c r="F17" s="58" t="s">
        <v>3331</v>
      </c>
    </row>
    <row r="18" spans="1:6" x14ac:dyDescent="0.5">
      <c r="A18">
        <v>14</v>
      </c>
      <c r="B18" t="s">
        <v>3377</v>
      </c>
      <c r="C18" t="s">
        <v>3381</v>
      </c>
      <c r="D18" s="56" t="s">
        <v>156</v>
      </c>
      <c r="E18" s="56" t="s">
        <v>156</v>
      </c>
      <c r="F18" s="58" t="s">
        <v>3331</v>
      </c>
    </row>
    <row r="19" spans="1:6" x14ac:dyDescent="0.5">
      <c r="A19">
        <v>15</v>
      </c>
      <c r="B19" t="s">
        <v>3377</v>
      </c>
      <c r="C19" t="s">
        <v>3382</v>
      </c>
      <c r="D19" s="56" t="s">
        <v>3383</v>
      </c>
      <c r="E19" s="56" t="s">
        <v>3383</v>
      </c>
      <c r="F19" s="58" t="s">
        <v>3331</v>
      </c>
    </row>
    <row r="20" spans="1:6" x14ac:dyDescent="0.5">
      <c r="A20">
        <v>16</v>
      </c>
      <c r="B20" t="s">
        <v>3377</v>
      </c>
      <c r="C20" t="s">
        <v>3384</v>
      </c>
      <c r="D20" s="56" t="s">
        <v>3345</v>
      </c>
      <c r="E20" s="56" t="s">
        <v>3345</v>
      </c>
      <c r="F20" s="58" t="s">
        <v>3331</v>
      </c>
    </row>
    <row r="21" spans="1:6" x14ac:dyDescent="0.5">
      <c r="A21">
        <v>17</v>
      </c>
      <c r="B21" t="s">
        <v>3377</v>
      </c>
      <c r="C21" t="s">
        <v>3385</v>
      </c>
      <c r="D21" s="56" t="s">
        <v>3298</v>
      </c>
      <c r="E21" s="56" t="s">
        <v>3298</v>
      </c>
      <c r="F21" s="58" t="s">
        <v>3331</v>
      </c>
    </row>
    <row r="22" spans="1:6" x14ac:dyDescent="0.5">
      <c r="A22">
        <v>18</v>
      </c>
      <c r="B22" t="s">
        <v>3386</v>
      </c>
      <c r="C22" t="s">
        <v>3387</v>
      </c>
      <c r="D22" s="56" t="s">
        <v>3388</v>
      </c>
      <c r="E22" s="56" t="s">
        <v>3388</v>
      </c>
      <c r="F22" s="58" t="s">
        <v>3331</v>
      </c>
    </row>
    <row r="23" spans="1:6" x14ac:dyDescent="0.5">
      <c r="A23">
        <v>19</v>
      </c>
      <c r="B23" t="s">
        <v>3386</v>
      </c>
      <c r="C23" t="s">
        <v>3389</v>
      </c>
      <c r="D23" s="56" t="s">
        <v>3390</v>
      </c>
      <c r="E23" s="56" t="s">
        <v>3390</v>
      </c>
      <c r="F23" s="58" t="s">
        <v>3331</v>
      </c>
    </row>
    <row r="24" spans="1:6" x14ac:dyDescent="0.5">
      <c r="A24">
        <v>20</v>
      </c>
      <c r="B24" t="s">
        <v>3386</v>
      </c>
      <c r="C24" t="s">
        <v>3391</v>
      </c>
      <c r="D24" s="56" t="s">
        <v>3392</v>
      </c>
      <c r="E24" s="56" t="s">
        <v>3392</v>
      </c>
      <c r="F24" s="58" t="s">
        <v>3331</v>
      </c>
    </row>
    <row r="25" spans="1:6" x14ac:dyDescent="0.5">
      <c r="A25">
        <v>21</v>
      </c>
      <c r="B25" t="s">
        <v>3393</v>
      </c>
      <c r="C25" t="s">
        <v>3394</v>
      </c>
      <c r="D25" s="56" t="s">
        <v>3345</v>
      </c>
      <c r="E25" s="56" t="s">
        <v>3345</v>
      </c>
      <c r="F25" s="58" t="s">
        <v>3331</v>
      </c>
    </row>
    <row r="26" spans="1:6" x14ac:dyDescent="0.5">
      <c r="A26">
        <v>22</v>
      </c>
      <c r="B26" t="s">
        <v>3393</v>
      </c>
      <c r="C26" t="s">
        <v>3395</v>
      </c>
      <c r="D26" s="56" t="s">
        <v>3345</v>
      </c>
      <c r="E26" s="56" t="s">
        <v>3345</v>
      </c>
      <c r="F26" s="58" t="s">
        <v>3331</v>
      </c>
    </row>
    <row r="27" spans="1:6" x14ac:dyDescent="0.5">
      <c r="A27">
        <v>23</v>
      </c>
      <c r="B27" t="s">
        <v>3396</v>
      </c>
      <c r="C27" t="s">
        <v>3397</v>
      </c>
      <c r="D27" s="56" t="s">
        <v>3338</v>
      </c>
      <c r="E27" s="56" t="s">
        <v>3338</v>
      </c>
      <c r="F27" s="58" t="s">
        <v>3331</v>
      </c>
    </row>
    <row r="28" spans="1:6" x14ac:dyDescent="0.5">
      <c r="A28">
        <v>24</v>
      </c>
      <c r="B28" t="s">
        <v>3396</v>
      </c>
      <c r="C28" t="s">
        <v>3398</v>
      </c>
      <c r="D28" s="56" t="s">
        <v>3342</v>
      </c>
      <c r="E28" s="56" t="s">
        <v>3342</v>
      </c>
      <c r="F28" s="58" t="s">
        <v>3331</v>
      </c>
    </row>
    <row r="29" spans="1:6" x14ac:dyDescent="0.5">
      <c r="A29">
        <v>25</v>
      </c>
      <c r="B29" t="s">
        <v>3399</v>
      </c>
      <c r="C29" t="s">
        <v>3400</v>
      </c>
      <c r="D29" s="56" t="s">
        <v>2631</v>
      </c>
      <c r="E29" s="56" t="s">
        <v>2631</v>
      </c>
      <c r="F29" s="58" t="s">
        <v>3331</v>
      </c>
    </row>
    <row r="30" spans="1:6" x14ac:dyDescent="0.5">
      <c r="A30">
        <v>26</v>
      </c>
      <c r="B30" t="s">
        <v>3399</v>
      </c>
      <c r="C30" t="s">
        <v>3401</v>
      </c>
      <c r="D30" s="56" t="s">
        <v>3402</v>
      </c>
      <c r="E30" s="56" t="s">
        <v>3402</v>
      </c>
      <c r="F30" s="58" t="s">
        <v>3331</v>
      </c>
    </row>
    <row r="31" spans="1:6" x14ac:dyDescent="0.5">
      <c r="A31">
        <v>27</v>
      </c>
      <c r="B31" t="s">
        <v>3399</v>
      </c>
      <c r="C31" t="s">
        <v>3403</v>
      </c>
      <c r="D31" s="56" t="s">
        <v>3345</v>
      </c>
      <c r="E31" s="56" t="s">
        <v>3345</v>
      </c>
      <c r="F31" s="58" t="s">
        <v>3331</v>
      </c>
    </row>
    <row r="32" spans="1:6" x14ac:dyDescent="0.5">
      <c r="A32">
        <v>28</v>
      </c>
      <c r="B32" t="s">
        <v>3404</v>
      </c>
      <c r="C32" t="s">
        <v>3405</v>
      </c>
      <c r="D32" s="56" t="s">
        <v>2631</v>
      </c>
      <c r="E32" s="56" t="s">
        <v>2631</v>
      </c>
      <c r="F32" s="58" t="s">
        <v>3331</v>
      </c>
    </row>
    <row r="33" spans="1:6" x14ac:dyDescent="0.5">
      <c r="A33">
        <v>29</v>
      </c>
      <c r="B33" t="s">
        <v>3404</v>
      </c>
      <c r="C33" t="s">
        <v>3406</v>
      </c>
      <c r="D33" s="56" t="s">
        <v>2631</v>
      </c>
      <c r="E33" s="56" t="s">
        <v>2631</v>
      </c>
      <c r="F33" s="58" t="s">
        <v>3331</v>
      </c>
    </row>
    <row r="34" spans="1:6" x14ac:dyDescent="0.5">
      <c r="A34">
        <v>30</v>
      </c>
      <c r="B34" t="s">
        <v>3404</v>
      </c>
      <c r="C34" t="s">
        <v>3407</v>
      </c>
      <c r="D34" s="56" t="s">
        <v>3402</v>
      </c>
      <c r="E34" s="56" t="s">
        <v>3402</v>
      </c>
      <c r="F34" s="58" t="s">
        <v>3331</v>
      </c>
    </row>
    <row r="35" spans="1:6" x14ac:dyDescent="0.5">
      <c r="A35">
        <v>31</v>
      </c>
      <c r="B35" t="s">
        <v>3404</v>
      </c>
      <c r="C35" t="s">
        <v>3408</v>
      </c>
      <c r="D35" s="56" t="s">
        <v>3402</v>
      </c>
      <c r="E35" s="56" t="s">
        <v>3402</v>
      </c>
      <c r="F35" s="58" t="s">
        <v>3331</v>
      </c>
    </row>
    <row r="36" spans="1:6" x14ac:dyDescent="0.5">
      <c r="A36">
        <v>32</v>
      </c>
      <c r="B36" t="s">
        <v>3409</v>
      </c>
      <c r="C36" t="s">
        <v>3410</v>
      </c>
      <c r="D36" s="56" t="s">
        <v>3345</v>
      </c>
      <c r="E36" s="56" t="s">
        <v>3345</v>
      </c>
      <c r="F36" s="58" t="s">
        <v>3331</v>
      </c>
    </row>
    <row r="37" spans="1:6" x14ac:dyDescent="0.5">
      <c r="A37">
        <v>33</v>
      </c>
      <c r="B37" t="s">
        <v>3409</v>
      </c>
      <c r="C37" t="s">
        <v>3411</v>
      </c>
      <c r="D37" s="56" t="s">
        <v>3345</v>
      </c>
      <c r="E37" s="56" t="s">
        <v>3345</v>
      </c>
      <c r="F37" s="58" t="s">
        <v>3331</v>
      </c>
    </row>
    <row r="38" spans="1:6" x14ac:dyDescent="0.5">
      <c r="A38">
        <v>34</v>
      </c>
      <c r="B38" t="s">
        <v>3409</v>
      </c>
      <c r="C38" t="s">
        <v>3412</v>
      </c>
      <c r="D38" s="56" t="s">
        <v>3366</v>
      </c>
      <c r="E38" s="56" t="s">
        <v>3366</v>
      </c>
      <c r="F38" s="58" t="s">
        <v>3331</v>
      </c>
    </row>
    <row r="39" spans="1:6" x14ac:dyDescent="0.5">
      <c r="A39">
        <v>35</v>
      </c>
      <c r="B39" t="s">
        <v>3409</v>
      </c>
      <c r="C39" t="s">
        <v>3413</v>
      </c>
      <c r="D39" s="56" t="s">
        <v>3367</v>
      </c>
      <c r="E39" s="56" t="s">
        <v>3367</v>
      </c>
      <c r="F39" s="58" t="s">
        <v>3331</v>
      </c>
    </row>
    <row r="40" spans="1:6" x14ac:dyDescent="0.5">
      <c r="A40">
        <v>36</v>
      </c>
      <c r="B40" t="s">
        <v>3409</v>
      </c>
      <c r="C40" t="s">
        <v>3414</v>
      </c>
      <c r="D40" s="56" t="s">
        <v>2946</v>
      </c>
      <c r="E40" s="56" t="s">
        <v>2946</v>
      </c>
      <c r="F40" s="58" t="s">
        <v>3331</v>
      </c>
    </row>
    <row r="41" spans="1:6" x14ac:dyDescent="0.5">
      <c r="A41">
        <v>37</v>
      </c>
      <c r="B41" t="s">
        <v>3409</v>
      </c>
      <c r="C41" t="s">
        <v>3415</v>
      </c>
      <c r="D41" s="56" t="s">
        <v>136</v>
      </c>
      <c r="E41" s="56" t="s">
        <v>136</v>
      </c>
      <c r="F41" s="58" t="s">
        <v>3331</v>
      </c>
    </row>
    <row r="42" spans="1:6" x14ac:dyDescent="0.5">
      <c r="A42">
        <v>38</v>
      </c>
      <c r="B42" t="s">
        <v>3409</v>
      </c>
      <c r="C42" t="s">
        <v>3416</v>
      </c>
      <c r="D42" s="56" t="s">
        <v>2947</v>
      </c>
      <c r="E42" s="56" t="s">
        <v>2947</v>
      </c>
      <c r="F42" s="58" t="s">
        <v>3331</v>
      </c>
    </row>
    <row r="43" spans="1:6" x14ac:dyDescent="0.5">
      <c r="A43">
        <v>39</v>
      </c>
      <c r="B43" t="s">
        <v>3409</v>
      </c>
      <c r="C43" t="s">
        <v>3417</v>
      </c>
      <c r="D43" s="56" t="s">
        <v>577</v>
      </c>
      <c r="E43" s="56" t="s">
        <v>577</v>
      </c>
      <c r="F43" s="58" t="s">
        <v>3331</v>
      </c>
    </row>
    <row r="44" spans="1:6" x14ac:dyDescent="0.5">
      <c r="A44">
        <v>40</v>
      </c>
      <c r="B44" t="s">
        <v>3418</v>
      </c>
      <c r="C44" t="s">
        <v>3419</v>
      </c>
      <c r="D44" s="56" t="s">
        <v>3345</v>
      </c>
      <c r="E44" s="56" t="s">
        <v>3345</v>
      </c>
      <c r="F44" s="58" t="s">
        <v>3331</v>
      </c>
    </row>
    <row r="45" spans="1:6" x14ac:dyDescent="0.5">
      <c r="A45">
        <v>41</v>
      </c>
      <c r="B45" t="s">
        <v>3418</v>
      </c>
      <c r="C45" t="s">
        <v>3420</v>
      </c>
      <c r="D45" s="56" t="s">
        <v>3345</v>
      </c>
      <c r="E45" s="56" t="s">
        <v>3345</v>
      </c>
      <c r="F45" s="58" t="s">
        <v>3331</v>
      </c>
    </row>
    <row r="46" spans="1:6" x14ac:dyDescent="0.5">
      <c r="A46">
        <v>42</v>
      </c>
      <c r="B46" t="s">
        <v>3418</v>
      </c>
      <c r="C46" t="s">
        <v>3421</v>
      </c>
      <c r="D46" s="56" t="s">
        <v>2946</v>
      </c>
      <c r="E46" s="56" t="s">
        <v>2946</v>
      </c>
      <c r="F46" s="58" t="s">
        <v>3331</v>
      </c>
    </row>
    <row r="47" spans="1:6" x14ac:dyDescent="0.5">
      <c r="A47">
        <v>43</v>
      </c>
      <c r="B47" t="s">
        <v>3418</v>
      </c>
      <c r="C47" t="s">
        <v>3415</v>
      </c>
      <c r="D47" s="56" t="s">
        <v>136</v>
      </c>
      <c r="E47" s="56" t="s">
        <v>136</v>
      </c>
      <c r="F47" s="58" t="s">
        <v>3331</v>
      </c>
    </row>
    <row r="48" spans="1:6" x14ac:dyDescent="0.5">
      <c r="A48">
        <v>44</v>
      </c>
      <c r="B48" t="s">
        <v>3418</v>
      </c>
      <c r="C48" t="s">
        <v>3422</v>
      </c>
      <c r="D48" s="56" t="s">
        <v>3423</v>
      </c>
      <c r="E48" s="56" t="s">
        <v>3423</v>
      </c>
      <c r="F48" s="58" t="s">
        <v>3331</v>
      </c>
    </row>
    <row r="49" spans="1:6" x14ac:dyDescent="0.5">
      <c r="A49">
        <v>45</v>
      </c>
      <c r="B49" t="s">
        <v>3418</v>
      </c>
      <c r="C49" t="s">
        <v>3424</v>
      </c>
      <c r="D49" s="56" t="s">
        <v>2947</v>
      </c>
      <c r="E49" s="56" t="s">
        <v>2947</v>
      </c>
      <c r="F49" s="58" t="s">
        <v>3331</v>
      </c>
    </row>
    <row r="50" spans="1:6" x14ac:dyDescent="0.5">
      <c r="A50">
        <v>46</v>
      </c>
      <c r="B50" t="s">
        <v>3418</v>
      </c>
      <c r="C50" t="s">
        <v>3417</v>
      </c>
      <c r="D50" s="56" t="s">
        <v>577</v>
      </c>
      <c r="E50" s="56" t="s">
        <v>577</v>
      </c>
      <c r="F50" s="58" t="s">
        <v>3331</v>
      </c>
    </row>
    <row r="51" spans="1:6" x14ac:dyDescent="0.5">
      <c r="A51">
        <v>47</v>
      </c>
      <c r="B51" t="s">
        <v>3418</v>
      </c>
      <c r="C51" t="s">
        <v>3425</v>
      </c>
      <c r="D51" s="56" t="s">
        <v>3426</v>
      </c>
      <c r="E51" s="56" t="s">
        <v>3426</v>
      </c>
      <c r="F51" s="58" t="s">
        <v>3331</v>
      </c>
    </row>
    <row r="52" spans="1:6" x14ac:dyDescent="0.5">
      <c r="A52">
        <v>48</v>
      </c>
      <c r="B52" t="s">
        <v>3427</v>
      </c>
      <c r="C52" t="s">
        <v>3428</v>
      </c>
      <c r="D52" s="56" t="s">
        <v>3345</v>
      </c>
      <c r="E52" s="56" t="s">
        <v>3345</v>
      </c>
      <c r="F52" s="58" t="s">
        <v>3331</v>
      </c>
    </row>
    <row r="53" spans="1:6" x14ac:dyDescent="0.5">
      <c r="A53">
        <v>49</v>
      </c>
      <c r="B53" t="s">
        <v>3427</v>
      </c>
      <c r="C53" t="s">
        <v>3429</v>
      </c>
      <c r="D53" s="56" t="s">
        <v>3345</v>
      </c>
      <c r="E53" s="56" t="s">
        <v>3345</v>
      </c>
      <c r="F53" s="58" t="s">
        <v>3331</v>
      </c>
    </row>
    <row r="54" spans="1:6" x14ac:dyDescent="0.5">
      <c r="A54">
        <v>50</v>
      </c>
      <c r="B54" t="s">
        <v>3427</v>
      </c>
      <c r="C54" t="s">
        <v>3412</v>
      </c>
      <c r="D54" s="56" t="s">
        <v>3369</v>
      </c>
      <c r="E54" s="56" t="s">
        <v>3369</v>
      </c>
      <c r="F54" s="58" t="s">
        <v>3331</v>
      </c>
    </row>
    <row r="55" spans="1:6" x14ac:dyDescent="0.5">
      <c r="A55">
        <v>51</v>
      </c>
      <c r="B55" t="s">
        <v>3427</v>
      </c>
      <c r="C55" t="s">
        <v>3430</v>
      </c>
      <c r="D55" s="56" t="s">
        <v>2934</v>
      </c>
      <c r="E55" s="56" t="s">
        <v>2934</v>
      </c>
      <c r="F55" s="58" t="s">
        <v>3331</v>
      </c>
    </row>
    <row r="56" spans="1:6" x14ac:dyDescent="0.5">
      <c r="A56">
        <v>52</v>
      </c>
      <c r="B56" t="s">
        <v>3427</v>
      </c>
      <c r="C56" t="s">
        <v>3431</v>
      </c>
      <c r="D56" s="56" t="s">
        <v>3072</v>
      </c>
      <c r="E56" s="56" t="s">
        <v>3072</v>
      </c>
      <c r="F56" s="58" t="s">
        <v>3331</v>
      </c>
    </row>
    <row r="57" spans="1:6" x14ac:dyDescent="0.5">
      <c r="A57">
        <v>53</v>
      </c>
      <c r="B57" t="s">
        <v>3427</v>
      </c>
      <c r="C57" t="s">
        <v>3432</v>
      </c>
      <c r="D57" s="56" t="s">
        <v>3338</v>
      </c>
      <c r="E57" s="56" t="s">
        <v>3338</v>
      </c>
      <c r="F57" s="58" t="s">
        <v>3331</v>
      </c>
    </row>
    <row r="58" spans="1:6" x14ac:dyDescent="0.5">
      <c r="A58">
        <v>54</v>
      </c>
      <c r="B58" t="s">
        <v>3433</v>
      </c>
      <c r="C58" t="s">
        <v>3434</v>
      </c>
      <c r="D58" s="56" t="s">
        <v>137</v>
      </c>
      <c r="E58" s="56" t="s">
        <v>137</v>
      </c>
      <c r="F58" s="58" t="s">
        <v>3331</v>
      </c>
    </row>
    <row r="59" spans="1:6" x14ac:dyDescent="0.5">
      <c r="A59">
        <v>55</v>
      </c>
      <c r="B59" t="s">
        <v>3433</v>
      </c>
      <c r="C59" t="s">
        <v>3435</v>
      </c>
      <c r="D59" s="56" t="s">
        <v>2633</v>
      </c>
      <c r="E59" s="56" t="s">
        <v>2633</v>
      </c>
      <c r="F59" s="58" t="s">
        <v>3331</v>
      </c>
    </row>
    <row r="60" spans="1:6" x14ac:dyDescent="0.5">
      <c r="A60">
        <v>56</v>
      </c>
      <c r="B60" t="s">
        <v>3433</v>
      </c>
      <c r="C60" t="s">
        <v>3436</v>
      </c>
      <c r="D60" s="56" t="s">
        <v>3437</v>
      </c>
      <c r="E60" s="56" t="s">
        <v>3437</v>
      </c>
      <c r="F60" s="58" t="s">
        <v>3331</v>
      </c>
    </row>
    <row r="61" spans="1:6" x14ac:dyDescent="0.5">
      <c r="A61">
        <v>57</v>
      </c>
      <c r="B61" t="s">
        <v>3433</v>
      </c>
      <c r="C61" t="s">
        <v>3438</v>
      </c>
      <c r="D61" s="56" t="s">
        <v>3439</v>
      </c>
      <c r="E61" s="56" t="s">
        <v>3439</v>
      </c>
      <c r="F61" s="58" t="s">
        <v>3331</v>
      </c>
    </row>
    <row r="62" spans="1:6" x14ac:dyDescent="0.5">
      <c r="A62">
        <v>58</v>
      </c>
      <c r="B62" t="s">
        <v>3440</v>
      </c>
      <c r="C62" t="s">
        <v>3441</v>
      </c>
      <c r="D62" s="56" t="s">
        <v>3345</v>
      </c>
      <c r="E62" s="56" t="s">
        <v>3345</v>
      </c>
      <c r="F62" s="58" t="s">
        <v>3331</v>
      </c>
    </row>
    <row r="63" spans="1:6" x14ac:dyDescent="0.5">
      <c r="A63">
        <v>59</v>
      </c>
      <c r="B63" t="s">
        <v>3440</v>
      </c>
      <c r="C63" t="s">
        <v>3442</v>
      </c>
      <c r="D63" s="56" t="s">
        <v>3345</v>
      </c>
      <c r="E63" s="56" t="s">
        <v>3345</v>
      </c>
      <c r="F63" s="58" t="s">
        <v>3331</v>
      </c>
    </row>
    <row r="64" spans="1:6" x14ac:dyDescent="0.5">
      <c r="A64">
        <v>60</v>
      </c>
      <c r="B64" t="s">
        <v>3443</v>
      </c>
      <c r="C64" t="s">
        <v>3444</v>
      </c>
      <c r="D64" s="56" t="s">
        <v>3445</v>
      </c>
      <c r="E64" s="56" t="s">
        <v>3445</v>
      </c>
      <c r="F64" s="58" t="s">
        <v>3331</v>
      </c>
    </row>
    <row r="65" spans="1:6" x14ac:dyDescent="0.5">
      <c r="A65">
        <v>61</v>
      </c>
      <c r="B65" t="s">
        <v>3443</v>
      </c>
      <c r="C65" t="s">
        <v>3446</v>
      </c>
      <c r="D65" s="56" t="s">
        <v>3335</v>
      </c>
      <c r="E65" s="56" t="s">
        <v>3335</v>
      </c>
      <c r="F65" s="58" t="s">
        <v>3331</v>
      </c>
    </row>
    <row r="66" spans="1:6" x14ac:dyDescent="0.5">
      <c r="A66">
        <v>62</v>
      </c>
      <c r="B66" t="s">
        <v>3447</v>
      </c>
      <c r="C66" t="s">
        <v>3448</v>
      </c>
      <c r="D66" s="56" t="s">
        <v>3345</v>
      </c>
      <c r="E66" s="56" t="s">
        <v>3345</v>
      </c>
      <c r="F66" s="58" t="s">
        <v>3331</v>
      </c>
    </row>
    <row r="67" spans="1:6" x14ac:dyDescent="0.5">
      <c r="A67">
        <v>63</v>
      </c>
      <c r="B67" t="s">
        <v>3449</v>
      </c>
      <c r="C67" t="s">
        <v>3450</v>
      </c>
      <c r="D67" s="56" t="s">
        <v>3345</v>
      </c>
      <c r="E67" s="56" t="s">
        <v>3345</v>
      </c>
      <c r="F67" s="58" t="s">
        <v>3331</v>
      </c>
    </row>
    <row r="68" spans="1:6" x14ac:dyDescent="0.5">
      <c r="A68">
        <v>64</v>
      </c>
      <c r="B68" t="s">
        <v>3449</v>
      </c>
      <c r="C68" t="s">
        <v>3451</v>
      </c>
      <c r="D68" s="56" t="s">
        <v>3345</v>
      </c>
      <c r="E68" s="56" t="s">
        <v>3345</v>
      </c>
      <c r="F68" s="58" t="s">
        <v>3331</v>
      </c>
    </row>
    <row r="69" spans="1:6" x14ac:dyDescent="0.5">
      <c r="A69">
        <v>65</v>
      </c>
      <c r="B69" t="s">
        <v>3449</v>
      </c>
      <c r="C69" t="s">
        <v>3491</v>
      </c>
      <c r="D69" s="56" t="s">
        <v>3345</v>
      </c>
      <c r="E69" s="56" t="s">
        <v>3345</v>
      </c>
      <c r="F69" s="58" t="s">
        <v>3331</v>
      </c>
    </row>
    <row r="70" spans="1:6" x14ac:dyDescent="0.5">
      <c r="A70">
        <v>66</v>
      </c>
      <c r="B70" t="s">
        <v>3449</v>
      </c>
      <c r="C70" t="s">
        <v>3492</v>
      </c>
      <c r="D70" s="56" t="s">
        <v>3345</v>
      </c>
      <c r="E70" s="56" t="s">
        <v>3345</v>
      </c>
      <c r="F70" s="58" t="s">
        <v>3331</v>
      </c>
    </row>
    <row r="71" spans="1:6" x14ac:dyDescent="0.5">
      <c r="A71">
        <v>67</v>
      </c>
      <c r="B71" t="s">
        <v>3449</v>
      </c>
      <c r="C71" t="s">
        <v>3493</v>
      </c>
      <c r="D71" s="56" t="s">
        <v>3345</v>
      </c>
      <c r="E71" s="56" t="s">
        <v>3345</v>
      </c>
      <c r="F71" s="58" t="s">
        <v>3331</v>
      </c>
    </row>
    <row r="72" spans="1:6" x14ac:dyDescent="0.5">
      <c r="A72">
        <v>68</v>
      </c>
      <c r="B72" t="s">
        <v>3449</v>
      </c>
      <c r="C72" t="s">
        <v>3494</v>
      </c>
      <c r="D72" s="56" t="s">
        <v>3345</v>
      </c>
      <c r="E72" s="56" t="s">
        <v>3345</v>
      </c>
      <c r="F72" s="58" t="s">
        <v>3331</v>
      </c>
    </row>
    <row r="73" spans="1:6" x14ac:dyDescent="0.5">
      <c r="A73">
        <v>69</v>
      </c>
      <c r="B73" t="s">
        <v>3452</v>
      </c>
      <c r="C73" t="s">
        <v>3453</v>
      </c>
      <c r="D73" s="56" t="s">
        <v>3345</v>
      </c>
      <c r="E73" s="56" t="s">
        <v>3345</v>
      </c>
      <c r="F73" s="58" t="s">
        <v>3331</v>
      </c>
    </row>
    <row r="74" spans="1:6" x14ac:dyDescent="0.5">
      <c r="A74">
        <v>70</v>
      </c>
      <c r="B74" t="s">
        <v>3454</v>
      </c>
      <c r="C74" t="s">
        <v>3455</v>
      </c>
      <c r="D74" s="56" t="s">
        <v>161</v>
      </c>
      <c r="E74" s="56" t="s">
        <v>161</v>
      </c>
      <c r="F74" s="58" t="s">
        <v>3331</v>
      </c>
    </row>
    <row r="75" spans="1:6" x14ac:dyDescent="0.5">
      <c r="A75">
        <v>71</v>
      </c>
      <c r="B75" t="s">
        <v>3454</v>
      </c>
      <c r="C75" t="s">
        <v>3456</v>
      </c>
      <c r="D75" s="56" t="s">
        <v>3236</v>
      </c>
      <c r="E75" s="56" t="s">
        <v>3236</v>
      </c>
      <c r="F75" s="58" t="s">
        <v>3331</v>
      </c>
    </row>
    <row r="76" spans="1:6" x14ac:dyDescent="0.5">
      <c r="A76">
        <v>72</v>
      </c>
      <c r="B76" t="s">
        <v>3457</v>
      </c>
      <c r="C76" t="s">
        <v>3458</v>
      </c>
      <c r="D76" s="56" t="s">
        <v>3345</v>
      </c>
      <c r="E76" s="56" t="s">
        <v>3345</v>
      </c>
      <c r="F76" s="58" t="s">
        <v>3331</v>
      </c>
    </row>
    <row r="77" spans="1:6" x14ac:dyDescent="0.5">
      <c r="A77">
        <v>73</v>
      </c>
      <c r="B77" t="s">
        <v>3457</v>
      </c>
      <c r="C77" t="s">
        <v>3459</v>
      </c>
      <c r="D77" s="56" t="s">
        <v>3345</v>
      </c>
      <c r="E77" s="56" t="s">
        <v>3345</v>
      </c>
      <c r="F77" s="58" t="s">
        <v>3331</v>
      </c>
    </row>
    <row r="78" spans="1:6" x14ac:dyDescent="0.5">
      <c r="A78">
        <v>74</v>
      </c>
      <c r="B78" t="s">
        <v>3457</v>
      </c>
      <c r="C78" t="s">
        <v>3460</v>
      </c>
      <c r="D78" s="56" t="s">
        <v>3374</v>
      </c>
      <c r="E78" s="56" t="s">
        <v>3374</v>
      </c>
      <c r="F78" s="58" t="s">
        <v>3331</v>
      </c>
    </row>
    <row r="79" spans="1:6" x14ac:dyDescent="0.5">
      <c r="A79">
        <v>75</v>
      </c>
      <c r="B79" t="s">
        <v>3457</v>
      </c>
      <c r="C79" t="s">
        <v>3461</v>
      </c>
      <c r="D79" s="56" t="s">
        <v>3375</v>
      </c>
      <c r="E79" s="56" t="s">
        <v>3375</v>
      </c>
      <c r="F79" s="58" t="s">
        <v>3331</v>
      </c>
    </row>
    <row r="80" spans="1:6" x14ac:dyDescent="0.5">
      <c r="A80">
        <v>76</v>
      </c>
      <c r="B80" t="s">
        <v>3457</v>
      </c>
      <c r="C80" t="s">
        <v>3462</v>
      </c>
      <c r="D80" s="56" t="s">
        <v>3232</v>
      </c>
      <c r="E80" s="56" t="s">
        <v>3232</v>
      </c>
      <c r="F80" s="58" t="s">
        <v>3331</v>
      </c>
    </row>
    <row r="81" spans="1:6" x14ac:dyDescent="0.5">
      <c r="A81">
        <v>77</v>
      </c>
      <c r="B81" t="s">
        <v>3457</v>
      </c>
      <c r="C81" t="s">
        <v>3463</v>
      </c>
      <c r="D81" s="56" t="s">
        <v>3464</v>
      </c>
      <c r="E81" s="56" t="s">
        <v>3464</v>
      </c>
      <c r="F81" s="58" t="s">
        <v>3331</v>
      </c>
    </row>
    <row r="82" spans="1:6" x14ac:dyDescent="0.5">
      <c r="A82">
        <v>78</v>
      </c>
      <c r="B82" t="s">
        <v>3457</v>
      </c>
      <c r="C82" t="s">
        <v>3465</v>
      </c>
      <c r="D82" s="56" t="s">
        <v>3232</v>
      </c>
      <c r="E82" s="56" t="s">
        <v>3232</v>
      </c>
      <c r="F82" s="58" t="s">
        <v>3331</v>
      </c>
    </row>
    <row r="83" spans="1:6" x14ac:dyDescent="0.5">
      <c r="A83">
        <v>79</v>
      </c>
      <c r="B83" t="s">
        <v>3457</v>
      </c>
      <c r="C83" t="s">
        <v>3466</v>
      </c>
      <c r="D83" s="56" t="s">
        <v>3467</v>
      </c>
      <c r="E83" s="56" t="s">
        <v>3467</v>
      </c>
      <c r="F83" s="58" t="s">
        <v>3331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99BC5-BC22-4041-A822-5E5F29AA9E03}">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3507</v>
      </c>
      <c r="S4" s="45" t="str">
        <f>COUNTIF(S11:S60,"PASS")&amp;" / 8 PASS"</f>
        <v>8 / 8 PASS</v>
      </c>
    </row>
    <row r="5" spans="1:19" x14ac:dyDescent="0.5">
      <c r="B5" s="45" t="s">
        <v>8</v>
      </c>
      <c r="M5" s="48" t="s">
        <v>10</v>
      </c>
      <c r="P5" s="49" t="s">
        <v>11</v>
      </c>
      <c r="S5" s="50" t="s">
        <v>12</v>
      </c>
    </row>
    <row r="6" spans="1:19" x14ac:dyDescent="0.5">
      <c r="D6" s="45" t="s">
        <v>2919</v>
      </c>
      <c r="K6" s="45" t="s">
        <v>2920</v>
      </c>
    </row>
    <row r="7" spans="1:19" x14ac:dyDescent="0.5">
      <c r="D7" s="51">
        <v>10</v>
      </c>
      <c r="E7" s="51">
        <v>20</v>
      </c>
      <c r="F7" s="51">
        <v>30</v>
      </c>
      <c r="I7">
        <v>0</v>
      </c>
      <c r="K7" s="51" t="s">
        <v>2921</v>
      </c>
    </row>
    <row r="8" spans="1:19" x14ac:dyDescent="0.5">
      <c r="D8" s="51">
        <v>40</v>
      </c>
      <c r="E8" s="51">
        <v>50</v>
      </c>
      <c r="F8" s="51">
        <v>60</v>
      </c>
      <c r="H8">
        <v>1</v>
      </c>
      <c r="K8" s="51" t="s">
        <v>2922</v>
      </c>
    </row>
    <row r="9" spans="1:19" x14ac:dyDescent="0.5">
      <c r="D9" s="51">
        <v>70</v>
      </c>
      <c r="E9" s="51">
        <v>80</v>
      </c>
      <c r="F9" s="51">
        <v>90</v>
      </c>
    </row>
    <row r="10" spans="1:19" x14ac:dyDescent="0.5">
      <c r="E10" s="51"/>
    </row>
    <row r="11" spans="1:19" x14ac:dyDescent="0.5">
      <c r="B11" s="47" t="s">
        <v>3508</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2923</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3509</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3510</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2924</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3511</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3512</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3513</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DE835-83DB-4D8D-BE70-6C9707833147}">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3514</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3474</v>
      </c>
      <c r="D6" s="51" t="s">
        <v>3066</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3475</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3476</v>
      </c>
      <c r="D10" s="51" t="s">
        <v>3477</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3478</v>
      </c>
      <c r="D12" s="51" t="s">
        <v>3066</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3479</v>
      </c>
      <c r="D14" s="51" t="s">
        <v>3072</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3480</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3481</v>
      </c>
      <c r="D18" s="51" t="s">
        <v>3482</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8F0E6-954C-483F-AB78-6EC620AE7EE0}">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2925</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2926</v>
      </c>
      <c r="D6" s="51" t="s">
        <v>159</v>
      </c>
      <c r="F6" s="52" t="s">
        <v>160</v>
      </c>
      <c r="H6" s="53" t="str" cm="1">
        <f t="array" ref="H6">arrow(D6)</f>
        <v>↑</v>
      </c>
      <c r="J6" s="54" t="str">
        <f>IF(H6=F6,"PASS","FAIL")</f>
        <v>PASS</v>
      </c>
    </row>
    <row r="8" spans="1:19" x14ac:dyDescent="0.5">
      <c r="A8" s="46">
        <v>2</v>
      </c>
      <c r="B8" s="47" t="s">
        <v>2927</v>
      </c>
      <c r="D8" s="51" t="s">
        <v>437</v>
      </c>
      <c r="F8" s="52" t="s">
        <v>434</v>
      </c>
      <c r="H8" s="53" t="str" cm="1">
        <f t="array" ref="H8">arrow(D8)</f>
        <v>↙</v>
      </c>
      <c r="J8" s="54" t="str">
        <f>IF(H8=F8,"PASS","FAIL")</f>
        <v>PASS</v>
      </c>
    </row>
    <row r="10" spans="1:19" x14ac:dyDescent="0.5">
      <c r="A10" s="46">
        <v>3</v>
      </c>
      <c r="B10" s="47" t="s">
        <v>2928</v>
      </c>
      <c r="D10" s="51" t="s">
        <v>259</v>
      </c>
      <c r="F10" s="52" t="s">
        <v>254</v>
      </c>
      <c r="H10" s="53" t="str" cm="1">
        <f t="array" ref="H10">arrow(D10)</f>
        <v>↗</v>
      </c>
      <c r="J10" s="54" t="str">
        <f>IF(H10=F10,"PASS","FAIL")</f>
        <v>PASS</v>
      </c>
    </row>
    <row r="12" spans="1:19" x14ac:dyDescent="0.5">
      <c r="A12" s="46">
        <v>4</v>
      </c>
      <c r="B12" s="47" t="s">
        <v>2929</v>
      </c>
      <c r="D12" s="51" t="s">
        <v>241</v>
      </c>
      <c r="F12" s="52" t="s">
        <v>160</v>
      </c>
      <c r="H12" s="53" t="str" cm="1">
        <f t="array" ref="H12">arrow(D12)</f>
        <v>↑</v>
      </c>
      <c r="J12" s="54" t="str">
        <f>IF(H12=F12,"PASS","FAIL")</f>
        <v>PASS</v>
      </c>
    </row>
    <row r="14" spans="1:19" x14ac:dyDescent="0.5">
      <c r="A14" s="46">
        <v>5</v>
      </c>
      <c r="B14" s="47" t="s">
        <v>2930</v>
      </c>
      <c r="D14" s="51" t="s">
        <v>232</v>
      </c>
      <c r="F14" s="52" t="s">
        <v>160</v>
      </c>
      <c r="H14" s="53" t="str" cm="1">
        <f t="array" ref="H14">arrow(D14)</f>
        <v>↑</v>
      </c>
      <c r="J14" s="54" t="str">
        <f>IF(H14=F14,"PASS","FAIL")</f>
        <v>PASS</v>
      </c>
    </row>
    <row r="16" spans="1:19" x14ac:dyDescent="0.5">
      <c r="A16" s="46">
        <v>6</v>
      </c>
      <c r="B16" s="47" t="s">
        <v>2931</v>
      </c>
      <c r="D16" s="51" t="s">
        <v>249</v>
      </c>
      <c r="F16" s="52" t="s">
        <v>160</v>
      </c>
      <c r="H16" s="53" t="str" cm="1">
        <f t="array" ref="H16">arrow(D16)</f>
        <v>↑</v>
      </c>
      <c r="J16" s="54" t="str">
        <f>IF(H16=F16,"PASS","FAIL")</f>
        <v>PASS</v>
      </c>
    </row>
    <row r="18" spans="1:10" x14ac:dyDescent="0.5">
      <c r="A18" s="46">
        <v>7</v>
      </c>
      <c r="B18" s="47" t="s">
        <v>3284</v>
      </c>
      <c r="D18" s="51" t="s">
        <v>3285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2FF56-5612-472F-BE15-68228AA7230A}">
  <sheetPr codeName="Sheet55"/>
  <dimension ref="A1:S14"/>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2932</v>
      </c>
      <c r="P4" s="45" t="str">
        <f>COUNTIF(P6:P16,"PASS")&amp;" / 5 PASS"</f>
        <v>5 / 5 PASS</v>
      </c>
    </row>
    <row r="5" spans="1:19" x14ac:dyDescent="0.5">
      <c r="A5" s="45" t="s">
        <v>7</v>
      </c>
      <c r="B5" s="45" t="s">
        <v>8</v>
      </c>
      <c r="D5" s="45" t="s">
        <v>9</v>
      </c>
      <c r="L5" s="48" t="s">
        <v>10</v>
      </c>
      <c r="N5" s="49" t="s">
        <v>11</v>
      </c>
      <c r="P5" s="50" t="s">
        <v>12</v>
      </c>
    </row>
    <row r="6" spans="1:19" x14ac:dyDescent="0.5">
      <c r="A6" s="46">
        <v>1</v>
      </c>
      <c r="B6" s="47" t="s">
        <v>2933</v>
      </c>
      <c r="D6" s="51" t="s">
        <v>2934</v>
      </c>
      <c r="F6" s="51" t="s">
        <v>192</v>
      </c>
      <c r="H6" s="51">
        <v>3</v>
      </c>
      <c r="L6" s="52">
        <v>1000004</v>
      </c>
      <c r="N6" s="53" cm="1">
        <f t="array" ref="N6">arrow_move(D6,F6,H6)</f>
        <v>1000004</v>
      </c>
      <c r="P6" s="54" t="str">
        <f>IF(N6=L6,"PASS","FAIL")</f>
        <v>PASS</v>
      </c>
    </row>
    <row r="8" spans="1:19" x14ac:dyDescent="0.5">
      <c r="A8" s="46">
        <v>2</v>
      </c>
      <c r="B8" s="47" t="s">
        <v>2935</v>
      </c>
      <c r="D8" s="51" t="s">
        <v>2934</v>
      </c>
      <c r="F8" s="51" t="s">
        <v>181</v>
      </c>
      <c r="H8" s="51">
        <v>2</v>
      </c>
      <c r="L8" s="52">
        <v>3000001</v>
      </c>
      <c r="N8" s="53" cm="1">
        <f t="array" ref="N8">arrow_move(D8,F8,H8)</f>
        <v>3000001</v>
      </c>
      <c r="P8" s="54" t="str">
        <f>IF(N8=L8,"PASS","FAIL")</f>
        <v>PASS</v>
      </c>
    </row>
    <row r="10" spans="1:19" x14ac:dyDescent="0.5">
      <c r="A10" s="46">
        <v>3</v>
      </c>
      <c r="B10" s="47" t="s">
        <v>2936</v>
      </c>
      <c r="D10" s="51" t="s">
        <v>2937</v>
      </c>
      <c r="F10" s="51" t="s">
        <v>160</v>
      </c>
      <c r="H10" s="51">
        <v>5</v>
      </c>
      <c r="L10" s="52">
        <v>1000001</v>
      </c>
      <c r="N10" s="53" cm="1">
        <f t="array" ref="N10">arrow_move(D10,F10,H10)</f>
        <v>1000001</v>
      </c>
      <c r="P10" s="54" t="str">
        <f>IF(N10=L10,"PASS","FAIL")</f>
        <v>PASS</v>
      </c>
    </row>
    <row r="12" spans="1:19" x14ac:dyDescent="0.5">
      <c r="A12" s="46">
        <v>4</v>
      </c>
      <c r="B12" s="47" t="s">
        <v>2938</v>
      </c>
      <c r="D12" s="51" t="s">
        <v>2937</v>
      </c>
      <c r="F12" s="51" t="s">
        <v>160</v>
      </c>
      <c r="H12" s="51">
        <v>5</v>
      </c>
      <c r="J12" s="51">
        <v>0</v>
      </c>
      <c r="L12" s="52">
        <v>3000001</v>
      </c>
      <c r="N12" s="53" cm="1">
        <f t="array" ref="N12">arrow_move(D12,F12,H12,,J12)</f>
        <v>3000001</v>
      </c>
      <c r="P12" s="54" t="str">
        <f>IF(N12=L12,"PASS","FAIL")</f>
        <v>PASS</v>
      </c>
    </row>
    <row r="14" spans="1:19" x14ac:dyDescent="0.5">
      <c r="A14" s="46">
        <v>5</v>
      </c>
      <c r="B14" s="47" t="s">
        <v>2939</v>
      </c>
      <c r="D14" s="51" t="s">
        <v>2937</v>
      </c>
      <c r="F14" s="51" t="s">
        <v>160</v>
      </c>
      <c r="H14" s="51">
        <v>5</v>
      </c>
      <c r="J14" s="51">
        <v>-1</v>
      </c>
      <c r="L14" s="52" t="s">
        <v>2940</v>
      </c>
      <c r="N14" s="53" t="str" cm="1">
        <f t="array" ref="N14">arrow_move(D14,F14,H14,,J14)</f>
        <v>oob</v>
      </c>
      <c r="P14" s="54" t="str">
        <f>IF(N14=L14,"PASS","FAIL")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AC5D5-73CF-4940-95A0-9B857D9CB7BD}">
  <sheetPr codeName="Sheet56"/>
  <dimension ref="A1:S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2941</v>
      </c>
      <c r="P4" s="45" t="str">
        <f>COUNTIF(P9:P30,"PASS")&amp;" / 5 PASS"</f>
        <v>5 / 5 PASS</v>
      </c>
    </row>
    <row r="5" spans="1:19" x14ac:dyDescent="0.5">
      <c r="B5" s="45" t="s">
        <v>8</v>
      </c>
      <c r="J5" s="48" t="s">
        <v>2942</v>
      </c>
      <c r="K5" s="48" t="s">
        <v>2943</v>
      </c>
      <c r="M5" s="49" t="s">
        <v>2944</v>
      </c>
      <c r="N5" s="49" t="s">
        <v>2943</v>
      </c>
      <c r="P5" s="50" t="s">
        <v>12</v>
      </c>
    </row>
    <row r="6" spans="1:19" x14ac:dyDescent="0.5">
      <c r="B6" s="45" t="s">
        <v>2945</v>
      </c>
    </row>
    <row r="7" spans="1:19" x14ac:dyDescent="0.5">
      <c r="D7" s="51" t="s">
        <v>2946</v>
      </c>
      <c r="E7" s="51" t="s">
        <v>2947</v>
      </c>
      <c r="F7" s="51" t="s">
        <v>2631</v>
      </c>
      <c r="G7" s="51" t="s">
        <v>2948</v>
      </c>
      <c r="H7" s="51" t="s">
        <v>2949</v>
      </c>
    </row>
    <row r="9" spans="1:19" x14ac:dyDescent="0.5">
      <c r="B9" s="47" t="s">
        <v>2950</v>
      </c>
      <c r="J9" s="52">
        <v>7000004</v>
      </c>
      <c r="K9" s="52" t="s">
        <v>2946</v>
      </c>
      <c r="M9" s="53" cm="1">
        <f t="array" ref="M9:N13">arrow_trip(D7:H7,"D7","→")</f>
        <v>7000004</v>
      </c>
      <c r="N9" s="53" t="str">
        <v>a</v>
      </c>
      <c r="P9" s="54" t="str" cm="1">
        <f t="array" ref="P9">IF(AND(J9:K13=M9:N13),"PASS","FAIL")</f>
        <v>PASS</v>
      </c>
    </row>
    <row r="10" spans="1:19" x14ac:dyDescent="0.5">
      <c r="J10" s="52">
        <v>7000005</v>
      </c>
      <c r="K10" s="52" t="s">
        <v>2947</v>
      </c>
      <c r="M10" s="53">
        <v>7000005</v>
      </c>
      <c r="N10" s="53" t="str">
        <v>b</v>
      </c>
    </row>
    <row r="11" spans="1:19" x14ac:dyDescent="0.5">
      <c r="J11" s="52">
        <v>7000006</v>
      </c>
      <c r="K11" s="52" t="s">
        <v>2631</v>
      </c>
      <c r="M11" s="53">
        <v>7000006</v>
      </c>
      <c r="N11" s="53" t="str">
        <v>X</v>
      </c>
    </row>
    <row r="12" spans="1:19" x14ac:dyDescent="0.5">
      <c r="J12" s="52">
        <v>7000007</v>
      </c>
      <c r="K12" s="52" t="s">
        <v>2948</v>
      </c>
      <c r="M12" s="53">
        <v>7000007</v>
      </c>
      <c r="N12" s="53" t="str">
        <v>d</v>
      </c>
    </row>
    <row r="13" spans="1:19" x14ac:dyDescent="0.5">
      <c r="J13" s="52">
        <v>7000008</v>
      </c>
      <c r="K13" s="52" t="s">
        <v>2949</v>
      </c>
      <c r="M13" s="53">
        <v>7000008</v>
      </c>
      <c r="N13" s="53" t="str">
        <v>e</v>
      </c>
    </row>
    <row r="15" spans="1:19" x14ac:dyDescent="0.5">
      <c r="B15" s="47" t="s">
        <v>2951</v>
      </c>
      <c r="J15" s="52">
        <v>7000004</v>
      </c>
      <c r="K15" s="52" t="s">
        <v>2946</v>
      </c>
      <c r="M15" s="53" cm="1">
        <f t="array" ref="M15:N17">arrow_trip(D7:H7,"D7","→","X")</f>
        <v>7000004</v>
      </c>
      <c r="N15" s="53" t="str">
        <v>a</v>
      </c>
      <c r="P15" s="54" t="str" cm="1">
        <f t="array" ref="P15">IF(AND(J15:K17=M15:N17),"PASS","FAIL")</f>
        <v>PASS</v>
      </c>
    </row>
    <row r="16" spans="1:19" x14ac:dyDescent="0.5">
      <c r="J16" s="52">
        <v>7000005</v>
      </c>
      <c r="K16" s="52" t="s">
        <v>2947</v>
      </c>
      <c r="M16" s="53">
        <v>7000005</v>
      </c>
      <c r="N16" s="53" t="str">
        <v>b</v>
      </c>
    </row>
    <row r="17" spans="2:16" x14ac:dyDescent="0.5">
      <c r="J17" s="52">
        <v>7000006</v>
      </c>
      <c r="K17" s="52" t="s">
        <v>2631</v>
      </c>
      <c r="M17" s="53">
        <v>7000006</v>
      </c>
      <c r="N17" s="53" t="str">
        <v>X</v>
      </c>
    </row>
    <row r="19" spans="2:16" x14ac:dyDescent="0.5">
      <c r="B19" s="47" t="s">
        <v>2952</v>
      </c>
      <c r="J19" s="52">
        <v>7000004</v>
      </c>
      <c r="K19" s="52" t="s">
        <v>2946</v>
      </c>
      <c r="M19" s="53" cm="1">
        <f t="array" ref="M19:N23">arrow_trip(D7:H7,"D7","→","Z")</f>
        <v>7000004</v>
      </c>
      <c r="N19" s="53" t="str">
        <v>a</v>
      </c>
      <c r="P19" s="54" t="str" cm="1">
        <f t="array" ref="P19">IF(AND(J19:K23=M19:N23),"PASS","FAIL")</f>
        <v>PASS</v>
      </c>
    </row>
    <row r="20" spans="2:16" x14ac:dyDescent="0.5">
      <c r="J20" s="52">
        <v>7000005</v>
      </c>
      <c r="K20" s="52" t="s">
        <v>2947</v>
      </c>
      <c r="M20" s="53">
        <v>7000005</v>
      </c>
      <c r="N20" s="53" t="str">
        <v>b</v>
      </c>
    </row>
    <row r="21" spans="2:16" x14ac:dyDescent="0.5">
      <c r="J21" s="52">
        <v>7000006</v>
      </c>
      <c r="K21" s="52" t="s">
        <v>2631</v>
      </c>
      <c r="M21" s="53">
        <v>7000006</v>
      </c>
      <c r="N21" s="53" t="str">
        <v>X</v>
      </c>
    </row>
    <row r="22" spans="2:16" x14ac:dyDescent="0.5">
      <c r="J22" s="52">
        <v>7000007</v>
      </c>
      <c r="K22" s="52" t="s">
        <v>2948</v>
      </c>
      <c r="M22" s="53">
        <v>7000007</v>
      </c>
      <c r="N22" s="53" t="str">
        <v>d</v>
      </c>
    </row>
    <row r="23" spans="2:16" x14ac:dyDescent="0.5">
      <c r="J23" s="52">
        <v>7000008</v>
      </c>
      <c r="K23" s="52" t="s">
        <v>2949</v>
      </c>
      <c r="M23" s="53">
        <v>7000008</v>
      </c>
      <c r="N23" s="53" t="str">
        <v>e</v>
      </c>
    </row>
    <row r="25" spans="2:16" x14ac:dyDescent="0.5">
      <c r="B25" s="47" t="s">
        <v>3289</v>
      </c>
      <c r="J25" s="52" t="s">
        <v>2631</v>
      </c>
      <c r="M25" s="53" t="str" cm="1">
        <f t="array" ref="M25">arrow_trip(D7:H7,"D6","→")</f>
        <v>X</v>
      </c>
      <c r="P25" s="54" t="str">
        <f>IF(M25="X","PASS","FAIL")</f>
        <v>PASS</v>
      </c>
    </row>
    <row r="27" spans="2:16" x14ac:dyDescent="0.5">
      <c r="B27" s="47" t="s">
        <v>3290</v>
      </c>
      <c r="J27" s="52" t="str">
        <f>""</f>
        <v/>
      </c>
      <c r="M27" s="53" t="str" cm="1">
        <f t="array" ref="M27">arrow_trip(D7:H7,"D7","Z")</f>
        <v/>
      </c>
      <c r="P27" s="54" t="str">
        <f>IF(M27="","PASS","FAIL")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CF875-5F74-48A9-8263-C6BAAB926E99}">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2953</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2954</v>
      </c>
      <c r="D6" s="51">
        <v>30</v>
      </c>
      <c r="F6" s="51" t="s">
        <v>2946</v>
      </c>
      <c r="H6" s="52" t="s">
        <v>2947</v>
      </c>
      <c r="J6" s="53" t="str" cm="1">
        <f t="array" ref="J6">biggest(D6:D8,F6:F8)</f>
        <v>b</v>
      </c>
      <c r="L6" s="54" t="str">
        <f>IF(J6=H6,"PASS","FAIL")</f>
        <v>PASS</v>
      </c>
    </row>
    <row r="7" spans="1:19" x14ac:dyDescent="0.5">
      <c r="A7" s="55"/>
      <c r="B7" s="55"/>
      <c r="D7" s="51">
        <v>70</v>
      </c>
      <c r="F7" s="51" t="s">
        <v>2947</v>
      </c>
    </row>
    <row r="8" spans="1:19" x14ac:dyDescent="0.5">
      <c r="A8" s="55"/>
      <c r="B8" s="55"/>
      <c r="D8" s="51">
        <v>50</v>
      </c>
      <c r="F8" s="51" t="s">
        <v>2955</v>
      </c>
    </row>
    <row r="10" spans="1:19" x14ac:dyDescent="0.5">
      <c r="A10" s="46">
        <v>2</v>
      </c>
      <c r="B10" s="47" t="s">
        <v>2956</v>
      </c>
      <c r="D10" s="51">
        <v>5</v>
      </c>
      <c r="F10" s="51" t="s">
        <v>2957</v>
      </c>
      <c r="H10" s="52" t="s">
        <v>2958</v>
      </c>
      <c r="J10" s="53" t="str" cm="1">
        <f t="array" ref="J10">biggest(D10:D13,F10:F13)</f>
        <v>q</v>
      </c>
      <c r="L10" s="54" t="str">
        <f>IF(J10=H10,"PASS","FAIL")</f>
        <v>PASS</v>
      </c>
    </row>
    <row r="11" spans="1:19" x14ac:dyDescent="0.5">
      <c r="A11" s="55"/>
      <c r="B11" s="55"/>
      <c r="D11" s="51">
        <v>9</v>
      </c>
      <c r="F11" s="51" t="s">
        <v>2958</v>
      </c>
    </row>
    <row r="12" spans="1:19" x14ac:dyDescent="0.5">
      <c r="A12" s="55"/>
      <c r="B12" s="55"/>
      <c r="D12" s="51">
        <v>9</v>
      </c>
      <c r="F12" s="51" t="s">
        <v>2959</v>
      </c>
    </row>
    <row r="13" spans="1:19" x14ac:dyDescent="0.5">
      <c r="A13" s="55"/>
      <c r="B13" s="55"/>
      <c r="D13" s="51">
        <v>2</v>
      </c>
      <c r="F13" s="51" t="s">
        <v>2960</v>
      </c>
    </row>
    <row r="15" spans="1:19" x14ac:dyDescent="0.5">
      <c r="A15" s="46">
        <v>3</v>
      </c>
      <c r="B15" s="47" t="s">
        <v>3291</v>
      </c>
      <c r="D15" s="51" t="s">
        <v>2966</v>
      </c>
      <c r="F15" s="51" t="s">
        <v>3292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7CC0C-FA57-4F23-A7DE-CA57BFD04F91}">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2961</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2962</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2963</v>
      </c>
      <c r="D10" s="51">
        <v>150</v>
      </c>
      <c r="F10" s="51">
        <v>100</v>
      </c>
      <c r="J10" s="52">
        <v>100</v>
      </c>
      <c r="L10" s="53" cm="1">
        <f t="array" ref="L10">clamp(D10,,F10)</f>
        <v>100</v>
      </c>
      <c r="N10" s="54" t="str">
        <f>IF(L10=J10,"PASS","FAIL")</f>
        <v>PASS</v>
      </c>
    </row>
    <row r="12" spans="1:19" x14ac:dyDescent="0.5">
      <c r="A12" s="46">
        <v>3</v>
      </c>
      <c r="B12" s="47" t="s">
        <v>2964</v>
      </c>
      <c r="D12" s="51">
        <v>-5</v>
      </c>
      <c r="F12" s="51">
        <v>0</v>
      </c>
      <c r="J12" s="52">
        <v>0</v>
      </c>
      <c r="L12" s="53" cm="1">
        <f t="array" ref="L12">clamp(D12,F12)</f>
        <v>0</v>
      </c>
      <c r="N12" s="54" t="str">
        <f>IF(L12=J12,"PASS","FAIL")</f>
        <v>PASS</v>
      </c>
    </row>
    <row r="14" spans="1:19" x14ac:dyDescent="0.5">
      <c r="A14" s="46">
        <v>4</v>
      </c>
      <c r="B14" s="47" t="s">
        <v>2965</v>
      </c>
      <c r="D14" s="51">
        <v>5</v>
      </c>
      <c r="F14" s="51">
        <v>0</v>
      </c>
      <c r="H14" s="51">
        <v>10</v>
      </c>
      <c r="J14" s="52">
        <v>5</v>
      </c>
      <c r="L14" s="53" cm="1">
        <f t="array" ref="L14:L17">clamp(D14:D17,F14,H14)</f>
        <v>5</v>
      </c>
      <c r="N14" s="54" t="str" cm="1">
        <f t="array" ref="N14">IF(AND(J14:J17=L14:L17),"PASS","FAIL")</f>
        <v>PASS</v>
      </c>
    </row>
    <row r="15" spans="1:19" x14ac:dyDescent="0.5">
      <c r="A15" s="55"/>
      <c r="B15" s="55"/>
      <c r="D15" s="51" t="s">
        <v>2966</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2967</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5FD94-1386-4629-99C9-44884C5A7C0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3515</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3516</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3517</v>
      </c>
      <c r="D13" s="51"/>
      <c r="F13" s="52" t="s">
        <v>3518</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3519</v>
      </c>
      <c r="D15" s="51"/>
      <c r="F15" s="52" t="s">
        <v>3520</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3521</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3522</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83E67-03CB-4B10-9B44-82D4DA0ED454}">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2968</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2969</v>
      </c>
      <c r="D6" s="51" t="s">
        <v>2970</v>
      </c>
      <c r="F6" s="51" t="s">
        <v>2946</v>
      </c>
      <c r="J6" s="52">
        <v>3</v>
      </c>
      <c r="L6" s="53" cm="1">
        <f t="array" ref="L6">count_substring(D6,F6)</f>
        <v>3</v>
      </c>
      <c r="N6" s="54" t="str">
        <f>IF(L6=J6,"PASS","FAIL")</f>
        <v>PASS</v>
      </c>
    </row>
    <row r="8" spans="1:19" x14ac:dyDescent="0.5">
      <c r="A8" s="46">
        <v>2</v>
      </c>
      <c r="B8" s="47" t="s">
        <v>2971</v>
      </c>
      <c r="D8" s="51" t="s">
        <v>2970</v>
      </c>
      <c r="F8" s="51" t="s">
        <v>2972</v>
      </c>
      <c r="J8" s="52">
        <v>2</v>
      </c>
      <c r="L8" s="53" cm="1">
        <f t="array" ref="L8">count_substring(D8,F8)</f>
        <v>2</v>
      </c>
      <c r="N8" s="54" t="str">
        <f>IF(L8=J8,"PASS","FAIL")</f>
        <v>PASS</v>
      </c>
    </row>
    <row r="10" spans="1:19" x14ac:dyDescent="0.5">
      <c r="A10" s="46">
        <v>3</v>
      </c>
      <c r="B10" s="47" t="s">
        <v>2973</v>
      </c>
      <c r="D10" s="51" t="s">
        <v>2974</v>
      </c>
      <c r="F10" s="51" t="s">
        <v>2946</v>
      </c>
      <c r="H10" s="51">
        <v>1</v>
      </c>
      <c r="J10" s="52">
        <v>2</v>
      </c>
      <c r="L10" s="53" cm="1">
        <f t="array" ref="L10">count_substring(D10,F10,H10)</f>
        <v>2</v>
      </c>
      <c r="N10" s="54" t="str">
        <f>IF(L10=J10,"PASS","FAIL")</f>
        <v>PASS</v>
      </c>
    </row>
    <row r="12" spans="1:19" x14ac:dyDescent="0.5">
      <c r="A12" s="46">
        <v>4</v>
      </c>
      <c r="B12" s="47" t="s">
        <v>2975</v>
      </c>
      <c r="D12" s="51" t="s">
        <v>2974</v>
      </c>
      <c r="F12" s="51" t="s">
        <v>2946</v>
      </c>
      <c r="J12" s="52">
        <v>4</v>
      </c>
      <c r="L12" s="53" cm="1">
        <f t="array" ref="L12">count_substring(D12,F12)</f>
        <v>4</v>
      </c>
      <c r="N12" s="54" t="str">
        <f>IF(L12=J12,"PASS","FAIL")</f>
        <v>PASS</v>
      </c>
    </row>
    <row r="14" spans="1:19" x14ac:dyDescent="0.5">
      <c r="A14" s="46">
        <v>5</v>
      </c>
      <c r="B14" s="47" t="s">
        <v>2976</v>
      </c>
      <c r="D14" s="51" t="s">
        <v>2970</v>
      </c>
      <c r="F14" s="51" t="s">
        <v>2946</v>
      </c>
      <c r="J14" s="52">
        <v>3</v>
      </c>
      <c r="L14" s="53" cm="1">
        <f t="array" ref="L14:L15">count_substring(D14,F14:F15)</f>
        <v>3</v>
      </c>
      <c r="N14" s="54" t="str" cm="1">
        <f t="array" ref="N14">IF(AND(J14:J15=L14:L15),"PASS","FAIL")</f>
        <v>PASS</v>
      </c>
    </row>
    <row r="15" spans="1:19" x14ac:dyDescent="0.5">
      <c r="A15" s="55"/>
      <c r="B15" s="55"/>
      <c r="F15" s="51" t="s">
        <v>2977</v>
      </c>
      <c r="J15" s="52">
        <v>2</v>
      </c>
      <c r="L15" s="53">
        <v>2</v>
      </c>
    </row>
    <row r="17" spans="1:14" x14ac:dyDescent="0.5">
      <c r="A17" s="46">
        <v>6</v>
      </c>
      <c r="B17" s="47" t="s">
        <v>2978</v>
      </c>
      <c r="D17" s="51" t="s">
        <v>2970</v>
      </c>
      <c r="F17" s="51" t="s">
        <v>2946</v>
      </c>
      <c r="J17" s="52">
        <v>3</v>
      </c>
      <c r="L17" s="53" cm="1">
        <f t="array" ref="L17:L18">count_substring(D17:D18,F17)</f>
        <v>3</v>
      </c>
      <c r="N17" s="54" t="str" cm="1">
        <f t="array" ref="N17">IF(AND(J17:J18=L17:L18),"PASS","FAIL")</f>
        <v>PASS</v>
      </c>
    </row>
    <row r="18" spans="1:14" x14ac:dyDescent="0.5">
      <c r="A18" s="55"/>
      <c r="B18" s="55"/>
      <c r="D18" s="51" t="s">
        <v>2979</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FFDD-713D-401F-A250-B9190041DB3C}">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2980</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2981</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2982</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2983</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2984</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148FF-38CA-47E7-B7CA-5E64626D31D1}">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2985</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2986</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2987</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2FF42F-8660-4E90-9943-4B5E10C1E168}">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2988</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2989</v>
      </c>
      <c r="D6" s="51" t="s">
        <v>2990</v>
      </c>
      <c r="F6" s="52">
        <v>5</v>
      </c>
      <c r="H6" s="53" cm="1">
        <f t="array" ref="H6">die_pips(D6)</f>
        <v>5</v>
      </c>
      <c r="J6" s="54" t="str">
        <f>IF(H6=F6,"PASS","FAIL")</f>
        <v>PASS</v>
      </c>
    </row>
    <row r="8" spans="1:19" x14ac:dyDescent="0.5">
      <c r="A8" s="46">
        <v>2</v>
      </c>
      <c r="B8" s="47" t="s">
        <v>2991</v>
      </c>
      <c r="D8" s="51" t="s">
        <v>2992</v>
      </c>
      <c r="F8" s="52">
        <v>2</v>
      </c>
      <c r="H8" s="53" cm="1">
        <f t="array" ref="H8">die_pips(D8)</f>
        <v>2</v>
      </c>
      <c r="J8" s="54" t="str">
        <f>IF(H8=F8,"PASS","FAIL")</f>
        <v>PASS</v>
      </c>
    </row>
    <row r="10" spans="1:19" x14ac:dyDescent="0.5">
      <c r="A10" s="46">
        <v>3</v>
      </c>
      <c r="B10" s="47" t="s">
        <v>2993</v>
      </c>
      <c r="D10" s="51" t="s">
        <v>2994</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2995</v>
      </c>
      <c r="D13" s="51" t="s">
        <v>2996</v>
      </c>
      <c r="F13" s="52">
        <v>3</v>
      </c>
      <c r="H13" s="53" cm="1">
        <f t="array" ref="H13:H14">die_pips(D13:D14)</f>
        <v>3</v>
      </c>
      <c r="J13" s="54" t="str" cm="1">
        <f t="array" ref="J13">IF(AND(F13:F14=H13:H14),"PASS","FAIL")</f>
        <v>PASS</v>
      </c>
    </row>
    <row r="14" spans="1:19" x14ac:dyDescent="0.5">
      <c r="A14" s="55"/>
      <c r="B14" s="55"/>
      <c r="D14" s="51" t="s">
        <v>2990</v>
      </c>
      <c r="F14" s="52">
        <v>5</v>
      </c>
      <c r="H14" s="53">
        <v>5</v>
      </c>
    </row>
    <row r="16" spans="1:19" x14ac:dyDescent="0.5">
      <c r="A16" s="46">
        <v>5</v>
      </c>
      <c r="B16" s="47" t="s">
        <v>3293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FC193-4E8E-439C-A4E7-E70D774C1469}">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2997</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2998</v>
      </c>
      <c r="D6" s="51" t="s">
        <v>2934</v>
      </c>
      <c r="F6" s="51" t="s">
        <v>2999</v>
      </c>
      <c r="L6" s="52">
        <v>2</v>
      </c>
      <c r="N6" s="53" cm="1">
        <f t="array" ref="N6">dist(D6,F6)</f>
        <v>2</v>
      </c>
      <c r="P6" s="54" t="str">
        <f>IF(N6=L6,"PASS","FAIL")</f>
        <v>PASS</v>
      </c>
    </row>
    <row r="8" spans="1:19" x14ac:dyDescent="0.5">
      <c r="A8" s="46">
        <v>2</v>
      </c>
      <c r="B8" s="47" t="s">
        <v>3000</v>
      </c>
      <c r="D8" s="51" t="s">
        <v>2934</v>
      </c>
      <c r="F8" s="51" t="s">
        <v>2999</v>
      </c>
      <c r="H8" s="51">
        <v>0</v>
      </c>
      <c r="L8" s="52">
        <v>4</v>
      </c>
      <c r="N8" s="53" cm="1">
        <f t="array" ref="N8">dist(D8,F8,H8)</f>
        <v>4</v>
      </c>
      <c r="P8" s="54" t="str">
        <f>IF(N8=L8,"PASS","FAIL")</f>
        <v>PASS</v>
      </c>
    </row>
    <row r="10" spans="1:19" x14ac:dyDescent="0.5">
      <c r="A10" s="46">
        <v>3</v>
      </c>
      <c r="B10" s="47" t="s">
        <v>3001</v>
      </c>
      <c r="D10" s="51" t="s">
        <v>2934</v>
      </c>
      <c r="F10" s="51" t="s">
        <v>2999</v>
      </c>
      <c r="H10" s="51">
        <v>-1</v>
      </c>
      <c r="L10" s="52">
        <v>2.8284271247461898</v>
      </c>
      <c r="N10" s="53" cm="1">
        <f t="array" ref="N10">dist(D10,F10,H10)</f>
        <v>2.8284271247461903</v>
      </c>
      <c r="P10" s="54" t="str">
        <f>IF(ABS(N10-L10)&lt;0.000000001,"PASS","FAIL")</f>
        <v>PASS</v>
      </c>
    </row>
    <row r="12" spans="1:19" x14ac:dyDescent="0.5">
      <c r="A12" s="46">
        <v>4</v>
      </c>
      <c r="B12" s="47" t="s">
        <v>3002</v>
      </c>
      <c r="D12" s="51" t="s">
        <v>2934</v>
      </c>
      <c r="F12" s="51" t="s">
        <v>3003</v>
      </c>
      <c r="L12" s="52">
        <v>3</v>
      </c>
      <c r="N12" s="53" cm="1">
        <f t="array" ref="N12">dist(D12,F12)</f>
        <v>3</v>
      </c>
      <c r="P12" s="54" t="str">
        <f>IF(N12=L12,"PASS","FAIL")</f>
        <v>PASS</v>
      </c>
    </row>
    <row r="14" spans="1:19" x14ac:dyDescent="0.5">
      <c r="A14" s="46">
        <v>5</v>
      </c>
      <c r="B14" s="47" t="s">
        <v>3004</v>
      </c>
      <c r="D14" s="51" t="s">
        <v>2934</v>
      </c>
      <c r="F14" s="51" t="s">
        <v>2999</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3005</v>
      </c>
      <c r="D21" s="51" t="s">
        <v>2934</v>
      </c>
      <c r="F21" s="51" t="s">
        <v>3006</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3007</v>
      </c>
      <c r="D28" s="51" t="s">
        <v>2934</v>
      </c>
      <c r="F28" s="51" t="s">
        <v>2999</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9DA40-D19A-4170-80B3-5C564DDC542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3008</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3009</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3010</v>
      </c>
      <c r="D10" s="51" t="s">
        <v>2946</v>
      </c>
      <c r="F10" s="51" t="s">
        <v>2966</v>
      </c>
      <c r="H10" s="52">
        <v>0</v>
      </c>
      <c r="J10" s="53" cm="1">
        <f t="array" ref="J10">exists(D10:D12,F10)</f>
        <v>0</v>
      </c>
      <c r="L10" s="54" t="str">
        <f>IF(J10=H10,"PASS","FAIL")</f>
        <v>PASS</v>
      </c>
    </row>
    <row r="11" spans="1:19" x14ac:dyDescent="0.5">
      <c r="A11" s="55"/>
      <c r="B11" s="55"/>
      <c r="D11" s="51" t="s">
        <v>2947</v>
      </c>
    </row>
    <row r="12" spans="1:19" x14ac:dyDescent="0.5">
      <c r="A12" s="55"/>
      <c r="B12" s="55"/>
      <c r="D12" s="51" t="s">
        <v>2955</v>
      </c>
    </row>
    <row r="14" spans="1:19" x14ac:dyDescent="0.5">
      <c r="A14" s="46">
        <v>3</v>
      </c>
      <c r="B14" s="47" t="s">
        <v>3011</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3012</v>
      </c>
      <c r="D18" s="51" t="s">
        <v>2946</v>
      </c>
      <c r="F18" s="51" t="s">
        <v>2946</v>
      </c>
      <c r="H18" s="52">
        <v>1</v>
      </c>
      <c r="J18" s="53" cm="1">
        <f t="array" ref="J18:J19">exists(D18:D20,F18:F19)</f>
        <v>1</v>
      </c>
      <c r="L18" s="54" t="str" cm="1">
        <f t="array" ref="L18">IF(AND(H18:H19=J18:J19),"PASS","FAIL")</f>
        <v>PASS</v>
      </c>
    </row>
    <row r="19" spans="1:12" x14ac:dyDescent="0.5">
      <c r="A19" s="55"/>
      <c r="B19" s="55"/>
      <c r="D19" s="51" t="s">
        <v>2947</v>
      </c>
      <c r="F19" s="51" t="s">
        <v>3013</v>
      </c>
      <c r="H19" s="52">
        <v>0</v>
      </c>
      <c r="J19" s="53">
        <v>0</v>
      </c>
    </row>
    <row r="20" spans="1:12" x14ac:dyDescent="0.5">
      <c r="A20" s="55"/>
      <c r="B20" s="55"/>
      <c r="D20" s="51" t="s">
        <v>2955</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FDB4-D9BD-47B4-B364-A4C1462E4976}">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3523</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3524</v>
      </c>
      <c r="D6" s="51" t="s">
        <v>3525</v>
      </c>
      <c r="F6" s="52" t="s">
        <v>3526</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3527</v>
      </c>
      <c r="D8" s="51" t="s">
        <v>3528</v>
      </c>
      <c r="F8" s="52" t="s">
        <v>3529</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3530</v>
      </c>
      <c r="D10" s="51" t="s">
        <v>3531</v>
      </c>
      <c r="F10" s="52" t="s">
        <v>3532</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3533</v>
      </c>
      <c r="D12" s="51" t="s">
        <v>3534</v>
      </c>
      <c r="F12" s="52" t="s">
        <v>3535</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3536</v>
      </c>
      <c r="D14" s="51" t="s">
        <v>3537</v>
      </c>
      <c r="F14" s="52" t="s">
        <v>3538</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3539</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3540</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D37CA2-8D47-4721-9344-DC102BAF8AC2}">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3014</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3015</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3016</v>
      </c>
      <c r="D10" s="51" t="s">
        <v>2946</v>
      </c>
      <c r="H10" s="52" t="s">
        <v>2946</v>
      </c>
      <c r="I10" s="52">
        <v>3</v>
      </c>
      <c r="K10" s="53" t="str" cm="1">
        <f t="array" ref="K10:L12">freq_table(D10:D15)</f>
        <v>a</v>
      </c>
      <c r="L10" s="53">
        <v>3</v>
      </c>
      <c r="N10" s="54" t="str" cm="1">
        <f t="array" ref="N10">IF(AND(H10:I12=K10:L12),"PASS","FAIL")</f>
        <v>PASS</v>
      </c>
    </row>
    <row r="11" spans="1:19" x14ac:dyDescent="0.5">
      <c r="A11" s="55"/>
      <c r="B11" s="55"/>
      <c r="D11" s="51" t="s">
        <v>2946</v>
      </c>
      <c r="H11" s="52" t="s">
        <v>2947</v>
      </c>
      <c r="I11" s="52">
        <v>2</v>
      </c>
      <c r="K11" s="53" t="str">
        <v>b</v>
      </c>
      <c r="L11" s="53">
        <v>2</v>
      </c>
    </row>
    <row r="12" spans="1:19" x14ac:dyDescent="0.5">
      <c r="A12" s="55"/>
      <c r="B12" s="55"/>
      <c r="D12" s="51" t="s">
        <v>2946</v>
      </c>
      <c r="H12" s="52" t="s">
        <v>2955</v>
      </c>
      <c r="I12" s="52">
        <v>1</v>
      </c>
      <c r="K12" s="53" t="str">
        <v>c</v>
      </c>
      <c r="L12" s="53">
        <v>1</v>
      </c>
    </row>
    <row r="13" spans="1:19" x14ac:dyDescent="0.5">
      <c r="A13" s="55"/>
      <c r="B13" s="55"/>
      <c r="D13" s="51" t="s">
        <v>2947</v>
      </c>
    </row>
    <row r="14" spans="1:19" x14ac:dyDescent="0.5">
      <c r="A14" s="55"/>
      <c r="B14" s="55"/>
      <c r="D14" s="51" t="s">
        <v>2947</v>
      </c>
    </row>
    <row r="15" spans="1:19" x14ac:dyDescent="0.5">
      <c r="A15" s="55"/>
      <c r="B15" s="55"/>
      <c r="D15" s="51" t="s">
        <v>2955</v>
      </c>
    </row>
    <row r="17" spans="1:14" x14ac:dyDescent="0.5">
      <c r="A17" s="46">
        <v>3</v>
      </c>
      <c r="B17" s="47" t="s">
        <v>3017</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3018</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3019</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0A7C3A-65D0-495E-BBA8-F91E62988B87}">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3020</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2981</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3021</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3022</v>
      </c>
      <c r="D14" s="51" t="s">
        <v>2946</v>
      </c>
      <c r="F14" s="52">
        <v>0</v>
      </c>
      <c r="H14" s="53" cm="1">
        <f t="array" ref="H14">is_unique(D14:D15)</f>
        <v>0</v>
      </c>
      <c r="J14" s="54" t="str">
        <f>IF(H14=F14,"PASS","FAIL")</f>
        <v>PASS</v>
      </c>
    </row>
    <row r="15" spans="1:19" x14ac:dyDescent="0.5">
      <c r="A15" s="55"/>
      <c r="B15" s="55"/>
      <c r="D15" s="51" t="s">
        <v>137</v>
      </c>
    </row>
    <row r="17" spans="1:10" x14ac:dyDescent="0.5">
      <c r="A17" s="46">
        <v>4</v>
      </c>
      <c r="B17" s="47" t="s">
        <v>3023</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E8F8-A757-4331-A5D4-CDBFA0884E4F}">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3024</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3025</v>
      </c>
      <c r="D6" s="51" t="s">
        <v>2934</v>
      </c>
      <c r="F6" s="51" t="s">
        <v>3026</v>
      </c>
      <c r="H6" s="52">
        <v>1</v>
      </c>
      <c r="J6" s="53" cm="1">
        <f t="array" ref="J6">knight_moves(D6,F6)</f>
        <v>1</v>
      </c>
      <c r="L6" s="54" t="str">
        <f>IF(J6=H6,"PASS","FAIL")</f>
        <v>PASS</v>
      </c>
    </row>
    <row r="8" spans="1:19" x14ac:dyDescent="0.5">
      <c r="A8" s="46">
        <v>2</v>
      </c>
      <c r="B8" s="47" t="s">
        <v>3027</v>
      </c>
      <c r="D8" s="51" t="s">
        <v>2934</v>
      </c>
      <c r="F8" s="51" t="s">
        <v>2999</v>
      </c>
      <c r="H8" s="52">
        <v>4</v>
      </c>
      <c r="J8" s="53" cm="1">
        <f t="array" ref="J8">knight_moves(D8,F8)</f>
        <v>4</v>
      </c>
      <c r="L8" s="54" t="str">
        <f>IF(J8=H8,"PASS","FAIL")</f>
        <v>PASS</v>
      </c>
    </row>
    <row r="10" spans="1:19" x14ac:dyDescent="0.5">
      <c r="A10" s="46">
        <v>3</v>
      </c>
      <c r="B10" s="47" t="s">
        <v>3028</v>
      </c>
      <c r="D10" s="51" t="s">
        <v>2934</v>
      </c>
      <c r="F10" s="51" t="s">
        <v>2934</v>
      </c>
      <c r="H10" s="52">
        <v>0</v>
      </c>
      <c r="J10" s="53" cm="1">
        <f t="array" ref="J10">knight_moves(D10,F10)</f>
        <v>0</v>
      </c>
      <c r="L10" s="54" t="str">
        <f>IF(J10=H10,"PASS","FAIL")</f>
        <v>PASS</v>
      </c>
    </row>
    <row r="12" spans="1:19" x14ac:dyDescent="0.5">
      <c r="A12" s="46">
        <v>4</v>
      </c>
      <c r="B12" s="47" t="s">
        <v>3029</v>
      </c>
      <c r="D12" s="51" t="s">
        <v>2934</v>
      </c>
      <c r="F12" s="51" t="s">
        <v>3030</v>
      </c>
      <c r="H12" s="52">
        <v>3</v>
      </c>
      <c r="J12" s="53" cm="1">
        <f t="array" ref="J12">knight_moves(D12,F12)</f>
        <v>3</v>
      </c>
      <c r="L12" s="54" t="str">
        <f>IF(J12=H12,"PASS","FAIL")</f>
        <v>PASS</v>
      </c>
    </row>
    <row r="14" spans="1:19" x14ac:dyDescent="0.5">
      <c r="A14" s="46">
        <v>5</v>
      </c>
      <c r="B14" s="47" t="s">
        <v>3031</v>
      </c>
      <c r="D14" s="51" t="s">
        <v>2934</v>
      </c>
      <c r="F14" s="51" t="s">
        <v>3032</v>
      </c>
      <c r="H14" s="52">
        <v>6</v>
      </c>
      <c r="J14" s="53" cm="1">
        <f t="array" ref="J14">knight_moves(D14,F14)</f>
        <v>6</v>
      </c>
      <c r="L14" s="54" t="str">
        <f>IF(J14=H14,"PASS","FAIL")</f>
        <v>PASS</v>
      </c>
    </row>
    <row r="16" spans="1:19" x14ac:dyDescent="0.5">
      <c r="A16" s="46">
        <v>6</v>
      </c>
      <c r="B16" s="47" t="s">
        <v>3033</v>
      </c>
      <c r="D16" s="51">
        <v>1000001</v>
      </c>
      <c r="F16" s="51">
        <v>8000008</v>
      </c>
      <c r="H16" s="52">
        <v>6</v>
      </c>
      <c r="J16" s="53" cm="1">
        <f t="array" ref="J16">knight_moves(D16,F16)</f>
        <v>6</v>
      </c>
      <c r="L16" s="54" t="str">
        <f>IF(J16=H16,"PASS","FAIL")</f>
        <v>PASS</v>
      </c>
    </row>
    <row r="18" spans="1:12" x14ac:dyDescent="0.5">
      <c r="A18" s="46">
        <v>7</v>
      </c>
      <c r="B18" s="47" t="s">
        <v>3034</v>
      </c>
      <c r="D18" s="51">
        <v>1000001</v>
      </c>
      <c r="F18" s="51" t="s">
        <v>2999</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B9B55-585B-4FDE-A861-DDAC67A14CE2}">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3035</v>
      </c>
      <c r="N4" s="45" t="str">
        <f>COUNTIF(N11:N20,"PASS")&amp;" / 4 PASS"</f>
        <v>4 / 4 PASS</v>
      </c>
    </row>
    <row r="5" spans="1:19" x14ac:dyDescent="0.5">
      <c r="B5" s="45" t="s">
        <v>8</v>
      </c>
      <c r="J5" s="48" t="s">
        <v>10</v>
      </c>
      <c r="L5" s="49" t="s">
        <v>11</v>
      </c>
      <c r="N5" s="50" t="s">
        <v>12</v>
      </c>
    </row>
    <row r="6" spans="1:19" x14ac:dyDescent="0.5">
      <c r="D6" s="45" t="s">
        <v>3036</v>
      </c>
    </row>
    <row r="7" spans="1:19" x14ac:dyDescent="0.5">
      <c r="D7" s="51"/>
      <c r="E7" s="51" t="s">
        <v>3037</v>
      </c>
      <c r="F7" s="51" t="s">
        <v>3038</v>
      </c>
      <c r="G7" s="51" t="s">
        <v>3039</v>
      </c>
    </row>
    <row r="8" spans="1:19" x14ac:dyDescent="0.5">
      <c r="D8" s="51" t="s">
        <v>137</v>
      </c>
      <c r="E8" s="51">
        <v>1</v>
      </c>
      <c r="F8" s="51">
        <v>2</v>
      </c>
      <c r="G8" s="51">
        <v>3</v>
      </c>
    </row>
    <row r="9" spans="1:19" x14ac:dyDescent="0.5">
      <c r="D9" s="51" t="s">
        <v>144</v>
      </c>
      <c r="E9" s="51">
        <v>4</v>
      </c>
      <c r="F9" s="51">
        <v>5</v>
      </c>
      <c r="G9" s="51">
        <v>6</v>
      </c>
    </row>
    <row r="11" spans="1:19" x14ac:dyDescent="0.5">
      <c r="B11" s="46" t="s">
        <v>3040</v>
      </c>
      <c r="J11" s="52">
        <v>5</v>
      </c>
      <c r="L11" s="53" cm="1">
        <f t="array" ref="L11">label_lookup(D7:G9,"B","Tue")</f>
        <v>5</v>
      </c>
      <c r="N11" s="54" t="str">
        <f>IF(L11=J11,"PASS","FAIL")</f>
        <v>PASS</v>
      </c>
    </row>
    <row r="13" spans="1:19" x14ac:dyDescent="0.5">
      <c r="B13" s="46" t="s">
        <v>3041</v>
      </c>
      <c r="J13" s="52">
        <v>3</v>
      </c>
      <c r="L13" s="53" cm="1">
        <f t="array" ref="L13">label_lookup(D7:G9,"A","Wed")</f>
        <v>3</v>
      </c>
      <c r="N13" s="54" t="str">
        <f>IF(L13=J13,"PASS","FAIL")</f>
        <v>PASS</v>
      </c>
    </row>
    <row r="15" spans="1:19" x14ac:dyDescent="0.5">
      <c r="B15" s="46" t="s">
        <v>3042</v>
      </c>
      <c r="J15" s="52">
        <v>4</v>
      </c>
      <c r="L15" s="53" cm="1">
        <f t="array" ref="L15">label_lookup(D7:G9,"B","Mon")</f>
        <v>4</v>
      </c>
      <c r="N15" s="54" t="str">
        <f>IF(L15=J15,"PASS","FAIL")</f>
        <v>PASS</v>
      </c>
    </row>
    <row r="17" spans="2:14" x14ac:dyDescent="0.5">
      <c r="B17" s="46" t="s">
        <v>3294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469E8-87CA-49F1-8F71-75D2F32CB1C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3043</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3044</v>
      </c>
      <c r="D6" s="51" t="s">
        <v>3044</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3045</v>
      </c>
      <c r="D9" s="51" t="s">
        <v>3045</v>
      </c>
      <c r="J9" s="52" t="s">
        <v>2946</v>
      </c>
      <c r="K9" s="52" t="s">
        <v>2947</v>
      </c>
      <c r="M9" s="53" t="str" cm="1">
        <f t="array" ref="M9:N10">load_array(D9)</f>
        <v>a</v>
      </c>
      <c r="N9" s="53" t="str">
        <v>b</v>
      </c>
      <c r="P9" s="54" t="str" cm="1">
        <f t="array" ref="P9">IF(AND(J9:K10=M9:N10),"PASS","FAIL")</f>
        <v>PASS</v>
      </c>
    </row>
    <row r="10" spans="1:19" x14ac:dyDescent="0.5">
      <c r="A10" s="55"/>
      <c r="B10" s="55"/>
      <c r="J10" s="52" t="s">
        <v>2955</v>
      </c>
      <c r="K10" s="52" t="s">
        <v>2948</v>
      </c>
      <c r="M10" s="53" t="str">
        <v>c</v>
      </c>
      <c r="N10" s="53" t="str">
        <v>d</v>
      </c>
    </row>
    <row r="12" spans="1:19" x14ac:dyDescent="0.5">
      <c r="A12" s="46">
        <v>3</v>
      </c>
      <c r="B12" s="47" t="s">
        <v>3046</v>
      </c>
      <c r="D12" s="51" t="s">
        <v>3047</v>
      </c>
      <c r="F12" s="51" t="s">
        <v>3048</v>
      </c>
      <c r="H12" s="51" t="s">
        <v>3049</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67274-41A0-4E15-88B3-26E728A0CE45}">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3050</v>
      </c>
      <c r="Q4" s="45" t="str">
        <f>COUNTIF(Q7:Q20,"PASS")&amp;" / 3 PASS"</f>
        <v>3 / 3 PASS</v>
      </c>
    </row>
    <row r="5" spans="1:19" x14ac:dyDescent="0.5">
      <c r="B5" s="45" t="s">
        <v>8</v>
      </c>
      <c r="D5" s="45" t="s">
        <v>3051</v>
      </c>
      <c r="I5" s="48" t="s">
        <v>10</v>
      </c>
      <c r="M5" s="49" t="s">
        <v>11</v>
      </c>
      <c r="Q5" s="50" t="s">
        <v>12</v>
      </c>
    </row>
    <row r="6" spans="1:19" x14ac:dyDescent="0.5">
      <c r="B6" s="45" t="s">
        <v>3052</v>
      </c>
    </row>
    <row r="7" spans="1:19" x14ac:dyDescent="0.5">
      <c r="B7" s="47" t="s">
        <v>3053</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3054</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3055</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9FC43-8950-49E0-9DD8-7B60C92B2D0C}">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3056</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3057</v>
      </c>
      <c r="D6" s="51" t="s">
        <v>3058</v>
      </c>
      <c r="F6" s="51">
        <v>0</v>
      </c>
      <c r="H6" s="52" t="s">
        <v>3030</v>
      </c>
      <c r="J6" s="53" t="str" cm="1">
        <f t="array" ref="J6:J9">neighbors_list(D6,,,F6)</f>
        <v>B1</v>
      </c>
      <c r="L6" s="54" t="str" cm="1">
        <f t="array" ref="L6">IF(AND(H6:H9=J6:J9),"PASS","FAIL")</f>
        <v>PASS</v>
      </c>
    </row>
    <row r="7" spans="1:19" x14ac:dyDescent="0.5">
      <c r="A7" s="55"/>
      <c r="B7" s="55"/>
      <c r="H7" s="52" t="s">
        <v>3059</v>
      </c>
      <c r="J7" s="53" t="str">
        <v>A2</v>
      </c>
    </row>
    <row r="8" spans="1:19" x14ac:dyDescent="0.5">
      <c r="A8" s="55"/>
      <c r="B8" s="55"/>
      <c r="H8" s="52" t="s">
        <v>3060</v>
      </c>
      <c r="J8" s="53" t="str">
        <v>C2</v>
      </c>
    </row>
    <row r="9" spans="1:19" x14ac:dyDescent="0.5">
      <c r="A9" s="55"/>
      <c r="B9" s="55"/>
      <c r="H9" s="52" t="s">
        <v>3026</v>
      </c>
      <c r="J9" s="53" t="str">
        <v>B3</v>
      </c>
    </row>
    <row r="11" spans="1:19" x14ac:dyDescent="0.5">
      <c r="A11" s="46">
        <v>2</v>
      </c>
      <c r="B11" s="47" t="s">
        <v>3061</v>
      </c>
      <c r="D11" s="51" t="s">
        <v>3058</v>
      </c>
      <c r="H11" s="52" t="s">
        <v>2934</v>
      </c>
      <c r="J11" s="53" t="str" cm="1">
        <f t="array" ref="J11:J18">neighbors_list(D11)</f>
        <v>A1</v>
      </c>
      <c r="L11" s="54" t="str" cm="1">
        <f t="array" ref="L11">IF(AND(H11:H18=J11:J18),"PASS","FAIL")</f>
        <v>PASS</v>
      </c>
    </row>
    <row r="12" spans="1:19" x14ac:dyDescent="0.5">
      <c r="A12" s="55"/>
      <c r="B12" s="55"/>
      <c r="H12" s="52" t="s">
        <v>3030</v>
      </c>
      <c r="J12" s="53" t="str">
        <v>B1</v>
      </c>
    </row>
    <row r="13" spans="1:19" x14ac:dyDescent="0.5">
      <c r="A13" s="55"/>
      <c r="B13" s="55"/>
      <c r="H13" s="52" t="s">
        <v>3062</v>
      </c>
      <c r="J13" s="53" t="str">
        <v>C1</v>
      </c>
    </row>
    <row r="14" spans="1:19" x14ac:dyDescent="0.5">
      <c r="A14" s="55"/>
      <c r="B14" s="55"/>
      <c r="H14" s="52" t="s">
        <v>3059</v>
      </c>
      <c r="J14" s="53" t="str">
        <v>A2</v>
      </c>
    </row>
    <row r="15" spans="1:19" x14ac:dyDescent="0.5">
      <c r="A15" s="55"/>
      <c r="B15" s="55"/>
      <c r="H15" s="52" t="s">
        <v>3060</v>
      </c>
      <c r="J15" s="53" t="str">
        <v>C2</v>
      </c>
    </row>
    <row r="16" spans="1:19" x14ac:dyDescent="0.5">
      <c r="A16" s="55"/>
      <c r="B16" s="55"/>
      <c r="H16" s="52" t="s">
        <v>2937</v>
      </c>
      <c r="J16" s="53" t="str">
        <v>A3</v>
      </c>
    </row>
    <row r="17" spans="1:12" x14ac:dyDescent="0.5">
      <c r="A17" s="55"/>
      <c r="B17" s="55"/>
      <c r="H17" s="52" t="s">
        <v>3026</v>
      </c>
      <c r="J17" s="53" t="str">
        <v>B3</v>
      </c>
    </row>
    <row r="18" spans="1:12" x14ac:dyDescent="0.5">
      <c r="A18" s="55"/>
      <c r="B18" s="55"/>
      <c r="H18" s="52" t="s">
        <v>2999</v>
      </c>
      <c r="J18" s="53" t="str">
        <v>C3</v>
      </c>
    </row>
    <row r="20" spans="1:12" x14ac:dyDescent="0.5">
      <c r="A20" s="46">
        <v>3</v>
      </c>
      <c r="B20" s="47" t="s">
        <v>3063</v>
      </c>
      <c r="D20" s="51">
        <v>2000002</v>
      </c>
      <c r="H20" s="52" t="s">
        <v>2934</v>
      </c>
      <c r="J20" s="53" t="str" cm="1">
        <f t="array" ref="J20:J27">neighbors_list(D20)</f>
        <v>A1</v>
      </c>
      <c r="L20" s="54" t="str" cm="1">
        <f t="array" ref="L20">IF(AND(H20:H27=J20:J27),"PASS","FAIL")</f>
        <v>PASS</v>
      </c>
    </row>
    <row r="21" spans="1:12" x14ac:dyDescent="0.5">
      <c r="A21" s="55"/>
      <c r="B21" s="55"/>
      <c r="H21" s="52" t="s">
        <v>3030</v>
      </c>
      <c r="J21" s="53" t="str">
        <v>B1</v>
      </c>
    </row>
    <row r="22" spans="1:12" x14ac:dyDescent="0.5">
      <c r="A22" s="55"/>
      <c r="B22" s="55"/>
      <c r="H22" s="52" t="s">
        <v>3062</v>
      </c>
      <c r="J22" s="53" t="str">
        <v>C1</v>
      </c>
    </row>
    <row r="23" spans="1:12" x14ac:dyDescent="0.5">
      <c r="A23" s="55"/>
      <c r="B23" s="55"/>
      <c r="H23" s="52" t="s">
        <v>3059</v>
      </c>
      <c r="J23" s="53" t="str">
        <v>A2</v>
      </c>
    </row>
    <row r="24" spans="1:12" x14ac:dyDescent="0.5">
      <c r="A24" s="55"/>
      <c r="B24" s="55"/>
      <c r="H24" s="52" t="s">
        <v>3060</v>
      </c>
      <c r="J24" s="53" t="str">
        <v>C2</v>
      </c>
    </row>
    <row r="25" spans="1:12" x14ac:dyDescent="0.5">
      <c r="A25" s="55"/>
      <c r="B25" s="55"/>
      <c r="H25" s="52" t="s">
        <v>2937</v>
      </c>
      <c r="J25" s="53" t="str">
        <v>A3</v>
      </c>
    </row>
    <row r="26" spans="1:12" x14ac:dyDescent="0.5">
      <c r="A26" s="55"/>
      <c r="B26" s="55"/>
      <c r="H26" s="52" t="s">
        <v>3026</v>
      </c>
      <c r="J26" s="53" t="str">
        <v>B3</v>
      </c>
    </row>
    <row r="27" spans="1:12" x14ac:dyDescent="0.5">
      <c r="A27" s="55"/>
      <c r="B27" s="55"/>
      <c r="H27" s="52" t="s">
        <v>2999</v>
      </c>
      <c r="J27" s="53" t="str">
        <v>C3</v>
      </c>
    </row>
    <row r="29" spans="1:12" x14ac:dyDescent="0.5">
      <c r="A29" s="46">
        <v>4</v>
      </c>
      <c r="B29" s="47" t="s">
        <v>3064</v>
      </c>
      <c r="D29" s="51">
        <v>2000002</v>
      </c>
      <c r="F29" s="51">
        <v>0</v>
      </c>
      <c r="H29" s="52" t="s">
        <v>3030</v>
      </c>
      <c r="J29" s="53" t="str" cm="1">
        <f t="array" ref="J29:J32">neighbors_list(D29,,,F29)</f>
        <v>B1</v>
      </c>
      <c r="L29" s="54" t="str" cm="1">
        <f t="array" ref="L29">IF(AND(H29:H32=J29:J32),"PASS","FAIL")</f>
        <v>PASS</v>
      </c>
    </row>
    <row r="30" spans="1:12" x14ac:dyDescent="0.5">
      <c r="A30" s="55"/>
      <c r="B30" s="55"/>
      <c r="H30" s="52" t="s">
        <v>3059</v>
      </c>
      <c r="J30" s="53" t="str">
        <v>A2</v>
      </c>
    </row>
    <row r="31" spans="1:12" x14ac:dyDescent="0.5">
      <c r="A31" s="55"/>
      <c r="B31" s="55"/>
      <c r="H31" s="52" t="s">
        <v>3060</v>
      </c>
      <c r="J31" s="53" t="str">
        <v>C2</v>
      </c>
    </row>
    <row r="32" spans="1:12" x14ac:dyDescent="0.5">
      <c r="A32" s="55"/>
      <c r="B32" s="55"/>
      <c r="H32" s="52" t="s">
        <v>3026</v>
      </c>
      <c r="J32" s="53" t="str">
        <v>B3</v>
      </c>
    </row>
    <row r="34" spans="1:12" x14ac:dyDescent="0.5">
      <c r="A34" s="46">
        <v>5</v>
      </c>
      <c r="B34" s="47" t="s">
        <v>3065</v>
      </c>
      <c r="D34" s="51">
        <v>3000003</v>
      </c>
      <c r="H34" s="52" t="s">
        <v>3058</v>
      </c>
      <c r="J34" s="53" t="str" cm="1">
        <f t="array" ref="J34:J41">neighbors_list(D34)</f>
        <v>B2</v>
      </c>
      <c r="L34" s="54" t="str" cm="1">
        <f t="array" ref="L34">IF(AND(H34:H41=J34:J41),"PASS","FAIL")</f>
        <v>PASS</v>
      </c>
    </row>
    <row r="35" spans="1:12" x14ac:dyDescent="0.5">
      <c r="A35" s="55"/>
      <c r="B35" s="55"/>
      <c r="H35" s="52" t="s">
        <v>3060</v>
      </c>
      <c r="J35" s="53" t="str">
        <v>C2</v>
      </c>
    </row>
    <row r="36" spans="1:12" x14ac:dyDescent="0.5">
      <c r="A36" s="55"/>
      <c r="B36" s="55"/>
      <c r="H36" s="52" t="s">
        <v>3003</v>
      </c>
      <c r="J36" s="53" t="str">
        <v>D2</v>
      </c>
    </row>
    <row r="37" spans="1:12" x14ac:dyDescent="0.5">
      <c r="A37" s="55"/>
      <c r="B37" s="55"/>
      <c r="H37" s="52" t="s">
        <v>3026</v>
      </c>
      <c r="J37" s="53" t="str">
        <v>B3</v>
      </c>
    </row>
    <row r="38" spans="1:12" x14ac:dyDescent="0.5">
      <c r="A38" s="55"/>
      <c r="B38" s="55"/>
      <c r="H38" s="52" t="s">
        <v>3066</v>
      </c>
      <c r="J38" s="53" t="str">
        <v>D3</v>
      </c>
    </row>
    <row r="39" spans="1:12" x14ac:dyDescent="0.5">
      <c r="A39" s="55"/>
      <c r="B39" s="55"/>
      <c r="H39" s="52" t="s">
        <v>3067</v>
      </c>
      <c r="J39" s="53" t="str">
        <v>B4</v>
      </c>
    </row>
    <row r="40" spans="1:12" x14ac:dyDescent="0.5">
      <c r="A40" s="55"/>
      <c r="B40" s="55"/>
      <c r="H40" s="52" t="s">
        <v>3006</v>
      </c>
      <c r="J40" s="53" t="str">
        <v>C4</v>
      </c>
    </row>
    <row r="41" spans="1:12" x14ac:dyDescent="0.5">
      <c r="A41" s="55"/>
      <c r="B41" s="55"/>
      <c r="H41" s="52" t="s">
        <v>3068</v>
      </c>
      <c r="J41" s="53" t="str">
        <v>D4</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EC83-1EF9-4793-A4BA-2E04962894B2}">
  <sheetPr codeName="Sheet72"/>
  <dimension ref="A1:S21"/>
  <sheetViews>
    <sheetView tabSelected="1"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3541</v>
      </c>
      <c r="J4" s="45" t="str">
        <f>COUNTIF(J6:J40,"PASS")&amp;" / 8 PASS"</f>
        <v>8 / 8 PASS</v>
      </c>
    </row>
    <row r="5" spans="1:19" x14ac:dyDescent="0.5">
      <c r="A5" s="45" t="s">
        <v>7</v>
      </c>
      <c r="B5" s="45" t="s">
        <v>8</v>
      </c>
      <c r="D5" s="45" t="s">
        <v>9</v>
      </c>
      <c r="F5" s="48" t="s">
        <v>10</v>
      </c>
      <c r="H5" s="49" t="s">
        <v>11</v>
      </c>
      <c r="J5" s="50" t="s">
        <v>12</v>
      </c>
    </row>
    <row r="6" spans="1:19" x14ac:dyDescent="0.5">
      <c r="A6" s="46">
        <v>1</v>
      </c>
      <c r="B6" s="47" t="s">
        <v>3069</v>
      </c>
      <c r="D6" s="51" t="s">
        <v>3066</v>
      </c>
      <c r="F6" s="52">
        <v>3000004</v>
      </c>
      <c r="H6" s="53" cm="1">
        <f t="array" ref="H6">num_ad(D6)</f>
        <v>3000004</v>
      </c>
      <c r="J6" s="54" t="str">
        <f>IF(H6=F6,"PASS","FAIL")</f>
        <v>PASS</v>
      </c>
    </row>
    <row r="7" spans="1:19" x14ac:dyDescent="0.5">
      <c r="F7" s="52"/>
      <c r="H7" s="53"/>
      <c r="J7" s="54"/>
    </row>
    <row r="8" spans="1:19" x14ac:dyDescent="0.5">
      <c r="A8" s="46">
        <v>2</v>
      </c>
      <c r="B8" s="47" t="s">
        <v>3070</v>
      </c>
      <c r="D8" s="51">
        <v>3000004</v>
      </c>
      <c r="F8" s="52">
        <v>3000004</v>
      </c>
      <c r="H8" s="53" cm="1">
        <f t="array" ref="H8">num_ad(D8)</f>
        <v>3000004</v>
      </c>
      <c r="J8" s="54" t="str">
        <f>IF(H8=F8,"PASS","FAIL")</f>
        <v>PASS</v>
      </c>
    </row>
    <row r="9" spans="1:19" x14ac:dyDescent="0.5">
      <c r="F9" s="52"/>
      <c r="H9" s="53"/>
      <c r="J9" s="54"/>
    </row>
    <row r="10" spans="1:19" x14ac:dyDescent="0.5">
      <c r="A10" s="46">
        <v>3</v>
      </c>
      <c r="B10" s="47" t="s">
        <v>3071</v>
      </c>
      <c r="D10" s="51" t="s">
        <v>3072</v>
      </c>
      <c r="F10" s="52" t="s">
        <v>3072</v>
      </c>
      <c r="H10" s="53" t="str" cm="1">
        <f t="array" ref="H10">num_ad(D10)</f>
        <v>hi</v>
      </c>
      <c r="J10" s="54" t="str">
        <f>IF(H10=F10,"PASS","FAIL")</f>
        <v>PASS</v>
      </c>
    </row>
    <row r="11" spans="1:19" x14ac:dyDescent="0.5">
      <c r="F11" s="52"/>
      <c r="H11" s="53"/>
      <c r="J11" s="54"/>
    </row>
    <row r="12" spans="1:19" x14ac:dyDescent="0.5">
      <c r="A12" s="46">
        <v>4</v>
      </c>
      <c r="B12" s="47" t="s">
        <v>3073</v>
      </c>
      <c r="D12" s="51" t="s">
        <v>3074</v>
      </c>
      <c r="F12" s="52">
        <v>2000002</v>
      </c>
      <c r="H12" s="53" cm="1">
        <f t="array" ref="H12">num_ad(D12)</f>
        <v>2000002</v>
      </c>
      <c r="J12" s="54" t="str">
        <f>IF(H12=F12,"PASS","FAIL")</f>
        <v>PASS</v>
      </c>
    </row>
    <row r="13" spans="1:19" x14ac:dyDescent="0.5">
      <c r="J13" s="54"/>
    </row>
    <row r="14" spans="1:19" x14ac:dyDescent="0.5">
      <c r="A14" s="46">
        <v>5</v>
      </c>
      <c r="B14" s="47" t="s">
        <v>3542</v>
      </c>
      <c r="D14" s="51" t="s">
        <v>3543</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3075</v>
      </c>
      <c r="D16" s="51" t="s">
        <v>2934</v>
      </c>
      <c r="F16" s="52">
        <v>1000001</v>
      </c>
      <c r="H16" s="53" cm="1">
        <f t="array" ref="H16:H17">num_ad(D16:D17)</f>
        <v>1000001</v>
      </c>
      <c r="J16" s="54" t="str" cm="1">
        <f t="array" ref="J16">IF(AND(F16:F17=H16:H17),"PASS","FAIL")</f>
        <v>PASS</v>
      </c>
    </row>
    <row r="17" spans="1:10" x14ac:dyDescent="0.5">
      <c r="A17" s="55"/>
      <c r="B17" s="55"/>
      <c r="D17" s="51" t="s">
        <v>3058</v>
      </c>
      <c r="F17" s="52">
        <v>2000002</v>
      </c>
      <c r="H17" s="53">
        <v>2000002</v>
      </c>
      <c r="J17" s="54"/>
    </row>
    <row r="18" spans="1:10" x14ac:dyDescent="0.5">
      <c r="J18" s="54"/>
    </row>
    <row r="19" spans="1:10" x14ac:dyDescent="0.5">
      <c r="A19">
        <v>7</v>
      </c>
      <c r="B19" s="55" t="s">
        <v>3544</v>
      </c>
      <c r="D19" s="51" t="s">
        <v>3545</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3546</v>
      </c>
      <c r="D21" s="51"/>
      <c r="F21" s="52"/>
      <c r="H21" s="53" t="str" cm="1">
        <f t="array" ref="H21">num_ad(D21)</f>
        <v/>
      </c>
      <c r="J21" s="54" t="str">
        <f>IF(AND(H21="",NOT(H21=0)),"PASS","FAIL")</f>
        <v>PASS</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E0237-7DFA-49AA-86D1-D26C90A23F0A}">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3076</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3077</v>
      </c>
      <c r="D6" s="51" t="s">
        <v>3078</v>
      </c>
      <c r="F6" s="51">
        <v>2</v>
      </c>
      <c r="H6" s="52" t="s">
        <v>3079</v>
      </c>
      <c r="J6" s="53" t="str" cm="1">
        <f t="array" ref="J6">offset_letter(D6,F6)</f>
        <v>zab</v>
      </c>
      <c r="L6" s="54" t="str">
        <f>IF(J6=H6,"PASS","FAIL")</f>
        <v>PASS</v>
      </c>
    </row>
    <row r="8" spans="1:19" x14ac:dyDescent="0.5">
      <c r="A8" s="46">
        <v>2</v>
      </c>
      <c r="B8" s="47" t="s">
        <v>3080</v>
      </c>
      <c r="D8" s="51" t="s">
        <v>3081</v>
      </c>
      <c r="F8" s="51">
        <v>1</v>
      </c>
      <c r="H8" s="52" t="s">
        <v>3082</v>
      </c>
      <c r="J8" s="53" t="str" cm="1">
        <f t="array" ref="J8">offset_letter(D8,F8)</f>
        <v>bcd</v>
      </c>
      <c r="L8" s="54" t="str">
        <f>IF(J8=H8,"PASS","FAIL")</f>
        <v>PASS</v>
      </c>
    </row>
    <row r="10" spans="1:19" x14ac:dyDescent="0.5">
      <c r="A10" s="46">
        <v>3</v>
      </c>
      <c r="B10" s="47" t="s">
        <v>3083</v>
      </c>
      <c r="D10" s="51" t="s">
        <v>3084</v>
      </c>
      <c r="F10" s="51">
        <v>1</v>
      </c>
      <c r="H10" s="52" t="s">
        <v>3085</v>
      </c>
      <c r="J10" s="53" t="str" cm="1">
        <f t="array" ref="J10">offset_letter(D10,F10)</f>
        <v>Ifmmp</v>
      </c>
      <c r="L10" s="54" t="str">
        <f>IF(J10=H10,"PASS","FAIL")</f>
        <v>PASS</v>
      </c>
    </row>
    <row r="12" spans="1:19" x14ac:dyDescent="0.5">
      <c r="A12" s="46">
        <v>4</v>
      </c>
      <c r="B12" s="47" t="s">
        <v>3086</v>
      </c>
      <c r="D12" s="51" t="s">
        <v>3087</v>
      </c>
      <c r="F12" s="51">
        <v>1</v>
      </c>
      <c r="H12" s="52" t="s">
        <v>3088</v>
      </c>
      <c r="J12" s="53" t="str" cm="1">
        <f t="array" ref="J12">offset_letter(D12,F12)</f>
        <v>b1c</v>
      </c>
      <c r="L12" s="54" t="str">
        <f>IF(J12=H12,"PASS","FAIL")</f>
        <v>PASS</v>
      </c>
    </row>
    <row r="14" spans="1:19" x14ac:dyDescent="0.5">
      <c r="A14" s="46">
        <v>5</v>
      </c>
      <c r="B14" s="47" t="s">
        <v>3089</v>
      </c>
      <c r="D14" s="51" t="s">
        <v>3082</v>
      </c>
      <c r="F14" s="51">
        <v>-1</v>
      </c>
      <c r="H14" s="52" t="s">
        <v>3081</v>
      </c>
      <c r="J14" s="53" t="str" cm="1">
        <f t="array" ref="J14">offset_letter(D14,F14)</f>
        <v>abc</v>
      </c>
      <c r="L14" s="54" t="str">
        <f>IF(J14=H14,"PASS","FAIL")</f>
        <v>PASS</v>
      </c>
    </row>
    <row r="16" spans="1:19" x14ac:dyDescent="0.5">
      <c r="A16" s="46">
        <v>6</v>
      </c>
      <c r="B16" s="47" t="s">
        <v>3090</v>
      </c>
      <c r="D16" s="51" t="s">
        <v>3081</v>
      </c>
      <c r="F16" s="51">
        <v>1</v>
      </c>
      <c r="H16" s="52" t="s">
        <v>3082</v>
      </c>
      <c r="J16" s="53" t="str" cm="1">
        <f t="array" ref="J16:J17">offset_letter(D16:D17,F16)</f>
        <v>bcd</v>
      </c>
      <c r="L16" s="54" t="str" cm="1">
        <f t="array" ref="L16">IF(AND(H16:H17=J16:J17),"PASS","FAIL")</f>
        <v>PASS</v>
      </c>
    </row>
    <row r="17" spans="1:10" x14ac:dyDescent="0.5">
      <c r="A17" s="55"/>
      <c r="B17" s="55"/>
      <c r="D17" s="51" t="s">
        <v>3091</v>
      </c>
      <c r="H17" s="52" t="s">
        <v>3092</v>
      </c>
      <c r="J17" s="53" t="str">
        <v>YZA</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30388-8B7F-454D-B0F0-3CF55D2D4F7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3093</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3094</v>
      </c>
      <c r="D6" s="51" t="s">
        <v>3095</v>
      </c>
      <c r="F6" s="52" t="s">
        <v>3096</v>
      </c>
      <c r="H6" s="53" t="str" cm="1">
        <f t="array" ref="H6">only_letters(D6)</f>
        <v>aBc</v>
      </c>
      <c r="J6" s="54" t="str">
        <f>IF(H6=F6,"PASS","FAIL")</f>
        <v>PASS</v>
      </c>
    </row>
    <row r="8" spans="1:19" x14ac:dyDescent="0.5">
      <c r="A8" s="46">
        <v>2</v>
      </c>
      <c r="B8" s="47" t="s">
        <v>3097</v>
      </c>
      <c r="D8" s="51" t="s">
        <v>3084</v>
      </c>
      <c r="F8" s="52" t="s">
        <v>3084</v>
      </c>
      <c r="H8" s="53" t="str" cm="1">
        <f t="array" ref="H8">only_letters(D8)</f>
        <v>Hello</v>
      </c>
      <c r="J8" s="54" t="str">
        <f>IF(H8=F8,"PASS","FAIL")</f>
        <v>PASS</v>
      </c>
    </row>
    <row r="10" spans="1:19" x14ac:dyDescent="0.5">
      <c r="A10" s="46">
        <v>3</v>
      </c>
      <c r="B10" s="47" t="s">
        <v>3098</v>
      </c>
      <c r="D10" s="51" t="s">
        <v>3099</v>
      </c>
      <c r="F10" s="52" t="s">
        <v>3100</v>
      </c>
      <c r="H10" s="53" t="str" cm="1">
        <f t="array" ref="H10">only_letters(D10)</f>
        <v>XYz</v>
      </c>
      <c r="J10" s="54" t="str">
        <f>IF(H10=F10,"PASS","FAIL")</f>
        <v>PASS</v>
      </c>
    </row>
    <row r="12" spans="1:19" x14ac:dyDescent="0.5">
      <c r="A12" s="46">
        <v>4</v>
      </c>
      <c r="B12" s="47" t="s">
        <v>3101</v>
      </c>
      <c r="D12" s="51" t="s">
        <v>3102</v>
      </c>
      <c r="F12" s="52"/>
      <c r="H12" s="53" t="str" cm="1">
        <f t="array" ref="H12">only_letters(D12)</f>
        <v/>
      </c>
      <c r="J12" s="54" t="str">
        <f>IF(H12=F12,"PASS","FAIL")</f>
        <v>PASS</v>
      </c>
    </row>
    <row r="14" spans="1:19" x14ac:dyDescent="0.5">
      <c r="A14" s="46">
        <v>5</v>
      </c>
      <c r="B14" s="47" t="s">
        <v>3103</v>
      </c>
      <c r="D14" s="51" t="s">
        <v>3087</v>
      </c>
      <c r="F14" s="52" t="s">
        <v>3104</v>
      </c>
      <c r="H14" s="53" t="str" cm="1">
        <f t="array" ref="H14:H15">only_letters(D14:D15)</f>
        <v>ab</v>
      </c>
      <c r="J14" s="54" t="str" cm="1">
        <f t="array" ref="J14">IF(AND(F14:F15=H14:H15),"PASS","FAIL")</f>
        <v>PASS</v>
      </c>
    </row>
    <row r="15" spans="1:19" x14ac:dyDescent="0.5">
      <c r="A15" s="55"/>
      <c r="B15" s="55"/>
      <c r="D15" s="51" t="s">
        <v>3105</v>
      </c>
      <c r="F15" s="52" t="s">
        <v>3106</v>
      </c>
      <c r="H15" s="53" t="str">
        <v>Cd</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F11C1-3C73-40E2-940E-83B5A5E8A22C}">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3107</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3108</v>
      </c>
      <c r="D6" s="51" t="s">
        <v>3109</v>
      </c>
      <c r="F6" s="52">
        <v>10</v>
      </c>
      <c r="H6" s="53" cm="1">
        <f t="array" ref="H6">only_numbers(D6)</f>
        <v>10</v>
      </c>
      <c r="J6" s="54" t="str">
        <f>IF(H6=F6,"PASS","FAIL")</f>
        <v>PASS</v>
      </c>
    </row>
    <row r="8" spans="1:19" x14ac:dyDescent="0.5">
      <c r="A8" s="46">
        <v>2</v>
      </c>
      <c r="B8" s="47" t="s">
        <v>3110</v>
      </c>
      <c r="D8" s="51" t="s">
        <v>3111</v>
      </c>
      <c r="F8" s="52">
        <v>3.5</v>
      </c>
      <c r="H8" s="53" cm="1">
        <f t="array" ref="H8">only_numbers(D8)</f>
        <v>3.5</v>
      </c>
      <c r="J8" s="54" t="str">
        <f>IF(H8=F8,"PASS","FAIL")</f>
        <v>PASS</v>
      </c>
    </row>
    <row r="10" spans="1:19" x14ac:dyDescent="0.5">
      <c r="A10" s="46">
        <v>3</v>
      </c>
      <c r="B10" s="47" t="s">
        <v>3112</v>
      </c>
      <c r="D10" s="51" t="s">
        <v>3081</v>
      </c>
      <c r="H10" s="53" t="str" cm="1">
        <f t="array" ref="H10">only_numbers(D10)</f>
        <v/>
      </c>
      <c r="J10" s="54" t="str" cm="1">
        <f t="array" ref="J10">IF(AND(F9:F10=H9:H10),"PASS","FAIL")</f>
        <v>PASS</v>
      </c>
    </row>
    <row r="12" spans="1:19" x14ac:dyDescent="0.5">
      <c r="A12" s="46">
        <v>4</v>
      </c>
      <c r="B12" s="47" t="s">
        <v>3113</v>
      </c>
      <c r="D12" s="51" t="s">
        <v>3114</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3115</v>
      </c>
      <c r="D16" s="51" t="s">
        <v>3115</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FB005-3AA4-4DBE-8043-9DE761E26CBB}">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3547</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3483</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3484</v>
      </c>
      <c r="D8" s="51">
        <v>3</v>
      </c>
      <c r="E8" s="51">
        <v>4</v>
      </c>
      <c r="F8" s="52" t="s">
        <v>3066</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3485</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3486</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3487</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3488</v>
      </c>
      <c r="D16" s="51">
        <v>1048576</v>
      </c>
      <c r="E16" s="51">
        <v>16384</v>
      </c>
      <c r="F16" s="52" t="s">
        <v>3482</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3489</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DA03-CFB1-4C92-ABC2-8DC00C42FF53}">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3116</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2981</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3117</v>
      </c>
      <c r="D10" s="51" t="s">
        <v>2946</v>
      </c>
      <c r="F10" s="52" t="s">
        <v>2955</v>
      </c>
      <c r="H10" s="53" t="str" cm="1">
        <f t="array" ref="H10:H12">rev(D10:D12)</f>
        <v>c</v>
      </c>
      <c r="J10" s="54" t="str" cm="1">
        <f t="array" ref="J10">IF(AND(F10:F12=H10:H12),"PASS","FAIL")</f>
        <v>PASS</v>
      </c>
    </row>
    <row r="11" spans="1:19" x14ac:dyDescent="0.5">
      <c r="A11" s="55"/>
      <c r="B11" s="55"/>
      <c r="D11" s="51" t="s">
        <v>2947</v>
      </c>
      <c r="F11" s="52" t="s">
        <v>2947</v>
      </c>
      <c r="H11" s="53" t="str">
        <v>b</v>
      </c>
    </row>
    <row r="12" spans="1:19" x14ac:dyDescent="0.5">
      <c r="A12" s="55"/>
      <c r="B12" s="55"/>
      <c r="D12" s="51" t="s">
        <v>2955</v>
      </c>
      <c r="F12" s="52" t="s">
        <v>2946</v>
      </c>
      <c r="H12" s="53" t="str">
        <v>a</v>
      </c>
    </row>
    <row r="14" spans="1:19" x14ac:dyDescent="0.5">
      <c r="A14" s="46">
        <v>3</v>
      </c>
      <c r="B14" s="47" t="s">
        <v>3118</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513D81-D757-4A6F-8A22-59A92D1751DD}">
  <sheetPr codeName="Sheet7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82"/>
      <c r="D2" s="82"/>
      <c r="E2" s="82"/>
      <c r="F2" s="82"/>
      <c r="G2" s="82"/>
      <c r="H2" s="82"/>
      <c r="I2" s="82"/>
      <c r="J2" s="82"/>
      <c r="K2" s="82"/>
      <c r="L2" s="82"/>
      <c r="M2" s="82"/>
      <c r="N2" s="82"/>
      <c r="O2" s="82"/>
      <c r="P2" s="82"/>
      <c r="Q2" s="82"/>
      <c r="R2" s="82"/>
    </row>
    <row r="4" spans="1:19" x14ac:dyDescent="0.5">
      <c r="A4" s="45" t="s">
        <v>3119</v>
      </c>
      <c r="N4" s="45" t="str">
        <f>COUNTIF(N6:N16,"PASS")&amp;" / 6 PASS"</f>
        <v>6 / 6 PASS</v>
      </c>
    </row>
    <row r="5" spans="1:19" x14ac:dyDescent="0.5">
      <c r="A5" s="45" t="s">
        <v>7</v>
      </c>
      <c r="B5" s="45" t="s">
        <v>8</v>
      </c>
      <c r="D5" s="45" t="s">
        <v>9</v>
      </c>
      <c r="J5" s="48" t="s">
        <v>10</v>
      </c>
      <c r="L5" s="49" t="s">
        <v>11</v>
      </c>
      <c r="N5" s="50" t="s">
        <v>12</v>
      </c>
    </row>
    <row r="6" spans="1:19" x14ac:dyDescent="0.5">
      <c r="A6" s="46">
        <v>1</v>
      </c>
      <c r="B6" s="47" t="s">
        <v>3120</v>
      </c>
      <c r="D6" s="51" t="s">
        <v>192</v>
      </c>
      <c r="F6" s="51">
        <v>1</v>
      </c>
      <c r="J6" s="52" t="s">
        <v>374</v>
      </c>
      <c r="L6" s="53" t="str" cm="1">
        <f t="array" ref="L6">rotate_arrow(D6,F6)</f>
        <v>↘</v>
      </c>
      <c r="N6" s="54" t="str">
        <f>IF(L6=J6,"PASS","FAIL")</f>
        <v>PASS</v>
      </c>
    </row>
    <row r="8" spans="1:19" x14ac:dyDescent="0.5">
      <c r="A8" s="46">
        <v>2</v>
      </c>
      <c r="B8" s="47" t="s">
        <v>3121</v>
      </c>
      <c r="D8" s="51" t="s">
        <v>160</v>
      </c>
      <c r="F8" s="51">
        <v>2</v>
      </c>
      <c r="J8" s="52" t="s">
        <v>192</v>
      </c>
      <c r="L8" s="53" t="str" cm="1">
        <f t="array" ref="L8">rotate_arrow(D8,F8)</f>
        <v>→</v>
      </c>
      <c r="N8" s="54" t="str">
        <f>IF(L8=J8,"PASS","FAIL")</f>
        <v>PASS</v>
      </c>
    </row>
    <row r="10" spans="1:19" x14ac:dyDescent="0.5">
      <c r="A10" s="46">
        <v>3</v>
      </c>
      <c r="B10" s="47" t="s">
        <v>3122</v>
      </c>
      <c r="D10" s="51" t="s">
        <v>160</v>
      </c>
      <c r="F10" s="51">
        <v>1</v>
      </c>
      <c r="H10" s="51" t="s">
        <v>3123</v>
      </c>
      <c r="J10" s="52" t="s">
        <v>522</v>
      </c>
      <c r="L10" s="53" t="str" cm="1">
        <f t="array" ref="L10">rotate_arrow(D10,F10,H10)</f>
        <v>↖</v>
      </c>
      <c r="N10" s="54" t="str">
        <f>IF(L10=J10,"PASS","FAIL")</f>
        <v>PASS</v>
      </c>
    </row>
    <row r="12" spans="1:19" x14ac:dyDescent="0.5">
      <c r="A12" s="46">
        <v>4</v>
      </c>
      <c r="B12" s="47" t="s">
        <v>3124</v>
      </c>
      <c r="D12" s="51" t="s">
        <v>160</v>
      </c>
      <c r="F12" s="51">
        <v>4</v>
      </c>
      <c r="J12" s="52" t="s">
        <v>181</v>
      </c>
      <c r="L12" s="53" t="str" cm="1">
        <f t="array" ref="L12">rotate_arrow(D12,F12)</f>
        <v>↓</v>
      </c>
      <c r="N12" s="54" t="str">
        <f>IF(L12=J12,"PASS","FAIL")</f>
        <v>PASS</v>
      </c>
    </row>
    <row r="14" spans="1:19" x14ac:dyDescent="0.5">
      <c r="A14" s="46">
        <v>5</v>
      </c>
      <c r="B14" s="47" t="s">
        <v>3125</v>
      </c>
      <c r="D14" s="51" t="s">
        <v>192</v>
      </c>
      <c r="F14" s="51">
        <v>1</v>
      </c>
      <c r="H14" s="51" t="s">
        <v>3123</v>
      </c>
      <c r="J14" s="52" t="s">
        <v>254</v>
      </c>
      <c r="L14" s="53" t="str" cm="1">
        <f t="array" ref="L14">rotate_arrow(D14,F14,H14)</f>
        <v>↗</v>
      </c>
      <c r="N14" s="54" t="str">
        <f>IF(L14=J14,"PASS","FAIL")</f>
        <v>PASS</v>
      </c>
    </row>
    <row r="16" spans="1:19" x14ac:dyDescent="0.5">
      <c r="A16" s="46">
        <v>6</v>
      </c>
      <c r="B16" s="47" t="s">
        <v>3295</v>
      </c>
      <c r="D16" s="51" t="s">
        <v>2633</v>
      </c>
      <c r="F16" s="51">
        <v>1</v>
      </c>
      <c r="J16" s="52" t="str">
        <f>""</f>
        <v/>
      </c>
      <c r="L16" s="53" t="str" cm="1">
        <f t="array" ref="L16">rotate_arrow(D16,F16)</f>
        <v/>
      </c>
      <c r="N16" s="54" t="str">
        <f>IF(L16=J16,"PASS","FAIL")</f>
        <v>PASS</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2CD3BA-6FAA-4D39-B319-01DEB96E41D5}">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3126</v>
      </c>
      <c r="O4" s="45" t="str">
        <f>COUNTIF(O11:O30,"PASS")&amp;" / 5 PASS"</f>
        <v>5 / 5 PASS</v>
      </c>
    </row>
    <row r="5" spans="1:19" x14ac:dyDescent="0.5">
      <c r="B5" s="45" t="s">
        <v>8</v>
      </c>
      <c r="I5" s="48" t="s">
        <v>10</v>
      </c>
      <c r="L5" s="49" t="s">
        <v>11</v>
      </c>
      <c r="O5" s="50" t="s">
        <v>12</v>
      </c>
    </row>
    <row r="6" spans="1:19" x14ac:dyDescent="0.5">
      <c r="D6" s="45" t="s">
        <v>3127</v>
      </c>
    </row>
    <row r="7" spans="1:19" x14ac:dyDescent="0.5">
      <c r="D7" s="51">
        <v>1</v>
      </c>
      <c r="E7" s="51">
        <v>1</v>
      </c>
    </row>
    <row r="8" spans="1:19" x14ac:dyDescent="0.5">
      <c r="D8" s="51">
        <v>1</v>
      </c>
      <c r="E8" s="51">
        <v>1</v>
      </c>
    </row>
    <row r="11" spans="1:19" x14ac:dyDescent="0.5">
      <c r="B11" s="47" t="s">
        <v>3128</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3129</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3130</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3131</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3296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1AF08-174B-4433-A698-85B61F1207F3}">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3132</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3133</v>
      </c>
      <c r="D6" s="51">
        <v>1</v>
      </c>
      <c r="E6" s="51">
        <v>2</v>
      </c>
      <c r="K6" s="52" t="s">
        <v>3044</v>
      </c>
      <c r="M6" s="53" t="str" cm="1">
        <f t="array" ref="M6">save_array(D6:E7)</f>
        <v>1|2;3|4</v>
      </c>
      <c r="O6" s="54" t="str">
        <f>IF(M6=K6,"PASS","FAIL")</f>
        <v>PASS</v>
      </c>
    </row>
    <row r="7" spans="1:19" x14ac:dyDescent="0.5">
      <c r="A7" s="55"/>
      <c r="B7" s="55"/>
      <c r="D7" s="51">
        <v>3</v>
      </c>
      <c r="E7" s="51">
        <v>4</v>
      </c>
    </row>
    <row r="9" spans="1:19" x14ac:dyDescent="0.5">
      <c r="A9" s="46">
        <v>2</v>
      </c>
      <c r="B9" s="47" t="s">
        <v>3134</v>
      </c>
      <c r="D9" s="51" t="s">
        <v>2946</v>
      </c>
      <c r="E9" s="51" t="s">
        <v>2947</v>
      </c>
      <c r="K9" s="52" t="s">
        <v>3135</v>
      </c>
      <c r="M9" s="53" t="str" cm="1">
        <f t="array" ref="M9">save_array(D9:E9)</f>
        <v>a|b</v>
      </c>
      <c r="O9" s="54" t="str">
        <f>IF(M9=K9,"PASS","FAIL")</f>
        <v>PASS</v>
      </c>
    </row>
    <row r="11" spans="1:19" x14ac:dyDescent="0.5">
      <c r="A11" s="46">
        <v>3</v>
      </c>
      <c r="B11" s="47" t="s">
        <v>3046</v>
      </c>
      <c r="D11" s="51">
        <v>1</v>
      </c>
      <c r="E11" s="51">
        <v>2</v>
      </c>
      <c r="G11" s="51" t="s">
        <v>3048</v>
      </c>
      <c r="I11" s="51" t="s">
        <v>3049</v>
      </c>
      <c r="K11" s="52" t="s">
        <v>3047</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16B2A-2DE2-49C1-897E-365F8BD721DD}">
  <sheetPr codeName="Sheet81"/>
  <dimension ref="A1:S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3136</v>
      </c>
      <c r="R4" s="45" t="str">
        <f>COUNTIF(R6:R28,"PASS")&amp;" / 4 PASS"</f>
        <v>4 / 4 PASS</v>
      </c>
    </row>
    <row r="5" spans="1:19" x14ac:dyDescent="0.5">
      <c r="A5" s="45" t="s">
        <v>7</v>
      </c>
      <c r="B5" s="45" t="s">
        <v>8</v>
      </c>
      <c r="D5" s="45" t="s">
        <v>9</v>
      </c>
      <c r="L5" s="48" t="s">
        <v>10</v>
      </c>
      <c r="O5" s="49" t="s">
        <v>11</v>
      </c>
      <c r="R5" s="50" t="s">
        <v>12</v>
      </c>
    </row>
    <row r="6" spans="1:19" x14ac:dyDescent="0.5">
      <c r="A6" s="46">
        <v>1</v>
      </c>
      <c r="B6" s="47" t="s">
        <v>3137</v>
      </c>
      <c r="D6" s="51" t="s">
        <v>2946</v>
      </c>
      <c r="F6" s="51">
        <v>2</v>
      </c>
      <c r="L6" s="52" t="s">
        <v>2946</v>
      </c>
      <c r="M6" s="52" t="s">
        <v>2947</v>
      </c>
      <c r="O6" s="53" t="str" cm="1">
        <f t="array" ref="O6:P8">selections(D6:D8,F6)</f>
        <v>a</v>
      </c>
      <c r="P6" s="53" t="str">
        <v>b</v>
      </c>
      <c r="R6" s="54" t="str" cm="1">
        <f t="array" ref="R6">IF(AND(L6:M8=O6:P8),"PASS","FAIL")</f>
        <v>PASS</v>
      </c>
    </row>
    <row r="7" spans="1:19" x14ac:dyDescent="0.5">
      <c r="A7" s="55"/>
      <c r="B7" s="55"/>
      <c r="D7" s="51" t="s">
        <v>2947</v>
      </c>
      <c r="L7" s="52" t="s">
        <v>2946</v>
      </c>
      <c r="M7" s="52" t="s">
        <v>2955</v>
      </c>
      <c r="O7" s="53" t="str">
        <v>a</v>
      </c>
      <c r="P7" s="53" t="str">
        <v>c</v>
      </c>
    </row>
    <row r="8" spans="1:19" x14ac:dyDescent="0.5">
      <c r="A8" s="55"/>
      <c r="B8" s="55"/>
      <c r="D8" s="51" t="s">
        <v>2955</v>
      </c>
      <c r="L8" s="52" t="s">
        <v>2947</v>
      </c>
      <c r="M8" s="52" t="s">
        <v>2955</v>
      </c>
      <c r="O8" s="53" t="str">
        <v>b</v>
      </c>
      <c r="P8" s="53" t="str">
        <v>c</v>
      </c>
    </row>
    <row r="10" spans="1:19" x14ac:dyDescent="0.5">
      <c r="A10" s="46">
        <v>2</v>
      </c>
      <c r="B10" s="47" t="s">
        <v>3138</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3139</v>
      </c>
      <c r="D17" s="51" t="s">
        <v>2946</v>
      </c>
      <c r="F17" s="51">
        <v>2</v>
      </c>
      <c r="H17" s="51">
        <v>1</v>
      </c>
      <c r="L17" s="52" t="s">
        <v>2946</v>
      </c>
      <c r="M17" s="52" t="s">
        <v>2947</v>
      </c>
      <c r="O17" s="53" t="str" cm="1">
        <f t="array" ref="O17:P22">selections(D17:D19,F17,H17)</f>
        <v>a</v>
      </c>
      <c r="P17" s="53" t="str">
        <v>b</v>
      </c>
      <c r="R17" s="54" t="str" cm="1">
        <f t="array" ref="R17">IF(AND(L17:M22=O17:P22),"PASS","FAIL")</f>
        <v>PASS</v>
      </c>
    </row>
    <row r="18" spans="1:18" x14ac:dyDescent="0.5">
      <c r="A18" s="55"/>
      <c r="B18" s="55"/>
      <c r="D18" s="51" t="s">
        <v>2947</v>
      </c>
      <c r="L18" s="52" t="s">
        <v>2946</v>
      </c>
      <c r="M18" s="52" t="s">
        <v>2955</v>
      </c>
      <c r="O18" s="53" t="str">
        <v>a</v>
      </c>
      <c r="P18" s="53" t="str">
        <v>c</v>
      </c>
    </row>
    <row r="19" spans="1:18" x14ac:dyDescent="0.5">
      <c r="A19" s="55"/>
      <c r="B19" s="55"/>
      <c r="D19" s="51" t="s">
        <v>2955</v>
      </c>
      <c r="L19" s="52" t="s">
        <v>2947</v>
      </c>
      <c r="M19" s="52" t="s">
        <v>2946</v>
      </c>
      <c r="O19" s="53" t="str">
        <v>b</v>
      </c>
      <c r="P19" s="53" t="str">
        <v>a</v>
      </c>
    </row>
    <row r="20" spans="1:18" x14ac:dyDescent="0.5">
      <c r="A20" s="55"/>
      <c r="B20" s="55"/>
      <c r="L20" s="52" t="s">
        <v>2947</v>
      </c>
      <c r="M20" s="52" t="s">
        <v>2955</v>
      </c>
      <c r="O20" s="53" t="str">
        <v>b</v>
      </c>
      <c r="P20" s="53" t="str">
        <v>c</v>
      </c>
    </row>
    <row r="21" spans="1:18" x14ac:dyDescent="0.5">
      <c r="A21" s="55"/>
      <c r="B21" s="55"/>
      <c r="L21" s="52" t="s">
        <v>2955</v>
      </c>
      <c r="M21" s="52" t="s">
        <v>2946</v>
      </c>
      <c r="O21" s="53" t="str">
        <v>c</v>
      </c>
      <c r="P21" s="53" t="str">
        <v>a</v>
      </c>
    </row>
    <row r="22" spans="1:18" x14ac:dyDescent="0.5">
      <c r="A22" s="55"/>
      <c r="B22" s="55"/>
      <c r="L22" s="52" t="s">
        <v>2955</v>
      </c>
      <c r="M22" s="52" t="s">
        <v>2947</v>
      </c>
      <c r="O22" s="53" t="str">
        <v>c</v>
      </c>
      <c r="P22" s="53" t="str">
        <v>b</v>
      </c>
    </row>
    <row r="24" spans="1:18" x14ac:dyDescent="0.5">
      <c r="A24" s="46">
        <v>4</v>
      </c>
      <c r="B24" s="47" t="s">
        <v>3140</v>
      </c>
      <c r="D24" s="51" t="s">
        <v>2946</v>
      </c>
      <c r="F24" s="51">
        <v>2</v>
      </c>
      <c r="H24" s="51">
        <v>0</v>
      </c>
      <c r="J24" s="51">
        <v>1</v>
      </c>
      <c r="L24" s="52" t="s">
        <v>2946</v>
      </c>
      <c r="M24" s="52" t="s">
        <v>2946</v>
      </c>
      <c r="O24" s="53" t="str" cm="1">
        <f t="array" ref="O24:P26">selections(D24:D25,F24,H24,J24)</f>
        <v>a</v>
      </c>
      <c r="P24" s="53" t="str">
        <v>a</v>
      </c>
      <c r="R24" s="54" t="str" cm="1">
        <f t="array" ref="R24">IF(AND(L24:M26=O24:P26),"PASS","FAIL")</f>
        <v>PASS</v>
      </c>
    </row>
    <row r="25" spans="1:18" x14ac:dyDescent="0.5">
      <c r="A25" s="55"/>
      <c r="B25" s="55"/>
      <c r="D25" s="51" t="s">
        <v>2947</v>
      </c>
      <c r="L25" s="52" t="s">
        <v>2946</v>
      </c>
      <c r="M25" s="52" t="s">
        <v>2947</v>
      </c>
      <c r="O25" s="53" t="str">
        <v>a</v>
      </c>
      <c r="P25" s="53" t="str">
        <v>b</v>
      </c>
    </row>
    <row r="26" spans="1:18" x14ac:dyDescent="0.5">
      <c r="A26" s="55"/>
      <c r="B26" s="55"/>
      <c r="L26" s="52" t="s">
        <v>2947</v>
      </c>
      <c r="M26" s="52" t="s">
        <v>2947</v>
      </c>
      <c r="O26" s="53" t="str">
        <v>b</v>
      </c>
      <c r="P26" s="53" t="str">
        <v>b</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EA5BF-D557-4379-9E93-DCD16F8B05C7}">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3141</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3142</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3143</v>
      </c>
      <c r="D11" s="51" t="s">
        <v>2955</v>
      </c>
      <c r="H11" s="52" t="s">
        <v>2946</v>
      </c>
      <c r="L11" s="53" t="str" cm="1">
        <f t="array" ref="L11:L13">set(D11:D14)</f>
        <v>a</v>
      </c>
      <c r="P11" s="54" t="str" cm="1">
        <f t="array" ref="P11">IF(AND(H11:H13=L11:L13),"PASS","FAIL")</f>
        <v>PASS</v>
      </c>
    </row>
    <row r="12" spans="1:19" x14ac:dyDescent="0.5">
      <c r="A12" s="55"/>
      <c r="B12" s="55"/>
      <c r="D12" s="51" t="s">
        <v>2946</v>
      </c>
      <c r="H12" s="52" t="s">
        <v>2947</v>
      </c>
      <c r="L12" s="53" t="str">
        <v>b</v>
      </c>
    </row>
    <row r="13" spans="1:19" x14ac:dyDescent="0.5">
      <c r="A13" s="55"/>
      <c r="B13" s="55"/>
      <c r="D13" s="51" t="s">
        <v>2947</v>
      </c>
      <c r="H13" s="52" t="s">
        <v>2955</v>
      </c>
      <c r="L13" s="53" t="str">
        <v>c</v>
      </c>
    </row>
    <row r="14" spans="1:19" x14ac:dyDescent="0.5">
      <c r="A14" s="55"/>
      <c r="B14" s="55"/>
      <c r="D14" s="51" t="s">
        <v>2946</v>
      </c>
    </row>
    <row r="16" spans="1:19" x14ac:dyDescent="0.5">
      <c r="A16" s="46">
        <v>3</v>
      </c>
      <c r="B16" s="47" t="s">
        <v>3144</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3145</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2A842-370C-4A0D-98CC-C7C462393CDF}">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3146</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3147</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3148</v>
      </c>
      <c r="D10" s="51" t="s">
        <v>2946</v>
      </c>
      <c r="F10" s="51" t="s">
        <v>2947</v>
      </c>
      <c r="H10" s="52" t="s">
        <v>2946</v>
      </c>
      <c r="J10" s="53" t="str" cm="1">
        <f t="array" ref="J10:J11">set_d(D10:D13,F10:F11)</f>
        <v>a</v>
      </c>
      <c r="L10" s="54" t="str" cm="1">
        <f t="array" ref="L10">IF(AND(H10:H11=J10:J11),"PASS","FAIL")</f>
        <v>PASS</v>
      </c>
    </row>
    <row r="11" spans="1:19" x14ac:dyDescent="0.5">
      <c r="A11" s="55"/>
      <c r="B11" s="55"/>
      <c r="D11" s="51" t="s">
        <v>2947</v>
      </c>
      <c r="F11" s="51" t="s">
        <v>2948</v>
      </c>
      <c r="H11" s="52" t="s">
        <v>2955</v>
      </c>
      <c r="J11" s="53" t="str">
        <v>c</v>
      </c>
    </row>
    <row r="12" spans="1:19" x14ac:dyDescent="0.5">
      <c r="A12" s="55"/>
      <c r="B12" s="55"/>
      <c r="D12" s="51" t="s">
        <v>2955</v>
      </c>
    </row>
    <row r="13" spans="1:19" x14ac:dyDescent="0.5">
      <c r="A13" s="55"/>
      <c r="B13" s="55"/>
      <c r="D13" s="51" t="s">
        <v>2948</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5740A-93B6-4C6C-88D8-855AC9552E63}">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3149</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3150</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3151</v>
      </c>
      <c r="D10" s="51" t="s">
        <v>2946</v>
      </c>
      <c r="F10" s="51" t="s">
        <v>2947</v>
      </c>
      <c r="H10" s="52" t="s">
        <v>2947</v>
      </c>
      <c r="J10" s="53" t="str" cm="1">
        <f t="array" ref="J10:J11">set_i(D10:D12,F10:F11)</f>
        <v>b</v>
      </c>
      <c r="L10" s="54" t="str" cm="1">
        <f t="array" ref="L10">IF(AND(H10:H11=J10:J11),"PASS","FAIL")</f>
        <v>PASS</v>
      </c>
    </row>
    <row r="11" spans="1:19" x14ac:dyDescent="0.5">
      <c r="A11" s="55"/>
      <c r="B11" s="55"/>
      <c r="D11" s="51" t="s">
        <v>2947</v>
      </c>
      <c r="F11" s="51" t="s">
        <v>2955</v>
      </c>
      <c r="H11" s="52" t="s">
        <v>2955</v>
      </c>
      <c r="J11" s="53" t="str">
        <v>c</v>
      </c>
    </row>
    <row r="12" spans="1:19" x14ac:dyDescent="0.5">
      <c r="A12" s="55"/>
      <c r="B12" s="55"/>
      <c r="D12" s="51" t="s">
        <v>2955</v>
      </c>
    </row>
    <row r="14" spans="1:19" x14ac:dyDescent="0.5">
      <c r="A14" s="46">
        <v>3</v>
      </c>
      <c r="B14" s="47" t="s">
        <v>3152</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7F423-CC15-4761-B9D6-20C25A4B25DF}">
  <sheetPr codeName="Sheet85"/>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3153</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3154</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3155</v>
      </c>
      <c r="D10" s="51" t="s">
        <v>2946</v>
      </c>
      <c r="F10" s="51" t="s">
        <v>2947</v>
      </c>
      <c r="J10" s="52" t="s">
        <v>2946</v>
      </c>
      <c r="N10" s="53" t="str" cm="1">
        <f t="array" ref="N10:N13">set_u(D10:D11,F10:F12)</f>
        <v>a</v>
      </c>
      <c r="R10" s="54" t="str" cm="1">
        <f t="array" ref="R10">IF(AND(J10:J13=N10:N13),"PASS","FAIL")</f>
        <v>PASS</v>
      </c>
    </row>
    <row r="11" spans="1:19" x14ac:dyDescent="0.5">
      <c r="A11" s="55"/>
      <c r="B11" s="55"/>
      <c r="D11" s="51" t="s">
        <v>2947</v>
      </c>
      <c r="F11" s="51" t="s">
        <v>2955</v>
      </c>
      <c r="J11" s="52" t="s">
        <v>2947</v>
      </c>
      <c r="N11" s="53" t="str">
        <v>b</v>
      </c>
    </row>
    <row r="12" spans="1:19" x14ac:dyDescent="0.5">
      <c r="A12" s="55"/>
      <c r="B12" s="55"/>
      <c r="F12" s="51" t="s">
        <v>2948</v>
      </c>
      <c r="J12" s="52" t="s">
        <v>2955</v>
      </c>
      <c r="N12" s="53" t="str">
        <v>c</v>
      </c>
    </row>
    <row r="13" spans="1:19" x14ac:dyDescent="0.5">
      <c r="A13" s="55"/>
      <c r="B13" s="55"/>
      <c r="J13" s="52" t="s">
        <v>2948</v>
      </c>
      <c r="N13" s="53" t="str">
        <v>d</v>
      </c>
    </row>
    <row r="15" spans="1:19" x14ac:dyDescent="0.5">
      <c r="A15" s="46">
        <v>3</v>
      </c>
      <c r="B15" s="47" t="s">
        <v>3156</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DC9EB-3FE3-4DE6-BFCB-BCD984C7D387}">
  <sheetPr codeName="Sheet86"/>
  <dimension ref="A1:S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[steps], [fill])</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3157</v>
      </c>
      <c r="R4" s="45" t="str">
        <f>COUNTIF(R6:R21,"PASS")&amp;" / 5 PASS"</f>
        <v>5 / 5 PASS</v>
      </c>
    </row>
    <row r="5" spans="1:19" x14ac:dyDescent="0.5">
      <c r="A5" s="45" t="s">
        <v>7</v>
      </c>
      <c r="B5" s="45" t="s">
        <v>8</v>
      </c>
      <c r="D5" s="45" t="s">
        <v>9</v>
      </c>
      <c r="L5" s="48" t="s">
        <v>10</v>
      </c>
      <c r="O5" s="49" t="s">
        <v>11</v>
      </c>
      <c r="R5" s="50" t="s">
        <v>12</v>
      </c>
    </row>
    <row r="6" spans="1:19" x14ac:dyDescent="0.5">
      <c r="A6" s="46">
        <v>1</v>
      </c>
      <c r="B6" s="47" t="s">
        <v>3158</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3159</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3160</v>
      </c>
      <c r="D14" s="51">
        <v>1</v>
      </c>
      <c r="F14" s="51" t="s">
        <v>157</v>
      </c>
      <c r="H14" s="51">
        <v>1</v>
      </c>
      <c r="J14" s="51">
        <v>0</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3161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3290</v>
      </c>
      <c r="D21" s="51">
        <v>1</v>
      </c>
      <c r="F21" s="51" t="s">
        <v>3285</v>
      </c>
      <c r="L21" s="52" t="str">
        <f>""</f>
        <v/>
      </c>
      <c r="O21" s="53" t="str" cm="1">
        <f t="array" ref="O21">shift_arr(D21,F21)</f>
        <v/>
      </c>
      <c r="R21" s="54" t="str">
        <f>IF(O21=L21,"PASS","FAIL")</f>
        <v>PASS</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B028-1A04-46DF-965A-2E0D20761784}">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3162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3163</v>
      </c>
      <c r="D6" s="51">
        <v>30</v>
      </c>
      <c r="F6" s="51" t="s">
        <v>2946</v>
      </c>
      <c r="H6" s="52" t="s">
        <v>2946</v>
      </c>
      <c r="J6" s="53" t="str" cm="1">
        <f t="array" ref="J6">smallest(D6:D8,F6:F8)</f>
        <v>a</v>
      </c>
      <c r="L6" s="54" t="str">
        <f>IF(J6=H6,"PASS","FAIL")</f>
        <v>PASS</v>
      </c>
    </row>
    <row r="7" spans="1:19" x14ac:dyDescent="0.5">
      <c r="A7" s="55"/>
      <c r="B7" s="55"/>
      <c r="D7" s="51">
        <v>70</v>
      </c>
      <c r="F7" s="51" t="s">
        <v>2947</v>
      </c>
    </row>
    <row r="8" spans="1:19" x14ac:dyDescent="0.5">
      <c r="A8" s="55"/>
      <c r="B8" s="55"/>
      <c r="D8" s="51">
        <v>50</v>
      </c>
      <c r="F8" s="51" t="s">
        <v>2955</v>
      </c>
    </row>
    <row r="10" spans="1:19" x14ac:dyDescent="0.5">
      <c r="A10" s="46">
        <v>2</v>
      </c>
      <c r="B10" s="47" t="s">
        <v>3164</v>
      </c>
      <c r="D10" s="51">
        <v>5</v>
      </c>
      <c r="F10" s="51" t="s">
        <v>2957</v>
      </c>
      <c r="H10" s="52" t="s">
        <v>2959</v>
      </c>
      <c r="J10" s="53" t="str" cm="1">
        <f t="array" ref="J10">smallest(D10:D13,F10:F13)</f>
        <v>r</v>
      </c>
      <c r="L10" s="54" t="str">
        <f>IF(J10=H10,"PASS","FAIL")</f>
        <v>PASS</v>
      </c>
    </row>
    <row r="11" spans="1:19" x14ac:dyDescent="0.5">
      <c r="A11" s="55"/>
      <c r="B11" s="55"/>
      <c r="D11" s="51">
        <v>9</v>
      </c>
      <c r="F11" s="51" t="s">
        <v>2958</v>
      </c>
    </row>
    <row r="12" spans="1:19" x14ac:dyDescent="0.5">
      <c r="A12" s="55"/>
      <c r="B12" s="55"/>
      <c r="D12" s="51">
        <v>2</v>
      </c>
      <c r="F12" s="51" t="s">
        <v>2959</v>
      </c>
    </row>
    <row r="13" spans="1:19" x14ac:dyDescent="0.5">
      <c r="A13" s="55"/>
      <c r="B13" s="55"/>
      <c r="D13" s="51">
        <v>2</v>
      </c>
      <c r="F13" s="51" t="s">
        <v>2960</v>
      </c>
    </row>
    <row r="15" spans="1:19" x14ac:dyDescent="0.5">
      <c r="A15" s="46">
        <v>3</v>
      </c>
      <c r="B15" s="47" t="s">
        <v>3291</v>
      </c>
      <c r="D15" s="51" t="s">
        <v>2966</v>
      </c>
      <c r="F15" s="51" t="s">
        <v>3292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FB4AE-3D9E-4576-BC63-ACF9F9B95064}">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3548</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3171</v>
      </c>
      <c r="D6" s="51">
        <v>3000004</v>
      </c>
      <c r="F6" s="52" t="s">
        <v>3066</v>
      </c>
      <c r="H6" s="53" t="str" cm="1">
        <f t="array" ref="H6">str_ad(D6)</f>
        <v>D3</v>
      </c>
      <c r="J6" s="54" t="str">
        <f>IF(H6=F6,"PASS","FAIL")</f>
        <v>PASS</v>
      </c>
    </row>
    <row r="7" spans="1:19" x14ac:dyDescent="0.5">
      <c r="F7" s="52"/>
      <c r="H7" s="53"/>
      <c r="J7" s="54"/>
    </row>
    <row r="8" spans="1:19" x14ac:dyDescent="0.5">
      <c r="A8" s="46">
        <v>2</v>
      </c>
      <c r="B8" s="47" t="s">
        <v>3172</v>
      </c>
      <c r="D8" s="51" t="s">
        <v>3066</v>
      </c>
      <c r="F8" s="52" t="s">
        <v>3066</v>
      </c>
      <c r="H8" s="53" t="str" cm="1">
        <f t="array" ref="H8">str_ad(D8)</f>
        <v>D3</v>
      </c>
      <c r="J8" s="54" t="str">
        <f>IF(H8=F8,"PASS","FAIL")</f>
        <v>PASS</v>
      </c>
    </row>
    <row r="9" spans="1:19" x14ac:dyDescent="0.5">
      <c r="F9" s="52"/>
      <c r="H9" s="53"/>
      <c r="J9" s="54"/>
    </row>
    <row r="10" spans="1:19" x14ac:dyDescent="0.5">
      <c r="A10" s="46">
        <v>3</v>
      </c>
      <c r="B10" s="47" t="s">
        <v>3173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3174</v>
      </c>
      <c r="D12" s="51">
        <v>1000001</v>
      </c>
      <c r="F12" s="52" t="s">
        <v>2934</v>
      </c>
      <c r="H12" s="53" t="str" cm="1">
        <f t="array" ref="H12:H13">str_ad(D12:D13)</f>
        <v>A1</v>
      </c>
      <c r="J12" s="54" t="str" cm="1">
        <f t="array" ref="J12">IF(AND(F12:F13=H12:H13),"PASS","FAIL")</f>
        <v>PASS</v>
      </c>
    </row>
    <row r="13" spans="1:19" x14ac:dyDescent="0.5">
      <c r="A13" s="55"/>
      <c r="B13" s="55"/>
      <c r="D13" s="51">
        <v>2000002</v>
      </c>
      <c r="F13" s="52" t="s">
        <v>3058</v>
      </c>
      <c r="H13" s="53" t="str">
        <v>B2</v>
      </c>
      <c r="J13" s="54"/>
    </row>
    <row r="14" spans="1:19" x14ac:dyDescent="0.5">
      <c r="J14" s="54"/>
    </row>
    <row r="15" spans="1:19" x14ac:dyDescent="0.5">
      <c r="A15">
        <v>5</v>
      </c>
      <c r="B15" s="55" t="s">
        <v>3549</v>
      </c>
      <c r="D15" s="51" t="s">
        <v>3535</v>
      </c>
      <c r="F15" s="52" t="s">
        <v>2934</v>
      </c>
      <c r="G15" s="52" t="s">
        <v>3030</v>
      </c>
      <c r="H15" s="53" t="str" cm="1">
        <f t="array" ref="H15:I16">str_ad(D15)</f>
        <v>A1</v>
      </c>
      <c r="I15" s="53" t="str">
        <v>B1</v>
      </c>
      <c r="J15" s="54" t="str" cm="1">
        <f t="array" ref="J15">IF(AND(F15:G16=H15:I16),"PASS","FAIL")</f>
        <v>PASS</v>
      </c>
    </row>
    <row r="16" spans="1:19" x14ac:dyDescent="0.5">
      <c r="F16" s="52" t="s">
        <v>3059</v>
      </c>
      <c r="G16" s="52" t="s">
        <v>3058</v>
      </c>
      <c r="H16" s="53" t="str">
        <v>A2</v>
      </c>
      <c r="I16" s="53" t="str">
        <v>B2</v>
      </c>
      <c r="J16" s="54"/>
    </row>
    <row r="17" spans="1:10" x14ac:dyDescent="0.5">
      <c r="J17" s="54"/>
    </row>
    <row r="18" spans="1:10" x14ac:dyDescent="0.5">
      <c r="A18">
        <v>6</v>
      </c>
      <c r="B18" t="s">
        <v>3550</v>
      </c>
      <c r="D18" t="s">
        <v>3551</v>
      </c>
      <c r="F18" s="52" t="s">
        <v>3058</v>
      </c>
      <c r="G18" s="52" t="s">
        <v>3060</v>
      </c>
      <c r="H18" s="53" t="str" cm="1">
        <f t="array" ref="H18:I18">str_ad(D18)</f>
        <v>B2</v>
      </c>
      <c r="I18" s="53" t="str">
        <v>C2</v>
      </c>
      <c r="J18" s="54" t="str" cm="1">
        <f t="array" ref="J18">IF(AND(F18:G18=H18:I18),"PASS","FAIL")</f>
        <v>PASS</v>
      </c>
    </row>
    <row r="19" spans="1:10" x14ac:dyDescent="0.5">
      <c r="J19" s="54"/>
    </row>
    <row r="20" spans="1:10" x14ac:dyDescent="0.5">
      <c r="A20">
        <v>7</v>
      </c>
      <c r="B20" t="s">
        <v>3546</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BF9A2-D4D8-49CF-B8DA-3C026DF57A89}">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3175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3081</v>
      </c>
      <c r="D6" s="51" t="s">
        <v>3081</v>
      </c>
      <c r="F6" s="52" t="s">
        <v>3176</v>
      </c>
      <c r="H6" s="53" t="str" cm="1">
        <f t="array" ref="H6">str_rev(D6)</f>
        <v>cba</v>
      </c>
      <c r="J6" s="54" t="str">
        <f>IF(H6=F6,"PASS","FAIL")</f>
        <v>PASS</v>
      </c>
    </row>
    <row r="8" spans="1:19" x14ac:dyDescent="0.5">
      <c r="A8" s="46">
        <v>2</v>
      </c>
      <c r="B8" s="47" t="s">
        <v>3177</v>
      </c>
      <c r="D8" s="51" t="s">
        <v>3177</v>
      </c>
      <c r="F8" s="52" t="s">
        <v>3178</v>
      </c>
      <c r="H8" s="53" t="str" cm="1">
        <f t="array" ref="H8">str_rev(D8)</f>
        <v>olleh</v>
      </c>
      <c r="J8" s="54" t="str">
        <f>IF(H8=F8,"PASS","FAIL")</f>
        <v>PASS</v>
      </c>
    </row>
    <row r="10" spans="1:19" x14ac:dyDescent="0.5">
      <c r="A10" s="46">
        <v>3</v>
      </c>
      <c r="B10" s="47" t="s">
        <v>3179</v>
      </c>
      <c r="D10" s="51" t="s">
        <v>3180</v>
      </c>
      <c r="F10" s="52" t="s">
        <v>3181</v>
      </c>
      <c r="H10" s="53" t="str" cm="1">
        <f t="array" ref="H10">str_rev(D10)</f>
        <v>b1A</v>
      </c>
      <c r="J10" s="54" t="str">
        <f>IF(H10=F10,"PASS","FAIL")</f>
        <v>PASS</v>
      </c>
    </row>
    <row r="12" spans="1:19" x14ac:dyDescent="0.5">
      <c r="A12" s="46">
        <v>4</v>
      </c>
      <c r="B12" s="47" t="s">
        <v>3103</v>
      </c>
      <c r="D12" s="51" t="s">
        <v>3081</v>
      </c>
      <c r="F12" s="52" t="s">
        <v>3176</v>
      </c>
      <c r="H12" s="53" t="str" cm="1">
        <f t="array" ref="H12:H13">str_rev(D12:D13)</f>
        <v>cba</v>
      </c>
      <c r="J12" s="54" t="str" cm="1">
        <f t="array" ref="J12">IF(AND(F12:F13=H12:H13),"PASS","FAIL")</f>
        <v>PASS</v>
      </c>
    </row>
    <row r="13" spans="1:19" x14ac:dyDescent="0.5">
      <c r="A13" s="55"/>
      <c r="B13" s="55"/>
      <c r="D13" s="51" t="s">
        <v>3182</v>
      </c>
      <c r="F13" s="52" t="s">
        <v>3183</v>
      </c>
      <c r="H13" s="53" t="str">
        <v>yx</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7FA36-AF93-4A14-B11F-1F69D718CC12}">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3165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3166</v>
      </c>
      <c r="D6" s="51" t="s">
        <v>3081</v>
      </c>
      <c r="H6" s="52" t="s">
        <v>2946</v>
      </c>
      <c r="L6" s="53" t="str" cm="1">
        <f t="array" ref="L6:L8">str_to_arr(D6)</f>
        <v>a</v>
      </c>
      <c r="P6" s="54" t="str" cm="1">
        <f t="array" ref="P6">IF(AND(H6:H8=L6:L8),"PASS","FAIL")</f>
        <v>PASS</v>
      </c>
    </row>
    <row r="7" spans="1:19" x14ac:dyDescent="0.5">
      <c r="A7" s="55"/>
      <c r="B7" s="55"/>
      <c r="H7" s="52" t="s">
        <v>2947</v>
      </c>
      <c r="L7" s="53" t="str">
        <v>b</v>
      </c>
    </row>
    <row r="8" spans="1:19" x14ac:dyDescent="0.5">
      <c r="A8" s="55"/>
      <c r="B8" s="55"/>
      <c r="H8" s="52" t="s">
        <v>2955</v>
      </c>
      <c r="L8" s="53" t="str">
        <v>c</v>
      </c>
    </row>
    <row r="10" spans="1:19" x14ac:dyDescent="0.5">
      <c r="A10" s="46">
        <v>2</v>
      </c>
      <c r="B10" s="47" t="s">
        <v>3167</v>
      </c>
      <c r="D10" s="51" t="s">
        <v>3168</v>
      </c>
      <c r="H10" s="52" t="s">
        <v>2966</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3169</v>
      </c>
      <c r="L12" s="53" t="str">
        <v>y</v>
      </c>
    </row>
    <row r="14" spans="1:19" x14ac:dyDescent="0.5">
      <c r="A14" s="46">
        <v>3</v>
      </c>
      <c r="B14" s="47" t="s">
        <v>3170</v>
      </c>
      <c r="D14" s="51" t="s">
        <v>3081</v>
      </c>
      <c r="F14" s="51">
        <v>1</v>
      </c>
      <c r="H14" s="52" t="s">
        <v>2946</v>
      </c>
      <c r="I14" s="52" t="s">
        <v>2947</v>
      </c>
      <c r="J14" s="52" t="s">
        <v>2955</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8D575-C556-4778-8465-9A18E7EEC59D}">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3184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3185</v>
      </c>
      <c r="D6" s="51" t="s">
        <v>3186</v>
      </c>
      <c r="F6" s="51" t="s">
        <v>3187</v>
      </c>
      <c r="H6" s="51" t="s">
        <v>3188</v>
      </c>
      <c r="J6" s="52" t="s">
        <v>2966</v>
      </c>
      <c r="L6" s="53" t="str" cm="1">
        <f t="array" ref="L6">textbetween(D6,F6,H6)</f>
        <v>x</v>
      </c>
      <c r="N6" s="54" t="str">
        <f>IF(L6=J6,"PASS","FAIL")</f>
        <v>PASS</v>
      </c>
    </row>
    <row r="8" spans="1:19" x14ac:dyDescent="0.5">
      <c r="A8" s="46">
        <v>2</v>
      </c>
      <c r="B8" s="47" t="s">
        <v>3189</v>
      </c>
      <c r="D8" s="51" t="s">
        <v>3190</v>
      </c>
      <c r="F8" s="51" t="s">
        <v>3191</v>
      </c>
      <c r="H8" s="51" t="s">
        <v>3192</v>
      </c>
      <c r="J8" s="52" t="s">
        <v>3072</v>
      </c>
      <c r="L8" s="53" t="str" cm="1">
        <f t="array" ref="L8">textbetween(D8,F8,H8)</f>
        <v>hi</v>
      </c>
      <c r="N8" s="54" t="str">
        <f>IF(L8=J8,"PASS","FAIL")</f>
        <v>PASS</v>
      </c>
    </row>
    <row r="10" spans="1:19" x14ac:dyDescent="0.5">
      <c r="A10" s="46">
        <v>3</v>
      </c>
      <c r="B10" s="47" t="s">
        <v>3193</v>
      </c>
      <c r="D10" s="51" t="s">
        <v>3194</v>
      </c>
      <c r="F10" s="51" t="s">
        <v>3195</v>
      </c>
      <c r="H10" s="51" t="s">
        <v>3196</v>
      </c>
      <c r="J10" s="52">
        <v>5</v>
      </c>
      <c r="L10" s="53" cm="1">
        <f t="array" ref="L10">textbetween(D10,F10,H10)</f>
        <v>5</v>
      </c>
      <c r="N10" s="54" t="str">
        <f>IF(L10=J10,"PASS","FAIL")</f>
        <v>PASS</v>
      </c>
    </row>
    <row r="12" spans="1:19" x14ac:dyDescent="0.5">
      <c r="A12" s="46">
        <v>4</v>
      </c>
      <c r="B12" s="47" t="s">
        <v>3197</v>
      </c>
      <c r="D12" s="51" t="s">
        <v>3081</v>
      </c>
      <c r="F12" s="51" t="s">
        <v>3187</v>
      </c>
      <c r="H12" s="51" t="s">
        <v>3188</v>
      </c>
      <c r="J12" s="52"/>
      <c r="L12" s="53" t="str" cm="1">
        <f t="array" ref="L12">textbetween(D12,F12,H12)</f>
        <v/>
      </c>
      <c r="N12" s="54" t="str">
        <f>IF(L12=J12,"PASS","FAIL")</f>
        <v>PASS</v>
      </c>
    </row>
    <row r="14" spans="1:19" x14ac:dyDescent="0.5">
      <c r="A14" s="46">
        <v>5</v>
      </c>
      <c r="B14" s="47" t="s">
        <v>3103</v>
      </c>
      <c r="D14" s="51" t="s">
        <v>3198</v>
      </c>
      <c r="F14" s="51" t="s">
        <v>3187</v>
      </c>
      <c r="H14" s="51" t="s">
        <v>3188</v>
      </c>
      <c r="J14" s="52" t="s">
        <v>2946</v>
      </c>
      <c r="L14" s="53" t="str" cm="1">
        <f t="array" ref="L14:L15">textbetween(D14:D15,F14,H14)</f>
        <v>a</v>
      </c>
      <c r="N14" s="54" t="str" cm="1">
        <f t="array" ref="N14">IF(AND(J14:J15=L14:L15),"PASS","FAIL")</f>
        <v>PASS</v>
      </c>
    </row>
    <row r="15" spans="1:19" x14ac:dyDescent="0.5">
      <c r="A15" s="55"/>
      <c r="B15" s="55"/>
      <c r="D15" s="51" t="s">
        <v>3199</v>
      </c>
      <c r="J15" s="52" t="s">
        <v>3200</v>
      </c>
      <c r="L15" s="53" t="str">
        <v>bc</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FCF4D-0640-41F6-9C97-8C84EE89D6CA}">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3201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3202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3203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3204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3205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3206</v>
      </c>
      <c r="D18" s="51">
        <v>1</v>
      </c>
      <c r="E18" s="51">
        <v>2</v>
      </c>
      <c r="G18" s="51" t="s">
        <v>3207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3208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3297</v>
      </c>
      <c r="J25" s="52" t="s">
        <v>3298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D4D3B-6091-4D6A-9959-9ED45E2ECD86}">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3209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3210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3211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52546-7AA5-405C-908F-1DDBF4614469}">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3212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3213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3214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3215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3216</v>
      </c>
      <c r="D18" s="51" t="s">
        <v>3058</v>
      </c>
      <c r="G18" s="52" t="s">
        <v>2934</v>
      </c>
      <c r="H18" s="52" t="s">
        <v>3030</v>
      </c>
      <c r="I18" s="52" t="s">
        <v>3062</v>
      </c>
      <c r="J18" s="52" t="s">
        <v>3059</v>
      </c>
      <c r="K18" s="52" t="s">
        <v>3060</v>
      </c>
      <c r="L18" s="52" t="s">
        <v>2937</v>
      </c>
      <c r="M18" s="52" t="s">
        <v>3026</v>
      </c>
      <c r="N18" s="52" t="s">
        <v>2999</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3217</v>
      </c>
      <c r="G19" s="52" t="s">
        <v>3218</v>
      </c>
      <c r="H19" s="52" t="s">
        <v>3067</v>
      </c>
      <c r="I19" s="52" t="s">
        <v>3006</v>
      </c>
      <c r="J19" s="52" t="s">
        <v>3219</v>
      </c>
      <c r="K19" s="52" t="s">
        <v>3220</v>
      </c>
      <c r="L19" s="52" t="s">
        <v>3221</v>
      </c>
      <c r="M19" s="52" t="s">
        <v>3222</v>
      </c>
      <c r="N19" s="52" t="s">
        <v>3223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2E259-232A-4324-9388-25D69D4FD234}">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3224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3225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3226</v>
      </c>
      <c r="D11" s="51" t="s">
        <v>2946</v>
      </c>
      <c r="F11" s="51" t="s">
        <v>2946</v>
      </c>
      <c r="H11" s="52">
        <v>2</v>
      </c>
      <c r="J11" s="53" cm="1">
        <f t="array" ref="J11">xcountif(D11:D13,F11)</f>
        <v>2</v>
      </c>
      <c r="L11" s="54" t="str">
        <f>IF(J11=H11,"PASS","FAIL")</f>
        <v>PASS</v>
      </c>
    </row>
    <row r="12" spans="1:19" x14ac:dyDescent="0.5">
      <c r="A12" s="55"/>
      <c r="B12" s="55"/>
      <c r="D12" s="51" t="s">
        <v>2947</v>
      </c>
    </row>
    <row r="13" spans="1:19" x14ac:dyDescent="0.5">
      <c r="A13" s="55"/>
      <c r="B13" s="55"/>
      <c r="D13" s="51" t="s">
        <v>2946</v>
      </c>
    </row>
    <row r="15" spans="1:19" x14ac:dyDescent="0.5">
      <c r="A15" s="46">
        <v>3</v>
      </c>
      <c r="B15" s="47" t="s">
        <v>3227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3228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3229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78C5B-D5FD-4CB1-BC3A-A71D12D4D5BB}">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3230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3231</v>
      </c>
      <c r="D6" s="51">
        <v>5</v>
      </c>
      <c r="H6" s="52" t="s">
        <v>3232</v>
      </c>
      <c r="J6" s="53" t="str" cm="1">
        <f t="array" ref="J6">xdec2bin(D6)</f>
        <v>101</v>
      </c>
      <c r="L6" s="54" t="str">
        <f>IF(J6=H6,"PASS","FAIL")</f>
        <v>PASS</v>
      </c>
    </row>
    <row r="8" spans="1:19" x14ac:dyDescent="0.5">
      <c r="A8" s="46">
        <v>2</v>
      </c>
      <c r="B8" s="47" t="s">
        <v>3233</v>
      </c>
      <c r="D8" s="51">
        <v>5</v>
      </c>
      <c r="F8" s="51">
        <v>8</v>
      </c>
      <c r="H8" s="52" t="s">
        <v>3234</v>
      </c>
      <c r="J8" s="53" t="str" cm="1">
        <f t="array" ref="J8">xdec2bin(D8,F8)</f>
        <v>00000101</v>
      </c>
      <c r="L8" s="54" t="str">
        <f>IF(J8=H8,"PASS","FAIL")</f>
        <v>PASS</v>
      </c>
    </row>
    <row r="10" spans="1:19" x14ac:dyDescent="0.5">
      <c r="A10" s="46">
        <v>3</v>
      </c>
      <c r="B10" s="47" t="s">
        <v>3235</v>
      </c>
      <c r="D10" s="51">
        <v>0</v>
      </c>
      <c r="H10" s="52" t="s">
        <v>3236</v>
      </c>
      <c r="J10" s="53" t="str" cm="1">
        <f t="array" ref="J10">xdec2bin(D10)</f>
        <v>0</v>
      </c>
      <c r="L10" s="54" t="str">
        <f>IF(J10=H10,"PASS","FAIL")</f>
        <v>PASS</v>
      </c>
    </row>
    <row r="12" spans="1:19" x14ac:dyDescent="0.5">
      <c r="A12" s="46">
        <v>4</v>
      </c>
      <c r="B12" s="47" t="s">
        <v>3237</v>
      </c>
      <c r="D12" s="51">
        <v>0</v>
      </c>
      <c r="F12" s="51">
        <v>4</v>
      </c>
      <c r="H12" s="52" t="s">
        <v>3238</v>
      </c>
      <c r="J12" s="53" t="str" cm="1">
        <f t="array" ref="J12">xdec2bin(D12,F12)</f>
        <v>0000</v>
      </c>
      <c r="L12" s="54" t="str">
        <f>IF(J12=H12,"PASS","FAIL")</f>
        <v>PASS</v>
      </c>
    </row>
    <row r="14" spans="1:19" x14ac:dyDescent="0.5">
      <c r="A14" s="46">
        <v>5</v>
      </c>
      <c r="B14" s="47" t="s">
        <v>3239</v>
      </c>
      <c r="D14" s="51">
        <v>10</v>
      </c>
      <c r="H14" s="52" t="s">
        <v>3240</v>
      </c>
      <c r="J14" s="53" t="str" cm="1">
        <f t="array" ref="J14">xdec2bin(D14)</f>
        <v>1010</v>
      </c>
      <c r="L14" s="54" t="str">
        <f>IF(J14=H14,"PASS","FAIL")</f>
        <v>PASS</v>
      </c>
    </row>
    <row r="16" spans="1:19" x14ac:dyDescent="0.5">
      <c r="A16" s="46">
        <v>6</v>
      </c>
      <c r="B16" s="47" t="s">
        <v>3241</v>
      </c>
      <c r="D16" s="51">
        <v>-1</v>
      </c>
      <c r="F16" s="51">
        <v>4</v>
      </c>
      <c r="H16" s="52" t="s">
        <v>3242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49E1A-4B1A-4BC9-98E0-46EECC9DE88C}">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0EF12-A78D-4F6F-B90F-2DCB435D966F}">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3243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3244</v>
      </c>
      <c r="D6" s="51">
        <v>6</v>
      </c>
      <c r="F6" s="51">
        <v>3</v>
      </c>
      <c r="H6" s="52">
        <v>3</v>
      </c>
      <c r="J6" s="53" cm="1">
        <f t="array" ref="J6">xmod(D6,F6)</f>
        <v>3</v>
      </c>
      <c r="L6" s="54" t="str">
        <f>IF(J6=H6,"PASS","FAIL")</f>
        <v>PASS</v>
      </c>
    </row>
    <row r="8" spans="1:19" x14ac:dyDescent="0.5">
      <c r="A8" s="46">
        <v>2</v>
      </c>
      <c r="B8" s="47" t="s">
        <v>3245</v>
      </c>
      <c r="D8" s="51">
        <v>7</v>
      </c>
      <c r="F8" s="51">
        <v>3</v>
      </c>
      <c r="H8" s="52">
        <v>1</v>
      </c>
      <c r="J8" s="53" cm="1">
        <f t="array" ref="J8">xmod(D8,F8)</f>
        <v>1</v>
      </c>
      <c r="L8" s="54" t="str">
        <f>IF(J8=H8,"PASS","FAIL")</f>
        <v>PASS</v>
      </c>
    </row>
    <row r="10" spans="1:19" x14ac:dyDescent="0.5">
      <c r="A10" s="46">
        <v>3</v>
      </c>
      <c r="B10" s="47" t="s">
        <v>3246</v>
      </c>
      <c r="D10" s="51">
        <v>5</v>
      </c>
      <c r="F10" s="51">
        <v>5</v>
      </c>
      <c r="H10" s="52">
        <v>5</v>
      </c>
      <c r="J10" s="53" cm="1">
        <f t="array" ref="J10">xmod(D10,F10)</f>
        <v>5</v>
      </c>
      <c r="L10" s="54" t="str">
        <f>IF(J10=H10,"PASS","FAIL")</f>
        <v>PASS</v>
      </c>
    </row>
    <row r="12" spans="1:19" x14ac:dyDescent="0.5">
      <c r="A12" s="46">
        <v>4</v>
      </c>
      <c r="B12" s="47" t="s">
        <v>3247</v>
      </c>
      <c r="D12" s="51">
        <v>10</v>
      </c>
      <c r="F12" s="51">
        <v>4</v>
      </c>
      <c r="H12" s="52">
        <v>2</v>
      </c>
      <c r="J12" s="53" cm="1">
        <f t="array" ref="J12">xmod(D12,F12)</f>
        <v>2</v>
      </c>
      <c r="L12" s="54" t="str">
        <f>IF(J12=H12,"PASS","FAIL")</f>
        <v>PASS</v>
      </c>
    </row>
    <row r="14" spans="1:19" x14ac:dyDescent="0.5">
      <c r="A14" s="46">
        <v>5</v>
      </c>
      <c r="B14" s="47" t="s">
        <v>3248</v>
      </c>
      <c r="D14" s="51">
        <v>12</v>
      </c>
      <c r="F14" s="51">
        <v>6</v>
      </c>
      <c r="H14" s="52">
        <v>6</v>
      </c>
      <c r="J14" s="53" cm="1">
        <f t="array" ref="J14">xmod(D14,F14)</f>
        <v>6</v>
      </c>
      <c r="L14" s="54" t="str">
        <f>IF(J14=H14,"PASS","FAIL")</f>
        <v>PASS</v>
      </c>
    </row>
    <row r="16" spans="1:19" x14ac:dyDescent="0.5">
      <c r="A16" s="46">
        <v>6</v>
      </c>
      <c r="B16" s="47" t="s">
        <v>3249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CF872-7A50-4F4E-A704-CCE173E5F30C}">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3250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3251</v>
      </c>
      <c r="D6" s="51" t="s">
        <v>3252</v>
      </c>
      <c r="F6" s="52">
        <v>42</v>
      </c>
      <c r="H6" s="53" cm="1">
        <f t="array" ref="H6">xn(D6)</f>
        <v>42</v>
      </c>
      <c r="J6" s="54" t="str">
        <f>IF(H6=F6,"PASS","FAIL")</f>
        <v>PASS</v>
      </c>
    </row>
    <row r="8" spans="1:19" x14ac:dyDescent="0.5">
      <c r="A8" s="46">
        <v>2</v>
      </c>
      <c r="B8" s="47" t="s">
        <v>3253</v>
      </c>
      <c r="D8" s="51" t="b">
        <v>1</v>
      </c>
      <c r="F8" s="52">
        <v>1</v>
      </c>
      <c r="H8" s="53" cm="1">
        <f t="array" ref="H8">xn(D8)</f>
        <v>1</v>
      </c>
      <c r="J8" s="54" t="str">
        <f>IF(H8=F8,"PASS","FAIL")</f>
        <v>PASS</v>
      </c>
    </row>
    <row r="10" spans="1:19" x14ac:dyDescent="0.5">
      <c r="A10" s="46">
        <v>3</v>
      </c>
      <c r="B10" s="47" t="s">
        <v>3254</v>
      </c>
      <c r="D10" s="51" t="s">
        <v>3081</v>
      </c>
      <c r="F10" s="52" t="s">
        <v>3081</v>
      </c>
      <c r="H10" s="53" t="str" cm="1">
        <f t="array" ref="H10">xn(D10)</f>
        <v>abc</v>
      </c>
      <c r="J10" s="54" t="str">
        <f>IF(H10=F10,"PASS","FAIL")</f>
        <v>PASS</v>
      </c>
    </row>
    <row r="12" spans="1:19" x14ac:dyDescent="0.5">
      <c r="A12" s="46">
        <v>4</v>
      </c>
      <c r="B12" s="47" t="s">
        <v>3255</v>
      </c>
      <c r="D12" s="51"/>
      <c r="F12" s="52"/>
      <c r="H12" s="53" t="str" cm="1">
        <f t="array" ref="H12">xn(D12)</f>
        <v/>
      </c>
      <c r="J12" s="54" t="str">
        <f>IF(H12=F12,"PASS","FAIL")</f>
        <v>PASS</v>
      </c>
    </row>
    <row r="14" spans="1:19" x14ac:dyDescent="0.5">
      <c r="A14" s="46">
        <v>5</v>
      </c>
      <c r="B14" s="47" t="s">
        <v>3256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2966</v>
      </c>
      <c r="F16" s="52" t="s">
        <v>2966</v>
      </c>
      <c r="H16" s="53" t="str">
        <v>x</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46A5F-9E86-49BD-9CFD-83EA76D270EC}">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3257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3258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3259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3260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3261</v>
      </c>
      <c r="D18" s="51">
        <v>50</v>
      </c>
      <c r="F18" s="51">
        <v>10</v>
      </c>
      <c r="G18" s="51">
        <v>50</v>
      </c>
      <c r="H18" s="51">
        <v>30</v>
      </c>
      <c r="J18" s="52">
        <v>1</v>
      </c>
      <c r="L18" s="53" cm="1">
        <f t="array" ref="L18">xrank(D18,F18:H18)</f>
        <v>1</v>
      </c>
      <c r="N18" s="54" t="str">
        <f>IF(L18=J18,"PASS","FAIL")</f>
        <v>PASS</v>
      </c>
    </row>
    <row r="20" spans="1:14" x14ac:dyDescent="0.5">
      <c r="A20" s="46">
        <v>5</v>
      </c>
      <c r="B20" s="47" t="s">
        <v>3262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3299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6615E-D6A6-4CA0-85ED-D42537C349AF}">
  <sheetPr codeName="Sheet101"/>
  <dimension ref="A1:S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82"/>
      <c r="D2" s="82"/>
      <c r="E2" s="82"/>
      <c r="F2" s="82"/>
      <c r="G2" s="82"/>
      <c r="H2" s="82"/>
      <c r="I2" s="82"/>
      <c r="J2" s="82"/>
      <c r="K2" s="82"/>
      <c r="L2" s="82"/>
      <c r="M2" s="82"/>
      <c r="N2" s="82"/>
      <c r="O2" s="82"/>
      <c r="P2" s="82"/>
      <c r="Q2" s="82"/>
      <c r="R2" s="82"/>
    </row>
    <row r="4" spans="1:19" x14ac:dyDescent="0.5">
      <c r="A4" s="45" t="s">
        <v>3263</v>
      </c>
      <c r="R4" s="45" t="str">
        <f>COUNTIF(R6:R36,"PASS")&amp;" / 6 PASS"</f>
        <v>6 / 6 PASS</v>
      </c>
    </row>
    <row r="5" spans="1:19" x14ac:dyDescent="0.5">
      <c r="A5" s="45" t="s">
        <v>7</v>
      </c>
      <c r="B5" s="45" t="s">
        <v>8</v>
      </c>
      <c r="D5" s="45" t="s">
        <v>9</v>
      </c>
      <c r="N5" s="48" t="s">
        <v>10</v>
      </c>
      <c r="P5" s="49" t="s">
        <v>11</v>
      </c>
      <c r="R5" s="50" t="s">
        <v>12</v>
      </c>
    </row>
    <row r="6" spans="1:19" x14ac:dyDescent="0.5">
      <c r="A6" s="46">
        <v>1</v>
      </c>
      <c r="B6" s="47" t="s">
        <v>3264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3265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3266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3267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3268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3300</v>
      </c>
      <c r="D36" s="51">
        <v>1</v>
      </c>
      <c r="F36" s="51">
        <v>5</v>
      </c>
      <c r="N36" s="52" t="s">
        <v>3298</v>
      </c>
      <c r="P36" s="53" t="e" cm="1">
        <f t="array" ref="P36">xsequence(D36,F36,-1)</f>
        <v>#VALUE!</v>
      </c>
      <c r="R36" s="54" t="str">
        <f>IF(ERROR.TYPE(P36)=3,"PASS","FAIL")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24B4-8CCC-4CC6-8FD9-9C12BE2E7CD2}">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s">
        <v>3269</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3270</v>
      </c>
      <c r="D6" s="51" t="s">
        <v>3271</v>
      </c>
      <c r="J6" s="52" t="s">
        <v>2946</v>
      </c>
      <c r="N6" s="53" t="str" cm="1">
        <f t="array" ref="N6:N8">xtextsplit(D6)</f>
        <v>a</v>
      </c>
      <c r="R6" s="54" t="str" cm="1">
        <f t="array" ref="R6">IF(AND(J6:J8=N6:N8),"PASS","FAIL")</f>
        <v>PASS</v>
      </c>
    </row>
    <row r="7" spans="1:19" x14ac:dyDescent="0.5">
      <c r="A7" s="55"/>
      <c r="B7" s="55"/>
      <c r="J7" s="52" t="s">
        <v>2947</v>
      </c>
      <c r="N7" s="53" t="str">
        <v>b</v>
      </c>
    </row>
    <row r="8" spans="1:19" x14ac:dyDescent="0.5">
      <c r="A8" s="55"/>
      <c r="B8" s="55"/>
      <c r="J8" s="52" t="s">
        <v>2955</v>
      </c>
      <c r="N8" s="53" t="str">
        <v>c</v>
      </c>
    </row>
    <row r="10" spans="1:19" x14ac:dyDescent="0.5">
      <c r="A10" s="46">
        <v>2</v>
      </c>
      <c r="B10" s="47" t="s">
        <v>3272</v>
      </c>
      <c r="D10" s="51" t="s">
        <v>3273</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3274</v>
      </c>
      <c r="D14" s="51" t="s">
        <v>3275</v>
      </c>
      <c r="F14" s="51" t="s">
        <v>3276</v>
      </c>
      <c r="J14" s="52" t="s">
        <v>2946</v>
      </c>
      <c r="N14" s="53" t="str" cm="1">
        <f t="array" ref="N14:N16">xtextsplit(D14,F14)</f>
        <v>a</v>
      </c>
      <c r="R14" s="54" t="str" cm="1">
        <f t="array" ref="R14">IF(AND(J14:J16=N14:N16),"PASS","FAIL")</f>
        <v>PASS</v>
      </c>
    </row>
    <row r="15" spans="1:19" x14ac:dyDescent="0.5">
      <c r="A15" s="55"/>
      <c r="B15" s="55"/>
      <c r="J15" s="52" t="s">
        <v>2947</v>
      </c>
      <c r="N15" s="53" t="str">
        <v>b</v>
      </c>
    </row>
    <row r="16" spans="1:19" x14ac:dyDescent="0.5">
      <c r="A16" s="55"/>
      <c r="B16" s="55"/>
      <c r="J16" s="52" t="s">
        <v>2955</v>
      </c>
      <c r="N16" s="53" t="str">
        <v>c</v>
      </c>
    </row>
    <row r="18" spans="1:18" x14ac:dyDescent="0.5">
      <c r="A18" s="46">
        <v>4</v>
      </c>
      <c r="B18" s="47" t="s">
        <v>3277</v>
      </c>
      <c r="D18" s="51" t="s">
        <v>3271</v>
      </c>
      <c r="F18" s="51"/>
      <c r="H18" s="51">
        <v>1</v>
      </c>
      <c r="J18" s="52" t="s">
        <v>2946</v>
      </c>
      <c r="K18" s="52" t="s">
        <v>2947</v>
      </c>
      <c r="L18" s="52" t="s">
        <v>2955</v>
      </c>
      <c r="N18" s="53" t="str" cm="1">
        <f t="array" ref="N18:P18">xtextsplit(D18,,H18)</f>
        <v>a</v>
      </c>
      <c r="O18" s="53" t="str">
        <v>b</v>
      </c>
      <c r="P18" s="53" t="str">
        <v>c</v>
      </c>
      <c r="R18" s="54" t="str" cm="1">
        <f t="array" ref="R18">IF(AND(J18:L18=N18:P18),"PASS","FAIL")</f>
        <v>PASS</v>
      </c>
    </row>
    <row r="20" spans="1:18" x14ac:dyDescent="0.5">
      <c r="A20" s="46">
        <v>5</v>
      </c>
      <c r="B20" s="47" t="s">
        <v>3278</v>
      </c>
      <c r="D20" s="51" t="s">
        <v>3081</v>
      </c>
      <c r="J20" s="52" t="s">
        <v>3081</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017E2-1F55-4CE9-9B43-5CAD188BD975}">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3279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3280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3281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3282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3283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3301</v>
      </c>
      <c r="H24" s="52" t="s">
        <v>3298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8701E-E758-4595-85F5-C6C7A480578C}">
  <sheetPr codeName="Sheet110"/>
  <dimension ref="A1:H4"/>
  <sheetViews>
    <sheetView workbookViewId="0">
      <selection sqref="A1:A2"/>
    </sheetView>
  </sheetViews>
  <sheetFormatPr defaultRowHeight="21" x14ac:dyDescent="0.5"/>
  <cols>
    <col min="5" max="5" width="20.9375" bestFit="1" customWidth="1"/>
    <col min="6" max="6" width="8.5" style="56" bestFit="1" customWidth="1"/>
    <col min="7" max="7" width="7.875" style="56" bestFit="1" customWidth="1"/>
    <col min="8" max="8" width="9" bestFit="1" customWidth="1"/>
  </cols>
  <sheetData>
    <row r="1" spans="1:8" x14ac:dyDescent="0.5">
      <c r="A1" s="59" t="s">
        <v>3338</v>
      </c>
      <c r="C1" t="s">
        <v>3363</v>
      </c>
      <c r="E1" s="15" t="s">
        <v>3396</v>
      </c>
      <c r="H1" s="15" t="s">
        <v>3469</v>
      </c>
    </row>
    <row r="2" spans="1:8" x14ac:dyDescent="0.5">
      <c r="A2" s="60" t="s">
        <v>3342</v>
      </c>
      <c r="E2" s="15" t="s">
        <v>8</v>
      </c>
      <c r="F2" s="57" t="s">
        <v>10</v>
      </c>
      <c r="G2" s="57" t="s">
        <v>11</v>
      </c>
      <c r="H2" s="15" t="s">
        <v>3327</v>
      </c>
    </row>
    <row r="3" spans="1:8" x14ac:dyDescent="0.5">
      <c r="E3" t="s">
        <v>3397</v>
      </c>
      <c r="F3" s="56" t="s">
        <v>3338</v>
      </c>
      <c r="G3" s="56" t="s">
        <v>3338</v>
      </c>
      <c r="H3" s="58" t="s">
        <v>3331</v>
      </c>
    </row>
    <row r="4" spans="1:8" x14ac:dyDescent="0.5">
      <c r="E4" t="s">
        <v>3398</v>
      </c>
      <c r="F4" s="56" t="s">
        <v>3342</v>
      </c>
      <c r="G4" s="56" t="s">
        <v>3342</v>
      </c>
      <c r="H4" s="58" t="s">
        <v>3331</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B2EF4-5C24-4B5F-A624-001A665A48FB}">
  <sheetPr codeName="Sheet125"/>
  <dimension ref="C1:F6"/>
  <sheetViews>
    <sheetView workbookViewId="0"/>
  </sheetViews>
  <sheetFormatPr defaultRowHeight="21" x14ac:dyDescent="0.5"/>
  <cols>
    <col min="3" max="3" width="14.5625" bestFit="1" customWidth="1"/>
    <col min="4" max="4" width="8.5" style="56" bestFit="1" customWidth="1"/>
    <col min="5" max="5" width="6.125" style="56" bestFit="1" customWidth="1"/>
    <col min="6" max="6" width="9" bestFit="1" customWidth="1"/>
  </cols>
  <sheetData>
    <row r="1" spans="3:6" x14ac:dyDescent="0.5">
      <c r="C1" s="15" t="s">
        <v>3433</v>
      </c>
      <c r="F1" s="15" t="s">
        <v>3471</v>
      </c>
    </row>
    <row r="2" spans="3:6" x14ac:dyDescent="0.5">
      <c r="C2" s="15" t="s">
        <v>8</v>
      </c>
      <c r="D2" s="57" t="s">
        <v>10</v>
      </c>
      <c r="E2" s="57" t="s">
        <v>11</v>
      </c>
      <c r="F2" s="15" t="s">
        <v>3327</v>
      </c>
    </row>
    <row r="3" spans="3:6" x14ac:dyDescent="0.5">
      <c r="C3" t="s">
        <v>3434</v>
      </c>
      <c r="D3" s="56" t="s">
        <v>137</v>
      </c>
      <c r="E3" s="56" t="s">
        <v>137</v>
      </c>
      <c r="F3" s="58" t="s">
        <v>3331</v>
      </c>
    </row>
    <row r="4" spans="3:6" x14ac:dyDescent="0.5">
      <c r="C4" t="s">
        <v>3435</v>
      </c>
      <c r="D4" s="56" t="s">
        <v>2633</v>
      </c>
      <c r="E4" s="56" t="s">
        <v>2633</v>
      </c>
      <c r="F4" s="58" t="s">
        <v>3331</v>
      </c>
    </row>
    <row r="5" spans="3:6" x14ac:dyDescent="0.5">
      <c r="C5" t="s">
        <v>3436</v>
      </c>
      <c r="D5" s="56" t="s">
        <v>3437</v>
      </c>
      <c r="E5" s="56" t="s">
        <v>3437</v>
      </c>
      <c r="F5" s="58" t="s">
        <v>3331</v>
      </c>
    </row>
    <row r="6" spans="3:6" x14ac:dyDescent="0.5">
      <c r="C6" t="s">
        <v>3438</v>
      </c>
      <c r="D6" s="56" t="s">
        <v>3439</v>
      </c>
      <c r="E6" s="56" t="s">
        <v>3439</v>
      </c>
      <c r="F6" s="58" t="s">
        <v>3331</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8717A-1FB2-4E90-9D6D-73696A6AA06F}">
  <sheetPr codeName="Sheet104"/>
  <dimension ref="A1:H5"/>
  <sheetViews>
    <sheetView workbookViewId="0"/>
  </sheetViews>
  <sheetFormatPr defaultRowHeight="21" x14ac:dyDescent="0.5"/>
  <cols>
    <col min="5" max="5" width="13.625" bestFit="1" customWidth="1"/>
    <col min="6" max="6" width="8.5" style="56" bestFit="1" customWidth="1"/>
    <col min="7" max="7" width="7.875" style="56" bestFit="1" customWidth="1"/>
    <col min="8" max="8" width="9" bestFit="1" customWidth="1"/>
  </cols>
  <sheetData>
    <row r="1" spans="1:8" x14ac:dyDescent="0.5">
      <c r="A1" s="59"/>
      <c r="C1" t="s">
        <v>3355</v>
      </c>
      <c r="E1" s="15" t="s">
        <v>3336</v>
      </c>
      <c r="H1" s="15" t="s">
        <v>3468</v>
      </c>
    </row>
    <row r="2" spans="1:8" x14ac:dyDescent="0.5">
      <c r="E2" s="15" t="s">
        <v>8</v>
      </c>
      <c r="F2" s="57" t="s">
        <v>10</v>
      </c>
      <c r="G2" s="57" t="s">
        <v>11</v>
      </c>
      <c r="H2" s="15" t="s">
        <v>3327</v>
      </c>
    </row>
    <row r="3" spans="1:8" x14ac:dyDescent="0.5">
      <c r="A3" s="60"/>
      <c r="E3" t="s">
        <v>3337</v>
      </c>
      <c r="F3" s="56" t="s">
        <v>3338</v>
      </c>
      <c r="G3" s="56" t="s">
        <v>3338</v>
      </c>
      <c r="H3" s="58" t="s">
        <v>3331</v>
      </c>
    </row>
    <row r="4" spans="1:8" x14ac:dyDescent="0.5">
      <c r="E4" t="s">
        <v>3339</v>
      </c>
      <c r="F4" s="56" t="s">
        <v>3340</v>
      </c>
      <c r="G4" s="56" t="s">
        <v>3340</v>
      </c>
      <c r="H4" s="58" t="s">
        <v>3331</v>
      </c>
    </row>
    <row r="5" spans="1:8" x14ac:dyDescent="0.5">
      <c r="E5" t="s">
        <v>3341</v>
      </c>
      <c r="F5" s="56" t="s">
        <v>3342</v>
      </c>
      <c r="G5" s="56" t="s">
        <v>3342</v>
      </c>
      <c r="H5" s="58" t="s">
        <v>3331</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16DD7-9ADC-416D-ACE4-8B34EB05665F}">
  <sheetPr codeName="Sheet108"/>
  <dimension ref="A1:H8"/>
  <sheetViews>
    <sheetView workbookViewId="0"/>
  </sheetViews>
  <sheetFormatPr defaultRowHeight="21" x14ac:dyDescent="0.5"/>
  <cols>
    <col min="5" max="5" width="23.625" bestFit="1" customWidth="1"/>
    <col min="6" max="6" width="8.5" style="56" bestFit="1" customWidth="1"/>
    <col min="7" max="7" width="7.75" style="56" bestFit="1" customWidth="1"/>
    <col min="8" max="8" width="9" bestFit="1" customWidth="1"/>
  </cols>
  <sheetData>
    <row r="1" spans="1:8" x14ac:dyDescent="0.5">
      <c r="A1" t="s">
        <v>3356</v>
      </c>
      <c r="B1">
        <v>100</v>
      </c>
      <c r="C1" t="s">
        <v>3357</v>
      </c>
      <c r="E1" s="15" t="s">
        <v>3377</v>
      </c>
      <c r="H1" s="15" t="s">
        <v>3470</v>
      </c>
    </row>
    <row r="2" spans="1:8" x14ac:dyDescent="0.5">
      <c r="A2" t="s">
        <v>3358</v>
      </c>
      <c r="B2">
        <v>1000</v>
      </c>
      <c r="C2" t="s">
        <v>3356</v>
      </c>
      <c r="E2" s="15" t="s">
        <v>8</v>
      </c>
      <c r="F2" s="57" t="s">
        <v>10</v>
      </c>
      <c r="G2" s="57" t="s">
        <v>11</v>
      </c>
      <c r="H2" s="15" t="s">
        <v>3327</v>
      </c>
    </row>
    <row r="3" spans="1:8" x14ac:dyDescent="0.5">
      <c r="E3" t="s">
        <v>3378</v>
      </c>
      <c r="F3" s="56" t="s">
        <v>3379</v>
      </c>
      <c r="G3" s="56" t="s">
        <v>3379</v>
      </c>
      <c r="H3" s="58" t="s">
        <v>3331</v>
      </c>
    </row>
    <row r="4" spans="1:8" x14ac:dyDescent="0.5">
      <c r="A4" t="s">
        <v>3359</v>
      </c>
      <c r="E4" t="s">
        <v>3380</v>
      </c>
      <c r="F4" s="56" t="s">
        <v>136</v>
      </c>
      <c r="G4" s="56" t="s">
        <v>136</v>
      </c>
      <c r="H4" s="58" t="s">
        <v>3331</v>
      </c>
    </row>
    <row r="5" spans="1:8" x14ac:dyDescent="0.5">
      <c r="E5" t="s">
        <v>3381</v>
      </c>
      <c r="F5" s="56" t="s">
        <v>156</v>
      </c>
      <c r="G5" s="56" t="s">
        <v>156</v>
      </c>
      <c r="H5" s="58" t="s">
        <v>3331</v>
      </c>
    </row>
    <row r="6" spans="1:8" x14ac:dyDescent="0.5">
      <c r="E6" t="s">
        <v>3382</v>
      </c>
      <c r="F6" s="56" t="s">
        <v>3383</v>
      </c>
      <c r="G6" s="56" t="s">
        <v>3383</v>
      </c>
      <c r="H6" s="58" t="s">
        <v>3331</v>
      </c>
    </row>
    <row r="7" spans="1:8" x14ac:dyDescent="0.5">
      <c r="E7" t="s">
        <v>3384</v>
      </c>
      <c r="F7" s="56" t="s">
        <v>3345</v>
      </c>
      <c r="G7" s="56" t="s">
        <v>3345</v>
      </c>
      <c r="H7" s="58" t="s">
        <v>3331</v>
      </c>
    </row>
    <row r="8" spans="1:8" x14ac:dyDescent="0.5">
      <c r="E8" t="s">
        <v>3385</v>
      </c>
      <c r="F8" s="56" t="s">
        <v>3298</v>
      </c>
      <c r="G8" s="56" t="s">
        <v>3298</v>
      </c>
      <c r="H8" s="58" t="s">
        <v>3331</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9950E-16BF-4792-9DD7-40F419048049}">
  <sheetPr codeName="Sheet117"/>
  <dimension ref="A1:G3"/>
  <sheetViews>
    <sheetView workbookViewId="0"/>
  </sheetViews>
  <sheetFormatPr defaultRowHeight="21" x14ac:dyDescent="0.5"/>
  <cols>
    <col min="4" max="4" width="30.75" bestFit="1" customWidth="1"/>
    <col min="5" max="5" width="8.5" style="56" bestFit="1" customWidth="1"/>
    <col min="6" max="6" width="6.125" style="56" bestFit="1" customWidth="1"/>
    <col min="7" max="7" width="9" bestFit="1" customWidth="1"/>
  </cols>
  <sheetData>
    <row r="1" spans="1:7" x14ac:dyDescent="0.5">
      <c r="A1" t="s">
        <v>3370</v>
      </c>
      <c r="B1" t="e">
        <f>NA()</f>
        <v>#N/A</v>
      </c>
      <c r="D1" s="15" t="s">
        <v>3447</v>
      </c>
      <c r="G1" s="15" t="s">
        <v>3473</v>
      </c>
    </row>
    <row r="2" spans="1:7" x14ac:dyDescent="0.5">
      <c r="A2" t="e">
        <f>1/0</f>
        <v>#DIV/0!</v>
      </c>
      <c r="B2">
        <v>5</v>
      </c>
      <c r="D2" s="15" t="s">
        <v>8</v>
      </c>
      <c r="E2" s="57" t="s">
        <v>10</v>
      </c>
      <c r="F2" s="57" t="s">
        <v>11</v>
      </c>
      <c r="G2" s="15" t="s">
        <v>3327</v>
      </c>
    </row>
    <row r="3" spans="1:7" x14ac:dyDescent="0.5">
      <c r="D3" t="s">
        <v>3448</v>
      </c>
      <c r="E3" s="56" t="s">
        <v>3345</v>
      </c>
      <c r="F3" s="56" t="s">
        <v>3345</v>
      </c>
      <c r="G3" s="58" t="s">
        <v>3331</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4FD2D-0C14-41A3-9203-DB624D937A7F}">
  <sheetPr codeName="Sheet116"/>
  <dimension ref="C1:F4"/>
  <sheetViews>
    <sheetView workbookViewId="0"/>
  </sheetViews>
  <sheetFormatPr defaultRowHeight="21" x14ac:dyDescent="0.5"/>
  <cols>
    <col min="3" max="3" width="21.9375" bestFit="1" customWidth="1"/>
    <col min="4" max="4" width="8.5" style="56" bestFit="1" customWidth="1"/>
    <col min="5" max="5" width="6.125" style="56" bestFit="1" customWidth="1"/>
    <col min="6" max="6" width="9" bestFit="1" customWidth="1"/>
  </cols>
  <sheetData>
    <row r="1" spans="3:6" x14ac:dyDescent="0.5">
      <c r="C1" s="15" t="s">
        <v>3440</v>
      </c>
      <c r="F1" s="15" t="s">
        <v>3469</v>
      </c>
    </row>
    <row r="2" spans="3:6" x14ac:dyDescent="0.5">
      <c r="C2" s="15" t="s">
        <v>8</v>
      </c>
      <c r="D2" s="57" t="s">
        <v>10</v>
      </c>
      <c r="E2" s="57" t="s">
        <v>11</v>
      </c>
      <c r="F2" s="15" t="s">
        <v>3327</v>
      </c>
    </row>
    <row r="3" spans="3:6" x14ac:dyDescent="0.5">
      <c r="C3" t="s">
        <v>3441</v>
      </c>
      <c r="D3" s="56" t="s">
        <v>3345</v>
      </c>
      <c r="E3" s="56" t="s">
        <v>3345</v>
      </c>
      <c r="F3" s="58" t="s">
        <v>3331</v>
      </c>
    </row>
    <row r="4" spans="3:6" x14ac:dyDescent="0.5">
      <c r="C4" t="s">
        <v>3442</v>
      </c>
      <c r="D4" s="56" t="s">
        <v>3345</v>
      </c>
      <c r="E4" s="56" t="s">
        <v>3345</v>
      </c>
      <c r="F4" s="58" t="s">
        <v>3331</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D85D0-1986-43FC-AC24-DD7EFC4DB5F2}">
  <sheetPr codeName="Sheet111"/>
  <dimension ref="A1:I5"/>
  <sheetViews>
    <sheetView workbookViewId="0"/>
  </sheetViews>
  <sheetFormatPr defaultRowHeight="21" x14ac:dyDescent="0.5"/>
  <cols>
    <col min="6" max="6" width="33.6875" bestFit="1" customWidth="1"/>
    <col min="7" max="7" width="8.5" style="56" bestFit="1" customWidth="1"/>
    <col min="8" max="8" width="7.875" style="56" bestFit="1" customWidth="1"/>
    <col min="9" max="9" width="9" bestFit="1" customWidth="1"/>
  </cols>
  <sheetData>
    <row r="1" spans="1:9" x14ac:dyDescent="0.5">
      <c r="A1" s="59" t="s">
        <v>2631</v>
      </c>
      <c r="B1" s="59" t="str">
        <f>""</f>
        <v/>
      </c>
      <c r="D1" t="s">
        <v>3364</v>
      </c>
      <c r="F1" s="15" t="s">
        <v>3399</v>
      </c>
      <c r="I1" s="15" t="s">
        <v>3468</v>
      </c>
    </row>
    <row r="2" spans="1:9" x14ac:dyDescent="0.5">
      <c r="A2" s="59" t="s">
        <v>2631</v>
      </c>
      <c r="F2" s="15" t="s">
        <v>8</v>
      </c>
      <c r="G2" s="57" t="s">
        <v>10</v>
      </c>
      <c r="H2" s="57" t="s">
        <v>11</v>
      </c>
      <c r="I2" s="15" t="s">
        <v>3327</v>
      </c>
    </row>
    <row r="3" spans="1:9" x14ac:dyDescent="0.5">
      <c r="A3" s="62"/>
      <c r="F3" t="s">
        <v>3400</v>
      </c>
      <c r="G3" s="56" t="s">
        <v>2631</v>
      </c>
      <c r="H3" s="56" t="s">
        <v>2631</v>
      </c>
      <c r="I3" s="58" t="s">
        <v>3331</v>
      </c>
    </row>
    <row r="4" spans="1:9" x14ac:dyDescent="0.5">
      <c r="F4" t="s">
        <v>3401</v>
      </c>
      <c r="G4" s="56" t="s">
        <v>3402</v>
      </c>
      <c r="H4" s="56" t="s">
        <v>3402</v>
      </c>
      <c r="I4" s="58" t="s">
        <v>3331</v>
      </c>
    </row>
    <row r="5" spans="1:9" x14ac:dyDescent="0.5">
      <c r="F5" t="s">
        <v>3403</v>
      </c>
      <c r="G5" s="56" t="s">
        <v>3345</v>
      </c>
      <c r="H5" s="56" t="s">
        <v>3345</v>
      </c>
      <c r="I5" s="58" t="s">
        <v>3331</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90DE6-B4FF-423A-AD09-B0CC7C51D000}">
  <sheetPr codeName="Sheet112"/>
  <dimension ref="A1:K6"/>
  <sheetViews>
    <sheetView workbookViewId="0">
      <selection activeCell="D1" sqref="D1:D2"/>
    </sheetView>
  </sheetViews>
  <sheetFormatPr defaultRowHeight="21" x14ac:dyDescent="0.5"/>
  <cols>
    <col min="8" max="8" width="38.6875" bestFit="1" customWidth="1"/>
    <col min="9" max="9" width="8.5" style="56" bestFit="1" customWidth="1"/>
    <col min="10" max="10" width="7.875" style="56" bestFit="1" customWidth="1"/>
    <col min="11" max="11" width="9" bestFit="1" customWidth="1"/>
  </cols>
  <sheetData>
    <row r="1" spans="1:11" x14ac:dyDescent="0.5">
      <c r="A1" s="59" t="s">
        <v>2631</v>
      </c>
      <c r="B1" s="62"/>
      <c r="D1" s="64" t="s">
        <v>2632</v>
      </c>
      <c r="F1" t="s">
        <v>3365</v>
      </c>
      <c r="H1" s="15" t="s">
        <v>3404</v>
      </c>
      <c r="K1" s="15" t="s">
        <v>3471</v>
      </c>
    </row>
    <row r="2" spans="1:11" x14ac:dyDescent="0.5">
      <c r="A2" s="59" t="s">
        <v>2631</v>
      </c>
      <c r="B2" s="62"/>
      <c r="D2" s="63"/>
      <c r="H2" s="15" t="s">
        <v>8</v>
      </c>
      <c r="I2" s="57" t="s">
        <v>10</v>
      </c>
      <c r="J2" s="57" t="s">
        <v>11</v>
      </c>
      <c r="K2" s="15" t="s">
        <v>3327</v>
      </c>
    </row>
    <row r="3" spans="1:11" x14ac:dyDescent="0.5">
      <c r="A3" s="59" t="s">
        <v>2631</v>
      </c>
      <c r="B3" s="62"/>
      <c r="H3" t="s">
        <v>3405</v>
      </c>
      <c r="I3" s="56" t="s">
        <v>2631</v>
      </c>
      <c r="J3" s="56" t="s">
        <v>2631</v>
      </c>
      <c r="K3" s="58" t="s">
        <v>3331</v>
      </c>
    </row>
    <row r="4" spans="1:11" x14ac:dyDescent="0.5">
      <c r="H4" t="s">
        <v>3406</v>
      </c>
      <c r="I4" s="56" t="s">
        <v>2631</v>
      </c>
      <c r="J4" s="56" t="s">
        <v>2631</v>
      </c>
      <c r="K4" s="58" t="s">
        <v>3331</v>
      </c>
    </row>
    <row r="5" spans="1:11" x14ac:dyDescent="0.5">
      <c r="H5" t="s">
        <v>3407</v>
      </c>
      <c r="I5" s="56" t="s">
        <v>3402</v>
      </c>
      <c r="J5" s="56" t="s">
        <v>3402</v>
      </c>
      <c r="K5" s="58" t="s">
        <v>3331</v>
      </c>
    </row>
    <row r="6" spans="1:11" x14ac:dyDescent="0.5">
      <c r="H6" t="s">
        <v>3408</v>
      </c>
      <c r="I6" s="56" t="s">
        <v>3402</v>
      </c>
      <c r="J6" s="56" t="s">
        <v>3402</v>
      </c>
      <c r="K6" s="58" t="s">
        <v>3331</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E949E-7EBF-43DA-A338-5C949A2CF20A}">
  <sheetPr codeName="Sheet114"/>
  <dimension ref="A1:F10"/>
  <sheetViews>
    <sheetView workbookViewId="0"/>
  </sheetViews>
  <sheetFormatPr defaultRowHeight="21" x14ac:dyDescent="0.5"/>
  <cols>
    <col min="3" max="3" width="31.6875" bestFit="1" customWidth="1"/>
    <col min="4" max="4" width="8.5" style="56" bestFit="1" customWidth="1"/>
    <col min="5" max="5" width="6.125" style="56" bestFit="1" customWidth="1"/>
    <col min="6" max="6" width="9" bestFit="1" customWidth="1"/>
  </cols>
  <sheetData>
    <row r="1" spans="1:6" x14ac:dyDescent="0.5">
      <c r="A1" t="s">
        <v>3368</v>
      </c>
      <c r="C1" s="15" t="s">
        <v>3418</v>
      </c>
      <c r="F1" s="15" t="s">
        <v>3472</v>
      </c>
    </row>
    <row r="2" spans="1:6" x14ac:dyDescent="0.5">
      <c r="C2" s="15" t="s">
        <v>8</v>
      </c>
      <c r="D2" s="57" t="s">
        <v>10</v>
      </c>
      <c r="E2" s="57" t="s">
        <v>11</v>
      </c>
      <c r="F2" s="15" t="s">
        <v>3327</v>
      </c>
    </row>
    <row r="3" spans="1:6" x14ac:dyDescent="0.5">
      <c r="C3" t="s">
        <v>3419</v>
      </c>
      <c r="D3" s="56" t="s">
        <v>3345</v>
      </c>
      <c r="E3" s="56" t="s">
        <v>3345</v>
      </c>
      <c r="F3" s="58" t="s">
        <v>3331</v>
      </c>
    </row>
    <row r="4" spans="1:6" x14ac:dyDescent="0.5">
      <c r="C4" t="s">
        <v>3420</v>
      </c>
      <c r="D4" s="56" t="s">
        <v>3345</v>
      </c>
      <c r="E4" s="56" t="s">
        <v>3345</v>
      </c>
      <c r="F4" s="58" t="s">
        <v>3331</v>
      </c>
    </row>
    <row r="5" spans="1:6" x14ac:dyDescent="0.5">
      <c r="C5" t="s">
        <v>3421</v>
      </c>
      <c r="D5" s="56" t="s">
        <v>2946</v>
      </c>
      <c r="E5" s="56" t="s">
        <v>2946</v>
      </c>
      <c r="F5" s="58" t="s">
        <v>3331</v>
      </c>
    </row>
    <row r="6" spans="1:6" x14ac:dyDescent="0.5">
      <c r="C6" t="s">
        <v>3415</v>
      </c>
      <c r="D6" s="56" t="s">
        <v>136</v>
      </c>
      <c r="E6" s="56" t="s">
        <v>136</v>
      </c>
      <c r="F6" s="58" t="s">
        <v>3331</v>
      </c>
    </row>
    <row r="7" spans="1:6" x14ac:dyDescent="0.5">
      <c r="C7" t="s">
        <v>3422</v>
      </c>
      <c r="D7" s="56" t="s">
        <v>3423</v>
      </c>
      <c r="E7" s="56" t="s">
        <v>3423</v>
      </c>
      <c r="F7" s="58" t="s">
        <v>3331</v>
      </c>
    </row>
    <row r="8" spans="1:6" x14ac:dyDescent="0.5">
      <c r="C8" t="s">
        <v>3424</v>
      </c>
      <c r="D8" s="56" t="s">
        <v>2947</v>
      </c>
      <c r="E8" s="56" t="s">
        <v>2947</v>
      </c>
      <c r="F8" s="58" t="s">
        <v>3331</v>
      </c>
    </row>
    <row r="9" spans="1:6" x14ac:dyDescent="0.5">
      <c r="C9" t="s">
        <v>3417</v>
      </c>
      <c r="D9" s="56" t="s">
        <v>577</v>
      </c>
      <c r="E9" s="56" t="s">
        <v>577</v>
      </c>
      <c r="F9" s="58" t="s">
        <v>3331</v>
      </c>
    </row>
    <row r="10" spans="1:6" x14ac:dyDescent="0.5">
      <c r="C10" t="s">
        <v>3425</v>
      </c>
      <c r="D10" s="56" t="s">
        <v>3426</v>
      </c>
      <c r="E10" s="56" t="s">
        <v>3426</v>
      </c>
      <c r="F10" s="58" t="s">
        <v>3331</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776A5-9830-42CF-B7EE-A215AE4D1C7E}">
  <sheetPr codeName="Sheet113"/>
  <dimension ref="A1:F10"/>
  <sheetViews>
    <sheetView workbookViewId="0">
      <selection sqref="A1:A3"/>
    </sheetView>
  </sheetViews>
  <sheetFormatPr defaultRowHeight="21" x14ac:dyDescent="0.5"/>
  <cols>
    <col min="3" max="3" width="27.75" bestFit="1" customWidth="1"/>
    <col min="4" max="5" width="12.375" style="56" bestFit="1" customWidth="1"/>
    <col min="6" max="6" width="9" bestFit="1" customWidth="1"/>
  </cols>
  <sheetData>
    <row r="1" spans="1:6" x14ac:dyDescent="0.5">
      <c r="A1" t="s">
        <v>2946</v>
      </c>
      <c r="C1" s="15" t="s">
        <v>3409</v>
      </c>
      <c r="F1" s="15" t="s">
        <v>3472</v>
      </c>
    </row>
    <row r="2" spans="1:6" x14ac:dyDescent="0.5">
      <c r="A2" t="s">
        <v>2946</v>
      </c>
      <c r="C2" s="15" t="s">
        <v>8</v>
      </c>
      <c r="D2" s="57" t="s">
        <v>10</v>
      </c>
      <c r="E2" s="57" t="s">
        <v>11</v>
      </c>
      <c r="F2" s="15" t="s">
        <v>3327</v>
      </c>
    </row>
    <row r="3" spans="1:6" x14ac:dyDescent="0.5">
      <c r="A3" t="s">
        <v>2947</v>
      </c>
      <c r="C3" t="s">
        <v>3410</v>
      </c>
      <c r="D3" s="56" t="s">
        <v>3345</v>
      </c>
      <c r="E3" s="56" t="s">
        <v>3345</v>
      </c>
      <c r="F3" s="58" t="s">
        <v>3331</v>
      </c>
    </row>
    <row r="4" spans="1:6" x14ac:dyDescent="0.5">
      <c r="C4" t="s">
        <v>3411</v>
      </c>
      <c r="D4" s="56" t="s">
        <v>3345</v>
      </c>
      <c r="E4" s="56" t="s">
        <v>3345</v>
      </c>
      <c r="F4" s="58" t="s">
        <v>3331</v>
      </c>
    </row>
    <row r="5" spans="1:6" x14ac:dyDescent="0.5">
      <c r="C5" t="s">
        <v>3412</v>
      </c>
      <c r="D5" s="56" t="s">
        <v>3366</v>
      </c>
      <c r="E5" s="56" t="s">
        <v>3366</v>
      </c>
      <c r="F5" s="58" t="s">
        <v>3331</v>
      </c>
    </row>
    <row r="6" spans="1:6" x14ac:dyDescent="0.5">
      <c r="C6" t="s">
        <v>3413</v>
      </c>
      <c r="D6" s="56" t="s">
        <v>3367</v>
      </c>
      <c r="E6" s="56" t="s">
        <v>3367</v>
      </c>
      <c r="F6" s="58" t="s">
        <v>3331</v>
      </c>
    </row>
    <row r="7" spans="1:6" x14ac:dyDescent="0.5">
      <c r="C7" t="s">
        <v>3414</v>
      </c>
      <c r="D7" s="56" t="s">
        <v>2946</v>
      </c>
      <c r="E7" s="56" t="s">
        <v>2946</v>
      </c>
      <c r="F7" s="58" t="s">
        <v>3331</v>
      </c>
    </row>
    <row r="8" spans="1:6" x14ac:dyDescent="0.5">
      <c r="C8" t="s">
        <v>3415</v>
      </c>
      <c r="D8" s="56" t="s">
        <v>136</v>
      </c>
      <c r="E8" s="56" t="s">
        <v>136</v>
      </c>
      <c r="F8" s="58" t="s">
        <v>3331</v>
      </c>
    </row>
    <row r="9" spans="1:6" x14ac:dyDescent="0.5">
      <c r="C9" t="s">
        <v>3416</v>
      </c>
      <c r="D9" s="56" t="s">
        <v>2947</v>
      </c>
      <c r="E9" s="56" t="s">
        <v>2947</v>
      </c>
      <c r="F9" s="58" t="s">
        <v>3331</v>
      </c>
    </row>
    <row r="10" spans="1:6" x14ac:dyDescent="0.5">
      <c r="C10" t="s">
        <v>3417</v>
      </c>
      <c r="D10" s="56" t="s">
        <v>577</v>
      </c>
      <c r="E10" s="56" t="s">
        <v>577</v>
      </c>
      <c r="F10" s="58" t="s">
        <v>3331</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D21C4-5745-4806-B559-D8C3FCA9AE91}">
  <sheetPr codeName="Sheet105"/>
  <dimension ref="B1:H4"/>
  <sheetViews>
    <sheetView workbookViewId="0"/>
  </sheetViews>
  <sheetFormatPr defaultRowHeight="21" x14ac:dyDescent="0.5"/>
  <cols>
    <col min="5" max="5" width="22.25" bestFit="1" customWidth="1"/>
    <col min="6" max="7" width="65.3125" style="56" bestFit="1" customWidth="1"/>
    <col min="8" max="8" width="9" bestFit="1" customWidth="1"/>
  </cols>
  <sheetData>
    <row r="1" spans="2:8" x14ac:dyDescent="0.5">
      <c r="E1" s="15" t="s">
        <v>3348</v>
      </c>
      <c r="H1" s="15" t="s">
        <v>3469</v>
      </c>
    </row>
    <row r="2" spans="2:8" x14ac:dyDescent="0.5">
      <c r="B2">
        <v>1</v>
      </c>
      <c r="C2">
        <v>2</v>
      </c>
      <c r="E2" s="15" t="s">
        <v>8</v>
      </c>
      <c r="F2" s="57" t="s">
        <v>10</v>
      </c>
      <c r="G2" s="57" t="s">
        <v>11</v>
      </c>
      <c r="H2" s="15" t="s">
        <v>3327</v>
      </c>
    </row>
    <row r="3" spans="2:8" x14ac:dyDescent="0.5">
      <c r="B3">
        <v>3</v>
      </c>
      <c r="C3">
        <v>4</v>
      </c>
      <c r="E3" t="s">
        <v>3349</v>
      </c>
      <c r="F3" s="56" t="s">
        <v>3350</v>
      </c>
      <c r="G3" s="56" t="s">
        <v>3350</v>
      </c>
      <c r="H3" s="58" t="s">
        <v>3331</v>
      </c>
    </row>
    <row r="4" spans="2:8" x14ac:dyDescent="0.5">
      <c r="E4" t="s">
        <v>3351</v>
      </c>
      <c r="F4" s="56" t="s">
        <v>3345</v>
      </c>
      <c r="G4" s="56" t="s">
        <v>3345</v>
      </c>
      <c r="H4" s="58" t="s">
        <v>3331</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06E0D-7D67-4C64-BAAD-16CC158C0052}">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B16E7-C2D5-4FBC-895D-EAF47BE5D6D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3498</v>
      </c>
      <c r="F1" s="15" t="s">
        <v>3472</v>
      </c>
    </row>
    <row r="2" spans="3:6" x14ac:dyDescent="0.5">
      <c r="C2" s="15" t="s">
        <v>8</v>
      </c>
      <c r="D2" s="57" t="s">
        <v>10</v>
      </c>
      <c r="E2" s="57" t="s">
        <v>11</v>
      </c>
      <c r="F2" s="15" t="s">
        <v>3327</v>
      </c>
    </row>
    <row r="3" spans="3:6" x14ac:dyDescent="0.5">
      <c r="C3" t="s">
        <v>3499</v>
      </c>
      <c r="D3" s="56" t="s">
        <v>3345</v>
      </c>
      <c r="E3" s="56" t="s">
        <v>3345</v>
      </c>
      <c r="F3" s="58" t="s">
        <v>3331</v>
      </c>
    </row>
    <row r="4" spans="3:6" x14ac:dyDescent="0.5">
      <c r="C4" t="s">
        <v>3500</v>
      </c>
      <c r="D4" s="56" t="s">
        <v>3345</v>
      </c>
      <c r="E4" s="56" t="s">
        <v>3345</v>
      </c>
      <c r="F4" s="58" t="s">
        <v>3331</v>
      </c>
    </row>
    <row r="5" spans="3:6" x14ac:dyDescent="0.5">
      <c r="C5" t="s">
        <v>3501</v>
      </c>
      <c r="D5" s="56" t="s">
        <v>3345</v>
      </c>
      <c r="E5" s="56" t="s">
        <v>3345</v>
      </c>
      <c r="F5" s="58" t="s">
        <v>3331</v>
      </c>
    </row>
    <row r="6" spans="3:6" x14ac:dyDescent="0.5">
      <c r="C6" t="s">
        <v>3502</v>
      </c>
      <c r="D6" s="56" t="s">
        <v>3345</v>
      </c>
      <c r="E6" s="56" t="s">
        <v>3345</v>
      </c>
      <c r="F6" s="58" t="s">
        <v>3331</v>
      </c>
    </row>
    <row r="7" spans="3:6" x14ac:dyDescent="0.5">
      <c r="C7" t="s">
        <v>3503</v>
      </c>
      <c r="D7" s="56" t="s">
        <v>3345</v>
      </c>
      <c r="E7" s="56" t="s">
        <v>3345</v>
      </c>
      <c r="F7" s="58" t="s">
        <v>3331</v>
      </c>
    </row>
    <row r="8" spans="3:6" x14ac:dyDescent="0.5">
      <c r="C8" t="s">
        <v>3504</v>
      </c>
      <c r="D8" s="56" t="s">
        <v>3345</v>
      </c>
      <c r="E8" s="56" t="s">
        <v>3345</v>
      </c>
      <c r="F8" s="58" t="s">
        <v>3331</v>
      </c>
    </row>
    <row r="9" spans="3:6" x14ac:dyDescent="0.5">
      <c r="C9" t="s">
        <v>3505</v>
      </c>
      <c r="D9" s="56" t="s">
        <v>3345</v>
      </c>
      <c r="E9" s="56" t="s">
        <v>3345</v>
      </c>
      <c r="F9" s="58" t="s">
        <v>3331</v>
      </c>
    </row>
    <row r="10" spans="3:6" x14ac:dyDescent="0.5">
      <c r="C10" t="s">
        <v>3506</v>
      </c>
      <c r="D10" s="56" t="s">
        <v>3345</v>
      </c>
      <c r="E10" s="56" t="s">
        <v>3345</v>
      </c>
      <c r="F10" s="58" t="s">
        <v>3331</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0A9A6-78FD-489D-8015-9D5AE3299539}">
  <sheetPr codeName="Sheet118"/>
  <dimension ref="B1:I8"/>
  <sheetViews>
    <sheetView workbookViewId="0"/>
  </sheetViews>
  <sheetFormatPr defaultRowHeight="21" x14ac:dyDescent="0.5"/>
  <cols>
    <col min="6" max="6" width="22.4375" bestFit="1" customWidth="1"/>
    <col min="7" max="7" width="8.5" style="56" bestFit="1" customWidth="1"/>
    <col min="8" max="8" width="6.125" style="56" bestFit="1" customWidth="1"/>
    <col min="9" max="9" width="9" bestFit="1" customWidth="1"/>
  </cols>
  <sheetData>
    <row r="1" spans="2:9" x14ac:dyDescent="0.5">
      <c r="F1" s="15" t="s">
        <v>3449</v>
      </c>
      <c r="I1" s="15" t="s">
        <v>3470</v>
      </c>
    </row>
    <row r="2" spans="2:9" x14ac:dyDescent="0.5">
      <c r="B2" t="s">
        <v>2966</v>
      </c>
      <c r="F2" s="15" t="s">
        <v>8</v>
      </c>
      <c r="G2" s="57" t="s">
        <v>10</v>
      </c>
      <c r="H2" s="57" t="s">
        <v>11</v>
      </c>
      <c r="I2" s="15" t="s">
        <v>3327</v>
      </c>
    </row>
    <row r="3" spans="2:9" x14ac:dyDescent="0.5">
      <c r="F3" t="s">
        <v>3450</v>
      </c>
      <c r="G3" s="56" t="s">
        <v>3345</v>
      </c>
      <c r="H3" s="56" t="s">
        <v>3345</v>
      </c>
      <c r="I3" s="58" t="s">
        <v>3331</v>
      </c>
    </row>
    <row r="4" spans="2:9" x14ac:dyDescent="0.5">
      <c r="F4" t="s">
        <v>3451</v>
      </c>
      <c r="G4" s="56" t="s">
        <v>3345</v>
      </c>
      <c r="H4" s="56" t="s">
        <v>3345</v>
      </c>
      <c r="I4" s="58" t="s">
        <v>3331</v>
      </c>
    </row>
    <row r="5" spans="2:9" x14ac:dyDescent="0.5">
      <c r="D5" t="s">
        <v>3169</v>
      </c>
      <c r="F5" t="s">
        <v>3491</v>
      </c>
      <c r="G5" s="56" t="s">
        <v>3345</v>
      </c>
      <c r="H5" s="56" t="s">
        <v>3345</v>
      </c>
      <c r="I5" s="58" t="s">
        <v>3331</v>
      </c>
    </row>
    <row r="6" spans="2:9" x14ac:dyDescent="0.5">
      <c r="F6" t="s">
        <v>3492</v>
      </c>
      <c r="G6" s="56" t="s">
        <v>3345</v>
      </c>
      <c r="H6" s="56" t="s">
        <v>3345</v>
      </c>
      <c r="I6" s="58" t="s">
        <v>3331</v>
      </c>
    </row>
    <row r="7" spans="2:9" x14ac:dyDescent="0.5">
      <c r="F7" t="s">
        <v>3493</v>
      </c>
      <c r="G7" s="56" t="s">
        <v>3345</v>
      </c>
      <c r="H7" s="56" t="s">
        <v>3345</v>
      </c>
      <c r="I7" s="58" t="s">
        <v>3331</v>
      </c>
    </row>
    <row r="8" spans="2:9" x14ac:dyDescent="0.5">
      <c r="F8" t="s">
        <v>3494</v>
      </c>
      <c r="G8" s="56" t="s">
        <v>3345</v>
      </c>
      <c r="H8" s="56" t="s">
        <v>3345</v>
      </c>
      <c r="I8" s="58" t="s">
        <v>3331</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6B8B6-A2CB-4D00-B1E0-D2945E22A32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4EE14-0A23-49BE-9EEF-53ADFD6B0293}">
  <sheetPr codeName="Sheet109"/>
  <dimension ref="A1:L9"/>
  <sheetViews>
    <sheetView workbookViewId="0">
      <selection activeCell="A7" sqref="A7:C9"/>
    </sheetView>
  </sheetViews>
  <sheetFormatPr defaultRowHeight="21" x14ac:dyDescent="0.5"/>
  <cols>
    <col min="9" max="9" width="15.875" bestFit="1" customWidth="1"/>
    <col min="10" max="11" width="33.9375" style="56" bestFit="1" customWidth="1"/>
    <col min="12" max="12" width="9" bestFit="1" customWidth="1"/>
  </cols>
  <sheetData>
    <row r="1" spans="1:12" x14ac:dyDescent="0.5">
      <c r="A1" t="s">
        <v>3360</v>
      </c>
      <c r="E1" t="s">
        <v>3361</v>
      </c>
      <c r="I1" s="15" t="s">
        <v>3386</v>
      </c>
      <c r="L1" s="15" t="s">
        <v>3468</v>
      </c>
    </row>
    <row r="2" spans="1:12" x14ac:dyDescent="0.5">
      <c r="A2" s="61">
        <v>0</v>
      </c>
      <c r="B2" s="61">
        <v>1</v>
      </c>
      <c r="C2" s="61">
        <v>2</v>
      </c>
      <c r="E2" s="61">
        <v>0</v>
      </c>
      <c r="F2" s="61">
        <v>1</v>
      </c>
      <c r="G2" s="61">
        <v>2</v>
      </c>
      <c r="I2" s="15" t="s">
        <v>8</v>
      </c>
      <c r="J2" s="57" t="s">
        <v>10</v>
      </c>
      <c r="K2" s="57" t="s">
        <v>11</v>
      </c>
      <c r="L2" s="15" t="s">
        <v>3327</v>
      </c>
    </row>
    <row r="3" spans="1:12" x14ac:dyDescent="0.5">
      <c r="A3" s="61">
        <v>1</v>
      </c>
      <c r="B3" s="61">
        <v>2</v>
      </c>
      <c r="C3" s="61">
        <v>3</v>
      </c>
      <c r="E3" s="61">
        <v>1</v>
      </c>
      <c r="F3" s="61">
        <v>1</v>
      </c>
      <c r="G3" s="61">
        <v>2</v>
      </c>
      <c r="I3" t="s">
        <v>3387</v>
      </c>
      <c r="J3" s="56" t="s">
        <v>3388</v>
      </c>
      <c r="K3" s="56" t="s">
        <v>3388</v>
      </c>
      <c r="L3" s="58" t="s">
        <v>3331</v>
      </c>
    </row>
    <row r="4" spans="1:12" x14ac:dyDescent="0.5">
      <c r="A4" s="61">
        <v>2</v>
      </c>
      <c r="B4" s="61">
        <v>3</v>
      </c>
      <c r="C4" s="61">
        <v>4</v>
      </c>
      <c r="E4" s="61">
        <v>2</v>
      </c>
      <c r="F4" s="61">
        <v>2</v>
      </c>
      <c r="G4" s="61">
        <v>2</v>
      </c>
      <c r="I4" t="s">
        <v>3389</v>
      </c>
      <c r="J4" s="56" t="s">
        <v>3390</v>
      </c>
      <c r="K4" s="56" t="s">
        <v>3390</v>
      </c>
      <c r="L4" s="58" t="s">
        <v>3331</v>
      </c>
    </row>
    <row r="5" spans="1:12" x14ac:dyDescent="0.5">
      <c r="I5" t="s">
        <v>3391</v>
      </c>
      <c r="J5" s="56" t="s">
        <v>3392</v>
      </c>
      <c r="K5" s="56" t="s">
        <v>3392</v>
      </c>
      <c r="L5" s="58" t="s">
        <v>3331</v>
      </c>
    </row>
    <row r="6" spans="1:12" x14ac:dyDescent="0.5">
      <c r="A6" t="s">
        <v>3362</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AEFB4E-2B8F-49F0-B4BA-EAE3835E6065}">
  <sheetPr codeName="Sheet120"/>
  <dimension ref="C1:J4"/>
  <sheetViews>
    <sheetView workbookViewId="0"/>
  </sheetViews>
  <sheetFormatPr defaultRowHeight="21" x14ac:dyDescent="0.5"/>
  <cols>
    <col min="7" max="7" width="50.3125" bestFit="1" customWidth="1"/>
    <col min="8" max="8" width="8.5" style="56" bestFit="1" customWidth="1"/>
    <col min="9" max="9" width="6.125" style="56" bestFit="1" customWidth="1"/>
    <col min="10" max="10" width="9" bestFit="1" customWidth="1"/>
  </cols>
  <sheetData>
    <row r="1" spans="3:10" x14ac:dyDescent="0.5">
      <c r="C1" s="56" t="s">
        <v>3371</v>
      </c>
      <c r="E1" t="s">
        <v>3373</v>
      </c>
      <c r="G1" s="15" t="s">
        <v>3454</v>
      </c>
      <c r="J1" s="15" t="s">
        <v>3469</v>
      </c>
    </row>
    <row r="2" spans="3:10" x14ac:dyDescent="0.5">
      <c r="C2" s="56" t="s">
        <v>3372</v>
      </c>
      <c r="G2" s="15" t="s">
        <v>8</v>
      </c>
      <c r="H2" s="57" t="s">
        <v>10</v>
      </c>
      <c r="I2" s="57" t="s">
        <v>11</v>
      </c>
      <c r="J2" s="15" t="s">
        <v>3327</v>
      </c>
    </row>
    <row r="3" spans="3:10" x14ac:dyDescent="0.5">
      <c r="G3" t="s">
        <v>3455</v>
      </c>
      <c r="H3" s="56" t="s">
        <v>161</v>
      </c>
      <c r="I3" s="56" t="s">
        <v>161</v>
      </c>
      <c r="J3" s="58" t="s">
        <v>3331</v>
      </c>
    </row>
    <row r="4" spans="3:10" x14ac:dyDescent="0.5">
      <c r="G4" t="s">
        <v>3456</v>
      </c>
      <c r="H4" s="56" t="s">
        <v>3236</v>
      </c>
      <c r="I4" s="56" t="s">
        <v>3236</v>
      </c>
      <c r="J4" s="58" t="s">
        <v>3331</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F41FE-1D73-4A7C-B65C-9FAA55572700}">
  <sheetPr codeName="Sheet126"/>
  <dimension ref="C1:F4"/>
  <sheetViews>
    <sheetView workbookViewId="0">
      <selection activeCell="M37" sqref="M37"/>
    </sheetView>
  </sheetViews>
  <sheetFormatPr defaultRowHeight="21" x14ac:dyDescent="0.5"/>
  <cols>
    <col min="3" max="3" width="21.375" bestFit="1" customWidth="1"/>
    <col min="4" max="5" width="9.5625" style="56" bestFit="1" customWidth="1"/>
    <col min="6" max="6" width="9" bestFit="1" customWidth="1"/>
  </cols>
  <sheetData>
    <row r="1" spans="3:6" x14ac:dyDescent="0.5">
      <c r="C1" s="15" t="s">
        <v>3443</v>
      </c>
      <c r="F1" s="15" t="s">
        <v>3469</v>
      </c>
    </row>
    <row r="2" spans="3:6" x14ac:dyDescent="0.5">
      <c r="C2" s="15" t="s">
        <v>8</v>
      </c>
      <c r="D2" s="57" t="s">
        <v>10</v>
      </c>
      <c r="E2" s="57" t="s">
        <v>11</v>
      </c>
      <c r="F2" s="15" t="s">
        <v>3327</v>
      </c>
    </row>
    <row r="3" spans="3:6" x14ac:dyDescent="0.5">
      <c r="C3" t="s">
        <v>3444</v>
      </c>
      <c r="D3" s="56" t="s">
        <v>3445</v>
      </c>
      <c r="E3" s="56" t="s">
        <v>3445</v>
      </c>
      <c r="F3" s="58" t="s">
        <v>3331</v>
      </c>
    </row>
    <row r="4" spans="3:6" x14ac:dyDescent="0.5">
      <c r="C4" t="s">
        <v>3446</v>
      </c>
      <c r="D4" s="56" t="s">
        <v>3335</v>
      </c>
      <c r="E4" s="56" t="s">
        <v>3335</v>
      </c>
      <c r="F4" s="58" t="s">
        <v>3331</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AAD-8405-414E-81CB-3AFBA8266ADF}">
  <sheetPr codeName="Sheet124"/>
  <dimension ref="C1:F4"/>
  <sheetViews>
    <sheetView workbookViewId="0"/>
  </sheetViews>
  <sheetFormatPr defaultRowHeight="21" x14ac:dyDescent="0.5"/>
  <cols>
    <col min="3" max="3" width="14.0625" bestFit="1" customWidth="1"/>
    <col min="4" max="4" width="8.5" style="56" bestFit="1" customWidth="1"/>
    <col min="5" max="5" width="6.125" style="56" bestFit="1" customWidth="1"/>
    <col min="6" max="6" width="9" bestFit="1" customWidth="1"/>
  </cols>
  <sheetData>
    <row r="1" spans="3:6" x14ac:dyDescent="0.5">
      <c r="C1" s="15" t="s">
        <v>3393</v>
      </c>
      <c r="F1" s="15" t="s">
        <v>3469</v>
      </c>
    </row>
    <row r="2" spans="3:6" x14ac:dyDescent="0.5">
      <c r="C2" s="15" t="s">
        <v>8</v>
      </c>
      <c r="D2" s="57" t="s">
        <v>10</v>
      </c>
      <c r="E2" s="57" t="s">
        <v>11</v>
      </c>
      <c r="F2" s="15" t="s">
        <v>3327</v>
      </c>
    </row>
    <row r="3" spans="3:6" x14ac:dyDescent="0.5">
      <c r="C3" t="s">
        <v>3394</v>
      </c>
      <c r="D3" s="56" t="s">
        <v>3345</v>
      </c>
      <c r="E3" s="56" t="s">
        <v>3345</v>
      </c>
      <c r="F3" s="58" t="s">
        <v>3331</v>
      </c>
    </row>
    <row r="4" spans="3:6" x14ac:dyDescent="0.5">
      <c r="C4" t="s">
        <v>3395</v>
      </c>
      <c r="D4" s="56" t="s">
        <v>3345</v>
      </c>
      <c r="E4" s="56" t="s">
        <v>3345</v>
      </c>
      <c r="F4" s="58" t="s">
        <v>3331</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7C20A-8200-47F9-AD83-FE8ADDA4DD01}">
  <sheetPr codeName="Sheet123"/>
  <dimension ref="C1:F5"/>
  <sheetViews>
    <sheetView workbookViewId="0"/>
  </sheetViews>
  <sheetFormatPr defaultRowHeight="21" x14ac:dyDescent="0.5"/>
  <cols>
    <col min="3" max="3" width="21.1875" bestFit="1" customWidth="1"/>
    <col min="4" max="4" width="8.5" style="56" bestFit="1" customWidth="1"/>
    <col min="5" max="5" width="6.125" style="56" bestFit="1" customWidth="1"/>
    <col min="6" max="6" width="9" bestFit="1" customWidth="1"/>
  </cols>
  <sheetData>
    <row r="1" spans="3:6" x14ac:dyDescent="0.5">
      <c r="C1" s="15" t="s">
        <v>3343</v>
      </c>
      <c r="F1" s="15" t="s">
        <v>3468</v>
      </c>
    </row>
    <row r="2" spans="3:6" x14ac:dyDescent="0.5">
      <c r="C2" s="15" t="s">
        <v>8</v>
      </c>
      <c r="D2" s="57" t="s">
        <v>10</v>
      </c>
      <c r="E2" s="57" t="s">
        <v>11</v>
      </c>
      <c r="F2" s="15" t="s">
        <v>3327</v>
      </c>
    </row>
    <row r="3" spans="3:6" x14ac:dyDescent="0.5">
      <c r="C3" t="s">
        <v>3344</v>
      </c>
      <c r="D3" s="56" t="s">
        <v>3345</v>
      </c>
      <c r="E3" s="56" t="s">
        <v>3345</v>
      </c>
      <c r="F3" s="58" t="s">
        <v>3331</v>
      </c>
    </row>
    <row r="4" spans="3:6" x14ac:dyDescent="0.5">
      <c r="C4" t="s">
        <v>3346</v>
      </c>
      <c r="D4" s="56" t="s">
        <v>3345</v>
      </c>
      <c r="E4" s="56" t="s">
        <v>3345</v>
      </c>
      <c r="F4" s="58" t="s">
        <v>3331</v>
      </c>
    </row>
    <row r="5" spans="3:6" x14ac:dyDescent="0.5">
      <c r="C5" t="s">
        <v>3347</v>
      </c>
      <c r="D5" s="56" t="s">
        <v>3345</v>
      </c>
      <c r="E5" s="56" t="s">
        <v>3345</v>
      </c>
      <c r="F5" s="58" t="s">
        <v>3331</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6D05E-5C33-4C6B-8E4A-B21FC23B90AA}">
  <sheetPr codeName="Sheet115"/>
  <dimension ref="A1:F8"/>
  <sheetViews>
    <sheetView workbookViewId="0"/>
  </sheetViews>
  <sheetFormatPr defaultRowHeight="21" x14ac:dyDescent="0.5"/>
  <cols>
    <col min="3" max="3" width="31.3125" bestFit="1" customWidth="1"/>
    <col min="4" max="4" width="8.5" style="56" bestFit="1" customWidth="1"/>
    <col min="5" max="5" width="7.8125" style="56" bestFit="1" customWidth="1"/>
    <col min="6" max="6" width="9" bestFit="1" customWidth="1"/>
  </cols>
  <sheetData>
    <row r="1" spans="1:6" x14ac:dyDescent="0.5">
      <c r="A1" s="59" t="s">
        <v>3072</v>
      </c>
      <c r="C1" s="15" t="s">
        <v>3427</v>
      </c>
      <c r="F1" s="15" t="s">
        <v>3470</v>
      </c>
    </row>
    <row r="2" spans="1:6" x14ac:dyDescent="0.5">
      <c r="C2" s="15" t="s">
        <v>8</v>
      </c>
      <c r="D2" s="57" t="s">
        <v>10</v>
      </c>
      <c r="E2" s="57" t="s">
        <v>11</v>
      </c>
      <c r="F2" s="15" t="s">
        <v>3327</v>
      </c>
    </row>
    <row r="3" spans="1:6" x14ac:dyDescent="0.5">
      <c r="C3" t="s">
        <v>3428</v>
      </c>
      <c r="D3" s="56" t="s">
        <v>3345</v>
      </c>
      <c r="E3" s="56" t="s">
        <v>3345</v>
      </c>
      <c r="F3" s="58" t="s">
        <v>3331</v>
      </c>
    </row>
    <row r="4" spans="1:6" x14ac:dyDescent="0.5">
      <c r="C4" t="s">
        <v>3429</v>
      </c>
      <c r="D4" s="56" t="s">
        <v>3345</v>
      </c>
      <c r="E4" s="56" t="s">
        <v>3345</v>
      </c>
      <c r="F4" s="58" t="s">
        <v>3331</v>
      </c>
    </row>
    <row r="5" spans="1:6" x14ac:dyDescent="0.5">
      <c r="C5" t="s">
        <v>3412</v>
      </c>
      <c r="D5" s="56" t="s">
        <v>3369</v>
      </c>
      <c r="E5" s="56" t="s">
        <v>3369</v>
      </c>
      <c r="F5" s="58" t="s">
        <v>3331</v>
      </c>
    </row>
    <row r="6" spans="1:6" x14ac:dyDescent="0.5">
      <c r="C6" t="s">
        <v>3430</v>
      </c>
      <c r="D6" s="56" t="s">
        <v>2934</v>
      </c>
      <c r="E6" s="56" t="s">
        <v>2934</v>
      </c>
      <c r="F6" s="58" t="s">
        <v>3331</v>
      </c>
    </row>
    <row r="7" spans="1:6" x14ac:dyDescent="0.5">
      <c r="C7" t="s">
        <v>3431</v>
      </c>
      <c r="D7" s="56" t="s">
        <v>3072</v>
      </c>
      <c r="E7" s="56" t="s">
        <v>3072</v>
      </c>
      <c r="F7" s="58" t="s">
        <v>3331</v>
      </c>
    </row>
    <row r="8" spans="1:6" x14ac:dyDescent="0.5">
      <c r="C8" t="s">
        <v>3432</v>
      </c>
      <c r="D8" s="56" t="s">
        <v>3338</v>
      </c>
      <c r="E8" s="56" t="s">
        <v>3338</v>
      </c>
      <c r="F8" s="58" t="s">
        <v>3331</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EDCDF-837D-4F66-BF0D-A7DDE6A4492E}">
  <sheetPr codeName="Sheet121"/>
  <dimension ref="A1:G10"/>
  <sheetViews>
    <sheetView workbookViewId="0">
      <selection sqref="A1:B2"/>
    </sheetView>
  </sheetViews>
  <sheetFormatPr defaultRowHeight="21" x14ac:dyDescent="0.5"/>
  <cols>
    <col min="4" max="4" width="37.125" bestFit="1" customWidth="1"/>
    <col min="5" max="6" width="38.4375" style="56" bestFit="1" customWidth="1"/>
    <col min="7" max="7" width="9" bestFit="1" customWidth="1"/>
  </cols>
  <sheetData>
    <row r="1" spans="1:7" x14ac:dyDescent="0.5">
      <c r="A1" t="s">
        <v>3374</v>
      </c>
      <c r="B1" t="s">
        <v>3375</v>
      </c>
      <c r="D1" s="15" t="s">
        <v>3457</v>
      </c>
      <c r="G1" s="15" t="s">
        <v>3472</v>
      </c>
    </row>
    <row r="2" spans="1:7" x14ac:dyDescent="0.5">
      <c r="A2">
        <v>101</v>
      </c>
      <c r="B2" t="s">
        <v>3376</v>
      </c>
      <c r="D2" s="15" t="s">
        <v>8</v>
      </c>
      <c r="E2" s="57" t="s">
        <v>10</v>
      </c>
      <c r="F2" s="57" t="s">
        <v>11</v>
      </c>
      <c r="G2" s="15" t="s">
        <v>3327</v>
      </c>
    </row>
    <row r="3" spans="1:7" x14ac:dyDescent="0.5">
      <c r="D3" t="s">
        <v>3458</v>
      </c>
      <c r="E3" s="56" t="s">
        <v>3345</v>
      </c>
      <c r="F3" s="56" t="s">
        <v>3345</v>
      </c>
      <c r="G3" s="58" t="s">
        <v>3331</v>
      </c>
    </row>
    <row r="4" spans="1:7" x14ac:dyDescent="0.5">
      <c r="D4" t="s">
        <v>3459</v>
      </c>
      <c r="E4" s="56" t="s">
        <v>3345</v>
      </c>
      <c r="F4" s="56" t="s">
        <v>3345</v>
      </c>
      <c r="G4" s="58" t="s">
        <v>3331</v>
      </c>
    </row>
    <row r="5" spans="1:7" x14ac:dyDescent="0.5">
      <c r="D5" t="s">
        <v>3460</v>
      </c>
      <c r="E5" s="56" t="s">
        <v>3374</v>
      </c>
      <c r="F5" s="56" t="s">
        <v>3374</v>
      </c>
      <c r="G5" s="58" t="s">
        <v>3331</v>
      </c>
    </row>
    <row r="6" spans="1:7" x14ac:dyDescent="0.5">
      <c r="D6" t="s">
        <v>3461</v>
      </c>
      <c r="E6" s="56" t="s">
        <v>3375</v>
      </c>
      <c r="F6" s="56" t="s">
        <v>3375</v>
      </c>
      <c r="G6" s="58" t="s">
        <v>3331</v>
      </c>
    </row>
    <row r="7" spans="1:7" x14ac:dyDescent="0.5">
      <c r="D7" t="s">
        <v>3462</v>
      </c>
      <c r="E7" s="56" t="s">
        <v>3232</v>
      </c>
      <c r="F7" s="56" t="s">
        <v>3232</v>
      </c>
      <c r="G7" s="58" t="s">
        <v>3331</v>
      </c>
    </row>
    <row r="8" spans="1:7" x14ac:dyDescent="0.5">
      <c r="D8" t="s">
        <v>3463</v>
      </c>
      <c r="E8" s="56" t="s">
        <v>3464</v>
      </c>
      <c r="F8" s="56" t="s">
        <v>3464</v>
      </c>
      <c r="G8" s="58" t="s">
        <v>3331</v>
      </c>
    </row>
    <row r="9" spans="1:7" x14ac:dyDescent="0.5">
      <c r="D9" t="s">
        <v>3465</v>
      </c>
      <c r="E9" s="56" t="s">
        <v>3232</v>
      </c>
      <c r="F9" s="56" t="s">
        <v>3232</v>
      </c>
      <c r="G9" s="58" t="s">
        <v>3331</v>
      </c>
    </row>
    <row r="10" spans="1:7" x14ac:dyDescent="0.5">
      <c r="D10" t="s">
        <v>3466</v>
      </c>
      <c r="E10" s="56" t="s">
        <v>3467</v>
      </c>
      <c r="F10" s="56" t="s">
        <v>3467</v>
      </c>
      <c r="G10" s="58" t="s">
        <v>3331</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17EA-C492-4B58-96E7-9E644FD0C80A}">
  <sheetPr codeName="Sheet122"/>
  <dimension ref="C1:F5"/>
  <sheetViews>
    <sheetView workbookViewId="0"/>
  </sheetViews>
  <sheetFormatPr defaultRowHeight="21" x14ac:dyDescent="0.5"/>
  <cols>
    <col min="3" max="3" width="14.125" bestFit="1" customWidth="1"/>
    <col min="4" max="5" width="9.5625" style="56" bestFit="1" customWidth="1"/>
    <col min="6" max="6" width="9" bestFit="1" customWidth="1"/>
  </cols>
  <sheetData>
    <row r="1" spans="3:6" x14ac:dyDescent="0.5">
      <c r="C1" s="15" t="s">
        <v>3328</v>
      </c>
      <c r="F1" s="15" t="s">
        <v>3468</v>
      </c>
    </row>
    <row r="2" spans="3:6" x14ac:dyDescent="0.5">
      <c r="C2" s="15" t="s">
        <v>8</v>
      </c>
      <c r="D2" s="57" t="s">
        <v>10</v>
      </c>
      <c r="E2" s="57" t="s">
        <v>11</v>
      </c>
      <c r="F2" s="15" t="s">
        <v>3327</v>
      </c>
    </row>
    <row r="3" spans="3:6" x14ac:dyDescent="0.5">
      <c r="C3" t="s">
        <v>3329</v>
      </c>
      <c r="D3" s="56" t="s">
        <v>3330</v>
      </c>
      <c r="E3" s="56" t="s">
        <v>3330</v>
      </c>
      <c r="F3" s="58" t="s">
        <v>3331</v>
      </c>
    </row>
    <row r="4" spans="3:6" x14ac:dyDescent="0.5">
      <c r="C4" t="s">
        <v>3332</v>
      </c>
      <c r="D4" s="56" t="s">
        <v>3333</v>
      </c>
      <c r="E4" s="56" t="s">
        <v>3333</v>
      </c>
      <c r="F4" s="58" t="s">
        <v>3331</v>
      </c>
    </row>
    <row r="5" spans="3:6" x14ac:dyDescent="0.5">
      <c r="C5" t="s">
        <v>3334</v>
      </c>
      <c r="D5" s="56" t="s">
        <v>3335</v>
      </c>
      <c r="E5" s="56" t="s">
        <v>3335</v>
      </c>
      <c r="F5" s="58" t="s">
        <v>3331</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B9470-7A46-42F7-A061-1B6634933C67}">
  <sheetPr codeName="Sheet119"/>
  <dimension ref="B1:G5"/>
  <sheetViews>
    <sheetView workbookViewId="0"/>
  </sheetViews>
  <sheetFormatPr defaultRowHeight="21" x14ac:dyDescent="0.5"/>
  <cols>
    <col min="4" max="4" width="31.1875" bestFit="1" customWidth="1"/>
    <col min="5" max="5" width="8.5" style="56" bestFit="1" customWidth="1"/>
    <col min="6" max="6" width="6.125" style="56" bestFit="1" customWidth="1"/>
    <col min="7" max="7" width="9" bestFit="1" customWidth="1"/>
  </cols>
  <sheetData>
    <row r="1" spans="2:7" x14ac:dyDescent="0.5">
      <c r="D1" s="15" t="s">
        <v>3452</v>
      </c>
      <c r="G1" s="15" t="s">
        <v>3473</v>
      </c>
    </row>
    <row r="2" spans="2:7" x14ac:dyDescent="0.5">
      <c r="D2" s="15" t="s">
        <v>8</v>
      </c>
      <c r="E2" s="57" t="s">
        <v>10</v>
      </c>
      <c r="F2" s="57" t="s">
        <v>11</v>
      </c>
      <c r="G2" s="15" t="s">
        <v>3327</v>
      </c>
    </row>
    <row r="3" spans="2:7" x14ac:dyDescent="0.5">
      <c r="D3" t="s">
        <v>3453</v>
      </c>
      <c r="E3" s="56" t="s">
        <v>3345</v>
      </c>
      <c r="F3" s="56" t="s">
        <v>3345</v>
      </c>
      <c r="G3" s="58" t="s">
        <v>3331</v>
      </c>
    </row>
    <row r="5" spans="2:7" x14ac:dyDescent="0.5">
      <c r="B5" s="65" t="s">
        <v>2966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82</vt:i4>
      </vt:variant>
    </vt:vector>
  </HeadingPairs>
  <TitlesOfParts>
    <vt:vector size="82"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2026-07-21T22:35:12Z</dcterms:modified>
</cp:coreProperties>
</file>