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2.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C367C8EE-4A36-481D-921C-2005ADB0175B}" xr6:coauthVersionLast="47" xr6:coauthVersionMax="47" xr10:uidLastSave="{00000000-0000-0000-0000-000000000000}"/>
  <bookViews>
    <workbookView xWindow="-2970" yWindow="7620" windowWidth="23640" windowHeight="12160" activeTab="4" xr2:uid="{00000000-000D-0000-FFFF-FFFF00000000}"/>
  </bookViews>
  <sheets>
    <sheet name="Prep" sheetId="1" r:id="rId1"/>
    <sheet name="Lamb" sheetId="2" r:id="rId2"/>
    <sheet name="lambda_tests" sheetId="3" r:id="rId3"/>
    <sheet name="vba_tests" sheetId="58" r:id="rId4"/>
    <sheet name="ad2cont" sheetId="4" r:id="rId5"/>
    <sheet name="ad2rc" sheetId="89" r:id="rId30"/>
    <sheet name="arrow" sheetId="5" r:id="rId6"/>
    <sheet name="arrow_move" sheetId="6" r:id="rId7"/>
    <sheet name="arrow_trip" sheetId="7" r:id="rId8"/>
    <sheet name="biggest" sheetId="8" r:id="rId9"/>
    <sheet name="clamp" sheetId="9" r:id="rId10"/>
    <sheet name="cont2ad" sheetId="96" r:id="rId91"/>
    <sheet name="count_substring" sheetId="10" r:id="rId11"/>
    <sheet name="ctotal" sheetId="11" r:id="rId12"/>
    <sheet name="cycles" sheetId="12" r:id="rId13"/>
    <sheet name="die_pips" sheetId="13" r:id="rId14"/>
    <sheet name="dist" sheetId="14" r:id="rId15"/>
    <sheet name="exists" sheetId="15" r:id="rId16"/>
    <sheet name="expand_rng" sheetId="27" r:id="rId28"/>
    <sheet name="freq_table" sheetId="16" r:id="rId17"/>
    <sheet name="is_unique" sheetId="17" r:id="rId18"/>
    <sheet name="knight_moves" sheetId="18" r:id="rId19"/>
    <sheet name="label_lookup" sheetId="19" r:id="rId20"/>
    <sheet name="load_array" sheetId="20" r:id="rId21"/>
    <sheet name="neighbors_count" sheetId="21" r:id="rId22"/>
    <sheet name="neighbors_list" sheetId="22" r:id="rId23"/>
    <sheet name="num_ad" sheetId="23" r:id="rId24"/>
    <sheet name="offset_letter" sheetId="24" r:id="rId25"/>
    <sheet name="only_letters" sheetId="25" r:id="rId26"/>
    <sheet name="only_numbers" sheetId="26" r:id="rId27"/>
    <sheet name="rc2ad" sheetId="90" r:id="rId29"/>
    <sheet name="rev" sheetId="28" r:id="rId31"/>
    <sheet name="rotate_arrow" sheetId="29" r:id="rId32"/>
    <sheet name="route_cost" sheetId="30" r:id="rId33"/>
    <sheet name="save_array" sheetId="31" r:id="rId34"/>
    <sheet name="selections" sheetId="32" r:id="rId35"/>
    <sheet name="set" sheetId="33" r:id="rId36"/>
    <sheet name="set_d" sheetId="34" r:id="rId37"/>
    <sheet name="set_i" sheetId="35" r:id="rId38"/>
    <sheet name="set_u" sheetId="36" r:id="rId39"/>
    <sheet name="shift_arr" sheetId="37" r:id="rId40"/>
    <sheet name="smallest" sheetId="38" r:id="rId41"/>
    <sheet name="str2arr" sheetId="39" r:id="rId42"/>
    <sheet name="str_ad" sheetId="40" r:id="rId43"/>
    <sheet name="str_rev" sheetId="41" r:id="rId44"/>
    <sheet name="textbetween" sheetId="42" r:id="rId45"/>
    <sheet name="transform_array" sheetId="43" r:id="rId46"/>
    <sheet name="update_arr" sheetId="44" r:id="rId47"/>
    <sheet name="xbyrow" sheetId="45" r:id="rId48"/>
    <sheet name="xcountif" sheetId="46" r:id="rId49"/>
    <sheet name="xdec2bin" sheetId="47" r:id="rId50"/>
    <sheet name="xfilter" sheetId="48" r:id="rId51"/>
    <sheet name="xmod" sheetId="49" r:id="rId52"/>
    <sheet name="xn" sheetId="50" r:id="rId53"/>
    <sheet name="xrank" sheetId="51" r:id="rId54"/>
    <sheet name="xsequence" sheetId="52" r:id="rId55"/>
    <sheet name="xtextsplit" sheetId="53" r:id="rId56"/>
    <sheet name="xtocol" sheetId="54" r:id="rId57"/>
    <sheet name="zz_bgc" sheetId="64" r:id="rId58"/>
    <sheet name="zz_ColNumToLetter" sheetId="83" r:id="rId59"/>
    <sheet name="zz_color" sheetId="59" r:id="rId60"/>
    <sheet name="zz_conv" sheetId="62" r:id="rId61"/>
    <sheet name="zz_errcells" sheetId="74" r:id="rId62"/>
    <sheet name="zz_exists" sheetId="73" r:id="rId63"/>
    <sheet name="zz_fillcolor" sheetId="65" r:id="rId64"/>
    <sheet name="zz_flood" sheetId="66" r:id="rId65"/>
    <sheet name="zz_freqcharsrc" sheetId="69" r:id="rId66"/>
    <sheet name="zz_freqsrc" sheetId="67" r:id="rId67"/>
    <sheet name="zz_fx1" sheetId="60" r:id="rId68"/>
    <sheet name="zz_fx2" sheetId="61" r:id="rId69"/>
    <sheet name="zz_is_lambda_test_sheet" sheetId="95" r:id="rId81"/>
    <sheet name="zz_lastused" sheetId="75" r:id="rId70"/>
    <sheet name="zz_lastused_empty" sheetId="88" r:id="rId71"/>
    <sheet name="zz_maze" sheetId="63" r:id="rId72"/>
    <sheet name="zz_retcol" sheetId="77" r:id="rId73"/>
    <sheet name="zz_SanitizeRow" sheetId="84" r:id="rId74"/>
    <sheet name="zz_select_sheets" sheetId="82" r:id="rId75"/>
    <sheet name="zz_sheet_names" sheetId="81" r:id="rId76"/>
    <sheet name="zz_tallsrc" sheetId="71" r:id="rId77"/>
    <sheet name="zz_tmsrc" sheetId="78" r:id="rId78"/>
    <sheet name="zz_UNICODE_SPLIT" sheetId="80" r:id="rId79"/>
    <sheet name="zz_yellow" sheetId="76" r:id="rId80"/>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ase_sensitive" hidden="1" xlm="1">#NAME?</definedName>
    <definedName name="_xlop.clean" hidden="1" xlm="1">#NAME?</definedName>
    <definedName name="_xlop.clean_input"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dr"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l" hidden="1" xlm="1">#NAME?</definedName>
    <definedName name="_xlpm.all_addresse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n" hidden="1" xlm="1">#NAME?</definedName>
    <definedName name="_xlpm.ans" hidden="1" xlm="1">#NAME?</definedName>
    <definedName name="_xlpm.apply_one" hidden="1" xlm="1">#NAME?</definedName>
    <definedName name="_xlpm.arr" hidden="1" xlm="1">#NAME?</definedName>
    <definedName name="_xlpm.arr_" hidden="1" xlm="1">#NAME?</definedName>
    <definedName name="_xlpm.arr_col_rev"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b" hidden="1" xlm="1">#NAME?</definedName>
    <definedName name="_xlpm.b_flat" hidden="1" xlm="1">#NAME?</definedName>
    <definedName name="_xlpm.base"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tween_text" hidden="1" xlm="1">#NAME?</definedName>
    <definedName name="_xlpm.BFS_STEP" hidden="1" xlm="1">#NAME?</definedName>
    <definedName name="_xlpm.bits"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off" hidden="1" xlm="1">#NAME?</definedName>
    <definedName name="_xlpm.c0" hidden="1" xlm="1">#NAME?</definedName>
    <definedName name="_xlpm.can_split"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st_map"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down_n" hidden="1" xlm="1">#NAME?</definedName>
    <definedName name="_xlpm.COUNTONE"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s"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index" hidden="1" xlm="1">#NAME?</definedName>
    <definedName name="_xlpm.dir_list"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type"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h_arr" hidden="1" xlm="1">#NAME?</definedName>
    <definedName name="_xlpm.has_b" hidden="1" xlm="1">#NAME?</definedName>
    <definedName name="_xlpm.has_bounds"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left" hidden="1" xlm="1">#NAME?</definedName>
    <definedName name="_xlpm.i_lft"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erred_delim"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L" hidden="1" xlm="1">#NAME?</definedName>
    <definedName name="_xlpm.newU" hidden="1" xlm="1">#NAME?</definedName>
    <definedName name="_xlpm.next_col"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r" hidden="1" xlm="1">#NAME?</definedName>
    <definedName name="_xlpm.nSeq" hidden="1" xlm="1">#NAME?</definedName>
    <definedName name="_xlpm.num" hidden="1" xlm="1">#NAME?</definedName>
    <definedName name="_xlpm.num_cols"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d" hidden="1" xlm="1">#NAME?</definedName>
    <definedName name="_xlpm.pad_" hidden="1" xlm="1">#NAME?</definedName>
    <definedName name="_xlpm.parse_point" hidden="1" xlm="1">#NAME?</definedName>
    <definedName name="_xlpm.parts" hidden="1" xlm="1">#NAME?</definedName>
    <definedName name="_xlpm.pat" hidden="1" xlm="1">#NAME?</definedName>
    <definedName name="_xlpm.places" hidden="1" xlm="1">#NAME?</definedName>
    <definedName name="_xlpm.pMap" hidden="1" xlm="1">#NAME?</definedName>
    <definedName name="_xlpm.pnr_" hidden="1" xlm="1">#NAME?</definedName>
    <definedName name="_xlpm.point" hidden="1" xlm="1">#NAME?</definedName>
    <definedName name="_xlpm.pos"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idx" hidden="1" xlm="1">#NAME?</definedName>
    <definedName name="_xlpm.r_off"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ol"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bc" hidden="1" xlm="1">#NAME?</definedName>
    <definedName name="_xlpm.sc"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1" hidden="1" xlm="1">#NAME?</definedName>
    <definedName name="_xlpm.start_ad"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num" hidden="1" xlm="1">#NAME?</definedName>
    <definedName name="_xlpm.to_str"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addr_lookup" comment="Non-volatile INDIRECT, both ways. Given an address, A1 range, or array of addresses, returns the value(s) at it inside arr. Given a plain value, returns the numeric address of its first occurrence (row-major). [rows_n]/[cols_n] grow the block by rows_n-1 ">_xlfn.LAMBDA(_xlpm.arr,_xlpm.addr_or_value,_xlop.rows_n,_xlop.cols_n,
  _xlfn.LET(
    _xlpm.n_r, IF(_xlfn.ISOMITTED(_xlpm.rows_n), 1, _xlpm.rows_n),
    _xlpm.n_c, IF(_xlfn.ISOMITTED(_xlpm.cols_n), 1, _xlpm.cols_n),
    _xlpm.s_row, ROW(INDEX(_xlpm.arr, 1, 1)),
    _xlpm.s_col, COLUMN(INDEX(_xlpm.arr, 1, 1)),
    _xlpm.a_rows, ROWS(_xlpm.arr),
    _xlpm.a_cols, COLUMNS(_xlpm.arr),
    _xlpm.many, ROWS(_xlpm.addr_or_value) * COLUMNS(_xlpm.addr_or_value) &gt; 1,
    _xlpm.cell_at, _xlfn.LAMBDA(_xlpm.one, IFERROR(_xlfn.LET(
      _xlpm.num, num_ad(_xlpm.one),
      _xlpm.r_off, INT(_xlpm.num / 1000000) - _xlpm.s_row + 1,
      _xlpm.c_off, MOD(_xlpm.num, 1000000) - _xlpm.s_col + 1,
      IF(OR(_xlpm.r_off &lt; 1, _xlpm.r_off &gt; _xlpm.a_rows, _xlpm.c_off &lt; 1, _xlpm.c_off &gt; _xlpm.a_cols), "",
         INDEX(_xlpm.arr, _xlpm.r_off, _xlpm.c_off))), "")),
    _xlpm.box, IFERROR(z_ad_box(_xlpm.addr_or_value), 0),
    IF(_xlpm.many, _xlfn.MAP(_xlpm.addr_or_value, _xlpm.cell_at),
      IF(COUNT(_xlpm.box) &lt; 4,
        _xlfn.LET(
          _xlpm.hit, IFERROR(_xlfn.XMATCH(_xlpm.addr_or_value, _xlfn.TOROW(_xlpm.arr), 0), 0),
          _xlpm.row_i, INT((_xlpm.hit - 1) / _xlpm.a_cols) + 1,
          IF(_xlpm.hit = 0, "",
             1000000 * (_xlpm.s_row + _xlpm.row_i - 1) + _xlpm.s_col + _xlpm.hit - (_xlpm.row_i - 1) * _xlpm.a_cols - 1)),
        _xlfn.LET(
          _xlpm.top, INDEX(_xlpm.box, 1),
          _xlpm.lft, INDEX(_xlpm.box, 2),
          _xlpm.bot, INDEX(_xlpm.box, 3) + _xlpm.n_r - 1,
          _xlpm.rgt, INDEX(_xlpm.box, 4) + _xlpm.n_c - 1,
          _xlpm.i_top, MAX(_xlpm.s_row, _xlpm.top),
          _xlpm.i_lft, MAX(_xlpm.s_col, _xlpm.lft),
          _xlpm.i_bot, MIN(_xlpm.s_row + _xlpm.a_rows - 1, _xlpm.bot),
          _xlpm.i_rgt, MIN(_xlpm.s_col + _xlpm.a_cols - 1, _xlpm.rgt),
          IF(OR(_xlpm.i_top &gt; _xlpm.i_bot, _xlpm.i_lft &gt; _xlpm.i_rgt), "",
            IF(AND(_xlpm.top = INDEX(_xlpm.box, 3), _xlpm.lft = INDEX(_xlpm.box, 4), _xlpm.n_r = 1, _xlpm.n_c = 1),
               INDEX(_xlpm.arr, _xlpm.i_top - _xlpm.s_row + 1, _xlpm.i_lft - _xlpm.s_col + 1),
               _xlfn.TAKE(_xlfn.DROP(_xlpm.arr, _xlpm.i_top - _xlpm.s_row, _xlpm.i_lft - _xlpm.s_col),
                    _xlpm.i_bot - _xlpm.i_top + 1, _xlpm.i_rgt - _xlpm.i_lft + 1))))))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bounded by board_rng (default whole sheet). Returns a NUMERIC address. Out of bounds, push_mode: 1 stop at edge (default), 0 stay, -1 'oob'.">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_xlpm.d_row, _xlfn.SWITCH(_xlpm.arrow, "←", 0, "↖", -1, "↗", -1, "→", 0, "↙", 1, "↓", 1, "↘", 1, "↑", -1),
    _xlpm.d_col, _xlfn.SWITCH(_xlpm.arrow,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cross rng until the edge (or the optional stopper value). Returns a 2-column array of NUMERIC addresses and their values, including the start cell.">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addr_lookup(_xlpm.rng, _xlpm.a),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2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c_to_nc" comment="Converts a letter column (A through XFD) to its number (1 to 16384). Accepts a string or array.">_xlfn.LAMBDA(_xlpm.val, _xlfn.LET(
   _xlpm.convert_one, _xlfn.LAMBDA(_xlpm.txt, _xlfn.LET(
      _xlpm.up, UPPER(_xlpm.txt),
      _xlpm.n, LEN(_xlpm.up),
      _xlpm.seq, _xlfn.SEQUENCE(_xlpm.n),
      SUM((CODE(MID(_xlpm.up, _xlpm.seq, 1)) - 64) * 26 ^ (_xlpm.n - _xlpm.seq))
   )),
   IF(ROWS(_xlpm.val) * COLUMNS(_xlpm.val) = 1, _xlpm.convert_one(_xlpm.val), _xlfn.MAP(_xlpm.val, _xlpm.convert_one))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nc_to_lc" comment="Converts a column number (1 to 16384) to its letters (A to XFD). Accepts a number or array.">_xlfn.LAMBDA(_xlpm.nc,
   IF(
      _xlpm.nc &lt; 27,
      CHAR(64 + _xlpm.nc),
      IF(
         _xlpm.nc &lt; 703,
         _xlfn.LET(
            _xlpm.m, _xlpm.nc - 1,
            _xlpm.first, QUOTIENT(_xlpm.m, 26),
            _xlpm.second, MOD(_xlpm.m, 26),
            CHAR(64 + _xlpm.first) &amp; CHAR(65 + _xlpm.second)
         ),
         _xlfn.LET(
            _xlpm.m, _xlpm.nc - 1,
            _xlpm.first, QUOTIENT(_xlpm.m, 26 * 26),
            _xlpm.remainder, MOD(_xlpm.m, 26 * 26),
            _xlpm.second, QUOTIENT(_xlpm.remainder, 26),
            _xlpm.third, MOD(_xlpm.remainder, 26),
            CHAR(64 + _xlpm.first) &amp; CHAR(64 + _xlpm.second) &amp; CHAR(65 + _xlpm.third)
         )
      )
   )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s each valid A1 string address in arr to a numeric address (1e6*row+col). Anything that is not a string address - values already numeric, ranges, or junk - passes through unchanged. Element-wise; same shape as arr.">_xlfn.LAMBDA(_xlpm.arr,
  _xlfn.LET(
    _xlpm.to_num, _xlfn.LAMBDA(_xlpm.one,
      IFERROR(
        IF(NOT(ISTEXT(_xlpm.one)), _xlpm.one,
          _xlfn.LET(
            _xlpm.s, UPPER(SUBSTITUTE(IFERROR(_xlfn.TEXTAFTER(_xlpm.one, "!"), _xlpm.one), "$", "")),
            IF(NOT(_xlfn.REGEXTEST(_xlpm.s, "^[A-Z]{1,3}[0-9]+$")), _xlpm.one,
              _xlfn.LET(
                _xlpm.letters, _xlfn.REGEXEXTRACT(_xlpm.s, "[A-Z]+"),
                _xlpm.row_num, VALUE(_xlfn.REGEXEXTRACT(_xlpm.s, "[0-9]+")),
                _xlpm.nlet, LEN(_xlpm.letters),
                _xlpm.seq, _xlfn.SEQUENCE(_xlpm.nlet),
                _xlpm.col, SUM((CODE(MID(_xlpm.letters, _xlpm.seq, 1)) - 64) * 26 ^ (_xlpm.nlet - _xlpm.seq)),
                IF(OR(_xlpm.col &gt; 16384, _xlpm.row_num &gt; 1048576), _xlpm.one, 1000000 * _xlpm.row_num + _xlpm.col)))
          )),
        _xlpm.one)),
    IF(ROWS(_xlpm.arr) * COLUMNS(_xlpm.arr) = 1, _xlpm.to_num(_xlpm.arr), _xlfn.MAP(_xlpm.arr, _xlpm.to_num))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ange2ad" comment="Expands a range string like &quot;B4:AA43&quot; into an array of its cell addresses, in the same shape. str=0 (default) returns numeric addresses (1e6*row+col); str=1 returns A1 strings.">_xlfn.LAMBDA(_xlpm.range,_xlop.str, _xlfn.LET(
   _xlpm.as_str, IF(_xlfn.ISOMITTED(_xlpm.str), 0, _xlpm.str),
   _xlpm.stripped, UPPER(SUBSTITUTE(_xlpm.range, "$", "")),
   _xlpm.parts, _xlfn.TEXTSPLIT(_xlpm.stripped, ":"),
   _xlpm.first_ad, num_ad(INDEX(_xlpm.parts, 1)),
   _xlpm.last_ad, num_ad(IF(COLUMNS(_xlpm.parts) &gt; 1, INDEX(_xlpm.parts, 2), INDEX(_xlpm.parts, 1))),
   _xlpm.first_row, INT(_xlpm.first_ad / 1000000),
   _xlpm.first_col, MOD(_xlpm.first_ad, 1000000),
   _xlpm.last_row, INT(_xlpm.last_ad / 1000000),
   _xlpm.last_col, MOD(_xlpm.last_ad, 1000000),
   _xlpm.top, MIN(_xlpm.first_row, _xlpm.last_row),
   _xlpm.lft, MIN(_xlpm.first_col, _xlpm.last_col),
   _xlpm.n_rows, ABS(_xlpm.last_row - _xlpm.first_row) + 1,
   _xlpm.n_cols, ABS(_xlpm.last_col - _xlpm.first_col) + 1,
   _xlpm.nums, _xlfn.MAKEARRAY(_xlpm.n_rows, _xlpm.n_cols, _xlfn.LAMBDA(_xlpm.i,_xlpm.j, 1000000 * (_xlpm.top + _xlpm.i - 1) + (_xlpm.lft + _xlpm.j - 1))),
   IF(_xlpm.as_str, str_ad(_xlpm.nums), _xlpm.nums)
))</definedName>
    <definedName name="rc_to_ref" comment="Builds a cell reference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f_to_rc" comment="Splits a single cell reference into its row and column numbers. Accepts either form - a numeric address (1e6*row+col) or an A1 string (&quot;D3&quot;) - and autodetects which. Returns {row; col} vertically by default, or {row, col} horizontally when as_row = 1. Inv">_xlfn.LAMBDA(_xlpm.ref,_xlop.as_row,
  _xlfn.LET(
    _xlpm.wide, IF(_xlfn.ISOMITTED(_xlpm.as_row), 0, _xlpm.as_row),
    _xlpm.num, num_ad(_xlpm.ref),
    _xlpm.ok, IFERROR(AND(ROWS(_xlpm.ref) * COLUMNS(_xlpm.ref) = 1, ISNUMBER(_xlpm.num), _xlpm.num = INT(_xlpm.num),
                    INT(_xlpm.num / 1000000) &gt;= 1, INT(_xlpm.num / 1000000) &lt;= 1048576,
                    MOD(_xlpm.num, 1000000) &gt;= 1, MOD(_xlpm.num, 1000000) &lt;= 16384), FALSE),
    IF(NOT(_xlpm.ok), #VALUE!,
       IF(_xlpm.wide,
          _xlfn.HSTACK(INT(_xlpm.num / 1000000), MOD(_xlpm.num, 1000000)),
          _xlfn.VSTACK(INT(_xlpm.num / 1000000), MOD(_xlpm.num, 1000000))))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clockwise = 1 (default) rotates clockwise; clockwise = 0 rotates counter-clockwise.">_xlfn.LAMBDA(_xlpm.arrow,_xlpm.steps,_xlop.dir, _xlfn.LET(
   _xlpm.arrows, "↑↗→↘↓↙←↖",
   _xlpm.arrow_list, MID(_xlpm.arrows, _xlfn.SEQUENCE(8), 1),
   _xlpm.i, _xlfn.XMATCH(_xlpm.arrow, _xlpm.arrow_list),
   _xlpm.s, IF(_xlfn.ISOMITTED(_xlpm.dir), _xlpm.steps, IF(_xlpm.dir = "ccw", -_xlpm.steps, _xlpm.steps)),
   _xlpm.n, MOD(_xlpm.i - 1 + _xlpm.s, 8) + 1,
   _xlfn.IFNA(MID(_xlpm.arrows, _xlpm.n, 1), "")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INDEX(_xlpm.flat_, _xlfn.UNICODE(MID(_xlpm.built_, _xlpm.seq_, 1)) - 20000),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arrow. With no fill, items wrap around; if fill is a value, it fills the vacated cells instead.">_xlfn.LAMBDA(_xlpm.arr,_xlpm.dir,_xlop.steps,_xlop.fill, _xlfn.LET(
   _xlpm.s, IF(_xlfn.ISOMITTED(_xlpm.steps), 1, _xlpm.steps),
   _xlpm.wrap_mode, IF(_xlfn.ISOMITTED(_xlpm.fill), TRUE, _xlpm.fill = "wrap"),
   _xlpm.num_rows, ROWS(_xlpm.arr),
   _xlpm.num_cols, COLUMNS(_xlpm.arr),
   _xlpm.dir_list, {"U","D","L","R","UL","UR","DL","DR","↑","↓","←","→","↖","↗","↙","↘","⇑","⇓","⇐","⇒","⇖","⇗","⇙","⇘"},
   _xlpm.delta_r, CHOOSE(
      _xlfn.XMATCH(_xlpm.dir, _xlpm.dir_list),
      -1,
      1,
      0,
      0,
      -1,
      -1,
      1,
      1,
      -1,
      1,
      0,
      0,
      -1,
      -1,
      1,
      1,
      -1,
      1,
      0,
      0,
      -1,
      -1,
      1,
      1
   ),
   _xlpm.delta_c, CHOOSE(
      _xlfn.XMATCH(_xlpm.dir,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s each valid numeric address (1e6*row+col) in arr to an A1 string. Non-addresses - strings, non-integers, out-of-range numbers - pass through. WARNING: any number in address range becomes an address; only use on known addresses.">_xlfn.LAMBDA(_xlpm.arr,
  _xlfn.LET(
    _xlpm.to_str, _xlfn.LAMBDA(_xlpm.one,
      IFERROR(
        IF(NOT(ISNUMBER(_xlpm.one)), _xlpm.one,
          _xlfn.LET(
            _xlpm.row_num, INT(_xlpm.one / 1000000),
            _xlpm.col, MOD(_xlpm.one, 1000000),
            _xlpm.ok, AND(_xlpm.one = INT(_xlpm.one), _xlpm.row_num &gt;= 1, _xlpm.row_num &lt;= 1048576, _xlpm.col &gt;= 1, _xlpm.col &lt;= 16384),
            IF(_xlpm.ok, ADDRESS(_xlpm.row_num, _xlpm.col, 4), _xlpm.one))),
        _xlpm.one)),
    IF(ROWS(_xlpm.arr) * COLUMNS(_xlpm.arr) = 1, _xlpm.to_str(_xlpm.arr), _xlfn.MAP(_xlpm.arr, _xlpm.to_str))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2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#VALUE!)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d_box" comment="Helper: bounding box of a single address or a range string, as {top; left; bottom; right} absolute row/column numbers. Accepts a numeric address (1e6*row+col), an A1 string, or an A1 range (&quot;B2:D4&quot;). Returns #VALUE! if ref is not a valid address or range.">_xlfn.LAMBDA(_xlpm.ref,
  _xlfn.LET(
    _xlpm.txt, IF(ISTEXT(_xlpm.ref), UPPER(SUBSTITUTE(_xlpm.ref, "$", "")), ""),
    _xlpm.is_rng, ISNUMBER(SEARCH(":", _xlpm.txt)),
    _xlpm.parts, IF(_xlpm.is_rng, _xlfn.TEXTSPLIT(_xlpm.txt, ":"), _xlpm.ref),
    _xlpm.first, num_ad(IF(_xlpm.is_rng, INDEX(_xlpm.parts, 1), _xlpm.ref)),
    _xlpm.last, num_ad(IF(_xlpm.is_rng, INDEX(_xlpm.parts, 2), _xlpm.ref)),
    _xlpm.ok, _xlfn.LAMBDA(_xlpm.one, IFERROR(AND(ISNUMBER(_xlpm.one), _xlpm.one = INT(_xlpm.one),
                                INT(_xlpm.one / 1000000) &gt;= 1, INT(_xlpm.one / 1000000) &lt;= 1048576,
                                MOD(_xlpm.one, 1000000) &gt;= 1, MOD(_xlpm.one, 1000000) &lt;= 16384), FALSE)),
    IF(NOT(AND(_xlpm.ok(_xlpm.first), _xlpm.ok(_xlpm.last))), #VALUE!,
       _xlfn.VSTACK(MIN(INT(_xlpm.first / 1000000), INT(_xlpm.last / 1000000)),
              MIN(MOD(_xlpm.first, 1000000), MOD(_xlpm.last, 1000000)),
              MAX(INT(_xlpm.first / 1000000), INT(_xlpm.last / 1000000)),
              MAX(MOD(_xlpm.first, 1000000), MOD(_xlpm.last, 1000000))))
  )
)</definedName>
    <definedName name="z_is_ad" comment="Helper: TRUE if ref is a valid cell address or range - a numeric address (1e6*row+col), an A1 string (&quot;D3&quot;), or an A1 range (&quot;B2:D4&quot;). FALSE for anything else, including plain data values.">_xlfn.LAMBDA(_xlpm.ref, NOT(ISERROR(z_ad_box(_xlpm.ref))))</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<sst xmlns="http://schemas.openxmlformats.org/spreadsheetml/2006/main" count="5720" uniqueCount="3622">
  <si>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</si>
  <si>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</si>
  <si>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</si>
  <si>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</si>
  <si>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</si>
  <si>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</si>
  <si>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</si>
  <si>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</si>
  <si>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</si>
  <si>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</si>
  <si>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</si>
  <si>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</si>
  <si>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</si>
  <si>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</si>
  <si>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</si>
  <si>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</si>
  <si>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</si>
  <si>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</si>
  <si>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</si>
  <si>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</si>
  <si>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</si>
  <si>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</si>
  <si>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</si>
  <si>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</si>
  <si>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</si>
  <si>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</si>
  <si>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</si>
  <si>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</si>
  <si>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</si>
  <si>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</si>
  <si>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</si>
  <si>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</si>
  <si>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</si>
  <si>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</si>
  <si>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</si>
  <si>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</si>
  <si>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</si>
  <si>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</si>
  <si>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</si>
  <si>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</si>
  <si>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</si>
  <si>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</si>
  <si>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</si>
  <si>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</si>
  <si>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</si>
  <si>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</si>
  <si>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</si>
  <si>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</si>
  <si>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</si>
  <si>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</si>
  <si>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</si>
  <si>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</si>
  <si>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</si>
  <si>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</si>
  <si>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</si>
  <si>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</si>
  <si>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</si>
  <si>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</si>
  <si>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</si>
  <si>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</si>
  <si>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</si>
  <si>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</si>
  <si>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</si>
  <si>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</si>
  <si>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</si>
  <si>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</si>
  <si>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</si>
  <si>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</si>
  <si>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</si>
  <si>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</si>
  <si>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</si>
  <si>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</si>
  <si>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</si>
  <si>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</si>
  <si>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</si>
  <si>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</si>
  <si>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</si>
  <si>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</si>
  <si>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</si>
  <si>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</si>
  <si>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</si>
  <si>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</si>
  <si>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</si>
  <si>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</si>
  <si>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</si>
  <si>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</si>
  <si>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</si>
  <si>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</si>
  <si>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</si>
  <si>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</si>
  <si>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</si>
  <si>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</si>
  <si>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</si>
  <si>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</si>
  <si>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</si>
  <si>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</si>
  <si>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</si>
  <si>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</si>
  <si>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</si>
  <si>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</si>
  <si>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</si>
  <si>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</si>
  <si>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</si>
  <si>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</si>
  <si>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</si>
  <si>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</si>
  <si>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</si>
  <si>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</si>
  <si>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</si>
  <si>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</si>
  <si>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</si>
  <si>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</si>
  <si>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</si>
  <si>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</si>
  <si>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</si>
  <si>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</si>
  <si>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</si>
  <si>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</si>
  <si>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</si>
  <si>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</si>
  <si>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</si>
  <si>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</si>
  <si>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</si>
  <si>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</si>
  <si>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</si>
  <si>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</si>
  <si>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</si>
  <si>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</si>
  <si>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</si>
  <si>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</si>
  <si>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</si>
  <si>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</si>
  <si>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</si>
  <si>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</si>
  <si>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</si>
  <si>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</si>
  <si>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</si>
  <si>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</si>
  <si>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</si>
  <si>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</si>
  <si>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</si>
  <si>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</si>
  <si>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</si>
  <si>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</si>
  <si>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</si>
  <si>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</si>
  <si>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</si>
  <si>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</si>
  <si>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</si>
  <si>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</si>
  <si>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</si>
  <si>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</si>
  <si>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</si>
  <si>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</si>
  <si>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</si>
  <si>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</si>
  <si>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</si>
  <si>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</si>
  <si>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</si>
  <si>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</si>
  <si>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</si>
  <si>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</si>
  <si>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</si>
  <si>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</si>
  <si>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</si>
  <si>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</si>
  <si>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</si>
  <si>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</si>
  <si>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</si>
  <si>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</si>
  <si>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</si>
  <si>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</si>
  <si>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</si>
  <si>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</si>
  <si>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</si>
  <si>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</si>
  <si>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</si>
  <si>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</si>
  <si>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</si>
  <si>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</si>
  <si>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</si>
  <si>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</si>
  <si>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</si>
  <si>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</si>
  <si>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</si>
  <si>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</si>
  <si>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</si>
  <si>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</si>
  <si>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</si>
  <si>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</si>
  <si>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</si>
  <si>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</si>
  <si>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</si>
  <si>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</si>
  <si>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</si>
  <si>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</si>
  <si>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</si>
  <si>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</si>
  <si>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</si>
  <si>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</si>
  <si>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</si>
  <si>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</si>
  <si>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</si>
  <si>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</si>
  <si>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</si>
  <si>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</si>
  <si>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</si>
  <si>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</si>
  <si>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</si>
  <si>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</si>
  <si>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</si>
  <si>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</si>
  <si>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</si>
  <si>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</si>
  <si>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</si>
  <si>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</si>
  <si>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</si>
  <si>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</si>
  <si>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</si>
  <si>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</si>
  <si>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</si>
  <si>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</si>
  <si>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</si>
  <si>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</si>
  <si>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</si>
  <si>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</si>
  <si>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</si>
  <si>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</si>
  <si>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</si>
  <si>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</si>
  <si>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</si>
  <si>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</si>
  <si>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</si>
  <si>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</si>
  <si>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</si>
  <si>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</si>
  <si>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</si>
  <si>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</si>
  <si>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</si>
  <si>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</si>
  <si>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</si>
  <si>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</si>
  <si>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</si>
  <si>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</si>
  <si>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</si>
  <si>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</si>
  <si>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</si>
  <si>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</si>
  <si>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</si>
  <si>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</si>
  <si>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</si>
  <si>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</si>
  <si>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</si>
  <si>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</si>
  <si>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</si>
  <si>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</si>
  <si>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</si>
  <si>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</si>
  <si>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</si>
  <si>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</si>
  <si>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</si>
  <si>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</si>
  <si>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</si>
  <si>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</si>
  <si>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</si>
  <si>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</si>
  <si>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</si>
  <si>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</si>
  <si>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</si>
  <si>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</si>
  <si>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</si>
  <si>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</si>
  <si>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</si>
  <si>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</si>
  <si>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</si>
  <si>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</si>
  <si>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</si>
  <si>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</si>
  <si>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</si>
  <si>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</si>
  <si>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</si>
  <si>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</si>
  <si>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</si>
  <si>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</si>
  <si>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</si>
  <si>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</si>
  <si>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</si>
  <si>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</si>
  <si>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</si>
  <si>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</si>
  <si>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</si>
  <si>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</si>
  <si>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</si>
  <si>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</si>
  <si>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</si>
  <si>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</si>
  <si>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</si>
  <si>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</si>
  <si>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</si>
  <si>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</si>
  <si>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</si>
  <si>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</si>
  <si>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</si>
  <si>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</si>
  <si>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</si>
  <si>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</si>
  <si>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</si>
  <si>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</si>
  <si>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</si>
  <si>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</si>
  <si>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</si>
  <si>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</si>
  <si>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</si>
  <si>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</si>
  <si>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</si>
  <si>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</si>
  <si>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</si>
  <si>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</si>
  <si>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</si>
  <si>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</si>
  <si>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</si>
  <si>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</si>
  <si>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</si>
  <si>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</si>
  <si>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</si>
  <si>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</si>
  <si>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</si>
  <si>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</si>
  <si>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</si>
  <si>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</si>
  <si>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</si>
  <si>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</si>
  <si>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</si>
  <si>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</si>
  <si>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</si>
  <si>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</si>
  <si>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</si>
  <si>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</si>
  <si>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</si>
  <si>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</si>
  <si>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</si>
  <si>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</si>
  <si>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</si>
  <si>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</si>
  <si>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</si>
  <si>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</si>
  <si>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</si>
  <si>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</si>
  <si>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</si>
  <si>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</si>
  <si>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</si>
  <si>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</si>
  <si>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</si>
  <si>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</si>
  <si>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</si>
  <si>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</si>
  <si>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</si>
  <si>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</si>
  <si>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</si>
  <si>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</si>
  <si>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</si>
  <si>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</si>
  <si>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</si>
  <si>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</si>
  <si>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</si>
  <si>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</si>
  <si>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</si>
  <si>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</si>
  <si>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</si>
  <si>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</si>
  <si>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</si>
  <si>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</si>
  <si>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</si>
  <si>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</si>
  <si>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</si>
  <si>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</si>
  <si>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</si>
  <si>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</si>
  <si>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</si>
  <si>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</si>
  <si>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</si>
  <si>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</si>
  <si>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</si>
  <si>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</si>
  <si>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</si>
  <si>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</si>
  <si>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</si>
  <si>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</si>
  <si>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</si>
  <si>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</si>
  <si>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</si>
  <si>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</si>
  <si>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</si>
  <si>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</si>
  <si>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</si>
  <si>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</si>
  <si>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</si>
  <si>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</si>
  <si>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</si>
  <si>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</si>
  <si>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</si>
  <si>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</si>
  <si>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</si>
  <si>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</si>
  <si>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</si>
  <si>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</si>
  <si>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</si>
  <si>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</si>
  <si>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</si>
  <si>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</si>
  <si>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</si>
  <si>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</si>
  <si>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</si>
  <si>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</si>
  <si>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</si>
  <si>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</si>
  <si>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</si>
  <si>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</si>
  <si>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</si>
  <si>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</si>
  <si>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</si>
  <si>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</si>
  <si>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</si>
  <si>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</si>
  <si>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</si>
  <si>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</si>
  <si>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</si>
  <si>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</si>
  <si>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</si>
  <si>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</si>
  <si>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</si>
  <si>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</si>
  <si>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</si>
  <si>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</si>
  <si>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</si>
  <si>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</si>
  <si>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</si>
  <si>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</si>
  <si>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</si>
  <si>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</si>
  <si>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</si>
  <si>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</si>
  <si>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</si>
  <si>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</si>
  <si>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</si>
  <si>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</si>
  <si>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</si>
  <si>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</si>
  <si>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</si>
  <si>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</si>
  <si>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</si>
  <si>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</si>
  <si>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</si>
  <si>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</si>
  <si>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</si>
  <si>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</si>
  <si>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</si>
  <si>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</si>
  <si>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</si>
  <si>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</si>
  <si>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</si>
  <si>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</si>
  <si>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</si>
  <si>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</si>
  <si>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</si>
  <si>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</si>
  <si>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</si>
  <si>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</si>
  <si>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</si>
  <si>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</si>
  <si>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</si>
  <si>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</si>
  <si>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</si>
  <si>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</si>
  <si>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</si>
  <si>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</si>
  <si>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</si>
  <si>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</si>
  <si>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</si>
  <si>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</si>
  <si>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</si>
  <si>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</si>
  <si>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</si>
  <si>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</si>
  <si>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</si>
  <si>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</si>
  <si>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</si>
  <si>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</si>
  <si>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</si>
  <si>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</si>
  <si>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</si>
  <si>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</si>
  <si>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</si>
  <si>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</si>
  <si>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</si>
  <si>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</si>
  <si>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</si>
  <si>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</si>
  <si>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</si>
  <si>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</si>
  <si>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</si>
  <si>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</si>
  <si>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</si>
  <si>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</si>
  <si>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</si>
  <si>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</si>
  <si>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</si>
  <si>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</si>
  <si>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</si>
  <si>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</si>
  <si>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</si>
  <si>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</si>
  <si>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</si>
  <si>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</si>
  <si>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</si>
  <si>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</si>
  <si>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</si>
  <si>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</si>
  <si>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</si>
  <si>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</si>
  <si>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</si>
  <si>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</si>
  <si>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</si>
  <si>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</si>
  <si>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</si>
  <si>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</si>
  <si>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</si>
  <si>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</si>
  <si>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</si>
  <si>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</si>
  <si>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</si>
  <si>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</si>
  <si>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</si>
  <si>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</si>
  <si>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</si>
  <si>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</si>
  <si>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</si>
  <si>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</si>
  <si>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</si>
  <si>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</si>
  <si>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</si>
  <si>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</si>
  <si>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</si>
  <si>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</si>
  <si>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</si>
  <si>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</si>
  <si>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</si>
  <si>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</si>
  <si>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</si>
  <si>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</si>
  <si>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</si>
  <si>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</si>
  <si>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</si>
  <si>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</si>
  <si>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</si>
  <si>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</si>
  <si>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</si>
  <si>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</si>
  <si>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</si>
  <si>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</si>
  <si>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</si>
  <si>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</si>
  <si>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</si>
  <si>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</si>
  <si>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</si>
  <si>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</si>
  <si>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</si>
  <si>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</si>
  <si>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</si>
  <si>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</si>
  <si>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</si>
  <si>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</si>
  <si>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</si>
  <si>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</si>
  <si>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</si>
  <si>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</si>
  <si>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</si>
  <si>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</si>
  <si>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</si>
  <si>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</si>
  <si>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</si>
  <si>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</si>
  <si>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</si>
  <si>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</si>
  <si>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</si>
  <si>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</si>
  <si>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</si>
  <si>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</si>
  <si>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</si>
  <si>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</si>
  <si>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</si>
  <si>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</si>
  <si>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</si>
  <si>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</si>
  <si>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</si>
  <si>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</si>
  <si>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</si>
  <si>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</si>
  <si>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</si>
  <si>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</si>
  <si>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</si>
  <si>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</si>
  <si>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</si>
  <si>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</si>
  <si>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</si>
  <si>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</si>
  <si>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</si>
  <si>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</si>
  <si>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</si>
  <si>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</si>
  <si>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</si>
  <si>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</si>
  <si>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</si>
  <si>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</si>
  <si>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</si>
  <si>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</si>
  <si>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</si>
  <si>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</si>
  <si>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</si>
  <si>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</si>
  <si>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</si>
  <si>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</si>
  <si>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</si>
  <si>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</si>
  <si>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</si>
  <si>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</si>
  <si>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</si>
  <si>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</si>
  <si>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</si>
  <si>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</si>
  <si>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</si>
  <si>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</si>
  <si>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</si>
  <si>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</si>
  <si>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</si>
  <si>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</si>
  <si>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</si>
  <si>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</si>
  <si>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</si>
  <si>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</si>
  <si>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</si>
  <si>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</si>
  <si>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</si>
  <si>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</si>
  <si>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</si>
  <si>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</si>
  <si>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</si>
  <si>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</si>
  <si>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</si>
  <si>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</si>
  <si>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</si>
  <si>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</si>
  <si>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</si>
  <si>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</si>
  <si>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</si>
  <si>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</si>
  <si>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</si>
  <si>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</si>
  <si>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</si>
  <si>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</si>
  <si>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</si>
  <si>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</si>
  <si>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</si>
  <si>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</si>
  <si>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</si>
  <si>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</si>
  <si>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</si>
  <si>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</si>
  <si>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</si>
  <si>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</si>
  <si>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</si>
  <si>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</si>
  <si>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</si>
  <si>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</si>
  <si>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</si>
  <si>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</si>
  <si>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</si>
  <si>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</si>
  <si>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</si>
  <si>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</si>
  <si>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</si>
  <si>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</si>
  <si>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</si>
  <si>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</si>
  <si>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</si>
  <si>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</si>
  <si>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</si>
  <si>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</si>
  <si>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</si>
  <si>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</si>
  <si>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</si>
  <si>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</si>
  <si>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</si>
  <si>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</si>
  <si>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</si>
  <si>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</si>
  <si>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</si>
  <si>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</si>
  <si>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</si>
  <si>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</si>
  <si>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</si>
  <si>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</si>
  <si>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</si>
  <si>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</si>
  <si>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</si>
  <si>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</si>
  <si>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</si>
  <si>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</si>
  <si>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</si>
  <si>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</si>
  <si>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</si>
  <si>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</si>
  <si>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</si>
  <si>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</si>
  <si>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</si>
  <si>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</si>
  <si>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</si>
  <si>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</si>
  <si>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</si>
  <si>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</si>
  <si>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</si>
  <si>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</si>
  <si>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</si>
  <si>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</si>
  <si>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</si>
  <si>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</si>
  <si>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</si>
  <si>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</si>
  <si>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</si>
  <si>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</si>
  <si>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</si>
  <si>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</si>
  <si>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</si>
  <si>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</si>
  <si>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</si>
  <si>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</si>
  <si>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</si>
  <si>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</si>
  <si>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</si>
  <si>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</si>
  <si>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</si>
  <si>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</si>
  <si>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</si>
  <si>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</si>
  <si>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</si>
  <si>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</si>
  <si>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</si>
  <si>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</si>
  <si>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</si>
  <si>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</si>
  <si>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</si>
  <si>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</si>
  <si>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</si>
  <si>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</si>
  <si>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</si>
  <si>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</si>
  <si>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</si>
  <si>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</si>
  <si>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</si>
  <si>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</si>
  <si>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</si>
  <si>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</si>
  <si>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</si>
  <si>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</si>
  <si>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</si>
  <si>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</si>
  <si>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</si>
  <si>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</si>
  <si>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</si>
  <si>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</si>
  <si>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</si>
  <si>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</si>
  <si>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</si>
  <si>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</si>
  <si>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</si>
  <si>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</si>
  <si>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</si>
  <si>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</si>
  <si>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</si>
  <si>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</si>
  <si>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</si>
  <si>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</si>
  <si>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</si>
  <si>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</si>
  <si>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</si>
  <si>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</si>
  <si>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</si>
  <si>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</si>
  <si>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</si>
  <si>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</si>
  <si>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</si>
  <si>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</si>
  <si>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</si>
  <si>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</si>
  <si>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</si>
  <si>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</si>
  <si>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</si>
  <si>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</si>
  <si>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</si>
  <si>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</si>
  <si>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</si>
  <si>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</si>
  <si>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</si>
  <si>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</si>
  <si>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</si>
  <si>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</si>
  <si>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</si>
  <si>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</si>
  <si>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</si>
  <si>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</si>
  <si>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</si>
  <si>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</si>
  <si>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</si>
  <si>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</si>
  <si>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</si>
  <si>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</si>
  <si>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</si>
  <si>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</si>
  <si>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</si>
  <si>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</si>
  <si>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</si>
  <si>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</si>
  <si>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</si>
  <si>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</si>
  <si>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</si>
  <si>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</si>
  <si>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</si>
  <si>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</si>
  <si>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</si>
  <si>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</si>
  <si>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</si>
  <si>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</si>
  <si>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</si>
  <si>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</si>
  <si>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</si>
  <si>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</si>
  <si>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</si>
  <si>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</si>
  <si>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</si>
  <si>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</si>
  <si>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</si>
  <si>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</si>
  <si>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</si>
  <si>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</si>
  <si>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</si>
  <si>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</si>
  <si>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</si>
  <si>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</si>
  <si>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</si>
  <si>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</si>
  <si>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</si>
  <si>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</si>
  <si>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</si>
  <si>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</si>
  <si>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</si>
  <si>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</si>
  <si>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</si>
  <si>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</si>
  <si>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</si>
  <si>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</si>
  <si>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</si>
  <si>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</si>
  <si>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</si>
  <si>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</si>
  <si>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</si>
  <si>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</si>
  <si>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</si>
  <si>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</si>
  <si>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</si>
  <si>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</si>
  <si>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</si>
  <si>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</si>
  <si>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</si>
  <si>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</si>
  <si>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</si>
  <si>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</si>
  <si>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</si>
  <si>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</si>
  <si>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</si>
  <si>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</si>
  <si>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</si>
  <si>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</si>
  <si>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</si>
  <si>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</si>
  <si>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</si>
  <si>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</si>
  <si>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</si>
  <si>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</si>
  <si>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</si>
  <si>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</si>
  <si>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</si>
  <si>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</si>
  <si>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</si>
  <si>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</si>
  <si>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</si>
  <si>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</si>
  <si>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</si>
  <si>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</si>
  <si>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</si>
  <si>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</si>
  <si>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</si>
  <si>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</si>
  <si>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</si>
  <si>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</si>
  <si>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</si>
  <si>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</si>
  <si>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</si>
  <si>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</si>
  <si>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</si>
  <si>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</si>
  <si>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</si>
  <si>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</si>
  <si>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</si>
  <si>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</si>
  <si>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</si>
  <si>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</si>
  <si>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</si>
  <si>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</si>
  <si>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</si>
  <si>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</si>
  <si>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</si>
  <si>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</si>
  <si>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</si>
  <si>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</si>
  <si>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</si>
  <si>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</si>
  <si>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</si>
  <si>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</si>
  <si>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</si>
  <si>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</si>
  <si>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</si>
  <si>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</si>
  <si>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</si>
  <si>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</si>
  <si>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</si>
  <si>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</si>
  <si>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</si>
  <si>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</si>
  <si>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</si>
  <si>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</si>
  <si>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</si>
  <si>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</si>
  <si>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</si>
  <si>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</si>
  <si>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</si>
  <si>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</si>
  <si>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</si>
  <si>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</si>
  <si>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</si>
  <si>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</si>
  <si>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</si>
  <si>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</si>
  <si>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</si>
  <si>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</si>
  <si>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</si>
  <si>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</si>
  <si>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</si>
  <si>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</si>
  <si>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</si>
  <si>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</si>
  <si>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</si>
  <si>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</si>
  <si>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</si>
  <si>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</si>
  <si>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</si>
  <si>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</si>
  <si>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</si>
  <si>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</si>
  <si>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</si>
  <si>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</si>
  <si>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</si>
  <si>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</si>
  <si>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</si>
  <si>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</si>
  <si>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</si>
  <si>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</si>
  <si>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</si>
  <si>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</si>
  <si>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</si>
  <si>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</si>
  <si>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</si>
  <si>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</si>
  <si>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</si>
  <si>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</si>
  <si>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</si>
  <si>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</si>
  <si>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</si>
  <si>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</si>
  <si>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</si>
  <si>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</si>
  <si>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</si>
  <si>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</si>
  <si>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</si>
  <si>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</si>
  <si>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</si>
  <si>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</si>
  <si>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</si>
  <si>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</si>
  <si>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</si>
  <si>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</si>
  <si>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</si>
  <si>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</si>
  <si>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</si>
  <si>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</si>
  <si>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</si>
  <si>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</si>
  <si>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</si>
  <si>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</si>
  <si>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</si>
  <si>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</si>
  <si>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</si>
  <si>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</si>
  <si>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</si>
  <si>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</si>
  <si>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</si>
  <si>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</si>
  <si>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</si>
  <si>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</si>
  <si>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</si>
  <si>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</si>
  <si>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</si>
  <si>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</si>
  <si>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</si>
  <si>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</si>
  <si>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</si>
  <si>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</si>
  <si>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</si>
  <si>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</si>
  <si>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</si>
  <si>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</si>
  <si>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</si>
  <si>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</si>
  <si>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</si>
  <si>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</si>
  <si>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</si>
  <si>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</si>
  <si>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</si>
  <si>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</si>
  <si>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</si>
  <si>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</si>
  <si>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</si>
  <si>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</si>
  <si>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</si>
  <si>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</si>
  <si>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</si>
  <si>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</si>
  <si>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</si>
  <si>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</si>
  <si>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</si>
  <si>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</si>
  <si>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</si>
  <si>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</si>
  <si>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</si>
  <si>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</si>
  <si>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</si>
  <si>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</si>
  <si>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</si>
  <si>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</si>
  <si>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</si>
  <si>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</si>
  <si>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</si>
  <si>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</si>
  <si>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</si>
  <si>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</si>
  <si>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</si>
  <si>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</si>
  <si>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</si>
  <si>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</si>
  <si>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</si>
  <si>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</si>
  <si>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</si>
  <si>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</si>
  <si>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</si>
  <si>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</si>
  <si>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</si>
  <si>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</si>
  <si>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</si>
  <si>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</si>
  <si>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</si>
  <si>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</si>
  <si>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</si>
  <si>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</si>
  <si>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</si>
  <si>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</si>
  <si>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</si>
  <si>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</si>
  <si>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</si>
  <si>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</si>
  <si>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</si>
  <si>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</si>
  <si>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</si>
  <si>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</si>
  <si>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</si>
  <si>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</si>
  <si>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</si>
  <si>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</si>
  <si>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</si>
  <si>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</si>
  <si>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</si>
  <si>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</si>
  <si>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</si>
  <si>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</si>
  <si>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</si>
  <si>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</si>
  <si>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</si>
  <si>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</si>
  <si>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</si>
  <si>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</si>
  <si>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</si>
  <si>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</si>
  <si>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</si>
  <si>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</si>
  <si>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</si>
  <si>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</si>
  <si>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</si>
  <si>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</si>
  <si>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</si>
  <si>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</si>
  <si>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</si>
  <si>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</si>
  <si>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</si>
  <si>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</si>
  <si>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</si>
  <si>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</si>
  <si>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</si>
  <si>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</si>
  <si>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</si>
  <si>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</si>
  <si>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</si>
  <si>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</si>
  <si>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</si>
  <si>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</si>
  <si>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</si>
  <si>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</si>
  <si>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</si>
  <si>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</si>
  <si>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</si>
  <si>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</si>
  <si>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</si>
  <si>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</si>
  <si>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</si>
  <si>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</si>
  <si>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</si>
  <si>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</si>
  <si>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</si>
  <si>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</si>
  <si>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</si>
  <si>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</si>
  <si>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</si>
  <si>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</si>
  <si>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</si>
  <si>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</si>
  <si>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</si>
  <si>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</si>
  <si>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</si>
  <si>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</si>
  <si>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</si>
  <si>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</si>
  <si>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</si>
  <si>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</si>
  <si>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</si>
  <si>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</si>
  <si>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</si>
  <si>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</si>
  <si>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</si>
  <si>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</si>
  <si>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</si>
  <si>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</si>
  <si>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</si>
  <si>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</si>
  <si>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</si>
  <si>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</si>
  <si>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</si>
  <si>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</si>
  <si>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</si>
  <si>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</si>
  <si>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</si>
  <si>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</si>
  <si>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</si>
  <si>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</si>
  <si>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</si>
  <si>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</si>
  <si>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</si>
  <si>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</si>
  <si>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</si>
  <si>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</si>
  <si>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</si>
  <si>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</si>
  <si>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</si>
  <si>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</si>
  <si>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</si>
  <si>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</si>
  <si>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</si>
  <si>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</si>
  <si>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</si>
  <si>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</si>
  <si>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</si>
  <si>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</si>
  <si>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</si>
  <si>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</si>
  <si>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</si>
  <si>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</si>
  <si>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</si>
  <si>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</si>
  <si>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</si>
  <si>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</si>
  <si>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</si>
  <si>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</si>
  <si>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</si>
  <si>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</si>
  <si>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</si>
  <si>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</si>
  <si>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</si>
  <si>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</si>
  <si>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</si>
  <si>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</si>
  <si>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</si>
  <si>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</si>
  <si>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</si>
  <si>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</si>
  <si>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</si>
  <si>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</si>
  <si>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</si>
  <si>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</si>
  <si>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</si>
  <si>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</si>
  <si>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</si>
  <si>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</si>
  <si>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</si>
  <si>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</si>
  <si>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</si>
  <si>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</si>
  <si>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</si>
  <si>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</si>
  <si>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</si>
  <si>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</si>
  <si>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</si>
  <si>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</si>
  <si>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</si>
  <si>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</si>
  <si>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</si>
  <si>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</si>
  <si>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</si>
  <si>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</si>
  <si>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</si>
  <si>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</si>
  <si>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</si>
  <si>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</si>
  <si>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</si>
  <si>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</si>
  <si>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</si>
  <si>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</si>
  <si>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</si>
  <si>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</si>
  <si>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</si>
  <si>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</si>
  <si>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</si>
  <si>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</si>
  <si>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</si>
  <si>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</si>
  <si>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</si>
  <si>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</si>
  <si>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</si>
  <si>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</si>
  <si>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</si>
  <si>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</si>
  <si>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</si>
  <si>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</si>
  <si>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</si>
  <si>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</si>
  <si>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</si>
  <si>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</si>
  <si>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</si>
  <si>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</si>
  <si>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</si>
  <si>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</si>
  <si>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</si>
  <si>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</si>
  <si>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</si>
  <si>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</si>
  <si>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</si>
  <si>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</si>
  <si>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</si>
  <si>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</si>
  <si>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</si>
  <si>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</si>
  <si>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</si>
  <si>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</si>
  <si>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</si>
  <si>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</si>
  <si>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</si>
  <si>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</si>
  <si>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</si>
  <si>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</si>
  <si>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</si>
  <si>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</si>
  <si>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</si>
  <si>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</si>
  <si>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</si>
  <si>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</si>
  <si>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</si>
  <si>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</si>
  <si>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</si>
  <si>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</si>
  <si>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</si>
  <si>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</si>
  <si>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</si>
  <si>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</si>
  <si>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</si>
  <si>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</si>
  <si>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</si>
  <si>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</si>
  <si>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</si>
  <si>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</si>
  <si>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</si>
  <si>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</si>
  <si>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</si>
  <si>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</si>
  <si>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</si>
  <si>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</si>
  <si>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</si>
  <si>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</si>
  <si>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</si>
  <si>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</si>
  <si>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</si>
  <si>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</si>
  <si>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</si>
  <si>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</si>
  <si>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</si>
  <si>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</si>
  <si>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</si>
  <si>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</si>
  <si>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</si>
  <si>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</si>
  <si>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</si>
  <si>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</si>
  <si>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</si>
  <si>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</si>
  <si>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</si>
  <si>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</si>
  <si>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</si>
  <si>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</si>
  <si>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</si>
  <si>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</si>
  <si>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</si>
  <si>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</si>
  <si>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</si>
  <si>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</si>
  <si>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</si>
  <si>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</si>
  <si>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</si>
  <si>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</si>
  <si>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</si>
  <si>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</si>
  <si>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</si>
  <si>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</si>
  <si>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</si>
  <si>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</si>
  <si>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</si>
  <si>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</si>
  <si>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</si>
  <si>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</si>
  <si>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</si>
  <si>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</si>
  <si>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</si>
  <si>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</si>
  <si>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</si>
  <si>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</si>
  <si>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</si>
  <si>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</si>
  <si>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</si>
  <si>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</si>
  <si>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</si>
  <si>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</si>
  <si>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</si>
  <si>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</si>
  <si>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</si>
  <si>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</si>
  <si>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</si>
  <si>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</si>
  <si>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</si>
  <si>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</si>
  <si>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</si>
  <si>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</si>
  <si>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</si>
  <si>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</si>
  <si>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</si>
  <si>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</si>
  <si>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</si>
  <si>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</si>
  <si>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</si>
  <si>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</si>
  <si>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</si>
  <si>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</si>
  <si>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</si>
  <si>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</si>
  <si>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</si>
  <si>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</si>
  <si>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</si>
  <si>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</si>
  <si>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</si>
  <si>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</si>
  <si>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</si>
  <si>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</si>
  <si>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</si>
  <si>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</si>
  <si>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</si>
  <si>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</si>
  <si>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</si>
  <si>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</si>
  <si>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</si>
  <si>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</si>
  <si>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</si>
  <si>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</si>
  <si>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</si>
  <si>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</si>
  <si>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</si>
  <si>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</si>
  <si>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</si>
  <si>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</si>
  <si>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</si>
  <si>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</si>
  <si>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</si>
  <si>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</si>
  <si>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</si>
  <si>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</si>
  <si>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</si>
  <si>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</si>
  <si>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</si>
  <si>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</si>
  <si>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</si>
  <si>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</si>
  <si>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</si>
  <si>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</si>
  <si>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</si>
  <si>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</si>
  <si>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</si>
  <si>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</si>
  <si>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</si>
  <si>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</si>
  <si>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</si>
  <si>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</si>
  <si>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</si>
  <si>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</si>
  <si>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</si>
  <si>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</si>
  <si>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</si>
  <si>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</si>
  <si>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</si>
  <si>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</si>
  <si>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</si>
  <si>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</si>
  <si>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</si>
  <si>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</si>
  <si>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</si>
  <si>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</si>
  <si>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</si>
  <si>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</si>
  <si>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</si>
  <si>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</si>
  <si>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</si>
  <si>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</si>
  <si>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</si>
  <si>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</si>
  <si>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</si>
  <si>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</si>
  <si>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</si>
  <si>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</si>
  <si>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</si>
  <si>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</si>
  <si>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</si>
  <si>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</si>
  <si>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</si>
  <si>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</si>
  <si>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</si>
  <si>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</si>
  <si>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</si>
  <si>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</si>
  <si>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</si>
  <si>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</si>
  <si>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</si>
  <si>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</si>
  <si>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</si>
  <si>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</si>
  <si>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</si>
  <si>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</si>
  <si>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</si>
  <si>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</si>
  <si>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</si>
  <si>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</si>
  <si>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</si>
  <si>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</si>
  <si>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</si>
  <si>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</si>
  <si>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</si>
  <si>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</si>
  <si>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</si>
  <si>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</si>
  <si>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</si>
  <si>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</si>
  <si>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</si>
  <si>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</si>
  <si>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</si>
  <si>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</si>
  <si>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</si>
  <si>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</si>
  <si>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</si>
  <si>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</si>
  <si>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</si>
  <si>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</si>
  <si>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</si>
  <si>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</si>
  <si>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</si>
  <si>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</si>
  <si>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</si>
  <si>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</si>
  <si>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</si>
  <si>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</si>
  <si>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</si>
  <si>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</si>
  <si>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</si>
  <si>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</si>
  <si>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</si>
  <si>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</si>
  <si>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</si>
  <si>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</si>
  <si>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</si>
  <si>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</si>
  <si>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</si>
  <si>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</si>
  <si>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</si>
  <si>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</si>
  <si>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</si>
  <si>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</si>
  <si>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</si>
  <si>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</si>
  <si>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</si>
  <si>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</si>
  <si>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</si>
  <si>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</si>
  <si>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</si>
  <si>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</si>
  <si>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</si>
  <si>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</si>
  <si>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</si>
  <si>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</si>
  <si>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</si>
  <si>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</si>
  <si>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</si>
  <si>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</si>
  <si>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</si>
  <si>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</si>
  <si>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</si>
  <si>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</si>
  <si>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</si>
  <si>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</si>
  <si>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</si>
  <si>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</si>
  <si>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</si>
  <si>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</si>
  <si>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</si>
  <si>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</si>
  <si>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</si>
  <si>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</si>
  <si>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</si>
  <si>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</si>
  <si>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</si>
  <si>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</si>
  <si>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</si>
  <si>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</si>
  <si>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</si>
  <si>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</si>
  <si>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</si>
  <si>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</si>
  <si>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</si>
  <si>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</si>
  <si>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</si>
  <si>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</si>
  <si>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</si>
  <si>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</si>
  <si>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</si>
  <si>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</si>
  <si>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</si>
  <si>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</si>
  <si>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</si>
  <si>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</si>
  <si>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</si>
  <si>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</si>
  <si>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</si>
  <si>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</si>
  <si>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</si>
  <si>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</si>
  <si>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</si>
  <si>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</si>
  <si>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</si>
  <si>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</si>
  <si>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</si>
  <si>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</si>
  <si>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</si>
  <si>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</si>
  <si>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</si>
  <si>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</si>
  <si>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</si>
  <si>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</si>
  <si>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</si>
  <si>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</si>
  <si>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</si>
  <si>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</si>
  <si>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</si>
  <si>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</si>
  <si>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</si>
  <si>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</si>
  <si>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</si>
  <si>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</si>
  <si>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</si>
  <si>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</si>
  <si>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</si>
  <si>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</si>
  <si>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</si>
  <si>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</si>
  <si>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</si>
  <si>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</si>
  <si>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</si>
  <si>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</si>
  <si>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</si>
  <si>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</si>
  <si>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</si>
  <si>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</si>
  <si>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</si>
  <si>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</si>
  <si>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</si>
  <si>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</si>
  <si>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</si>
  <si>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</si>
  <si>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</si>
  <si>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</si>
  <si>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</si>
  <si>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</si>
  <si>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</si>
  <si>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</si>
  <si>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</si>
  <si>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</si>
  <si>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</si>
  <si>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</si>
  <si>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</si>
  <si>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</si>
  <si>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</si>
  <si>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</si>
  <si>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</si>
  <si>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</si>
  <si>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</si>
  <si>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</si>
  <si>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</si>
  <si>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</si>
  <si>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</si>
  <si>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</si>
  <si>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</si>
  <si>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</si>
  <si>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</si>
  <si>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</si>
  <si>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</si>
  <si>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</si>
  <si>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</si>
  <si>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</si>
  <si>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</si>
  <si>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</si>
  <si>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</si>
  <si>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</si>
  <si>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</si>
  <si>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</si>
  <si>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</si>
  <si>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</si>
  <si>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</si>
  <si>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</si>
  <si>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</si>
  <si>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</si>
  <si>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</si>
  <si>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</si>
  <si>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</si>
  <si>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</si>
  <si>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</si>
  <si>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</si>
  <si>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</si>
  <si>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</si>
  <si>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</si>
  <si>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</si>
  <si>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</si>
  <si>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</si>
  <si>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</si>
  <si>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</si>
  <si>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</si>
  <si>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</si>
  <si>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</si>
  <si>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</si>
  <si>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</si>
  <si>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</si>
  <si>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</si>
  <si>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</si>
  <si>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</si>
  <si>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</si>
  <si>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</si>
  <si>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</si>
  <si>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</si>
  <si>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</si>
  <si>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</si>
  <si>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</si>
  <si>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</si>
  <si>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</si>
  <si>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</si>
  <si>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</si>
  <si>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</si>
  <si>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</si>
  <si>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</si>
  <si>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</si>
  <si>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</si>
  <si>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</si>
  <si>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</si>
  <si>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</si>
  <si>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</si>
  <si>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</si>
  <si>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</si>
  <si>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</si>
  <si>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</si>
  <si>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</si>
  <si>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</si>
  <si>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</si>
  <si>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</si>
  <si>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</si>
  <si>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</si>
  <si>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</si>
  <si>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</si>
  <si>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</si>
  <si>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</si>
  <si>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</si>
  <si>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</si>
  <si>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</si>
  <si>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</si>
  <si>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</si>
  <si>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</si>
  <si>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</si>
  <si>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</si>
  <si>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</si>
  <si>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</si>
  <si>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</si>
  <si>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</si>
  <si>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</si>
  <si>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</si>
  <si>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</si>
  <si>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</si>
  <si>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</si>
  <si>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</si>
  <si>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</si>
  <si>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</si>
  <si>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</si>
  <si>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</si>
  <si>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</si>
  <si>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</si>
  <si>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</si>
  <si>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</si>
  <si>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</si>
  <si>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</si>
  <si>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</si>
  <si>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</si>
  <si>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</si>
  <si>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</si>
  <si>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</si>
  <si>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</si>
  <si>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</si>
  <si>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</si>
  <si>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</si>
  <si>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</si>
  <si>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</si>
  <si>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</si>
  <si>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</si>
  <si>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</si>
  <si>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</si>
  <si>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</si>
  <si>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</si>
  <si>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</si>
  <si>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</si>
  <si>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</si>
  <si>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</si>
  <si>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</si>
  <si>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</si>
  <si>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</si>
  <si>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</si>
  <si>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</si>
  <si>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</si>
  <si>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</si>
  <si>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</si>
  <si>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</si>
  <si>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</si>
  <si>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</si>
  <si>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</si>
  <si>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</si>
  <si>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</si>
  <si>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</si>
  <si>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</si>
  <si>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</si>
  <si>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</si>
  <si>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</si>
  <si>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</si>
  <si>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</si>
  <si>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</si>
  <si>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</si>
  <si>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</si>
  <si>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</si>
  <si>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</si>
  <si>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</si>
  <si>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</si>
  <si>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</si>
  <si>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</si>
  <si>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</si>
  <si>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</si>
  <si>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</si>
  <si>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</si>
  <si>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</si>
  <si>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</si>
  <si>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</si>
  <si>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</si>
  <si>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</si>
  <si>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</si>
  <si>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</si>
  <si>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</si>
  <si>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</si>
  <si>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</si>
  <si>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</si>
  <si>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</si>
  <si>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</si>
  <si>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</si>
  <si>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</si>
  <si>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</si>
  <si>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</si>
  <si>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</si>
  <si>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</si>
  <si>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</si>
  <si>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</si>
  <si>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</si>
  <si>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</si>
  <si>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</si>
  <si>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</si>
  <si>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</si>
  <si>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</si>
  <si>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</si>
  <si>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</si>
  <si>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</si>
  <si>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</si>
  <si>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</si>
  <si>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</si>
  <si>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</si>
  <si>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</si>
  <si>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</si>
  <si>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</si>
  <si>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</si>
  <si>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</si>
  <si>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</si>
  <si>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</si>
  <si>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</si>
  <si>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</si>
  <si>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</si>
  <si>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</si>
  <si>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</si>
  <si>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</si>
  <si>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</si>
  <si>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</si>
  <si>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</si>
  <si>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</si>
  <si>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</si>
  <si>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</si>
  <si>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</si>
  <si>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</si>
  <si>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</si>
  <si>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</si>
  <si>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</si>
  <si>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</si>
  <si>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</si>
  <si>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</si>
  <si>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</si>
  <si>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</si>
  <si>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</si>
  <si>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</si>
  <si>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</si>
  <si>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</si>
  <si>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</si>
  <si>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</si>
  <si>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</si>
  <si>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</si>
  <si>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</si>
  <si>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</si>
  <si>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</si>
  <si>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</si>
  <si>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</si>
  <si>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</si>
  <si>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</si>
  <si>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</si>
  <si>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</si>
  <si>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</si>
  <si>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</si>
  <si>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</si>
  <si>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</si>
  <si>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</si>
  <si>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</si>
  <si>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</si>
  <si>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</si>
  <si>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</si>
  <si>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</si>
  <si>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</si>
  <si>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</si>
  <si>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</si>
  <si>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</si>
  <si>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</si>
  <si>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</si>
  <si>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</si>
  <si>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</si>
  <si>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</si>
  <si>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</si>
  <si>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</si>
  <si>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</si>
  <si>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</si>
  <si>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</si>
  <si>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</si>
  <si>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</si>
  <si>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</si>
  <si>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</si>
  <si>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</si>
  <si>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</si>
  <si>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</si>
  <si>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</si>
  <si>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</si>
  <si>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</si>
  <si>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</si>
  <si>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</si>
  <si>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</si>
  <si>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</si>
  <si>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</si>
  <si>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</si>
  <si>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</si>
  <si>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</si>
  <si>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</si>
  <si>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</si>
  <si>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</si>
  <si>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</si>
  <si>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</si>
  <si>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</si>
  <si>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</si>
  <si>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</si>
  <si>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</si>
  <si>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</si>
  <si>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</si>
  <si>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</si>
  <si>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</si>
  <si>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</si>
  <si>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</si>
  <si>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</si>
  <si>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</si>
  <si>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</si>
  <si>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</si>
  <si>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</si>
  <si>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</si>
  <si>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</si>
  <si>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</si>
  <si>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</si>
  <si>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</si>
  <si>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</si>
  <si>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</si>
  <si>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</si>
  <si>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</si>
  <si>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</si>
  <si>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</si>
  <si>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</si>
  <si>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</si>
  <si>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</si>
  <si>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</si>
  <si>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</si>
  <si>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</si>
  <si>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</si>
  <si>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</si>
  <si>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</si>
  <si>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</si>
  <si>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</si>
  <si>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</si>
  <si>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</si>
  <si>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</si>
  <si>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</si>
  <si>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</si>
  <si>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</si>
  <si>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</si>
  <si>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</si>
  <si>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</si>
  <si>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</si>
  <si>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</si>
  <si>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</si>
  <si>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</si>
  <si>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</si>
  <si>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</si>
  <si>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</si>
  <si>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</si>
  <si>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</si>
  <si>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</si>
  <si>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</si>
  <si>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</si>
  <si>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</si>
  <si>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</si>
  <si>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</si>
  <si>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</si>
  <si>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</si>
  <si>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</si>
  <si>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</si>
  <si>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</si>
  <si>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</si>
  <si>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</si>
  <si>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</si>
  <si>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</si>
  <si>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</si>
  <si>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</si>
  <si>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</si>
  <si>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</si>
  <si>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</si>
  <si>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</si>
  <si>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</si>
  <si>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</si>
  <si>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</si>
  <si>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</si>
  <si>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</si>
  <si>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</si>
  <si>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</si>
  <si>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</si>
  <si>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</si>
  <si>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</si>
  <si>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</si>
  <si>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</si>
  <si>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</si>
  <si>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</si>
  <si>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</si>
  <si>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</si>
  <si>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</si>
  <si>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</si>
  <si>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</si>
  <si>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</si>
  <si>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</si>
  <si>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</si>
  <si>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</si>
  <si>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</si>
  <si>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</si>
  <si>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</si>
  <si>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</si>
  <si>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</si>
  <si>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</si>
  <si>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</si>
  <si>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</si>
  <si>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</si>
  <si>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</si>
  <si>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</si>
  <si>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</si>
  <si>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</si>
  <si>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</si>
  <si>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</si>
  <si>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</si>
  <si>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</si>
  <si>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</si>
  <si>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</si>
  <si>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</si>
  <si>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</si>
  <si>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</si>
  <si>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</si>
  <si>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</si>
  <si>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</si>
  <si>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</si>
  <si>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</si>
  <si>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</si>
  <si>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</si>
  <si>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</si>
  <si>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</si>
  <si>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</si>
  <si>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</si>
  <si>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</si>
  <si>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</si>
  <si>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</si>
  <si>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</si>
  <si>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</si>
  <si>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</si>
  <si>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</si>
  <si>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</si>
  <si>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</si>
  <si>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</si>
  <si>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</si>
  <si>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</si>
  <si>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</si>
  <si>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</si>
  <si>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</si>
  <si>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</si>
  <si>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</si>
  <si>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</si>
  <si>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</si>
  <si>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</si>
  <si>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</si>
  <si>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</si>
  <si>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</si>
  <si>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</si>
  <si>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</si>
  <si>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</si>
  <si>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</si>
  <si>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</si>
  <si>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</si>
  <si>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</si>
  <si>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</si>
  <si>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</si>
  <si>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</si>
  <si>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</si>
  <si>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</si>
  <si>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</si>
  <si>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</si>
  <si>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</si>
  <si>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</si>
  <si>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</si>
  <si>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</si>
  <si>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</si>
  <si>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</si>
  <si>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</si>
  <si>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</si>
  <si>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</si>
  <si>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</si>
  <si>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</si>
  <si>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</si>
  <si>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</si>
  <si>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</si>
  <si>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</si>
  <si>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</si>
  <si>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</si>
  <si>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</si>
  <si>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</si>
  <si>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</si>
  <si>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</si>
  <si>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</si>
  <si>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</si>
  <si>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</si>
  <si>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</si>
  <si>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</si>
  <si>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</si>
  <si>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</si>
  <si>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</si>
  <si>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</si>
  <si>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</si>
  <si>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</si>
  <si>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</si>
  <si>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</si>
  <si>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</si>
  <si>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</si>
  <si>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</si>
  <si>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</si>
  <si>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</si>
  <si>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</si>
  <si>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</si>
  <si>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</si>
  <si>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</si>
  <si>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</si>
  <si>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</si>
  <si>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</si>
  <si>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</si>
  <si>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</si>
  <si>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</si>
  <si>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</si>
  <si>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</si>
  <si>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</si>
  <si>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</si>
  <si>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</si>
  <si>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</si>
  <si>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</si>
  <si>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</si>
  <si>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</si>
  <si>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</si>
  <si>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</si>
  <si>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</si>
  <si>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</si>
  <si>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</si>
  <si>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</si>
  <si>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</si>
  <si>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</si>
  <si>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</si>
  <si>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</si>
  <si>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</si>
  <si>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</si>
  <si>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</si>
  <si>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</si>
  <si>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</si>
  <si>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</si>
  <si>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</si>
  <si>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</si>
  <si>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</si>
  <si>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</si>
  <si>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</si>
  <si>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</si>
  <si>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</si>
  <si>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</si>
  <si>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</si>
  <si>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</si>
  <si>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</si>
  <si>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</si>
  <si>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</si>
  <si>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</si>
  <si>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</si>
  <si>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</si>
  <si>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</si>
  <si>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</si>
  <si>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</si>
  <si>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</si>
  <si>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</si>
  <si>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</si>
  <si>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</si>
  <si>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</si>
  <si>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</si>
  <si>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</si>
  <si>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</si>
  <si>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</si>
  <si>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</si>
  <si>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</si>
  <si>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</si>
  <si>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</si>
  <si>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</si>
  <si>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</si>
  <si>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</si>
  <si>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</si>
  <si>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</si>
  <si>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</si>
  <si>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</si>
  <si>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</si>
  <si>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</si>
  <si>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</si>
  <si>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</si>
  <si>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</si>
  <si>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</si>
  <si>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</si>
  <si>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</si>
  <si>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</si>
  <si>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</si>
  <si>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</si>
  <si>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</si>
  <si>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</si>
  <si>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</si>
  <si>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</si>
  <si>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</si>
  <si>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</si>
  <si>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</si>
  <si>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</si>
  <si>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</si>
  <si>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</si>
  <si>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</si>
  <si>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</si>
  <si>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</si>
  <si>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</si>
  <si>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</si>
  <si>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</si>
  <si>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</si>
  <si>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</si>
  <si>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</si>
  <si>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</si>
  <si>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</si>
  <si>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</si>
  <si>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</si>
  <si>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</si>
  <si>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</si>
  <si>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</si>
  <si>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</si>
  <si>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</si>
  <si>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</si>
  <si>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</si>
  <si>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</si>
  <si>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</si>
  <si>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</si>
  <si>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</si>
  <si>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</si>
  <si>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</si>
  <si>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</si>
  <si>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</si>
  <si>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</si>
  <si>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</si>
  <si>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</si>
  <si>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</si>
  <si>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</si>
  <si>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</si>
  <si>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</si>
  <si>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</si>
  <si>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</si>
  <si>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</si>
  <si>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</si>
  <si>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</si>
  <si>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</si>
  <si>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</si>
  <si>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</si>
  <si>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</si>
  <si>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</si>
  <si>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</si>
  <si>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</si>
  <si>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</si>
  <si>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</si>
  <si>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</si>
  <si>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</si>
  <si>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</si>
  <si>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</si>
  <si>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</si>
  <si>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</si>
  <si>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</si>
  <si>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</si>
  <si>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</si>
  <si>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</si>
  <si>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</si>
  <si>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</si>
  <si>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</si>
  <si>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</si>
  <si>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</si>
  <si>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</si>
  <si>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</si>
  <si>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</si>
  <si>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</si>
  <si>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</si>
  <si>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</si>
  <si>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</si>
  <si>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</si>
  <si>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</si>
  <si>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</si>
  <si>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</si>
  <si>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</si>
  <si>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</si>
  <si>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</si>
  <si>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</si>
  <si>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</si>
  <si>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</si>
  <si>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</si>
  <si>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</si>
  <si>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</si>
  <si>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</si>
  <si>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</si>
  <si>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</si>
  <si>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</si>
  <si>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</si>
  <si>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</si>
  <si>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</si>
  <si>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</si>
  <si>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</si>
  <si>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</si>
  <si>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</si>
  <si>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</si>
  <si>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</si>
  <si>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</si>
  <si>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</si>
  <si>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</si>
  <si>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</si>
  <si>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</si>
  <si>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</si>
  <si>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</si>
  <si>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</si>
  <si>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</si>
  <si>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</si>
  <si>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</si>
  <si>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</si>
  <si>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</si>
  <si>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</si>
  <si>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</si>
  <si>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</si>
  <si>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</si>
  <si>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</si>
  <si>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</si>
  <si>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</si>
  <si>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</si>
  <si>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</si>
  <si>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</si>
  <si>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</si>
  <si>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</si>
  <si>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</si>
  <si>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</si>
  <si>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</si>
  <si>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</si>
  <si>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</si>
  <si>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</si>
  <si>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</si>
  <si>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</si>
  <si>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</si>
  <si>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</si>
  <si>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</si>
  <si>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</si>
  <si>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</si>
  <si>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</si>
  <si>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</si>
  <si>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</si>
  <si>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</si>
  <si>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</si>
  <si>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</si>
  <si>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</si>
  <si>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</si>
  <si>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</si>
  <si>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</si>
  <si>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</si>
  <si>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</si>
  <si>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</si>
  <si>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</si>
  <si>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</si>
  <si>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</si>
  <si>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</si>
  <si>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</si>
  <si>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</si>
  <si>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</si>
  <si>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</si>
  <si>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</si>
  <si>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</si>
  <si>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</si>
  <si>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</si>
  <si>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</si>
  <si>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</si>
  <si>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</si>
  <si>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</si>
  <si>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</si>
  <si>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</si>
  <si>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</si>
  <si>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</si>
  <si>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</si>
  <si>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</si>
  <si>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</si>
  <si>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</si>
  <si>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</si>
  <si>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</si>
  <si>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</si>
  <si>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</si>
  <si>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</si>
  <si>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</si>
  <si>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</si>
  <si>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</si>
  <si>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</si>
  <si>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</si>
  <si>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</si>
  <si>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</si>
  <si>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</si>
  <si>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</si>
  <si>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</si>
  <si>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</si>
  <si>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</si>
  <si>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</si>
  <si>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</si>
  <si>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</si>
  <si>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</si>
  <si>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</si>
  <si>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</si>
  <si>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</si>
  <si>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</si>
  <si>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</si>
  <si>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</si>
  <si>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</si>
  <si>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</si>
  <si>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</si>
  <si>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</si>
  <si>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</si>
  <si>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</si>
  <si>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</si>
  <si>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</si>
  <si>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</si>
  <si>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</si>
  <si>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</si>
  <si>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</si>
  <si>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</si>
  <si>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</si>
  <si>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</si>
  <si>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</si>
  <si>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</si>
  <si>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</si>
  <si>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</si>
  <si>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</si>
  <si>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</si>
  <si>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</si>
  <si>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</si>
  <si>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</si>
  <si>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</si>
  <si>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</si>
  <si>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</si>
  <si>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</si>
  <si>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</si>
  <si>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</si>
  <si>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</si>
  <si>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</si>
  <si>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</si>
  <si>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</si>
  <si>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</si>
  <si>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</si>
  <si>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</si>
  <si>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</si>
  <si>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</si>
  <si>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</si>
  <si>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</si>
  <si>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</si>
  <si>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</si>
  <si>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</si>
  <si>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</si>
  <si>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</si>
  <si>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</si>
  <si>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</si>
  <si>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</si>
  <si>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</si>
  <si>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</si>
  <si>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</si>
  <si>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</si>
  <si>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</si>
  <si>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</si>
  <si>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</si>
  <si>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</si>
  <si>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</si>
  <si>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</si>
  <si>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</si>
  <si>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</si>
  <si>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</si>
  <si>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</si>
  <si>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</si>
  <si>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</si>
  <si>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</si>
  <si>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</si>
  <si>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</si>
  <si>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</si>
  <si>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</si>
  <si>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</si>
  <si>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</si>
  <si>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</si>
  <si>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</si>
  <si>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</si>
  <si>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</si>
  <si>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</si>
  <si>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</si>
  <si>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</si>
  <si>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</si>
  <si>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</si>
  <si>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</si>
  <si>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</si>
  <si>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</si>
  <si>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</si>
  <si>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</si>
  <si>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</si>
  <si>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</si>
  <si>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</si>
  <si>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</si>
  <si>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</si>
  <si>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</si>
  <si>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</si>
  <si>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</si>
  <si>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</si>
  <si>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</si>
  <si>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</si>
  <si>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</si>
  <si>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</si>
  <si>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</si>
  <si>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</si>
  <si>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</si>
  <si>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</si>
  <si>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</si>
  <si>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</si>
  <si>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</si>
  <si>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</si>
  <si>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</si>
  <si>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</si>
  <si>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</si>
  <si>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</si>
  <si>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</si>
  <si>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</si>
  <si>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</si>
  <si>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</si>
  <si>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</si>
  <si>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</si>
  <si>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</si>
  <si>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</si>
  <si>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</si>
  <si>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</si>
  <si>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</si>
  <si>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</si>
  <si>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</si>
  <si>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</si>
  <si>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</si>
  <si>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</si>
  <si>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</si>
  <si>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</si>
  <si>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</si>
  <si>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</si>
  <si>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</si>
  <si>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</si>
  <si>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</si>
  <si>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</si>
  <si>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</si>
  <si>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</si>
  <si>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</si>
  <si>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</si>
  <si>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</si>
  <si>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</si>
  <si>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</si>
  <si>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</si>
  <si>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</si>
  <si>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</si>
  <si>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</si>
  <si>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</si>
  <si>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</si>
  <si>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</si>
  <si>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</si>
  <si>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</si>
  <si>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</si>
  <si>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</si>
  <si>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</si>
  <si>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</si>
  <si>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</si>
  <si>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</si>
  <si>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</si>
  <si>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</si>
  <si>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</si>
  <si>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</si>
  <si>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</si>
  <si>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</si>
  <si>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</si>
  <si>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</si>
  <si>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</si>
  <si>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</si>
  <si>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</si>
  <si>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</si>
  <si>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</si>
  <si>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</si>
  <si>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</si>
  <si>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</si>
  <si>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</si>
  <si>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</si>
  <si>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</si>
  <si>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</si>
  <si>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</si>
  <si>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</si>
  <si>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</si>
  <si>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</si>
  <si>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</si>
  <si>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</si>
  <si>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</si>
  <si>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</si>
  <si>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</si>
  <si>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</si>
  <si>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</si>
  <si>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</si>
  <si>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</si>
  <si>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</si>
  <si>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</si>
  <si>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</si>
  <si>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</si>
  <si>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</si>
  <si>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</si>
  <si>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</si>
  <si>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</si>
  <si>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</si>
  <si>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</si>
  <si>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</si>
  <si>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</si>
  <si>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</si>
  <si>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</si>
  <si>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</si>
  <si>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</si>
  <si>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</si>
  <si>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</si>
  <si>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</si>
  <si>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</si>
  <si>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</si>
  <si>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</si>
  <si>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</si>
  <si>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</si>
  <si>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</si>
  <si>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</si>
  <si>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</si>
  <si>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</si>
  <si>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</si>
  <si>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</si>
  <si>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</si>
  <si>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</si>
  <si>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</si>
  <si>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</si>
  <si>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</si>
  <si>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</si>
  <si>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</si>
  <si>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</si>
  <si>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</si>
  <si>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</si>
  <si>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</si>
  <si>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</si>
  <si>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</si>
  <si>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</si>
  <si>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</si>
  <si>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</si>
  <si>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</si>
  <si>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</si>
  <si>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</si>
  <si>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</si>
  <si>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</si>
  <si>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</si>
  <si>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</si>
  <si>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</si>
  <si>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</si>
  <si>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</si>
  <si>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</si>
  <si>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</si>
  <si>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</si>
  <si>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</si>
  <si>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</si>
  <si>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</si>
  <si>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</si>
  <si>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</si>
  <si>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</si>
  <si>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</si>
  <si>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</si>
  <si>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</si>
  <si>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</si>
  <si>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</si>
  <si>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</si>
  <si>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</si>
  <si>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</si>
  <si>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</si>
  <si>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</si>
  <si>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</si>
  <si>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</si>
  <si>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</si>
  <si>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</si>
  <si>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</si>
  <si>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</si>
  <si>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</si>
  <si>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</si>
  <si>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</si>
  <si>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</si>
  <si>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</si>
  <si>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</si>
  <si>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</si>
  <si>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</si>
  <si>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</si>
  <si>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</si>
  <si>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</si>
  <si>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</si>
  <si>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</si>
  <si>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</si>
  <si>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</si>
  <si>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</si>
  <si>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</si>
  <si>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</si>
  <si>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</si>
  <si>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</si>
  <si>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</si>
  <si>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</si>
  <si>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</si>
  <si>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</si>
  <si>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</si>
  <si>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</si>
  <si>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</si>
  <si>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</si>
  <si>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</si>
  <si>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</si>
  <si>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</si>
  <si>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</si>
  <si>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</si>
  <si>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</si>
  <si>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</si>
  <si>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Moves a start address (numeric or A1) 'steps' (default 1) in an arrow direction,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</si>
  <si>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</si>
  <si>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</si>
  <si>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arrow_trip(rng, start_ad, dir, [stopper])</t>
  </si>
  <si>
    <t>Walks from start_ad (numeric or A1) in a straight arrow direction across rng until the edge (or the optional stopper value). Returns a 2-column array of NUMERIC addresses and their values, including the start cell.</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</si>
  <si>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</si>
  <si>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</si>
  <si>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</si>
  <si>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</si>
  <si>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</si>
  <si>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</si>
  <si>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</si>
  <si>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</si>
  <si>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</si>
  <si>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</si>
  <si>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</si>
  <si>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</si>
  <si>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</si>
  <si>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</si>
  <si>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</si>
  <si>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</si>
  <si>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</si>
  <si>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</si>
  <si>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</si>
  <si>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</si>
  <si>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</si>
  <si>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</si>
  <si>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</si>
  <si>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</si>
  <si>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</si>
  <si>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</si>
  <si>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</si>
  <si>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</si>
  <si>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</si>
  <si>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</si>
  <si>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</si>
  <si>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</si>
  <si>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</si>
  <si>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Checks whether all values in the array are unique; returns TRUE/FALSE. Case-insensitive, so {"A","a"} is not unique. Combine with str2arr to test character by character.</t>
  </si>
  <si>
    <t>=LAMBDA(Arr, LET(
   flatArr, TOCOL(Arr, 1, 4),
   filtArr, FILTER(flatArr, flatArr &lt;&gt; ""),
   rowCount, ROWS(filtArr),
   matchMatrix, --(filtArr = TRANSPOSE(filtArr)),
   freq, MMULT(matchMatrix, SEQUENCE(rowCount, 1, 1, 0)),
   IF(MAX(freq) &gt; 1, 0, 1)
))</t>
  </si>
  <si>
    <t>Tests whether every value in an array is distinct.
Arguments:
  arr - the array to test.
Returns:
  TRUE if all values are unique, FALSE otherwise. Comparison is case-insensitive ({"A","a"} is not unique).
Notes:
  Combine with str2arr to check a string character by character.</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</si>
  <si>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</si>
  <si>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</si>
  <si>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</si>
  <si>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</si>
  <si>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</si>
  <si>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</si>
  <si>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</si>
  <si>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</si>
  <si>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</si>
  <si>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</si>
  <si>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</si>
  <si>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</si>
  <si>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</si>
  <si>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</si>
  <si>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</si>
  <si>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</si>
  <si>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</si>
  <si>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</si>
  <si>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num_ad(arr)</t>
  </si>
  <si>
    <t>Converts each valid A1 string address in arr to a numeric address (1e6*row+col). Anything that is not a string address - values already numeric, ranges, or junk - passes through unchanged. Element-wise; same shape as arr.</t>
  </si>
  <si>
    <t>=LAMBDA(arr,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t>
  </si>
  <si>
    <t>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</si>
  <si>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</si>
  <si>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</si>
  <si>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</si>
  <si>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</si>
  <si>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</si>
  <si>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</si>
  <si>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</si>
  <si>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</si>
  <si>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</si>
  <si>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</si>
  <si>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</si>
  <si>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</si>
  <si>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range2ad(range, [str])</t>
  </si>
  <si>
    <t>Expands a range string like "B4:AA43" into an array of its cell addresses, in the same shape. str=0 (default) returns numeric addresses (1e6*row+col); str=1 returns A1 strings.</t>
  </si>
  <si>
    <t>=LAMBDA(range,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t>
  </si>
  <si>
    <t>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</si>
  <si>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</si>
  <si>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</si>
  <si>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</si>
  <si>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</si>
  <si>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rotate_arrow(arrow, steps, [clockwise])</t>
  </si>
  <si>
    <t>Rotates an arrow by 45 degrees times steps. clockwise = 1 (default) rotates clockwise; clockwise = 0 rotates counter-clockwise.</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</si>
  <si>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</si>
  <si>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</si>
  <si>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</si>
  <si>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</si>
  <si>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</si>
  <si>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</si>
  <si>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</si>
  <si>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</si>
  <si>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</si>
  <si>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</si>
  <si>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</si>
  <si>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</si>
  <si>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</si>
  <si>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</si>
  <si>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</si>
  <si>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</si>
  <si>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</si>
  <si>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</si>
  <si>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</si>
  <si>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</si>
  <si>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</si>
  <si>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</si>
  <si>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</si>
  <si>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</si>
  <si>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</si>
  <si>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</si>
  <si>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shift_arr(arr, dir, [steps], [fill])</t>
  </si>
  <si>
    <t>Shifts a 1D or 2D array by "steps" (default 1) in the dir arrow. With no fill, items wrap around; if fill is a value, it fills the vacated cells instead.</t>
  </si>
  <si>
    <t>smallest(check, return)</t>
  </si>
  <si>
    <t>Finds the smallest number in "check" and returns the first matching value in "return" (an XLOOKUP on MIN).</t>
  </si>
  <si>
    <t>str2arr(str_or_array, [as_row])</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</si>
  <si>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</si>
  <si>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</si>
  <si>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t>
  </si>
  <si>
    <t>str_ad(arr)</t>
  </si>
  <si>
    <t>Converts each valid numeric address (1e6*row+col) in arr to an A1 string. Non-addresses - strings, non-integers, out-of-range numbers - pass through. WARNING: any number in address range becomes an address; only use on known addresses.</t>
  </si>
  <si>
    <t>=LAMBDA(arr,
  LET(
    to_str, LAMBDA(one,
      IFERROR(
        IF(NOT(ISNUMBER(one)), one,
          LET(
            row_num, INT(one / 1000000),
            col, MOD(one, 1000000),
            ok, AND(one = INT(one), row_num &gt;= 1, row_num &lt;= 1048576, col &gt;= 1, col &lt;= 16384),
            IF(ok, ADDRESS(row_num, col, 4), one))),
        one)),
    IF(ROWS(arr) * COLUMNS(arr) = 1, to_str(arr), MAP(arr, to_str))
  )
)</t>
  </si>
  <si>
    <t>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</si>
  <si>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</si>
  <si>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</si>
  <si>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</si>
  <si>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</si>
  <si>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</si>
  <si>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</si>
  <si>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</si>
  <si>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</si>
  <si>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</si>
  <si>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</si>
  <si>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</si>
  <si>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</si>
  <si>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</si>
  <si>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</si>
  <si>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</si>
  <si>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</si>
  <si>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</si>
  <si>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</si>
  <si>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</si>
  <si>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</si>
  <si>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</si>
  <si>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</si>
  <si>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</si>
  <si>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</si>
  <si>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</si>
  <si>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</si>
  <si>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</si>
  <si>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</si>
  <si>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</si>
  <si>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</si>
  <si>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</si>
  <si>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</si>
  <si>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</si>
  <si>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</si>
  <si>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</si>
  <si>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</si>
  <si>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</si>
  <si>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</si>
  <si>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</si>
  <si>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</si>
  <si>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</si>
  <si>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</si>
  <si>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</si>
  <si>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</si>
  <si>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</si>
  <si>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</si>
  <si>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</si>
  <si>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</si>
  <si>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</si>
  <si>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</si>
  <si>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</si>
  <si>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</si>
  <si>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</si>
  <si>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</si>
  <si>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</si>
  <si>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</si>
  <si>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</si>
  <si>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</si>
  <si>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</si>
  <si>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</si>
  <si>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addr_lookup</t>
  </si>
  <si>
    <t>arrow</t>
  </si>
  <si>
    <t>arrow_move</t>
  </si>
  <si>
    <t>arrow_trip</t>
  </si>
  <si>
    <t>biggest</t>
  </si>
  <si>
    <t>clamp</t>
  </si>
  <si>
    <t>count_substring</t>
  </si>
  <si>
    <t>ctotal</t>
  </si>
  <si>
    <t>cycles</t>
  </si>
  <si>
    <t>die_pips</t>
  </si>
  <si>
    <t>dist</t>
  </si>
  <si>
    <t>exists</t>
  </si>
  <si>
    <t>freq_table</t>
  </si>
  <si>
    <t>is_unique</t>
  </si>
  <si>
    <t>knight_moves</t>
  </si>
  <si>
    <t>label_lookup</t>
  </si>
  <si>
    <t>load_array</t>
  </si>
  <si>
    <t>neighbors_count</t>
  </si>
  <si>
    <t>neighbors_list</t>
  </si>
  <si>
    <t>num_ad</t>
  </si>
  <si>
    <t>offset_letter</t>
  </si>
  <si>
    <t>only_letters</t>
  </si>
  <si>
    <t>only_numbers</t>
  </si>
  <si>
    <t>range2ad</t>
  </si>
  <si>
    <t>rev</t>
  </si>
  <si>
    <t>rotate_arrow</t>
  </si>
  <si>
    <t>route_cost</t>
  </si>
  <si>
    <t>save_array</t>
  </si>
  <si>
    <t>selections</t>
  </si>
  <si>
    <t>set</t>
  </si>
  <si>
    <t>set_d</t>
  </si>
  <si>
    <t>set_i</t>
  </si>
  <si>
    <t>set_u</t>
  </si>
  <si>
    <t>shift_arr</t>
  </si>
  <si>
    <t>smallest</t>
  </si>
  <si>
    <t>str2arr</t>
  </si>
  <si>
    <t>str_ad</t>
  </si>
  <si>
    <t>str_rev</t>
  </si>
  <si>
    <t>textbetween</t>
  </si>
  <si>
    <t>transform_array</t>
  </si>
  <si>
    <t>update_arr</t>
  </si>
  <si>
    <t>xbyrow</t>
  </si>
  <si>
    <t>xcountif</t>
  </si>
  <si>
    <t>xdec2bin</t>
  </si>
  <si>
    <t>xfilter</t>
  </si>
  <si>
    <t>xmod</t>
  </si>
  <si>
    <t>xn</t>
  </si>
  <si>
    <t>xrank</t>
  </si>
  <si>
    <t>xsequence</t>
  </si>
  <si>
    <t>xtextsplit</t>
  </si>
  <si>
    <t>xtocol</t>
  </si>
  <si>
    <t>TOTAL</t>
  </si>
  <si>
    <t>grid D7:F9</t>
  </si>
  <si>
    <t>addr array</t>
  </si>
  <si>
    <t>D7</t>
  </si>
  <si>
    <t>F9</t>
  </si>
  <si>
    <t>string 'E8' -&gt; 50</t>
  </si>
  <si>
    <t>numeric 8000005 (E8) -&gt; 50</t>
  </si>
  <si>
    <t>range 'D7:E8' -&gt; 2x2</t>
  </si>
  <si>
    <t>addr array {D7;F9} -&gt; {10;90}</t>
  </si>
  <si>
    <t>out of bounds 'Z99' -&gt; ''</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</si>
  <si>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</si>
  <si>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</si>
  <si>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</si>
  <si>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</si>
  <si>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</si>
  <si>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</si>
  <si>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</si>
  <si>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</si>
  <si>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</si>
  <si>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</si>
  <si>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</si>
  <si>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</si>
  <si>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</si>
  <si>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</si>
  <si>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</si>
  <si>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</si>
  <si>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</si>
  <si>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</si>
  <si>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</si>
  <si>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</si>
  <si>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</si>
  <si>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</si>
  <si>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</si>
  <si>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</si>
  <si>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</si>
  <si>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</si>
  <si>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</si>
  <si>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</si>
  <si>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</si>
  <si>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</si>
  <si>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</si>
  <si>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</si>
  <si>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</si>
  <si>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</si>
  <si>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</si>
  <si>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</si>
  <si>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</si>
  <si>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</si>
  <si>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</si>
  <si>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</si>
  <si>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</si>
  <si>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</si>
  <si>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</si>
  <si>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</si>
  <si>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</si>
  <si>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</si>
  <si>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</si>
  <si>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</si>
  <si>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</si>
  <si>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</si>
  <si>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</si>
  <si>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</si>
  <si>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</si>
  <si>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</si>
  <si>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</si>
  <si>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</si>
  <si>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</si>
  <si>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</si>
  <si>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</si>
  <si>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</si>
  <si>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</si>
  <si>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</si>
  <si>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</si>
  <si>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</si>
  <si>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</si>
  <si>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</si>
  <si>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</si>
  <si>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</si>
  <si>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</si>
  <si>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</si>
  <si>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</si>
  <si>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</si>
  <si>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</si>
  <si>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</si>
  <si>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</si>
  <si>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</si>
  <si>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</si>
  <si>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</si>
  <si>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</si>
  <si>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</si>
  <si>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</si>
  <si>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</si>
  <si>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</si>
  <si>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</si>
  <si>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</si>
  <si>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</si>
  <si>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</si>
  <si>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</si>
  <si>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</si>
  <si>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</si>
  <si>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</si>
  <si>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</si>
  <si>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</si>
  <si>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</si>
  <si>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</si>
  <si>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</si>
  <si>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</si>
  <si>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</si>
  <si>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</si>
  <si>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</si>
  <si>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</si>
  <si>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</si>
  <si>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</si>
  <si>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</si>
  <si>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</si>
  <si>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</si>
  <si>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</si>
  <si>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</si>
  <si>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</si>
  <si>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</si>
  <si>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</si>
  <si>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</si>
  <si>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</si>
  <si>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</si>
  <si>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</si>
  <si>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</si>
  <si>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</si>
  <si>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</si>
  <si>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</si>
  <si>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</si>
  <si>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</si>
  <si>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</si>
  <si>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</si>
  <si>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</si>
  <si>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</si>
  <si>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</si>
  <si>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</si>
  <si>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</si>
  <si>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</si>
  <si>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</si>
  <si>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</si>
  <si>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</si>
  <si>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</si>
  <si>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</si>
  <si>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</si>
  <si>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</si>
  <si>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</si>
  <si>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</si>
  <si>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</si>
  <si>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</si>
  <si>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</si>
  <si>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</si>
  <si>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</si>
  <si>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</si>
  <si>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num_ad(arr) - A1 string -&gt; numeric (1e6*row+col); everything else unchanged; array-aware; idempotent</t>
  </si>
  <si>
    <t>D3 -&gt; 3000004</t>
  </si>
  <si>
    <t>already numeric passes</t>
  </si>
  <si>
    <t>non-address text 'hi'</t>
  </si>
  <si>
    <t>hi</t>
  </si>
  <si>
    <t>$B$2 (strip $)</t>
  </si>
  <si>
    <t>$B$2</t>
  </si>
  <si>
    <t>range string stays text</t>
  </si>
  <si>
    <t>B2:D4</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</si>
  <si>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</si>
  <si>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</si>
  <si>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</si>
  <si>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</si>
  <si>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</si>
  <si>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</si>
  <si>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</si>
  <si>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</si>
  <si>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</si>
  <si>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</si>
  <si>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</si>
  <si>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</si>
  <si>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</si>
  <si>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</si>
  <si>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</si>
  <si>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</si>
  <si>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</si>
  <si>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</si>
  <si>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</si>
  <si>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</si>
  <si>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</si>
  <si>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</si>
  <si>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</si>
  <si>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</si>
  <si>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</si>
  <si>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</si>
  <si>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</si>
  <si>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</si>
  <si>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</si>
  <si>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</si>
  <si>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</si>
  <si>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</si>
  <si>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</si>
  <si>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</si>
  <si>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</si>
  <si>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</si>
  <si>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</si>
  <si>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</si>
  <si>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</si>
  <si>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</si>
  <si>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</si>
  <si>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range2ad(range,[str]) - expand a range STRING into an array of its cell addresses (same shape). str 0=numeric(def), 1=A1 strings</t>
  </si>
  <si>
    <t>'B2:C3' -&gt; numeric 2x2</t>
  </si>
  <si>
    <t>B2:C3</t>
  </si>
  <si>
    <t>'B2:C3',1 -&gt; A1 strings</t>
  </si>
  <si>
    <t>'A1:A3' -&gt; numeric column</t>
  </si>
  <si>
    <t>A1:A3</t>
  </si>
  <si>
    <t>'A1:C1',1 -&gt; A1 row</t>
  </si>
  <si>
    <t>A1:C1</t>
  </si>
  <si>
    <t>single cell 'D3'</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</si>
  <si>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</si>
  <si>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</si>
  <si>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</si>
  <si>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</si>
  <si>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</si>
  <si>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</si>
  <si>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</si>
  <si>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</si>
  <si>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</si>
  <si>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</si>
  <si>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</si>
  <si>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</si>
  <si>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</si>
  <si>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</si>
  <si>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</si>
  <si>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</si>
  <si>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</si>
  <si>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</si>
  <si>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</si>
  <si>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</si>
  <si>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</si>
  <si>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</si>
  <si>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</si>
  <si>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</si>
  <si>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</si>
  <si>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</si>
  <si>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</si>
  <si>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</si>
  <si>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</si>
  <si>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</si>
  <si>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</si>
  <si>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</si>
  <si>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</si>
  <si>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</si>
  <si>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</si>
  <si>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</si>
  <si>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</si>
  <si>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</si>
  <si>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</si>
  <si>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</si>
  <si>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</si>
  <si>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</si>
  <si>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</si>
  <si>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</si>
  <si>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col {1;2;3} D fill 0</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</si>
  <si>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</si>
  <si>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</si>
  <si>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</si>
  <si>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</si>
  <si>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</si>
  <si>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</si>
  <si>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</si>
  <si>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</si>
  <si>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</si>
  <si>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</si>
  <si>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str_ad(arr) - numeric address -&gt; A1 string; strings/out-of-range numbers unchanged; array-aware</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</si>
  <si>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</si>
  <si>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</si>
  <si>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</si>
  <si>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</si>
  <si>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</si>
  <si>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</si>
  <si>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</si>
  <si>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</si>
  <si>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</si>
  <si>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</si>
  <si>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</si>
  <si>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</si>
  <si>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</si>
  <si>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</si>
  <si>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</si>
  <si>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</si>
  <si>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</si>
  <si>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</si>
  <si>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</si>
  <si>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</si>
  <si>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</si>
  <si>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</si>
  <si>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</si>
  <si>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</si>
  <si>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</si>
  <si>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</si>
  <si>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</si>
  <si>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</si>
  <si>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</si>
  <si>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</si>
  <si>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</si>
  <si>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</si>
  <si>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</si>
  <si>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</si>
  <si>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</si>
  <si>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</si>
  <si>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</si>
  <si>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</si>
  <si>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</si>
  <si>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</si>
  <si>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</si>
  <si>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</si>
  <si>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</si>
  <si>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</si>
  <si>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</si>
  <si>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</si>
  <si>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</si>
  <si>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</si>
  <si>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</si>
  <si>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</si>
  <si>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</si>
  <si>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</si>
  <si>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</si>
  <si>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</si>
  <si>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</si>
  <si>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</si>
  <si>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</si>
  <si>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</si>
  <si>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</si>
  <si>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</si>
  <si>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</si>
  <si>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</si>
  <si>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</si>
  <si>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</si>
  <si>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</si>
  <si>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</si>
  <si>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</si>
  <si>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</si>
  <si>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</si>
  <si>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</si>
  <si>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</si>
  <si>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</si>
  <si>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</si>
  <si>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</si>
  <si>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</si>
  <si>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</si>
  <si>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</si>
  <si>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</si>
  <si>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</si>
  <si>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</si>
  <si>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</si>
  <si>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</si>
  <si>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</si>
  <si>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</si>
  <si>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</si>
  <si>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</si>
  <si>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</si>
  <si>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</si>
  <si>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</si>
  <si>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</si>
  <si>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</si>
  <si>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</si>
  <si>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</si>
  <si>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</si>
  <si>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</si>
  <si>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</si>
  <si>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</si>
  <si>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</si>
  <si>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</si>
  <si>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</si>
  <si>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</si>
  <si>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</si>
  <si>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</si>
  <si>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</si>
  <si>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</si>
  <si>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</si>
  <si>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</si>
  <si>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</si>
  <si>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</si>
  <si>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</si>
  <si>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</si>
  <si>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</si>
  <si>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</si>
  <si>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</si>
  <si>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</si>
  <si>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</si>
  <si>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</si>
  <si>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</si>
  <si>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</si>
  <si>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</si>
  <si>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</si>
  <si>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</si>
  <si>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</si>
  <si>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</si>
  <si>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</si>
  <si>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</si>
  <si>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</si>
  <si>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</si>
  <si>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</si>
  <si>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</si>
  <si>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</si>
  <si>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</si>
  <si>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</si>
  <si>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</si>
  <si>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</si>
  <si>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</si>
  <si>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</si>
  <si>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</si>
  <si>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</si>
  <si>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=LAMBDA(arrow, steps, [dir], LET(
   arrows, "↑↗→↘↓↙←↖",
   arrow_list, MID(arrows, SEQUENCE(8), 1),
   i, XMATCH(arrow, arrow_list),
   s, IF(ISOMITTED(dir), steps, IF(dir = "ccw", -steps, steps)),
   n, MOD(i - 1 + s, 8) + 1,
   IFNA(MID(arrows, n, 1), "")
))</t>
  </si>
  <si>
    <t>Rotates an arrow around the eight compass directions.
Arguments:
  arrow       - the arrow to rotate (↑↗→↘↓↙←↖).
  steps       - number of 45-degree turns.
  [clockwise] - 1 = clockwise (default), 0 = counter-clockwise.
Returns:
  The rotated arrow, or "" if arrow is not one of ↑↗→↘↓↙←↖.
Example:
  rotate_arrow("→", 1)  -&gt;  "↘"</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</si>
  <si>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</si>
  <si>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</si>
  <si>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</si>
  <si>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</si>
  <si>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</si>
  <si>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</si>
  <si>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</si>
  <si>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</si>
  <si>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</si>
  <si>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</si>
  <si>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</si>
  <si>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</si>
  <si>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</si>
  <si>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</si>
  <si>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</si>
  <si>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</si>
  <si>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</si>
  <si>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</si>
  <si>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</si>
  <si>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</si>
  <si>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</si>
  <si>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</si>
  <si>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</si>
  <si>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</si>
  <si>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</si>
  <si>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</si>
  <si>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</si>
  <si>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</si>
  <si>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</si>
  <si>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</si>
  <si>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</si>
  <si>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</si>
  <si>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</si>
  <si>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</si>
  <si>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</si>
  <si>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</si>
  <si>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</si>
  <si>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</si>
  <si>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</si>
  <si>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</si>
  <si>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</si>
  <si>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</si>
  <si>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</si>
  <si>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</si>
  <si>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</si>
  <si>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</si>
  <si>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</si>
  <si>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</si>
  <si>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</si>
  <si>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</si>
  <si>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</si>
  <si>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</si>
  <si>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</si>
  <si>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</si>
  <si>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</si>
  <si>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</si>
  <si>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</si>
  <si>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</si>
  <si>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</si>
  <si>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</si>
  <si>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</si>
  <si>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</si>
  <si>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</si>
  <si>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</si>
  <si>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</si>
  <si>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</si>
  <si>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</si>
  <si>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</si>
  <si>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</si>
  <si>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</si>
  <si>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</si>
  <si>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</si>
  <si>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</si>
  <si>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</si>
  <si>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</si>
  <si>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</si>
  <si>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</si>
  <si>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</si>
  <si>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</si>
  <si>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</si>
  <si>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</si>
  <si>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</si>
  <si>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</si>
  <si>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</si>
  <si>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</si>
  <si>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</si>
  <si>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</si>
  <si>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</si>
  <si>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</si>
  <si>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</si>
  <si>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</si>
  <si>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</si>
  <si>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</si>
  <si>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</si>
  <si>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</si>
  <si>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</si>
  <si>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</si>
  <si>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</si>
  <si>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</si>
  <si>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</si>
  <si>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</si>
  <si>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</si>
  <si>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</si>
  <si>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</si>
  <si>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</si>
  <si>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</si>
  <si>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</si>
  <si>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</si>
  <si>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</si>
  <si>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</si>
  <si>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</si>
  <si>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</si>
  <si>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</si>
  <si>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</si>
  <si>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</si>
  <si>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</si>
  <si>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</si>
  <si>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</si>
  <si>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</si>
  <si>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</si>
  <si>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</si>
  <si>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</si>
  <si>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</si>
  <si>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</si>
  <si>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</si>
  <si>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</si>
  <si>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</si>
  <si>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</si>
  <si>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</si>
  <si>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</si>
  <si>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</si>
  <si>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</si>
  <si>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</si>
  <si>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</si>
  <si>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</si>
  <si>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</si>
  <si>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</si>
  <si>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</si>
  <si>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</si>
  <si>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</si>
  <si>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</si>
  <si>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</si>
  <si>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</si>
  <si>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</si>
  <si>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</si>
  <si>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</si>
  <si>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</si>
  <si>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</si>
  <si>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</si>
  <si>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</si>
  <si>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</si>
  <si>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</si>
  <si>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</si>
  <si>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</si>
  <si>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</si>
  <si>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</si>
  <si>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</si>
  <si>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</si>
  <si>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</si>
  <si>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</si>
  <si>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</si>
  <si>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</si>
  <si>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</si>
  <si>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ref_to_rc(ref, [as_row]) - split one cell reference into row and column; numeric (1e6*row+col) or A1 string; vertical by default, horizontal when as_row = 1</t>
  </si>
  <si>
    <t>A1 string "D3"</t>
  </si>
  <si>
    <t>numeric 3000004 passes</t>
  </si>
  <si>
    <t>$D$3 absolute stripped</t>
  </si>
  <si>
    <t>$D$3</t>
  </si>
  <si>
    <t>as_row=1 -&gt; horizontal</t>
  </si>
  <si>
    <t>junk text -&gt; #VALUE!</t>
  </si>
  <si>
    <t>row 0 out of range</t>
  </si>
  <si>
    <t>max bounds XFD1048576</t>
  </si>
  <si>
    <t>XFD1048576</t>
  </si>
  <si>
    <t>rc_to_ref(row_n, col_n, [str]) - build a reference from row and column; numeric address (1e6*row+col) by default, A1 string when str = 1</t>
  </si>
  <si>
    <t>numeric default (3,4)</t>
  </si>
  <si>
    <t>str=1 -&gt; A1 string</t>
  </si>
  <si>
    <t>row 0 -&gt; #VALUE!</t>
  </si>
  <si>
    <t>col past XFD -&gt; #VALUE!</t>
  </si>
  <si>
    <t>non-integer row -&gt; #VALUE!</t>
  </si>
  <si>
    <t>max bounds as string</t>
  </si>
  <si>
    <t>round-trips with ref_to_rc</t>
  </si>
  <si>
    <t>rc_to_ref(row_n, col_n, [str])</t>
  </si>
  <si>
    <t>Builds a cell reference from a row and column number. Returns the numeric address (1e6*row+col) by default, or an A1 string ("D3") when str = 1. Out-of-range or non-integer inputs return #VALUE!.</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</si>
  <si>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</si>
  <si>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Builds a cell reference from a row and column number. The inverse of ref_to_rc.
Numeric output is the project's standard packed address (1e6 * row + col). The string form is produced with str_ad, so it matches the relative A1 style used everywhere else in the library.
Arguments:
  row_n - row number, 1 to 1048576.
  col_n - column number, 1 to 16384.
  [str] - 0 (default) returns the numeric address; 1 returns an A1 string.
Returns:
  The reference in the requested form. Returns #VALUE! if either coordinate is non-numeric, non-integer, or outside the sheet.
Example:
  rc_to_ref(3, 4)     -&gt;  3000004
  rc_to_ref(3, 4, 1)  -&gt;  "D3"
  rc_to_ref(0, 4)     -&gt;  #VALUE!</t>
  </si>
  <si>
    <t>ref_to_rc(ref, [as_row])</t>
  </si>
  <si>
    <t>Splits a single cell reference into its row and column numbers. Accepts either form - a numeric address (1e6*row+col) or an A1 string ("D3") - and autodetects which. Returns {row; col} vertically by default, or {row, col} horizontally when as_row = 1. Invalid reference returns #VALUE!.</t>
  </si>
  <si>
    <t>=LAMBDA(ref, [as_row],
  LET(
    wide, IF(ISOMITTED(as_row), 0, as_row),
    num, num_ad(ref),
    ok, IFERROR(AND(ROWS(ref) * COLUMNS(ref) = 1, ISNUMBER(num), num = INT(num),
                    INT(num / 1000000) &gt;= 1, INT(num / 1000000) &lt;= 1048576,
                    MOD(num, 1000000) &gt;= 1, MOD(num, 1000000) &lt;= 16384), FALSE),
    IF(NOT(ok), #VALUE!,
       IF(wide,
          HSTACK(INT(num / 1000000), MOD(num, 1000000)),
          VSTACK(INT(num / 1000000), MOD(num, 1000000))))
  )
)</t>
  </si>
  <si>
    <t>Splits one cell reference into its row and column numbers. The inverse of rc_to_ref.
The reference is autodetected: pass either a numeric address (1e6 * row + col) or an A1 string. Coercion is done with num_ad, so "$D$3", "Sheet1!D3" and lower case all work, and a value that is already numeric passes straight through.
Arguments:
  ref      - a single cell reference, numeric (3000004) or A1 string ("D3").
  [as_row] - 0 (default) returns a 2-row vertical array; 1 returns a 2-column horizontal array.
Returns:
  The row and column as two numbers, in that order - vertical by default, horizontal when as_row = 1. Returns #VALUE! if ref is not a single valid cell reference (junk text, an out-of-range address, a multi-cell array, or an error).
Example:
  ref_to_rc("D3")     -&gt;  {3; 4}
  ref_to_rc(3000004)  -&gt;  {3; 4}
  ref_to_rc("D3", 1)  -&gt;  {3, 4}
  ref_to_rc("hi")     -&gt;  #VALUE!</t>
  </si>
  <si>
    <t>rc_to_ref</t>
  </si>
  <si>
    <t>ref_to_rc</t>
  </si>
  <si>
    <t>empty sheet row = 0</t>
  </si>
  <si>
    <t>empty sheet col = 0</t>
  </si>
  <si>
    <t>row from inactive sheet = 5</t>
  </si>
  <si>
    <t>col from inactive sheet = 4</t>
  </si>
  <si>
    <t>addr_lookup(arr, addr_or_value, [rows_n], [cols_n]) - non-volatile INDIRECT both ways: address/range/array -&gt; value(s); any other value -&gt; numeric address of its first row-major match. rows_n/cols_n grow the block by rows_n-1 rows and cols_n-1 cols.</t>
  </si>
  <si>
    <t>dup grid K11:L12</t>
  </si>
  <si>
    <t>'D7' grow 2 rows -&gt; D7:D8</t>
  </si>
  <si>
    <t>'D7' grow 2x2 -&gt; D7:E8</t>
  </si>
  <si>
    <t>range 'D7:E8' grow 3 rows -&gt; D7:E9</t>
  </si>
  <si>
    <t>reverse: value 50 -&gt; 8000005 (E8)</t>
  </si>
  <si>
    <t>reverse: 999 not found -&gt; ''</t>
  </si>
  <si>
    <t>growth clipped at edge: 'F9' grow 5x5 -&gt; 90</t>
  </si>
  <si>
    <t>reverse row-major: first 7 is L11 -&gt; 11000012</t>
  </si>
  <si>
    <t>non-A1 origin: 'L12' in K11:L12 -&gt; 5</t>
  </si>
  <si>
    <t>addr_lookup(arr, addr_or_value, [rows_n], [cols_n])</t>
  </si>
  <si>
    <t>Non-volatile INDIRECT, both ways. Given an address, A1 range, or array of addresses, returns the value(s) at it inside arr. Given a plain value, returns the numeric address of its first occurrence (row-major). [rows_n]/[cols_n] grow the block by rows_n-1 rows and cols_n-1 columns. No overlap with arr returns "".</t>
  </si>
  <si>
    <t>=LAMBDA(arr, addr_or_value, [rows_n], [cols_n],
  LET(
    n_r, IF(ISOMITTED(rows_n), 1, rows_n),
    n_c, IF(ISOMITTED(cols_n), 1, cols_n),
    s_row, ROW(INDEX(arr, 1, 1)),
    s_col, COLUMN(INDEX(arr, 1, 1)),
    a_rows, ROWS(arr),
    a_cols, COLUMNS(arr),
    many, ROWS(addr_or_value) * COLUMNS(addr_or_value) &gt; 1,
    cell_at, LAMBDA(one, IFERROR(LET(
      num, num_ad(one),
      r_off, INT(num / 1000000) - s_row + 1,
      c_off, MOD(num, 1000000) - s_col + 1,
      IF(OR(r_off &lt; 1, r_off &gt; a_rows, c_off &lt; 1, c_off &gt; a_cols), "",
         INDEX(arr, r_off, c_off))), "")),
    box, IFERROR(z_ad_box(addr_or_value), 0),
    IF(many, MAP(addr_or_value, cell_at),
      IF(COUNT(box) &lt; 4,
        LET(
          hit, IFERROR(XMATCH(addr_or_value, TOROW(arr), 0), 0),
          row_i, INT((hit - 1) / a_cols) + 1,
          IF(hit = 0, "",
             1000000 * (s_row + row_i - 1) + s_col + hit - (row_i - 1) * a_cols - 1)),
        LET(
          top, INDEX(box, 1),
          lft, INDEX(box, 2),
          bot, INDEX(box, 3) + n_r - 1,
          rgt, INDEX(box, 4) + n_c - 1,
          i_top, MAX(s_row, top),
          i_lft, MAX(s_col, lft),
          i_bot, MIN(s_row + a_rows - 1, bot),
          i_rgt, MIN(s_col + a_cols - 1, rgt),
          IF(OR(i_top &gt; i_bot, i_lft &gt; i_rgt), "",
            IF(AND(top = INDEX(box, 3), lft = INDEX(box, 4), n_r = 1, n_c = 1),
               INDEX(arr, i_top - s_row + 1, i_lft - s_col + 1),
               TAKE(DROP(arr, i_top - s_row, i_lft - s_col),
                    i_bot - i_top + 1, i_rgt - i_lft + 1))))))
  )
)</t>
  </si>
  <si>
    <t>Non-volatile alternative to INDIRECT, and its inverse: address to value, or value to address.
Which way it goes depends on what you pass as addr_or_value, decided by z_is_ad:
  a valid address or range -&gt; returns the value(s) there (lookup)
  anything else            -&gt; returns the numeric address of the first match (reverse lookup)
arr does not have to start at A1. Addresses are absolute sheet coordinates and are resolved against arr's own top-left corner, so a lookup into B2:Z10 uses the same "C3" you would type on the sheet.
Reverse lookup scans row-major (left to right, then down) and returns the first match as a numeric address (1e6*row+col); pass it to str_ad for an A1 string. Matching follows Excel's usual rules, so text comparison is case-insensitive.
[rows_n] and [cols_n] grow the block, adding rows_n-1 rows and cols_n-1 columns to whatever the address or range already covers. The result is a scalar only when the address is a single cell and both are 1; otherwise it is an array. Growth happens before clipping, so a block that runs off the edge of arr is trimmed to the overlap, exactly like a partially overlapping range.
Arguments:
  arr           - source range to read from.
  addr_or_value - a numeric address, an A1 string ("C3"), an A1 range ("B2:D4"), an array of addresses, or a value to search for.
  [rows_n]      - total rows to return, default 1. Adds rows_n-1 rows.
  [cols_n]      - total columns to return, default 1. Adds cols_n-1 columns.
Returns:
  The value at a single address, the rectangle covered by a range, an array of values for an array of addresses, or the numeric address of a searched-for value. "" when nothing overlaps arr, or when a searched-for value is not found.
  An array of addresses is looked up cell by cell and ignores rows_n/cols_n, since each element already stands for one cell.
Example:
  addr_lookup(B2:Z10, "C3")           -&gt;  the value at C3
  addr_lookup(B2:Z10, "C3", 5, 1)     -&gt;  C3:C7
  addr_lookup(B2:Z10, "C3:D4", 5, 1)  -&gt;  C3:D8
  addr_lookup(B2:Z10, 50)             -&gt;  numeric address of the first 50</t>
  </si>
  <si>
    <t>z_ad_box(ref)</t>
  </si>
  <si>
    <t>Helper: bounding box of a single address or a range string, as {top; left; bottom; right} absolute row/column numbers. Accepts a numeric address (1e6*row+col), an A1 string, or an A1 range ("B2:D4"). Returns #VALUE! if ref is not a valid address or range.</t>
  </si>
  <si>
    <t>=LAMBDA(ref,
  LET(
    txt, IF(ISTEXT(ref), UPPER(SUBSTITUTE(ref, "$", "")), ""),
    is_rng, ISNUMBER(SEARCH(":", txt)),
    parts, IF(is_rng, TEXTSPLIT(txt, ":"), ref),
    first, num_ad(IF(is_rng, INDEX(parts, 1), ref)),
    last, num_ad(IF(is_rng, INDEX(parts, 2), ref)),
    ok, LAMBDA(one, IFERROR(AND(ISNUMBER(one), one = INT(one),
                                INT(one / 1000000) &gt;= 1, INT(one / 1000000) &lt;= 1048576,
                                MOD(one, 1000000) &gt;= 1, MOD(one, 1000000) &lt;= 16384), FALSE)),
    IF(NOT(AND(ok(first), ok(last))), #VALUE!,
       VSTACK(MIN(INT(first / 1000000), INT(last / 1000000)),
              MIN(MOD(first, 1000000), MOD(last, 1000000)),
              MAX(INT(first / 1000000), INT(last / 1000000)),
              MAX(MOD(first, 1000000), MOD(last, 1000000))))
  )
)</t>
  </si>
  <si>
    <t>Private helper. Parses one address or range into its bounding box so callers do not each re-implement address validation.
The box is always normalised: top &lt;= bottom and left &lt;= right, so a reversed range ("D4:B2") gives the same box as "B2:D4". A single cell gives a degenerate box where top = bottom and left = right, which is how a caller tells a cell from a range.
Coercion is done with num_ad, so "$D$3", "Sheet1!D3" and lower case all work, and a numeric address passes straight through.
Arguments:
  ref - a numeric address (3000004), an A1 string ("D3"), or an A1 range string ("B2:D4").
Returns:
  A 4-row vertical array {top; left; bottom; right} of absolute row/column numbers. Returns #VALUE! if ref is not a single valid address or range - which is what z_is_ad tests for.
Example:
  z_ad_box("D3")     -&gt;  {3; 4; 3; 4}
  z_ad_box("B2:D4")  -&gt;  {2; 2; 4; 4}
  z_ad_box("hi")     -&gt;  #VALUE!</t>
  </si>
  <si>
    <t>z_is_ad(ref)</t>
  </si>
  <si>
    <t>Helper: TRUE if ref is a valid cell address or range - a numeric address (1e6*row+col), an A1 string ("D3"), or an A1 range ("B2:D4"). FALSE for anything else, including plain data values.</t>
  </si>
  <si>
    <t>=LAMBDA(ref, NOT(ISERROR(z_ad_box(ref))))</t>
  </si>
  <si>
    <t>Private helper. Answers "is this thing an address, or is it data?" - the test needed whenever a lambda accepts either in the same argument.
Thin wrapper over z_ad_box, so the two can never disagree about what counts as valid. Use z_is_ad when you only need the yes/no; use z_ad_box when you also need the bounds, so the parse is not done twice.
Note that validity is about form, not about any particular sheet: an address well outside your data is still a valid address. Note also that a number only reads as an address if it decodes to a real cell, so ordinary small values (1, 42, 5000) are correctly seen as data, while a value that happens to equal 1e6*row+col is not.
Arguments:
  ref - the value to test. Pass a single value, not an array.
Returns:
  TRUE or FALSE.
Example:
  z_is_ad("D3")     -&gt;  TRUE
  z_is_ad(3000004)  -&gt;  TRUE
  z_is_ad("B2:D4")  -&gt;  TRUE
  z_is_ad("hi")     -&gt;  FALSE
  z_is_ad(42)       -&gt;  FALSE</t>
  </si>
  <si>
    <t>87 / 87 PASS</t>
  </si>
  <si>
    <t>is_lambda_test_sheet</t>
  </si>
  <si>
    <t>a lambda sheet is one</t>
  </si>
  <si>
    <t>Prep is not</t>
  </si>
  <si>
    <t>Lamb is not</t>
  </si>
  <si>
    <t>lambda_tests is not</t>
  </si>
  <si>
    <t>vba_tests is not</t>
  </si>
  <si>
    <t>zz_ fixture is not</t>
  </si>
  <si>
    <t>zz_ match is case-insensitive</t>
  </si>
  <si>
    <t>z_ helper name is 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</si>
</sst>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ont>
    <font>
      <sz val="12"/>
      <name val="Aptos Narrow"/>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21" fillId="0" borderId="0" xfId="0" quotePrefix="1" applyFont="1" applyAlignment="1">
      <alignment vertical="top"/>
    </xf>
    <xf numFmtId="0" fontId="0" fillId="0" borderId="0" xfId="0" applyAlignment="1">
      <alignment vertical="top"/>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0" xfId="0" applyFont="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0" fontId="3" fillId="0" borderId="0" xfId="0" applyFont="1"/>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06/relationships/vbaProject" Target="vbaProject.bin"/><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tyles" Target="styles.xml"/><Relationship Id="rId88"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microsoft.com/office/2017/06/relationships/rdRichValueStructure" Target="richData/rdrichvaluestructure.xml"/><Relationship Id="rId61" Type="http://schemas.openxmlformats.org/officeDocument/2006/relationships/worksheet" Target="worksheets/sheet61.xml"/><Relationship Id="rId82" Type="http://schemas.openxmlformats.org/officeDocument/2006/relationships/theme" Target="theme/theme1.xml"/><Relationship Id="rId19" Type="http://schemas.openxmlformats.org/officeDocument/2006/relationships/worksheet" Target="worksheets/sheet19.xml"/><Relationship Id="rId91" Type="http://schemas.openxmlformats.org/officeDocument/2006/relationships/worksheet" Target="worksheets/sheet8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79998168889431442"/>
  </sheetPr>
  <dimension ref="A1:AMH74"/>
  <sheetViews>
    <sheetView showGridLines="0" zoomScale="115" zoomScaleNormal="115" workbookViewId="0">
      <selection activeCell="F18" sqref="A18:F26"/>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83" t="s">
        <v>3436</v>
      </c>
      <c r="C1" s="84"/>
      <c r="D1" s="84"/>
      <c r="E1" s="84"/>
      <c r="F1" s="84"/>
      <c r="G1" s="85"/>
    </row>
    <row r="2" spans="1:1022" ht="19.25" customHeight="1" thickBot="1" x14ac:dyDescent="0.5">
      <c r="A2" s="27" t="s">
        <v>20</v>
      </c>
      <c r="B2" s="83" t="s">
        <v>3437</v>
      </c>
      <c r="C2" s="84"/>
      <c r="D2" s="84"/>
      <c r="E2" s="84"/>
      <c r="F2" s="84"/>
      <c r="G2" s="85"/>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83" t="s">
        <v>3438</v>
      </c>
      <c r="C3" s="84"/>
      <c r="D3" s="84"/>
      <c r="E3" s="84"/>
      <c r="F3" s="84"/>
      <c r="G3" s="85"/>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89" t="s">
        <v>124</v>
      </c>
      <c r="B5" s="79"/>
      <c r="C5" s="79"/>
      <c r="D5" s="79"/>
      <c r="E5" s="80"/>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0" t="s">
        <v>150</v>
      </c>
      <c r="V8" s="80"/>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78" t="s">
        <v>0</v>
      </c>
      <c r="B33" s="79"/>
      <c r="C33" s="79"/>
      <c r="D33" s="79"/>
      <c r="E33" s="80"/>
      <c r="F33" s="78" t="s">
        <v>2</v>
      </c>
      <c r="G33" s="79"/>
      <c r="H33" s="79"/>
      <c r="I33" s="79"/>
      <c r="J33" s="79"/>
      <c r="K33" s="79"/>
      <c r="L33" s="79"/>
      <c r="M33" s="79"/>
      <c r="N33" s="79"/>
      <c r="O33" s="79"/>
      <c r="P33" s="79"/>
      <c r="Q33" s="79"/>
      <c r="R33" s="79"/>
      <c r="S33" s="79"/>
      <c r="T33" s="79"/>
      <c r="U33" s="80"/>
    </row>
    <row r="34" spans="1:21" ht="19.25" customHeight="1" x14ac:dyDescent="0.45">
      <c r="A34" s="86" t="s">
        <v>2635</v>
      </c>
      <c r="B34" s="82"/>
      <c r="C34" s="82"/>
      <c r="D34" s="82"/>
      <c r="E34" s="82"/>
      <c r="F34" s="26" t="s">
        <v>2636</v>
      </c>
      <c r="G34" s="26"/>
    </row>
    <row r="35" spans="1:21" ht="19.25" customHeight="1" x14ac:dyDescent="0.45">
      <c r="A35" s="91" t="s">
        <v>2637</v>
      </c>
      <c r="B35" s="82"/>
      <c r="C35" s="82"/>
      <c r="D35" s="82"/>
      <c r="E35" s="82"/>
      <c r="F35" s="26" t="s">
        <v>2638</v>
      </c>
      <c r="G35" s="26"/>
    </row>
    <row r="36" spans="1:21" ht="19.25" customHeight="1" x14ac:dyDescent="0.45">
      <c r="A36" s="86" t="s">
        <v>2639</v>
      </c>
      <c r="B36" s="82"/>
      <c r="C36" s="82"/>
      <c r="D36" s="82"/>
      <c r="E36" s="82"/>
      <c r="F36" s="2" t="s">
        <v>2640</v>
      </c>
    </row>
    <row r="37" spans="1:21" ht="19.25" customHeight="1" x14ac:dyDescent="0.45">
      <c r="A37" s="86" t="s">
        <v>2641</v>
      </c>
      <c r="B37" s="82"/>
      <c r="C37" s="82"/>
      <c r="D37" s="82"/>
      <c r="E37" s="82"/>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88"/>
      <c r="D68" s="88"/>
      <c r="E68" s="88"/>
    </row>
    <row r="69" spans="1:21" ht="19.25" customHeight="1" thickBot="1" x14ac:dyDescent="0.55000000000000004">
      <c r="A69" s="15" t="s">
        <v>2738</v>
      </c>
    </row>
    <row r="70" spans="1:21" ht="19.25" customHeight="1" thickBot="1" x14ac:dyDescent="0.55000000000000004">
      <c r="A70" s="78" t="s">
        <v>0</v>
      </c>
      <c r="B70" s="79"/>
      <c r="C70" s="79"/>
      <c r="D70" s="79"/>
      <c r="E70" s="80"/>
      <c r="F70" s="78" t="s">
        <v>2</v>
      </c>
      <c r="G70" s="79"/>
      <c r="H70" s="79"/>
      <c r="I70" s="79"/>
      <c r="J70" s="79"/>
      <c r="K70" s="79"/>
      <c r="L70" s="79"/>
      <c r="M70" s="79"/>
      <c r="N70" s="79"/>
      <c r="O70" s="79"/>
      <c r="P70" s="79"/>
      <c r="Q70" s="79"/>
      <c r="R70" s="79"/>
      <c r="S70" s="79"/>
      <c r="T70" s="79"/>
      <c r="U70" s="80"/>
    </row>
    <row r="71" spans="1:21" ht="19.25" customHeight="1" x14ac:dyDescent="0.45">
      <c r="A71" s="81" t="s">
        <v>2739</v>
      </c>
      <c r="B71" s="82"/>
      <c r="C71" s="82"/>
      <c r="D71" s="82"/>
      <c r="E71" s="82"/>
      <c r="F71" s="26" t="s">
        <v>2740</v>
      </c>
      <c r="G71" s="26"/>
    </row>
    <row r="72" spans="1:21" ht="19.25" customHeight="1" x14ac:dyDescent="0.45">
      <c r="A72" s="81" t="s">
        <v>2741</v>
      </c>
      <c r="B72" s="82"/>
      <c r="C72" s="82"/>
      <c r="D72" s="82"/>
      <c r="E72" s="82"/>
      <c r="F72" s="26" t="s">
        <v>2742</v>
      </c>
    </row>
    <row r="73" spans="1:21" ht="22.5" customHeight="1" x14ac:dyDescent="0.45">
      <c r="A73" s="81" t="s">
        <v>2743</v>
      </c>
      <c r="B73" s="82"/>
      <c r="C73" s="82"/>
      <c r="D73" s="82"/>
      <c r="E73" s="82"/>
      <c r="F73" s="26" t="s">
        <v>2744</v>
      </c>
    </row>
    <row r="74" spans="1:21" ht="19.25" customHeight="1" x14ac:dyDescent="0.45">
      <c r="A74" s="81" t="s">
        <v>2745</v>
      </c>
      <c r="B74" s="82"/>
      <c r="C74" s="82"/>
      <c r="D74" s="82"/>
      <c r="E74" s="82"/>
      <c r="F74" s="82"/>
      <c r="G74" s="82"/>
      <c r="H74" s="82"/>
      <c r="I74" s="82"/>
      <c r="J74" s="82"/>
      <c r="K74" s="82"/>
      <c r="L74" s="82"/>
      <c r="M74" s="87" t="s">
        <v>2746</v>
      </c>
      <c r="N74" s="82"/>
      <c r="O74" s="82"/>
      <c r="P74" s="82"/>
      <c r="Q74" s="82"/>
      <c r="R74" s="82"/>
      <c r="S74" s="82"/>
      <c r="T74" s="82"/>
      <c r="U74" s="82"/>
    </row>
  </sheetData>
  <mergeCells count="19">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 ref="A72:E72"/>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79998168889431442"/>
  </sheetPr>
  <dimension ref="A1:S74"/>
  <sheetViews>
    <sheetView zoomScale="85" zoomScaleNormal="85" workbookViewId="0"/>
  </sheetViews>
  <sheetFormatPr defaultRowHeight="21" x14ac:dyDescent="0.5"/>
  <cols>
    <col min="1" max="1" width="54.5625" style="77" customWidth="1"/>
    <col min="2" max="2" width="124.1875" style="77" customWidth="1"/>
    <col min="3" max="3" width="58.8125" style="77" customWidth="1"/>
    <col min="4" max="4" width="230.75" style="77" customWidth="1"/>
    <col min="5" max="16384" width="9" style="77"/>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2"/>
      <c r="S1" s="93"/>
    </row>
    <row r="2" spans="1:19" s="75" customFormat="1" ht="19.25" customHeight="1" x14ac:dyDescent="0.5">
      <c r="A2" s="71" t="s">
        <v>3600</v>
      </c>
      <c r="B2" s="72" t="s">
        <v>3601</v>
      </c>
      <c r="C2" s="73" t="s">
        <v>3602</v>
      </c>
      <c r="D2" s="74" t="s">
        <v>3603</v>
      </c>
    </row>
    <row r="3" spans="1:19" s="75" customFormat="1" ht="19.25" customHeight="1" x14ac:dyDescent="0.5">
      <c r="A3" s="71" t="s">
        <v>2749</v>
      </c>
      <c r="B3" s="72" t="s">
        <v>3369</v>
      </c>
      <c r="C3" s="76" t="s">
        <v>3370</v>
      </c>
      <c r="D3" s="74" t="s">
        <v>3371</v>
      </c>
    </row>
    <row r="4" spans="1:19" s="75" customFormat="1" ht="19.25" customHeight="1" x14ac:dyDescent="0.5">
      <c r="A4" s="71" t="s">
        <v>2750</v>
      </c>
      <c r="B4" s="72" t="s">
        <v>2751</v>
      </c>
      <c r="C4" s="73" t="s">
        <v>2752</v>
      </c>
      <c r="D4" s="74" t="s">
        <v>2753</v>
      </c>
    </row>
    <row r="5" spans="1:19" s="75" customFormat="1" ht="19.25" customHeight="1" x14ac:dyDescent="0.5">
      <c r="A5" s="71" t="s">
        <v>2754</v>
      </c>
      <c r="B5" s="72" t="s">
        <v>2755</v>
      </c>
      <c r="C5" s="73" t="s">
        <v>3385</v>
      </c>
      <c r="D5" s="74" t="s">
        <v>3386</v>
      </c>
    </row>
    <row r="6" spans="1:19" s="75" customFormat="1" ht="19.25" customHeight="1" x14ac:dyDescent="0.5">
      <c r="A6" s="71" t="s">
        <v>2756</v>
      </c>
      <c r="B6" s="72" t="s">
        <v>2757</v>
      </c>
      <c r="C6" s="76" t="s">
        <v>3387</v>
      </c>
      <c r="D6" s="74" t="s">
        <v>3388</v>
      </c>
    </row>
    <row r="7" spans="1:19" s="75" customFormat="1" ht="19.25" customHeight="1" x14ac:dyDescent="0.5">
      <c r="A7" s="71" t="s">
        <v>2758</v>
      </c>
      <c r="B7" s="72" t="s">
        <v>2759</v>
      </c>
      <c r="C7" s="73" t="s">
        <v>2760</v>
      </c>
      <c r="D7" s="74" t="s">
        <v>2761</v>
      </c>
    </row>
    <row r="8" spans="1:19" s="75" customFormat="1" ht="19.25" customHeight="1" x14ac:dyDescent="0.5">
      <c r="A8" s="71" t="s">
        <v>2762</v>
      </c>
      <c r="B8" s="72" t="s">
        <v>2763</v>
      </c>
      <c r="C8" s="73" t="s">
        <v>2764</v>
      </c>
      <c r="D8" s="74" t="s">
        <v>2765</v>
      </c>
    </row>
    <row r="9" spans="1:19" s="75" customFormat="1" ht="19.25" customHeight="1" x14ac:dyDescent="0.5">
      <c r="A9" s="71" t="s">
        <v>2766</v>
      </c>
      <c r="B9" s="72" t="s">
        <v>2767</v>
      </c>
      <c r="C9" s="76" t="s">
        <v>2768</v>
      </c>
      <c r="D9" s="74" t="s">
        <v>2769</v>
      </c>
    </row>
    <row r="10" spans="1:19" s="75" customFormat="1" ht="19.25" customHeight="1" x14ac:dyDescent="0.5">
      <c r="A10" s="71" t="s">
        <v>2770</v>
      </c>
      <c r="B10" s="72" t="s">
        <v>2771</v>
      </c>
      <c r="C10" s="73" t="s">
        <v>2772</v>
      </c>
      <c r="D10" s="74" t="s">
        <v>2773</v>
      </c>
    </row>
    <row r="11" spans="1:19" s="75" customFormat="1" ht="19.25" customHeight="1" x14ac:dyDescent="0.5">
      <c r="A11" s="71" t="s">
        <v>2774</v>
      </c>
      <c r="B11" s="72" t="s">
        <v>2775</v>
      </c>
      <c r="C11" s="73" t="s">
        <v>3389</v>
      </c>
      <c r="D11" s="74" t="s">
        <v>3390</v>
      </c>
    </row>
    <row r="12" spans="1:19" s="75" customFormat="1" ht="19.25" customHeight="1" x14ac:dyDescent="0.5">
      <c r="A12" s="71" t="s">
        <v>2776</v>
      </c>
      <c r="B12" s="72" t="s">
        <v>2777</v>
      </c>
      <c r="C12" s="73" t="s">
        <v>2778</v>
      </c>
      <c r="D12" s="74" t="s">
        <v>2779</v>
      </c>
    </row>
    <row r="13" spans="1:19" s="75" customFormat="1" ht="19.25" customHeight="1" x14ac:dyDescent="0.5">
      <c r="A13" s="71" t="s">
        <v>2780</v>
      </c>
      <c r="B13" s="72" t="s">
        <v>2781</v>
      </c>
      <c r="C13" s="76" t="s">
        <v>2782</v>
      </c>
      <c r="D13" s="74" t="s">
        <v>2783</v>
      </c>
    </row>
    <row r="14" spans="1:19" s="75" customFormat="1" ht="19.25" customHeight="1" x14ac:dyDescent="0.5">
      <c r="A14" s="71" t="s">
        <v>2784</v>
      </c>
      <c r="B14" s="72" t="s">
        <v>2785</v>
      </c>
      <c r="C14" s="73" t="s">
        <v>2786</v>
      </c>
      <c r="D14" s="74" t="s">
        <v>2787</v>
      </c>
    </row>
    <row r="15" spans="1:19" s="75" customFormat="1" ht="19.25" customHeight="1" x14ac:dyDescent="0.5">
      <c r="A15" s="71" t="s">
        <v>2788</v>
      </c>
      <c r="B15" s="72" t="s">
        <v>2789</v>
      </c>
      <c r="C15" s="73" t="s">
        <v>2790</v>
      </c>
      <c r="D15" s="74" t="s">
        <v>2791</v>
      </c>
    </row>
    <row r="16" spans="1:19" s="75" customFormat="1" ht="19.25" customHeight="1" x14ac:dyDescent="0.5">
      <c r="A16" s="71" t="s">
        <v>2792</v>
      </c>
      <c r="B16" s="72" t="s">
        <v>2793</v>
      </c>
      <c r="C16" s="73" t="s">
        <v>2794</v>
      </c>
      <c r="D16" s="74" t="s">
        <v>2795</v>
      </c>
    </row>
    <row r="17" spans="1:4" s="75" customFormat="1" ht="19.25" customHeight="1" x14ac:dyDescent="0.5">
      <c r="A17" s="71" t="s">
        <v>2796</v>
      </c>
      <c r="B17" s="72" t="s">
        <v>2797</v>
      </c>
      <c r="C17" s="73" t="s">
        <v>3391</v>
      </c>
      <c r="D17" s="74" t="s">
        <v>3392</v>
      </c>
    </row>
    <row r="18" spans="1:4" s="75" customFormat="1" ht="19.25" customHeight="1" x14ac:dyDescent="0.5">
      <c r="A18" s="71" t="s">
        <v>2798</v>
      </c>
      <c r="B18" s="72" t="s">
        <v>2799</v>
      </c>
      <c r="C18" s="73" t="s">
        <v>2800</v>
      </c>
      <c r="D18" s="74" t="s">
        <v>2801</v>
      </c>
    </row>
    <row r="19" spans="1:4" s="75" customFormat="1" ht="19.25" customHeight="1" x14ac:dyDescent="0.5">
      <c r="A19" s="71" t="s">
        <v>2802</v>
      </c>
      <c r="B19" s="72" t="s">
        <v>2803</v>
      </c>
      <c r="C19" s="73" t="s">
        <v>2804</v>
      </c>
      <c r="D19" s="74" t="s">
        <v>2805</v>
      </c>
    </row>
    <row r="20" spans="1:4" s="75" customFormat="1" ht="19.25" customHeight="1" x14ac:dyDescent="0.5">
      <c r="A20" s="71" t="s">
        <v>2806</v>
      </c>
      <c r="B20" s="72" t="s">
        <v>2807</v>
      </c>
      <c r="C20" s="73" t="s">
        <v>2808</v>
      </c>
      <c r="D20" s="74" t="s">
        <v>2809</v>
      </c>
    </row>
    <row r="21" spans="1:4" s="75" customFormat="1" ht="19.25" customHeight="1" x14ac:dyDescent="0.5">
      <c r="A21" s="71" t="s">
        <v>2810</v>
      </c>
      <c r="B21" s="72" t="s">
        <v>2811</v>
      </c>
      <c r="C21" s="73" t="s">
        <v>2812</v>
      </c>
      <c r="D21" s="74" t="s">
        <v>2813</v>
      </c>
    </row>
    <row r="22" spans="1:4" s="75" customFormat="1" ht="19.25" customHeight="1" x14ac:dyDescent="0.5">
      <c r="A22" s="71" t="s">
        <v>2814</v>
      </c>
      <c r="B22" s="72" t="s">
        <v>2815</v>
      </c>
      <c r="C22" s="73" t="s">
        <v>2816</v>
      </c>
      <c r="D22" s="74" t="s">
        <v>2817</v>
      </c>
    </row>
    <row r="23" spans="1:4" s="75" customFormat="1" ht="19.25" customHeight="1" x14ac:dyDescent="0.5">
      <c r="A23" s="71" t="s">
        <v>2818</v>
      </c>
      <c r="B23" s="72" t="s">
        <v>2819</v>
      </c>
      <c r="C23" s="73" t="s">
        <v>2820</v>
      </c>
      <c r="D23" s="74" t="s">
        <v>2821</v>
      </c>
    </row>
    <row r="24" spans="1:4" s="75" customFormat="1" ht="19.25" customHeight="1" x14ac:dyDescent="0.5">
      <c r="A24" s="71" t="s">
        <v>2822</v>
      </c>
      <c r="B24" s="72" t="s">
        <v>2823</v>
      </c>
      <c r="C24" s="73" t="s">
        <v>2824</v>
      </c>
      <c r="D24" s="74" t="s">
        <v>2825</v>
      </c>
    </row>
    <row r="25" spans="1:4" s="75" customFormat="1" ht="19.25" customHeight="1" x14ac:dyDescent="0.5">
      <c r="A25" s="71" t="s">
        <v>2826</v>
      </c>
      <c r="B25" s="72" t="s">
        <v>2827</v>
      </c>
      <c r="C25" s="73" t="s">
        <v>2828</v>
      </c>
      <c r="D25" s="74" t="s">
        <v>2829</v>
      </c>
    </row>
    <row r="26" spans="1:4" s="75" customFormat="1" ht="19.25" customHeight="1" x14ac:dyDescent="0.5">
      <c r="A26" s="71" t="s">
        <v>3576</v>
      </c>
      <c r="B26" s="72" t="s">
        <v>3577</v>
      </c>
      <c r="C26" s="73" t="s">
        <v>3578</v>
      </c>
      <c r="D26" s="74" t="s">
        <v>3579</v>
      </c>
    </row>
    <row r="27" spans="1:4" s="75" customFormat="1" ht="19.25" customHeight="1" x14ac:dyDescent="0.5">
      <c r="A27" s="71" t="s">
        <v>3580</v>
      </c>
      <c r="B27" s="72" t="s">
        <v>3581</v>
      </c>
      <c r="C27" s="73" t="s">
        <v>3582</v>
      </c>
      <c r="D27" s="74" t="s">
        <v>3583</v>
      </c>
    </row>
    <row r="28" spans="1:4" s="75" customFormat="1" ht="19.25" customHeight="1" x14ac:dyDescent="0.5">
      <c r="A28" s="71" t="s">
        <v>2830</v>
      </c>
      <c r="B28" s="72" t="s">
        <v>2831</v>
      </c>
      <c r="C28" s="73" t="s">
        <v>2832</v>
      </c>
      <c r="D28" s="74" t="s">
        <v>2833</v>
      </c>
    </row>
    <row r="29" spans="1:4" s="75" customFormat="1" ht="19.25" customHeight="1" x14ac:dyDescent="0.5">
      <c r="A29" s="71" t="s">
        <v>2834</v>
      </c>
      <c r="B29" s="72" t="s">
        <v>2835</v>
      </c>
      <c r="C29" s="73" t="s">
        <v>3393</v>
      </c>
      <c r="D29" s="74" t="s">
        <v>3394</v>
      </c>
    </row>
    <row r="30" spans="1:4" s="75" customFormat="1" ht="19.25" customHeight="1" x14ac:dyDescent="0.5">
      <c r="A30" s="71" t="s">
        <v>2836</v>
      </c>
      <c r="B30" s="72" t="s">
        <v>2837</v>
      </c>
      <c r="C30" s="73" t="s">
        <v>3395</v>
      </c>
      <c r="D30" s="74" t="s">
        <v>3396</v>
      </c>
    </row>
    <row r="31" spans="1:4" s="75" customFormat="1" ht="19.25" customHeight="1" x14ac:dyDescent="0.5">
      <c r="A31" s="71" t="s">
        <v>2838</v>
      </c>
      <c r="B31" s="72" t="s">
        <v>2839</v>
      </c>
      <c r="C31" s="73" t="s">
        <v>2840</v>
      </c>
      <c r="D31" s="74" t="s">
        <v>2841</v>
      </c>
    </row>
    <row r="32" spans="1:4" s="75" customFormat="1" ht="19.25" customHeight="1" x14ac:dyDescent="0.5">
      <c r="A32" s="71" t="s">
        <v>2842</v>
      </c>
      <c r="B32" s="72" t="s">
        <v>2843</v>
      </c>
      <c r="C32" s="73" t="s">
        <v>2844</v>
      </c>
      <c r="D32" s="74" t="s">
        <v>2845</v>
      </c>
    </row>
    <row r="33" spans="1:4" s="75" customFormat="1" ht="19.25" customHeight="1" x14ac:dyDescent="0.5">
      <c r="A33" s="71" t="s">
        <v>2846</v>
      </c>
      <c r="B33" s="72" t="s">
        <v>2847</v>
      </c>
      <c r="C33" s="73" t="s">
        <v>2848</v>
      </c>
      <c r="D33" s="74" t="s">
        <v>2849</v>
      </c>
    </row>
    <row r="34" spans="1:4" s="75" customFormat="1" ht="19.25" customHeight="1" x14ac:dyDescent="0.5">
      <c r="A34" s="71" t="s">
        <v>2850</v>
      </c>
      <c r="B34" s="72" t="s">
        <v>2851</v>
      </c>
      <c r="C34" s="73" t="s">
        <v>2852</v>
      </c>
      <c r="D34" s="74" t="s">
        <v>2853</v>
      </c>
    </row>
    <row r="35" spans="1:4" s="75" customFormat="1" ht="19.25" customHeight="1" x14ac:dyDescent="0.5">
      <c r="A35" s="71" t="s">
        <v>2854</v>
      </c>
      <c r="B35" s="72" t="s">
        <v>2855</v>
      </c>
      <c r="C35" s="73" t="s">
        <v>2856</v>
      </c>
      <c r="D35" s="74" t="s">
        <v>2857</v>
      </c>
    </row>
    <row r="36" spans="1:4" s="75" customFormat="1" ht="19.25" customHeight="1" x14ac:dyDescent="0.5">
      <c r="A36" s="71" t="s">
        <v>2858</v>
      </c>
      <c r="B36" s="72" t="s">
        <v>2859</v>
      </c>
      <c r="C36" s="73" t="s">
        <v>2860</v>
      </c>
      <c r="D36" s="74" t="s">
        <v>2861</v>
      </c>
    </row>
    <row r="37" spans="1:4" s="75" customFormat="1" ht="19.25" customHeight="1" x14ac:dyDescent="0.5">
      <c r="A37" s="71" t="s">
        <v>2862</v>
      </c>
      <c r="B37" s="72" t="s">
        <v>2863</v>
      </c>
      <c r="C37" s="73" t="s">
        <v>3397</v>
      </c>
      <c r="D37" s="74" t="s">
        <v>3398</v>
      </c>
    </row>
    <row r="38" spans="1:4" s="75" customFormat="1" ht="19.25" customHeight="1" x14ac:dyDescent="0.5">
      <c r="A38" s="71" t="s">
        <v>2864</v>
      </c>
      <c r="B38" s="72" t="s">
        <v>2865</v>
      </c>
      <c r="C38" s="73" t="s">
        <v>3399</v>
      </c>
      <c r="D38" s="74" t="s">
        <v>3400</v>
      </c>
    </row>
    <row r="39" spans="1:4" s="75" customFormat="1" ht="19.25" customHeight="1" x14ac:dyDescent="0.5">
      <c r="A39" s="71" t="s">
        <v>2870</v>
      </c>
      <c r="B39" s="72" t="s">
        <v>2871</v>
      </c>
      <c r="C39" s="73" t="s">
        <v>2872</v>
      </c>
      <c r="D39" s="74" t="s">
        <v>2873</v>
      </c>
    </row>
    <row r="40" spans="1:4" s="75" customFormat="1" ht="19.25" customHeight="1" x14ac:dyDescent="0.5">
      <c r="A40" s="71" t="s">
        <v>2874</v>
      </c>
      <c r="B40" s="72" t="s">
        <v>2875</v>
      </c>
      <c r="C40" s="73" t="s">
        <v>2876</v>
      </c>
      <c r="D40" s="74" t="s">
        <v>2877</v>
      </c>
    </row>
    <row r="41" spans="1:4" s="75" customFormat="1" ht="19.25" customHeight="1" x14ac:dyDescent="0.5">
      <c r="A41" s="71" t="s">
        <v>2866</v>
      </c>
      <c r="B41" s="72" t="s">
        <v>2867</v>
      </c>
      <c r="C41" s="73" t="s">
        <v>2868</v>
      </c>
      <c r="D41" s="74" t="s">
        <v>2869</v>
      </c>
    </row>
    <row r="42" spans="1:4" s="75" customFormat="1" ht="19.25" customHeight="1" x14ac:dyDescent="0.5">
      <c r="A42" s="71" t="s">
        <v>2878</v>
      </c>
      <c r="B42" s="72" t="s">
        <v>2879</v>
      </c>
      <c r="C42" s="73" t="s">
        <v>2880</v>
      </c>
      <c r="D42" s="74" t="s">
        <v>2881</v>
      </c>
    </row>
    <row r="43" spans="1:4" s="75" customFormat="1" ht="19.25" customHeight="1" x14ac:dyDescent="0.5">
      <c r="A43" s="71" t="s">
        <v>2882</v>
      </c>
      <c r="B43" s="72" t="s">
        <v>2883</v>
      </c>
      <c r="C43" s="73" t="s">
        <v>3401</v>
      </c>
      <c r="D43" s="74" t="s">
        <v>3402</v>
      </c>
    </row>
    <row r="44" spans="1:4" s="75" customFormat="1" ht="19.25" customHeight="1" x14ac:dyDescent="0.5">
      <c r="A44" s="71" t="s">
        <v>2884</v>
      </c>
      <c r="B44" s="72" t="s">
        <v>2885</v>
      </c>
      <c r="C44" s="73" t="s">
        <v>2886</v>
      </c>
      <c r="D44" s="74" t="s">
        <v>2887</v>
      </c>
    </row>
    <row r="45" spans="1:4" s="75" customFormat="1" ht="19.25" customHeight="1" x14ac:dyDescent="0.5">
      <c r="A45" s="71" t="s">
        <v>2888</v>
      </c>
      <c r="B45" s="72" t="s">
        <v>2889</v>
      </c>
      <c r="C45" s="73" t="s">
        <v>2890</v>
      </c>
      <c r="D45" s="74" t="s">
        <v>2891</v>
      </c>
    </row>
    <row r="46" spans="1:4" s="75" customFormat="1" ht="19.25" customHeight="1" x14ac:dyDescent="0.5">
      <c r="A46" s="71" t="s">
        <v>2892</v>
      </c>
      <c r="B46" s="72" t="s">
        <v>2893</v>
      </c>
      <c r="C46" s="73" t="s">
        <v>2894</v>
      </c>
      <c r="D46" s="74" t="s">
        <v>2895</v>
      </c>
    </row>
    <row r="47" spans="1:4" s="75" customFormat="1" ht="19.25" customHeight="1" x14ac:dyDescent="0.5">
      <c r="A47" s="71" t="s">
        <v>2896</v>
      </c>
      <c r="B47" s="72" t="s">
        <v>2897</v>
      </c>
      <c r="C47" s="73" t="s">
        <v>2898</v>
      </c>
      <c r="D47" s="74" t="s">
        <v>2899</v>
      </c>
    </row>
    <row r="48" spans="1:4" s="75" customFormat="1" ht="19.25" customHeight="1" x14ac:dyDescent="0.5">
      <c r="A48" s="71" t="s">
        <v>1</v>
      </c>
      <c r="B48" s="72" t="s">
        <v>2900</v>
      </c>
      <c r="C48" s="73" t="s">
        <v>5</v>
      </c>
      <c r="D48" s="74" t="s">
        <v>3</v>
      </c>
    </row>
    <row r="49" spans="1:4" s="75" customFormat="1" ht="19.25" customHeight="1" x14ac:dyDescent="0.5">
      <c r="A49" s="71" t="s">
        <v>2901</v>
      </c>
      <c r="B49" s="72" t="s">
        <v>2902</v>
      </c>
      <c r="C49" s="73" t="s">
        <v>2903</v>
      </c>
      <c r="D49" s="74" t="s">
        <v>2904</v>
      </c>
    </row>
    <row r="50" spans="1:4" s="75" customFormat="1" ht="19.25" customHeight="1" x14ac:dyDescent="0.5">
      <c r="A50" s="71" t="s">
        <v>2905</v>
      </c>
      <c r="B50" s="72" t="s">
        <v>2906</v>
      </c>
      <c r="C50" s="73" t="s">
        <v>2907</v>
      </c>
      <c r="D50" s="74" t="s">
        <v>2908</v>
      </c>
    </row>
    <row r="51" spans="1:4" s="75" customFormat="1" ht="19.25" customHeight="1" x14ac:dyDescent="0.5">
      <c r="A51" s="71" t="s">
        <v>2909</v>
      </c>
      <c r="B51" s="72" t="s">
        <v>2910</v>
      </c>
      <c r="C51" s="73" t="s">
        <v>3403</v>
      </c>
      <c r="D51" s="74" t="s">
        <v>3404</v>
      </c>
    </row>
    <row r="52" spans="1:4" ht="19.25" customHeight="1" x14ac:dyDescent="0.5">
      <c r="A52" s="71" t="s">
        <v>2911</v>
      </c>
      <c r="B52" s="72" t="s">
        <v>2912</v>
      </c>
      <c r="C52" s="73" t="s">
        <v>3405</v>
      </c>
      <c r="D52" s="74" t="s">
        <v>3406</v>
      </c>
    </row>
    <row r="53" spans="1:4" ht="19.25" customHeight="1" x14ac:dyDescent="0.5">
      <c r="A53" s="71" t="s">
        <v>2913</v>
      </c>
      <c r="B53" s="72" t="s">
        <v>2914</v>
      </c>
      <c r="C53" s="73" t="s">
        <v>2915</v>
      </c>
      <c r="D53" s="74" t="s">
        <v>2916</v>
      </c>
    </row>
    <row r="54" spans="1:4" ht="19.25" customHeight="1" x14ac:dyDescent="0.5">
      <c r="A54" s="71" t="s">
        <v>2917</v>
      </c>
      <c r="B54" s="72" t="s">
        <v>2918</v>
      </c>
      <c r="C54" s="73" t="s">
        <v>3407</v>
      </c>
      <c r="D54" s="74" t="s">
        <v>3408</v>
      </c>
    </row>
    <row r="55" spans="1:4" ht="19.25" customHeight="1" x14ac:dyDescent="0.5">
      <c r="A55" s="71" t="s">
        <v>3604</v>
      </c>
      <c r="B55" s="72" t="s">
        <v>3605</v>
      </c>
      <c r="C55" s="73" t="s">
        <v>3606</v>
      </c>
      <c r="D55" s="74" t="s">
        <v>3607</v>
      </c>
    </row>
    <row r="56" spans="1:4" ht="19.25" customHeight="1" x14ac:dyDescent="0.5">
      <c r="A56" s="71" t="s">
        <v>3608</v>
      </c>
      <c r="B56" s="72" t="s">
        <v>3609</v>
      </c>
      <c r="C56" s="73" t="s">
        <v>3610</v>
      </c>
      <c r="D56" s="74" t="s">
        <v>3611</v>
      </c>
    </row>
    <row r="57" spans="1:4" ht="19.25" customHeight="1" x14ac:dyDescent="0.5">
      <c r="A57" s="71" t="s">
        <v>2919</v>
      </c>
      <c r="B57" s="72" t="s">
        <v>2920</v>
      </c>
      <c r="C57" s="73" t="s">
        <v>2921</v>
      </c>
      <c r="D57" s="74" t="s">
        <v>2922</v>
      </c>
    </row>
    <row r="58" spans="1:4" ht="19.25" customHeight="1" x14ac:dyDescent="0.5">
      <c r="A58" s="71" t="s">
        <v>2923</v>
      </c>
      <c r="B58" s="72" t="s">
        <v>2924</v>
      </c>
      <c r="C58" s="73" t="s">
        <v>2925</v>
      </c>
      <c r="D58" s="74" t="s">
        <v>2926</v>
      </c>
    </row>
    <row r="59" spans="1:4" ht="19.25" customHeight="1" x14ac:dyDescent="0.5">
      <c r="A59" s="71"/>
      <c r="B59" s="72"/>
      <c r="C59" s="73"/>
      <c r="D59" s="74"/>
    </row>
    <row r="60" spans="1:4" ht="19.25" customHeight="1" x14ac:dyDescent="0.5">
      <c r="A60" s="71"/>
      <c r="B60" s="72"/>
      <c r="C60" s="73"/>
      <c r="D60" s="74"/>
    </row>
    <row r="61" spans="1:4" ht="19.25" customHeight="1" x14ac:dyDescent="0.5">
      <c r="A61" s="71"/>
      <c r="B61" s="72"/>
      <c r="C61" s="73"/>
      <c r="D61" s="74"/>
    </row>
    <row r="62" spans="1:4" ht="19.25" customHeight="1" x14ac:dyDescent="0.5">
      <c r="A62" s="71"/>
      <c r="B62" s="72"/>
      <c r="C62" s="73"/>
      <c r="D62" s="74"/>
    </row>
    <row r="63" spans="1:4" ht="19.25" customHeight="1" x14ac:dyDescent="0.5">
      <c r="A63" s="71"/>
      <c r="B63" s="72"/>
      <c r="C63" s="73"/>
      <c r="D63" s="74"/>
    </row>
    <row r="64" spans="1:4" ht="19.25" customHeight="1" x14ac:dyDescent="0.5">
      <c r="A64" s="71"/>
      <c r="B64" s="72"/>
      <c r="C64" s="73"/>
      <c r="D64" s="74"/>
    </row>
    <row r="65" spans="1:4" ht="19.25" customHeight="1" x14ac:dyDescent="0.5">
      <c r="A65" s="71"/>
      <c r="B65" s="72"/>
      <c r="C65" s="73"/>
      <c r="D65" s="74"/>
    </row>
    <row r="66" spans="1:4" ht="19.25" customHeight="1" x14ac:dyDescent="0.5">
      <c r="A66" s="71"/>
      <c r="B66" s="72"/>
      <c r="C66" s="73"/>
      <c r="D66" s="74"/>
    </row>
    <row r="67" spans="1:4" ht="19.25" customHeight="1" x14ac:dyDescent="0.5">
      <c r="A67" s="71"/>
      <c r="B67" s="72"/>
      <c r="C67" s="73"/>
      <c r="D67" s="74"/>
    </row>
    <row r="68" spans="1:4" ht="19.25" customHeight="1" x14ac:dyDescent="0.5">
      <c r="A68" s="71"/>
      <c r="B68" s="72"/>
      <c r="C68" s="73"/>
      <c r="D68" s="74"/>
    </row>
    <row r="69" spans="1:4" ht="19.25" customHeight="1" x14ac:dyDescent="0.5">
      <c r="A69" s="71"/>
      <c r="B69" s="72"/>
      <c r="C69" s="73"/>
      <c r="D69" s="74"/>
    </row>
    <row r="70" spans="1:4" ht="19.25" customHeight="1" x14ac:dyDescent="0.5">
      <c r="A70" s="71"/>
      <c r="B70" s="72"/>
      <c r="C70" s="73"/>
      <c r="D70" s="74"/>
    </row>
    <row r="71" spans="1:4" ht="19.25" customHeight="1" x14ac:dyDescent="0.5">
      <c r="A71" s="71"/>
      <c r="B71" s="72"/>
      <c r="C71" s="73"/>
      <c r="D71" s="74"/>
    </row>
    <row r="72" spans="1:4" ht="19.25" customHeight="1" x14ac:dyDescent="0.5">
      <c r="A72" s="71"/>
      <c r="B72" s="72"/>
      <c r="C72" s="73"/>
      <c r="D72" s="74"/>
    </row>
    <row r="73" spans="1:4" ht="19.25" customHeight="1" x14ac:dyDescent="0.5">
      <c r="A73" s="71"/>
      <c r="B73" s="72"/>
      <c r="C73" s="73"/>
      <c r="D73" s="74"/>
    </row>
    <row r="74" spans="1:4" ht="19.25" customHeight="1" x14ac:dyDescent="0.5">
      <c r="A74" s="71"/>
      <c r="B74" s="72"/>
      <c r="C74" s="73"/>
      <c r="D74" s="74"/>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2"/>
  <dimension ref="A1:E58"/>
  <sheetViews>
    <sheetView workbookViewId="0">
      <pane ySplit="4" topLeftCell="A29" activePane="bottomLeft" state="frozen"/>
      <selection pane="bottomLeft" activeCell="I13" sqref="I13"/>
    </sheetView>
  </sheetViews>
  <sheetFormatPr defaultRowHeight="21" x14ac:dyDescent="0.5"/>
  <cols>
    <col min="1" max="1" width="18" customWidth="1"/>
    <col min="2" max="4" width="8" customWidth="1"/>
    <col min="5" max="5" width="14" customWidth="1"/>
  </cols>
  <sheetData>
    <row r="1" spans="1:5" x14ac:dyDescent="0.5">
      <c r="A1" s="45" t="s">
        <v>2927</v>
      </c>
    </row>
    <row r="2" spans="1:5" x14ac:dyDescent="0.5">
      <c r="A2" s="46" t="s">
        <v>2928</v>
      </c>
    </row>
    <row r="4" spans="1:5" x14ac:dyDescent="0.5">
      <c r="A4" s="45" t="s">
        <v>2929</v>
      </c>
      <c r="B4" s="48" t="s">
        <v>2930</v>
      </c>
      <c r="C4" s="50" t="s">
        <v>2931</v>
      </c>
      <c r="D4" s="45" t="s">
        <v>2932</v>
      </c>
      <c r="E4" s="45" t="s">
        <v>2933</v>
      </c>
    </row>
    <row r="5" spans="1:5" x14ac:dyDescent="0.5">
      <c r="A5" s="46" t="inlineStr">
        <is>
          <t xml:space="preserve">ad2cont</t>
        </is>
      </c>
      <c r="B5" s="52">
        <f>COUNTIF(ad2cont!$A:$BZ,"PASS")</f>
      </c>
      <c r="C5" s="54">
        <f>COUNTIF(ad2cont!$A:$BZ,"FAIL")</f>
      </c>
      <c r="D5" s="46">
        <f>B5+C5</f>
      </c>
      <c r="E5" s="46">
        <f>IF(C5&gt;0,"FAIL ("&amp;C5&amp;")",IF(D5=0,"-","all pass"))</f>
      </c>
    </row>
    <row r="6" spans="1:5" x14ac:dyDescent="0.5">
      <c r="A6" s="46" t="inlineStr">
        <is>
          <t xml:space="preserve">ad2rc</t>
        </is>
      </c>
      <c r="B6" s="52">
        <f>COUNTIF(ad2rc!$A:$BZ,"PASS")</f>
      </c>
      <c r="C6" s="54">
        <f>COUNTIF(ad2rc!$A:$BZ,"FAIL")</f>
      </c>
      <c r="D6" s="46">
        <f>B6+C6</f>
      </c>
      <c r="E6" s="46">
        <f>IF(C6&gt;0,"FAIL ("&amp;C6&amp;")",IF(D6=0,"-","all pass"))</f>
      </c>
    </row>
    <row r="7" spans="1:5" x14ac:dyDescent="0.5">
      <c r="A7" s="46" t="inlineStr">
        <is>
          <t xml:space="preserve">arrow</t>
        </is>
      </c>
      <c r="B7" s="52">
        <f>COUNTIF(arrow!$A:$BZ,"PASS")</f>
      </c>
      <c r="C7" s="54">
        <f>COUNTIF(arrow!$A:$BZ,"FAIL")</f>
      </c>
      <c r="D7" s="46">
        <f>B7+C7</f>
      </c>
      <c r="E7" s="46">
        <f>IF(C7&gt;0,"FAIL ("&amp;C7&amp;")",IF(D7=0,"-","all pass"))</f>
      </c>
    </row>
    <row r="8" spans="1:5" x14ac:dyDescent="0.5">
      <c r="A8" s="46" t="inlineStr">
        <is>
          <t xml:space="preserve">arrow_move</t>
        </is>
      </c>
      <c r="B8" s="52">
        <f>COUNTIF(arrow_move!$A:$BZ,"PASS")</f>
      </c>
      <c r="C8" s="54">
        <f>COUNTIF(arrow_move!$A:$BZ,"FAIL")</f>
      </c>
      <c r="D8" s="46">
        <f>B8+C8</f>
      </c>
      <c r="E8" s="46">
        <f>IF(C8&gt;0,"FAIL ("&amp;C8&amp;")",IF(D8=0,"-","all pass"))</f>
      </c>
    </row>
    <row r="9" spans="1:5" x14ac:dyDescent="0.5">
      <c r="A9" s="46" t="inlineStr">
        <is>
          <t xml:space="preserve">arrow_trip</t>
        </is>
      </c>
      <c r="B9" s="52">
        <f>COUNTIF(arrow_trip!$A:$BZ,"PASS")</f>
      </c>
      <c r="C9" s="54">
        <f>COUNTIF(arrow_trip!$A:$BZ,"FAIL")</f>
      </c>
      <c r="D9" s="46">
        <f>B9+C9</f>
      </c>
      <c r="E9" s="46">
        <f>IF(C9&gt;0,"FAIL ("&amp;C9&amp;")",IF(D9=0,"-","all pass"))</f>
      </c>
    </row>
    <row r="10" spans="1:5" x14ac:dyDescent="0.5">
      <c r="A10" s="46" t="inlineStr">
        <is>
          <t xml:space="preserve">biggest</t>
        </is>
      </c>
      <c r="B10" s="52">
        <f>COUNTIF(biggest!$A:$BZ,"PASS")</f>
      </c>
      <c r="C10" s="54">
        <f>COUNTIF(biggest!$A:$BZ,"FAIL")</f>
      </c>
      <c r="D10" s="46">
        <f>B10+C10</f>
      </c>
      <c r="E10" s="46">
        <f>IF(C10&gt;0,"FAIL ("&amp;C10&amp;")",IF(D10=0,"-","all pass"))</f>
      </c>
    </row>
    <row r="11" spans="1:5" x14ac:dyDescent="0.5">
      <c r="A11" s="46" t="inlineStr">
        <is>
          <t xml:space="preserve">clamp</t>
        </is>
      </c>
      <c r="B11" s="52">
        <f>COUNTIF(clamp!$A:$BZ,"PASS")</f>
      </c>
      <c r="C11" s="54">
        <f>COUNTIF(clamp!$A:$BZ,"FAIL")</f>
      </c>
      <c r="D11" s="46">
        <f>B11+C11</f>
      </c>
      <c r="E11" s="46">
        <f>IF(C11&gt;0,"FAIL ("&amp;C11&amp;")",IF(D11=0,"-","all pass"))</f>
      </c>
    </row>
    <row r="12" spans="1:5" x14ac:dyDescent="0.5">
      <c r="A12" s="46" t="inlineStr">
        <is>
          <t xml:space="preserve">cont2ad</t>
        </is>
      </c>
      <c r="B12" s="52">
        <f>COUNTIF(cont2ad!$A:$BZ,"PASS")</f>
      </c>
      <c r="C12" s="54">
        <f>COUNTIF(cont2ad!$A:$BZ,"FAIL")</f>
      </c>
      <c r="D12" s="46">
        <f>B12+C12</f>
      </c>
      <c r="E12" s="46">
        <f>IF(C12&gt;0,"FAIL ("&amp;C12&amp;")",IF(D12=0,"-","all pass"))</f>
      </c>
    </row>
    <row r="13" spans="1:5" x14ac:dyDescent="0.5">
      <c r="A13" s="46" t="inlineStr">
        <is>
          <t xml:space="preserve">count_substring</t>
        </is>
      </c>
      <c r="B13" s="52">
        <f>COUNTIF(count_substring!$A:$BZ,"PASS")</f>
      </c>
      <c r="C13" s="54">
        <f>COUNTIF(count_substring!$A:$BZ,"FAIL")</f>
      </c>
      <c r="D13" s="46">
        <f>B13+C13</f>
      </c>
      <c r="E13" s="46">
        <f>IF(C13&gt;0,"FAIL ("&amp;C13&amp;")",IF(D13=0,"-","all pass"))</f>
      </c>
    </row>
    <row r="14" spans="1:5" x14ac:dyDescent="0.5">
      <c r="A14" s="46" t="inlineStr">
        <is>
          <t xml:space="preserve">ctotal</t>
        </is>
      </c>
      <c r="B14" s="52">
        <f>COUNTIF(ctotal!$A:$BZ,"PASS")</f>
      </c>
      <c r="C14" s="54">
        <f>COUNTIF(ctotal!$A:$BZ,"FAIL")</f>
      </c>
      <c r="D14" s="46">
        <f>B14+C14</f>
      </c>
      <c r="E14" s="46">
        <f>IF(C14&gt;0,"FAIL ("&amp;C14&amp;")",IF(D14=0,"-","all pass"))</f>
      </c>
    </row>
    <row r="15" spans="1:5" x14ac:dyDescent="0.5">
      <c r="A15" s="46" t="inlineStr">
        <is>
          <t xml:space="preserve">cycles</t>
        </is>
      </c>
      <c r="B15" s="52">
        <f>COUNTIF(cycles!$A:$BZ,"PASS")</f>
      </c>
      <c r="C15" s="54">
        <f>COUNTIF(cycles!$A:$BZ,"FAIL")</f>
      </c>
      <c r="D15" s="46">
        <f>B15+C15</f>
      </c>
      <c r="E15" s="46">
        <f>IF(C15&gt;0,"FAIL ("&amp;C15&amp;")",IF(D15=0,"-","all pass"))</f>
      </c>
    </row>
    <row r="16" spans="1:5" x14ac:dyDescent="0.5">
      <c r="A16" s="46" t="inlineStr">
        <is>
          <t xml:space="preserve">die_pips</t>
        </is>
      </c>
      <c r="B16" s="52">
        <f>COUNTIF(die_pips!$A:$BZ,"PASS")</f>
      </c>
      <c r="C16" s="54">
        <f>COUNTIF(die_pips!$A:$BZ,"FAIL")</f>
      </c>
      <c r="D16" s="46">
        <f>B16+C16</f>
      </c>
      <c r="E16" s="46">
        <f>IF(C16&gt;0,"FAIL ("&amp;C16&amp;")",IF(D16=0,"-","all pass"))</f>
      </c>
    </row>
    <row r="17" spans="1:5" x14ac:dyDescent="0.5">
      <c r="A17" s="46" t="inlineStr">
        <is>
          <t xml:space="preserve">dist</t>
        </is>
      </c>
      <c r="B17" s="52">
        <f>COUNTIF(dist!$A:$BZ,"PASS")</f>
      </c>
      <c r="C17" s="54">
        <f>COUNTIF(dist!$A:$BZ,"FAIL")</f>
      </c>
      <c r="D17" s="46">
        <f>B17+C17</f>
      </c>
      <c r="E17" s="46">
        <f>IF(C17&gt;0,"FAIL ("&amp;C17&amp;")",IF(D17=0,"-","all pass"))</f>
      </c>
    </row>
    <row r="18" spans="1:5" x14ac:dyDescent="0.5">
      <c r="A18" s="46" t="inlineStr">
        <is>
          <t xml:space="preserve">exists</t>
        </is>
      </c>
      <c r="B18" s="52">
        <f>COUNTIF(exists!$A:$BZ,"PASS")</f>
      </c>
      <c r="C18" s="54">
        <f>COUNTIF(exists!$A:$BZ,"FAIL")</f>
      </c>
      <c r="D18" s="46">
        <f>B18+C18</f>
      </c>
      <c r="E18" s="46">
        <f>IF(C18&gt;0,"FAIL ("&amp;C18&amp;")",IF(D18=0,"-","all pass"))</f>
      </c>
    </row>
    <row r="19" spans="1:5" x14ac:dyDescent="0.5">
      <c r="A19" s="46" t="inlineStr">
        <is>
          <t xml:space="preserve">expand_rng</t>
        </is>
      </c>
      <c r="B19" s="52">
        <f>COUNTIF(expand_rng!$A:$BZ,"PASS")</f>
      </c>
      <c r="C19" s="54">
        <f>COUNTIF(expand_rng!$A:$BZ,"FAIL")</f>
      </c>
      <c r="D19" s="46">
        <f>B19+C19</f>
      </c>
      <c r="E19" s="46">
        <f>IF(C19&gt;0,"FAIL ("&amp;C19&amp;")",IF(D19=0,"-","all pass"))</f>
      </c>
    </row>
    <row r="20" spans="1:5" x14ac:dyDescent="0.5">
      <c r="A20" s="46" t="inlineStr">
        <is>
          <t xml:space="preserve">freq_table</t>
        </is>
      </c>
      <c r="B20" s="52">
        <f>COUNTIF(freq_table!$A:$BZ,"PASS")</f>
      </c>
      <c r="C20" s="54">
        <f>COUNTIF(freq_table!$A:$BZ,"FAIL")</f>
      </c>
      <c r="D20" s="46">
        <f>B20+C20</f>
      </c>
      <c r="E20" s="46">
        <f>IF(C20&gt;0,"FAIL ("&amp;C20&amp;")",IF(D20=0,"-","all pass"))</f>
      </c>
    </row>
    <row r="21" spans="1:5" x14ac:dyDescent="0.5">
      <c r="A21" s="46" t="inlineStr">
        <is>
          <t xml:space="preserve">is_unique</t>
        </is>
      </c>
      <c r="B21" s="52">
        <f>COUNTIF(is_unique!$A:$BZ,"PASS")</f>
      </c>
      <c r="C21" s="54">
        <f>COUNTIF(is_unique!$A:$BZ,"FAIL")</f>
      </c>
      <c r="D21" s="46">
        <f>B21+C21</f>
      </c>
      <c r="E21" s="46">
        <f>IF(C21&gt;0,"FAIL ("&amp;C21&amp;")",IF(D21=0,"-","all pass"))</f>
      </c>
    </row>
    <row r="22" spans="1:5" x14ac:dyDescent="0.5">
      <c r="A22" s="46" t="inlineStr">
        <is>
          <t xml:space="preserve">knight_moves</t>
        </is>
      </c>
      <c r="B22" s="52">
        <f>COUNTIF(knight_moves!$A:$BZ,"PASS")</f>
      </c>
      <c r="C22" s="54">
        <f>COUNTIF(knight_moves!$A:$BZ,"FAIL")</f>
      </c>
      <c r="D22" s="46">
        <f>B22+C22</f>
      </c>
      <c r="E22" s="46">
        <f>IF(C22&gt;0,"FAIL ("&amp;C22&amp;")",IF(D22=0,"-","all pass"))</f>
      </c>
    </row>
    <row r="23" spans="1:5" x14ac:dyDescent="0.5">
      <c r="A23" s="46" t="inlineStr">
        <is>
          <t xml:space="preserve">label_lookup</t>
        </is>
      </c>
      <c r="B23" s="52">
        <f>COUNTIF(label_lookup!$A:$BZ,"PASS")</f>
      </c>
      <c r="C23" s="54">
        <f>COUNTIF(label_lookup!$A:$BZ,"FAIL")</f>
      </c>
      <c r="D23" s="46">
        <f>B23+C23</f>
      </c>
      <c r="E23" s="46">
        <f>IF(C23&gt;0,"FAIL ("&amp;C23&amp;")",IF(D23=0,"-","all pass"))</f>
      </c>
    </row>
    <row r="24" spans="1:5" x14ac:dyDescent="0.5">
      <c r="A24" s="46" t="inlineStr">
        <is>
          <t xml:space="preserve">load_array</t>
        </is>
      </c>
      <c r="B24" s="52">
        <f>COUNTIF(load_array!$A:$BZ,"PASS")</f>
      </c>
      <c r="C24" s="54">
        <f>COUNTIF(load_array!$A:$BZ,"FAIL")</f>
      </c>
      <c r="D24" s="46">
        <f>B24+C24</f>
      </c>
      <c r="E24" s="46">
        <f>IF(C24&gt;0,"FAIL ("&amp;C24&amp;")",IF(D24=0,"-","all pass"))</f>
      </c>
    </row>
    <row r="25" spans="1:5" x14ac:dyDescent="0.5">
      <c r="A25" s="46" t="inlineStr">
        <is>
          <t xml:space="preserve">neighbors_count</t>
        </is>
      </c>
      <c r="B25" s="52">
        <f>COUNTIF(neighbors_count!$A:$BZ,"PASS")</f>
      </c>
      <c r="C25" s="54">
        <f>COUNTIF(neighbors_count!$A:$BZ,"FAIL")</f>
      </c>
      <c r="D25" s="46">
        <f>B25+C25</f>
      </c>
      <c r="E25" s="46">
        <f>IF(C25&gt;0,"FAIL ("&amp;C25&amp;")",IF(D25=0,"-","all pass"))</f>
      </c>
    </row>
    <row r="26" spans="1:5" x14ac:dyDescent="0.5">
      <c r="A26" s="46" t="inlineStr">
        <is>
          <t xml:space="preserve">neighbors_list</t>
        </is>
      </c>
      <c r="B26" s="52">
        <f>COUNTIF(neighbors_list!$A:$BZ,"PASS")</f>
      </c>
      <c r="C26" s="54">
        <f>COUNTIF(neighbors_list!$A:$BZ,"FAIL")</f>
      </c>
      <c r="D26" s="46">
        <f>B26+C26</f>
      </c>
      <c r="E26" s="46">
        <f>IF(C26&gt;0,"FAIL ("&amp;C26&amp;")",IF(D26=0,"-","all pass"))</f>
      </c>
    </row>
    <row r="27" spans="1:5" x14ac:dyDescent="0.5">
      <c r="A27" s="46" t="inlineStr">
        <is>
          <t xml:space="preserve">num_ad</t>
        </is>
      </c>
      <c r="B27" s="52">
        <f>COUNTIF(num_ad!$A:$BZ,"PASS")</f>
      </c>
      <c r="C27" s="54">
        <f>COUNTIF(num_ad!$A:$BZ,"FAIL")</f>
      </c>
      <c r="D27" s="46">
        <f>B27+C27</f>
      </c>
      <c r="E27" s="46">
        <f>IF(C27&gt;0,"FAIL ("&amp;C27&amp;")",IF(D27=0,"-","all pass"))</f>
      </c>
    </row>
    <row r="28" spans="1:5" x14ac:dyDescent="0.5">
      <c r="A28" s="46" t="inlineStr">
        <is>
          <t xml:space="preserve">offset_letter</t>
        </is>
      </c>
      <c r="B28" s="52">
        <f>COUNTIF(offset_letter!$A:$BZ,"PASS")</f>
      </c>
      <c r="C28" s="54">
        <f>COUNTIF(offset_letter!$A:$BZ,"FAIL")</f>
      </c>
      <c r="D28" s="46">
        <f>B28+C28</f>
      </c>
      <c r="E28" s="46">
        <f>IF(C28&gt;0,"FAIL ("&amp;C28&amp;")",IF(D28=0,"-","all pass"))</f>
      </c>
    </row>
    <row r="29" spans="1:5" x14ac:dyDescent="0.5">
      <c r="A29" s="46" t="inlineStr">
        <is>
          <t xml:space="preserve">only_letters</t>
        </is>
      </c>
      <c r="B29" s="52">
        <f>COUNTIF(only_letters!$A:$BZ,"PASS")</f>
      </c>
      <c r="C29" s="54">
        <f>COUNTIF(only_letters!$A:$BZ,"FAIL")</f>
      </c>
      <c r="D29" s="46">
        <f>B29+C29</f>
      </c>
      <c r="E29" s="46">
        <f>IF(C29&gt;0,"FAIL ("&amp;C29&amp;")",IF(D29=0,"-","all pass"))</f>
      </c>
    </row>
    <row r="30" spans="1:5" x14ac:dyDescent="0.5">
      <c r="A30" s="46" t="inlineStr">
        <is>
          <t xml:space="preserve">only_numbers</t>
        </is>
      </c>
      <c r="B30" s="52">
        <f>COUNTIF(only_numbers!$A:$BZ,"PASS")</f>
      </c>
      <c r="C30" s="54">
        <f>COUNTIF(only_numbers!$A:$BZ,"FAIL")</f>
      </c>
      <c r="D30" s="46">
        <f>B30+C30</f>
      </c>
      <c r="E30" s="46">
        <f>IF(C30&gt;0,"FAIL ("&amp;C30&amp;")",IF(D30=0,"-","all pass"))</f>
      </c>
    </row>
    <row r="31" spans="1:5" x14ac:dyDescent="0.5">
      <c r="A31" s="46" t="inlineStr">
        <is>
          <t xml:space="preserve">rc2ad</t>
        </is>
      </c>
      <c r="B31" s="52">
        <f>COUNTIF(rc2ad!$A:$BZ,"PASS")</f>
      </c>
      <c r="C31" s="54">
        <f>COUNTIF(rc2ad!$A:$BZ,"FAIL")</f>
      </c>
      <c r="D31" s="46">
        <f>B31+C31</f>
      </c>
      <c r="E31" s="46">
        <f>IF(C31&gt;0,"FAIL ("&amp;C31&amp;")",IF(D31=0,"-","all pass"))</f>
      </c>
    </row>
    <row r="32" spans="1:5" x14ac:dyDescent="0.5">
      <c r="A32" s="46" t="inlineStr">
        <is>
          <t xml:space="preserve">rev</t>
        </is>
      </c>
      <c r="B32" s="52">
        <f>COUNTIF(rev!$A:$BZ,"PASS")</f>
      </c>
      <c r="C32" s="54">
        <f>COUNTIF(rev!$A:$BZ,"FAIL")</f>
      </c>
      <c r="D32" s="46">
        <f>B32+C32</f>
      </c>
      <c r="E32" s="46">
        <f>IF(C32&gt;0,"FAIL ("&amp;C32&amp;")",IF(D32=0,"-","all pass"))</f>
      </c>
    </row>
    <row r="33" spans="1:5" x14ac:dyDescent="0.5">
      <c r="A33" s="46" t="inlineStr">
        <is>
          <t xml:space="preserve">rotate_arrow</t>
        </is>
      </c>
      <c r="B33" s="52">
        <f>COUNTIF(rotate_arrow!$A:$BZ,"PASS")</f>
      </c>
      <c r="C33" s="54">
        <f>COUNTIF(rotate_arrow!$A:$BZ,"FAIL")</f>
      </c>
      <c r="D33" s="46">
        <f>B33+C33</f>
      </c>
      <c r="E33" s="46">
        <f>IF(C33&gt;0,"FAIL ("&amp;C33&amp;")",IF(D33=0,"-","all pass"))</f>
      </c>
    </row>
    <row r="34" spans="1:5" x14ac:dyDescent="0.5">
      <c r="A34" s="46" t="inlineStr">
        <is>
          <t xml:space="preserve">route_cost</t>
        </is>
      </c>
      <c r="B34" s="52">
        <f>COUNTIF(route_cost!$A:$BZ,"PASS")</f>
      </c>
      <c r="C34" s="54">
        <f>COUNTIF(route_cost!$A:$BZ,"FAIL")</f>
      </c>
      <c r="D34" s="46">
        <f>B34+C34</f>
      </c>
      <c r="E34" s="46">
        <f>IF(C34&gt;0,"FAIL ("&amp;C34&amp;")",IF(D34=0,"-","all pass"))</f>
      </c>
    </row>
    <row r="35" spans="1:5" x14ac:dyDescent="0.5">
      <c r="A35" s="46" t="inlineStr">
        <is>
          <t xml:space="preserve">save_array</t>
        </is>
      </c>
      <c r="B35" s="52">
        <f>COUNTIF(save_array!$A:$BZ,"PASS")</f>
      </c>
      <c r="C35" s="54">
        <f>COUNTIF(save_array!$A:$BZ,"FAIL")</f>
      </c>
      <c r="D35" s="46">
        <f>B35+C35</f>
      </c>
      <c r="E35" s="46">
        <f>IF(C35&gt;0,"FAIL ("&amp;C35&amp;")",IF(D35=0,"-","all pass"))</f>
      </c>
    </row>
    <row r="36" spans="1:5" x14ac:dyDescent="0.5">
      <c r="A36" s="46" t="inlineStr">
        <is>
          <t xml:space="preserve">selections</t>
        </is>
      </c>
      <c r="B36" s="52">
        <f>COUNTIF(selections!$A:$BZ,"PASS")</f>
      </c>
      <c r="C36" s="54">
        <f>COUNTIF(selections!$A:$BZ,"FAIL")</f>
      </c>
      <c r="D36" s="46">
        <f>B36+C36</f>
      </c>
      <c r="E36" s="46">
        <f>IF(C36&gt;0,"FAIL ("&amp;C36&amp;")",IF(D36=0,"-","all pass"))</f>
      </c>
    </row>
    <row r="37" spans="1:5" x14ac:dyDescent="0.5">
      <c r="A37" s="46" t="inlineStr">
        <is>
          <t xml:space="preserve">set</t>
        </is>
      </c>
      <c r="B37" s="52">
        <f>COUNTIF(set!$A:$BZ,"PASS")</f>
      </c>
      <c r="C37" s="54">
        <f>COUNTIF(set!$A:$BZ,"FAIL")</f>
      </c>
      <c r="D37" s="46">
        <f>B37+C37</f>
      </c>
      <c r="E37" s="46">
        <f>IF(C37&gt;0,"FAIL ("&amp;C37&amp;")",IF(D37=0,"-","all pass"))</f>
      </c>
    </row>
    <row r="38" spans="1:5" x14ac:dyDescent="0.5">
      <c r="A38" s="46" t="inlineStr">
        <is>
          <t xml:space="preserve">set_d</t>
        </is>
      </c>
      <c r="B38" s="52">
        <f>COUNTIF(set_d!$A:$BZ,"PASS")</f>
      </c>
      <c r="C38" s="54">
        <f>COUNTIF(set_d!$A:$BZ,"FAIL")</f>
      </c>
      <c r="D38" s="46">
        <f>B38+C38</f>
      </c>
      <c r="E38" s="46">
        <f>IF(C38&gt;0,"FAIL ("&amp;C38&amp;")",IF(D38=0,"-","all pass"))</f>
      </c>
    </row>
    <row r="39" spans="1:5" x14ac:dyDescent="0.5">
      <c r="A39" s="46" t="inlineStr">
        <is>
          <t xml:space="preserve">set_i</t>
        </is>
      </c>
      <c r="B39" s="52">
        <f>COUNTIF(set_i!$A:$BZ,"PASS")</f>
      </c>
      <c r="C39" s="54">
        <f>COUNTIF(set_i!$A:$BZ,"FAIL")</f>
      </c>
      <c r="D39" s="46">
        <f>B39+C39</f>
      </c>
      <c r="E39" s="46">
        <f>IF(C39&gt;0,"FAIL ("&amp;C39&amp;")",IF(D39=0,"-","all pass"))</f>
      </c>
    </row>
    <row r="40" spans="1:5" x14ac:dyDescent="0.5">
      <c r="A40" s="46" t="inlineStr">
        <is>
          <t xml:space="preserve">set_u</t>
        </is>
      </c>
      <c r="B40" s="52">
        <f>COUNTIF(set_u!$A:$BZ,"PASS")</f>
      </c>
      <c r="C40" s="54">
        <f>COUNTIF(set_u!$A:$BZ,"FAIL")</f>
      </c>
      <c r="D40" s="46">
        <f>B40+C40</f>
      </c>
      <c r="E40" s="46">
        <f>IF(C40&gt;0,"FAIL ("&amp;C40&amp;")",IF(D40=0,"-","all pass"))</f>
      </c>
    </row>
    <row r="41" spans="1:5" x14ac:dyDescent="0.5">
      <c r="A41" s="46" t="inlineStr">
        <is>
          <t xml:space="preserve">shift_arr</t>
        </is>
      </c>
      <c r="B41" s="52">
        <f>COUNTIF(shift_arr!$A:$BZ,"PASS")</f>
      </c>
      <c r="C41" s="54">
        <f>COUNTIF(shift_arr!$A:$BZ,"FAIL")</f>
      </c>
      <c r="D41" s="46">
        <f>B41+C41</f>
      </c>
      <c r="E41" s="46">
        <f>IF(C41&gt;0,"FAIL ("&amp;C41&amp;")",IF(D41=0,"-","all pass"))</f>
      </c>
    </row>
    <row r="42" spans="1:5" x14ac:dyDescent="0.5">
      <c r="A42" s="46" t="inlineStr">
        <is>
          <t xml:space="preserve">smallest</t>
        </is>
      </c>
      <c r="B42" s="52">
        <f>COUNTIF(smallest!$A:$BZ,"PASS")</f>
      </c>
      <c r="C42" s="54">
        <f>COUNTIF(smallest!$A:$BZ,"FAIL")</f>
      </c>
      <c r="D42" s="46">
        <f>B42+C42</f>
      </c>
      <c r="E42" s="46">
        <f>IF(C42&gt;0,"FAIL ("&amp;C42&amp;")",IF(D42=0,"-","all pass"))</f>
      </c>
    </row>
    <row r="43" spans="1:5" x14ac:dyDescent="0.5">
      <c r="A43" s="46" t="inlineStr">
        <is>
          <t xml:space="preserve">str2arr</t>
        </is>
      </c>
      <c r="B43" s="52">
        <f>COUNTIF(str2arr!$A:$BZ,"PASS")</f>
      </c>
      <c r="C43" s="54">
        <f>COUNTIF(str2arr!$A:$BZ,"FAIL")</f>
      </c>
      <c r="D43" s="46">
        <f>B43+C43</f>
      </c>
      <c r="E43" s="46">
        <f>IF(C43&gt;0,"FAIL ("&amp;C43&amp;")",IF(D43=0,"-","all pass"))</f>
      </c>
    </row>
    <row r="44" spans="1:5" x14ac:dyDescent="0.5">
      <c r="A44" s="46" t="inlineStr">
        <is>
          <t xml:space="preserve">str_ad</t>
        </is>
      </c>
      <c r="B44" s="52">
        <f>COUNTIF(str_ad!$A:$BZ,"PASS")</f>
      </c>
      <c r="C44" s="54">
        <f>COUNTIF(str_ad!$A:$BZ,"FAIL")</f>
      </c>
      <c r="D44" s="46">
        <f>B44+C44</f>
      </c>
      <c r="E44" s="46">
        <f>IF(C44&gt;0,"FAIL ("&amp;C44&amp;")",IF(D44=0,"-","all pass"))</f>
      </c>
    </row>
    <row r="45" spans="1:5" x14ac:dyDescent="0.5">
      <c r="A45" s="46" t="inlineStr">
        <is>
          <t xml:space="preserve">str_rev</t>
        </is>
      </c>
      <c r="B45" s="52">
        <f>COUNTIF(str_rev!$A:$BZ,"PASS")</f>
      </c>
      <c r="C45" s="54">
        <f>COUNTIF(str_rev!$A:$BZ,"FAIL")</f>
      </c>
      <c r="D45" s="46">
        <f>B45+C45</f>
      </c>
      <c r="E45" s="46">
        <f>IF(C45&gt;0,"FAIL ("&amp;C45&amp;")",IF(D45=0,"-","all pass"))</f>
      </c>
    </row>
    <row r="46" spans="1:5" x14ac:dyDescent="0.5">
      <c r="A46" s="46" t="inlineStr">
        <is>
          <t xml:space="preserve">textbetween</t>
        </is>
      </c>
      <c r="B46" s="52">
        <f>COUNTIF(textbetween!$A:$BZ,"PASS")</f>
      </c>
      <c r="C46" s="54">
        <f>COUNTIF(textbetween!$A:$BZ,"FAIL")</f>
      </c>
      <c r="D46" s="46">
        <f>B46+C46</f>
      </c>
      <c r="E46" s="46">
        <f>IF(C46&gt;0,"FAIL ("&amp;C46&amp;")",IF(D46=0,"-","all pass"))</f>
      </c>
    </row>
    <row r="47" spans="1:5" x14ac:dyDescent="0.5">
      <c r="A47" s="46" t="inlineStr">
        <is>
          <t xml:space="preserve">transform_array</t>
        </is>
      </c>
      <c r="B47" s="52">
        <f>COUNTIF(transform_array!$A:$BZ,"PASS")</f>
      </c>
      <c r="C47" s="54">
        <f>COUNTIF(transform_array!$A:$BZ,"FAIL")</f>
      </c>
      <c r="D47" s="46">
        <f>B47+C47</f>
      </c>
      <c r="E47" s="46">
        <f>IF(C47&gt;0,"FAIL ("&amp;C47&amp;")",IF(D47=0,"-","all pass"))</f>
      </c>
    </row>
    <row r="48" spans="1:5" x14ac:dyDescent="0.5">
      <c r="A48" s="46" t="inlineStr">
        <is>
          <t xml:space="preserve">update_arr</t>
        </is>
      </c>
      <c r="B48" s="52">
        <f>COUNTIF(update_arr!$A:$BZ,"PASS")</f>
      </c>
      <c r="C48" s="54">
        <f>COUNTIF(update_arr!$A:$BZ,"FAIL")</f>
      </c>
      <c r="D48" s="46">
        <f>B48+C48</f>
      </c>
      <c r="E48" s="46">
        <f>IF(C48&gt;0,"FAIL ("&amp;C48&amp;")",IF(D48=0,"-","all pass"))</f>
      </c>
    </row>
    <row r="49" spans="1:5" x14ac:dyDescent="0.5">
      <c r="A49" s="46" t="inlineStr">
        <is>
          <t xml:space="preserve">xbyrow</t>
        </is>
      </c>
      <c r="B49" s="52">
        <f>COUNTIF(xbyrow!$A:$BZ,"PASS")</f>
      </c>
      <c r="C49" s="54">
        <f>COUNTIF(xbyrow!$A:$BZ,"FAIL")</f>
      </c>
      <c r="D49" s="46">
        <f>B49+C49</f>
      </c>
      <c r="E49" s="46">
        <f>IF(C49&gt;0,"FAIL ("&amp;C49&amp;")",IF(D49=0,"-","all pass"))</f>
      </c>
    </row>
    <row r="50" spans="1:5" x14ac:dyDescent="0.5">
      <c r="A50" s="46" t="inlineStr">
        <is>
          <t xml:space="preserve">xcountif</t>
        </is>
      </c>
      <c r="B50" s="52">
        <f>COUNTIF(xcountif!$A:$BZ,"PASS")</f>
      </c>
      <c r="C50" s="54">
        <f>COUNTIF(xcountif!$A:$BZ,"FAIL")</f>
      </c>
      <c r="D50" s="46">
        <f>B50+C50</f>
      </c>
      <c r="E50" s="46">
        <f>IF(C50&gt;0,"FAIL ("&amp;C50&amp;")",IF(D50=0,"-","all pass"))</f>
      </c>
    </row>
    <row r="51" spans="1:5" x14ac:dyDescent="0.5">
      <c r="A51" s="46" t="inlineStr">
        <is>
          <t xml:space="preserve">xdec2bin</t>
        </is>
      </c>
      <c r="B51" s="52">
        <f>COUNTIF(xdec2bin!$A:$BZ,"PASS")</f>
      </c>
      <c r="C51" s="54">
        <f>COUNTIF(xdec2bin!$A:$BZ,"FAIL")</f>
      </c>
      <c r="D51" s="46">
        <f>B51+C51</f>
      </c>
      <c r="E51" s="46">
        <f>IF(C51&gt;0,"FAIL ("&amp;C51&amp;")",IF(D51=0,"-","all pass"))</f>
      </c>
    </row>
    <row r="52" spans="1:5" x14ac:dyDescent="0.5">
      <c r="A52" s="46" t="inlineStr">
        <is>
          <t xml:space="preserve">xfilter</t>
        </is>
      </c>
      <c r="B52" s="52">
        <f>COUNTIF(xfilter!$A:$BZ,"PASS")</f>
      </c>
      <c r="C52" s="54">
        <f>COUNTIF(xfilter!$A:$BZ,"FAIL")</f>
      </c>
      <c r="D52" s="46">
        <f>B52+C52</f>
      </c>
      <c r="E52" s="46">
        <f>IF(C52&gt;0,"FAIL ("&amp;C52&amp;")",IF(D52=0,"-","all pass"))</f>
      </c>
    </row>
    <row r="53" spans="1:5" x14ac:dyDescent="0.5">
      <c r="A53" s="46" t="inlineStr">
        <is>
          <t xml:space="preserve">xmod</t>
        </is>
      </c>
      <c r="B53" s="52">
        <f>COUNTIF(xmod!$A:$BZ,"PASS")</f>
      </c>
      <c r="C53" s="54">
        <f>COUNTIF(xmod!$A:$BZ,"FAIL")</f>
      </c>
      <c r="D53" s="46">
        <f>B53+C53</f>
      </c>
      <c r="E53" s="46">
        <f>IF(C53&gt;0,"FAIL ("&amp;C53&amp;")",IF(D53=0,"-","all pass"))</f>
      </c>
    </row>
    <row r="54" spans="1:5" x14ac:dyDescent="0.5">
      <c r="A54" s="46" t="inlineStr">
        <is>
          <t xml:space="preserve">xn</t>
        </is>
      </c>
      <c r="B54" s="52">
        <f>COUNTIF(xn!$A:$BZ,"PASS")</f>
      </c>
      <c r="C54" s="54">
        <f>COUNTIF(xn!$A:$BZ,"FAIL")</f>
      </c>
      <c r="D54" s="46">
        <f>B54+C54</f>
      </c>
      <c r="E54" s="46">
        <f>IF(C54&gt;0,"FAIL ("&amp;C54&amp;")",IF(D54=0,"-","all pass"))</f>
      </c>
    </row>
    <row r="55" spans="1:5" x14ac:dyDescent="0.5">
      <c r="A55" s="46" t="inlineStr">
        <is>
          <t xml:space="preserve">xrank</t>
        </is>
      </c>
      <c r="B55" s="52">
        <f>COUNTIF(xrank!$A:$BZ,"PASS")</f>
      </c>
      <c r="C55" s="54">
        <f>COUNTIF(xrank!$A:$BZ,"FAIL")</f>
      </c>
      <c r="D55" s="46">
        <f>B55+C55</f>
      </c>
      <c r="E55" s="46">
        <f>IF(C55&gt;0,"FAIL ("&amp;C55&amp;")",IF(D55=0,"-","all pass"))</f>
      </c>
    </row>
    <row r="56" spans="1:5" x14ac:dyDescent="0.5">
      <c r="A56" s="46" t="inlineStr">
        <is>
          <t xml:space="preserve">xsequence</t>
        </is>
      </c>
      <c r="B56" s="52">
        <f>COUNTIF(xsequence!$A:$BZ,"PASS")</f>
      </c>
      <c r="C56" s="54">
        <f>COUNTIF(xsequence!$A:$BZ,"FAIL")</f>
      </c>
      <c r="D56" s="46">
        <f>B56+C56</f>
      </c>
      <c r="E56" s="46">
        <f>IF(C56&gt;0,"FAIL ("&amp;C56&amp;")",IF(D56=0,"-","all pass"))</f>
      </c>
    </row>
    <row r="57" spans="1:5" x14ac:dyDescent="0.5">
      <c r="A57" s="46" t="inlineStr">
        <is>
          <t xml:space="preserve">xtextsplit</t>
        </is>
      </c>
      <c r="B57" s="52">
        <f>COUNTIF(xtextsplit!$A:$BZ,"PASS")</f>
      </c>
      <c r="C57" s="54">
        <f>COUNTIF(xtextsplit!$A:$BZ,"FAIL")</f>
      </c>
      <c r="D57" s="46">
        <f>B57+C57</f>
      </c>
      <c r="E57" s="46">
        <f>IF(C57&gt;0,"FAIL ("&amp;C57&amp;")",IF(D57=0,"-","all pass"))</f>
      </c>
    </row>
    <row r="58" spans="1:5" x14ac:dyDescent="0.5">
      <c r="A58" t="inlineStr">
        <is>
          <t xml:space="preserve">xtocol</t>
        </is>
      </c>
      <c r="B58" s="48">
        <f>COUNTIF(xtocol!$A:$BZ,"PASS")</f>
      </c>
      <c r="C58" s="50">
        <f>COUNTIF(xtocol!$A:$BZ,"FAIL")</f>
      </c>
      <c r="D58" s="45">
        <f>B58+C58</f>
      </c>
      <c r="E58" s="45">
        <f>IF(C58&gt;0,"FAIL ("&amp;C58&amp;")",IF(D58=0,"-","all pass"))</f>
      </c>
    </row>
    <row r="59">
      <c r="A59" t="inlineStr">
        <is>
          <t xml:space="preserve">TOTAL</t>
        </is>
      </c>
      <c r="B59" s="48">
        <f>SUM(B5:B58)</f>
      </c>
      <c r="C59" s="50">
        <f>SUM(C5:C58)</f>
      </c>
      <c r="D59" s="45">
        <f>SUM(D5:D58)</f>
      </c>
      <c r="E59" s="45">
        <f>IF(C59&gt;0,C59&amp;" FAILING","ALL PASS")</f>
      </c>
    </row>
    <row r="60">
      <c r="A60"/>
      <c r="B60" s="48"/>
      <c r="C60" s="50"/>
      <c r="D60" s="45"/>
      <c r="E60" s="45"/>
    </row>
    <row r="61">
      <c r="A61"/>
      <c r="B61" s="48"/>
      <c r="C61" s="50"/>
      <c r="D61" s="45"/>
      <c r="E61" s="45"/>
    </row>
    <row r="62">
      <c r="A62"/>
      <c r="B62" s="48"/>
      <c r="C62" s="50"/>
      <c r="D62" s="45"/>
      <c r="E62" s="45"/>
    </row>
    <row r="63">
      <c r="A63"/>
      <c r="B63" s="48"/>
      <c r="C63" s="50"/>
      <c r="D63" s="45"/>
      <c r="E63" s="45"/>
    </row>
    <row r="64">
      <c r="A64"/>
      <c r="B64" s="48"/>
      <c r="C64" s="50"/>
      <c r="D64" s="45"/>
      <c r="E64" s="45"/>
    </row>
    <row r="65">
      <c r="A65"/>
      <c r="B65" s="48"/>
      <c r="C65" s="50"/>
      <c r="D65" s="45"/>
      <c r="E65" s="45"/>
    </row>
    <row r="66">
      <c r="A66"/>
      <c r="B66" s="48"/>
      <c r="C66" s="50"/>
      <c r="D66" s="45"/>
      <c r="E66"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EDD8A-90DF-4E26-91BA-94B684C91FE2}">
  <sheetPr codeName="Sheet107"/>
  <dimension ref="A1:F91"/>
  <sheetViews>
    <sheetView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3409</v>
      </c>
    </row>
    <row r="2" spans="1:6" x14ac:dyDescent="0.5">
      <c r="A2" t="s">
        <v>3612</v>
      </c>
    </row>
    <row r="4" spans="1:6" x14ac:dyDescent="0.5">
      <c r="A4" s="15" t="s">
        <v>7</v>
      </c>
      <c r="B4" s="15" t="s">
        <v>3410</v>
      </c>
      <c r="C4" s="15" t="s">
        <v>8</v>
      </c>
      <c r="D4" s="57" t="s">
        <v>10</v>
      </c>
      <c r="E4" s="57" t="s">
        <v>11</v>
      </c>
      <c r="F4" s="15" t="s">
        <v>3411</v>
      </c>
    </row>
    <row r="5" spans="1:6" x14ac:dyDescent="0.5">
      <c r="A5">
        <v>1</v>
      </c>
      <c r="B5" t="s">
        <v>3412</v>
      </c>
      <c r="C5" t="s">
        <v>3413</v>
      </c>
      <c r="D5" s="56" t="s">
        <v>3414</v>
      </c>
      <c r="E5" s="56" t="s">
        <v>3414</v>
      </c>
      <c r="F5" s="58" t="s">
        <v>3415</v>
      </c>
    </row>
    <row r="6" spans="1:6" x14ac:dyDescent="0.5">
      <c r="A6">
        <v>2</v>
      </c>
      <c r="B6" t="s">
        <v>3412</v>
      </c>
      <c r="C6" t="s">
        <v>3416</v>
      </c>
      <c r="D6" s="56" t="s">
        <v>3417</v>
      </c>
      <c r="E6" s="56" t="s">
        <v>3417</v>
      </c>
      <c r="F6" s="58" t="s">
        <v>3415</v>
      </c>
    </row>
    <row r="7" spans="1:6" x14ac:dyDescent="0.5">
      <c r="A7">
        <v>3</v>
      </c>
      <c r="B7" t="s">
        <v>3412</v>
      </c>
      <c r="C7" t="s">
        <v>3418</v>
      </c>
      <c r="D7" s="56" t="s">
        <v>3419</v>
      </c>
      <c r="E7" s="56" t="s">
        <v>3419</v>
      </c>
      <c r="F7" s="58" t="s">
        <v>3415</v>
      </c>
    </row>
    <row r="8" spans="1:6" x14ac:dyDescent="0.5">
      <c r="A8">
        <v>4</v>
      </c>
      <c r="B8" t="s">
        <v>3420</v>
      </c>
      <c r="C8" t="s">
        <v>3421</v>
      </c>
      <c r="D8" s="56" t="s">
        <v>3422</v>
      </c>
      <c r="E8" s="56" t="s">
        <v>3422</v>
      </c>
      <c r="F8" s="58" t="s">
        <v>3415</v>
      </c>
    </row>
    <row r="9" spans="1:6" x14ac:dyDescent="0.5">
      <c r="A9">
        <v>5</v>
      </c>
      <c r="B9" t="s">
        <v>3420</v>
      </c>
      <c r="C9" t="s">
        <v>3423</v>
      </c>
      <c r="D9" s="56" t="s">
        <v>3424</v>
      </c>
      <c r="E9" s="56" t="s">
        <v>3424</v>
      </c>
      <c r="F9" s="58" t="s">
        <v>3415</v>
      </c>
    </row>
    <row r="10" spans="1:6" x14ac:dyDescent="0.5">
      <c r="A10">
        <v>6</v>
      </c>
      <c r="B10" t="s">
        <v>3420</v>
      </c>
      <c r="C10" t="s">
        <v>3425</v>
      </c>
      <c r="D10" s="56" t="s">
        <v>3426</v>
      </c>
      <c r="E10" s="56" t="s">
        <v>3426</v>
      </c>
      <c r="F10" s="58" t="s">
        <v>3415</v>
      </c>
    </row>
    <row r="11" spans="1:6" x14ac:dyDescent="0.5">
      <c r="A11">
        <v>7</v>
      </c>
      <c r="B11" t="s">
        <v>3427</v>
      </c>
      <c r="C11" t="s">
        <v>3428</v>
      </c>
      <c r="D11" s="56" t="s">
        <v>3429</v>
      </c>
      <c r="E11" s="56" t="s">
        <v>3429</v>
      </c>
      <c r="F11" s="58" t="s">
        <v>3415</v>
      </c>
    </row>
    <row r="12" spans="1:6" x14ac:dyDescent="0.5">
      <c r="A12">
        <v>8</v>
      </c>
      <c r="B12" t="s">
        <v>3427</v>
      </c>
      <c r="C12" t="s">
        <v>3430</v>
      </c>
      <c r="D12" s="56" t="s">
        <v>3429</v>
      </c>
      <c r="E12" s="56" t="s">
        <v>3429</v>
      </c>
      <c r="F12" s="58" t="s">
        <v>3415</v>
      </c>
    </row>
    <row r="13" spans="1:6" x14ac:dyDescent="0.5">
      <c r="A13">
        <v>9</v>
      </c>
      <c r="B13" t="s">
        <v>3427</v>
      </c>
      <c r="C13" t="s">
        <v>3431</v>
      </c>
      <c r="D13" s="56" t="s">
        <v>3429</v>
      </c>
      <c r="E13" s="56" t="s">
        <v>3429</v>
      </c>
      <c r="F13" s="58" t="s">
        <v>3415</v>
      </c>
    </row>
    <row r="14" spans="1:6" x14ac:dyDescent="0.5">
      <c r="A14">
        <v>10</v>
      </c>
      <c r="B14" t="s">
        <v>3432</v>
      </c>
      <c r="C14" t="s">
        <v>3433</v>
      </c>
      <c r="D14" s="56" t="s">
        <v>3434</v>
      </c>
      <c r="E14" s="56" t="s">
        <v>3434</v>
      </c>
      <c r="F14" s="58" t="s">
        <v>3415</v>
      </c>
    </row>
    <row r="15" spans="1:6" x14ac:dyDescent="0.5">
      <c r="A15">
        <v>11</v>
      </c>
      <c r="B15" t="s">
        <v>3432</v>
      </c>
      <c r="C15" t="s">
        <v>3435</v>
      </c>
      <c r="D15" s="56" t="s">
        <v>3429</v>
      </c>
      <c r="E15" s="56" t="s">
        <v>3429</v>
      </c>
      <c r="F15" s="58" t="s">
        <v>3415</v>
      </c>
    </row>
    <row r="16" spans="1:6" x14ac:dyDescent="0.5">
      <c r="A16">
        <v>12</v>
      </c>
      <c r="B16" t="s">
        <v>3461</v>
      </c>
      <c r="C16" t="s">
        <v>3462</v>
      </c>
      <c r="D16" s="56" t="s">
        <v>3463</v>
      </c>
      <c r="E16" s="56" t="s">
        <v>3463</v>
      </c>
      <c r="F16" s="58" t="s">
        <v>3415</v>
      </c>
    </row>
    <row r="17" spans="1:6" x14ac:dyDescent="0.5">
      <c r="A17">
        <v>13</v>
      </c>
      <c r="B17" t="s">
        <v>3461</v>
      </c>
      <c r="C17" t="s">
        <v>3464</v>
      </c>
      <c r="D17" s="56" t="s">
        <v>136</v>
      </c>
      <c r="E17" s="56" t="s">
        <v>136</v>
      </c>
      <c r="F17" s="58" t="s">
        <v>3415</v>
      </c>
    </row>
    <row r="18" spans="1:6" x14ac:dyDescent="0.5">
      <c r="A18">
        <v>14</v>
      </c>
      <c r="B18" t="s">
        <v>3461</v>
      </c>
      <c r="C18" t="s">
        <v>3465</v>
      </c>
      <c r="D18" s="56" t="s">
        <v>156</v>
      </c>
      <c r="E18" s="56" t="s">
        <v>156</v>
      </c>
      <c r="F18" s="58" t="s">
        <v>3415</v>
      </c>
    </row>
    <row r="19" spans="1:6" x14ac:dyDescent="0.5">
      <c r="A19">
        <v>15</v>
      </c>
      <c r="B19" t="s">
        <v>3461</v>
      </c>
      <c r="C19" t="s">
        <v>3466</v>
      </c>
      <c r="D19" s="56" t="s">
        <v>3467</v>
      </c>
      <c r="E19" s="56" t="s">
        <v>3467</v>
      </c>
      <c r="F19" s="58" t="s">
        <v>3415</v>
      </c>
    </row>
    <row r="20" spans="1:6" x14ac:dyDescent="0.5">
      <c r="A20">
        <v>16</v>
      </c>
      <c r="B20" t="s">
        <v>3461</v>
      </c>
      <c r="C20" t="s">
        <v>3468</v>
      </c>
      <c r="D20" s="56" t="s">
        <v>3429</v>
      </c>
      <c r="E20" s="56" t="s">
        <v>3429</v>
      </c>
      <c r="F20" s="58" t="s">
        <v>3415</v>
      </c>
    </row>
    <row r="21" spans="1:6" x14ac:dyDescent="0.5">
      <c r="A21">
        <v>17</v>
      </c>
      <c r="B21" t="s">
        <v>3461</v>
      </c>
      <c r="C21" t="s">
        <v>3469</v>
      </c>
      <c r="D21" s="56" t="s">
        <v>3381</v>
      </c>
      <c r="E21" s="56" t="s">
        <v>3381</v>
      </c>
      <c r="F21" s="58" t="s">
        <v>3415</v>
      </c>
    </row>
    <row r="22" spans="1:6" x14ac:dyDescent="0.5">
      <c r="A22">
        <v>18</v>
      </c>
      <c r="B22" t="s">
        <v>3470</v>
      </c>
      <c r="C22" t="s">
        <v>3471</v>
      </c>
      <c r="D22" s="56" t="s">
        <v>3472</v>
      </c>
      <c r="E22" s="56" t="s">
        <v>3472</v>
      </c>
      <c r="F22" s="58" t="s">
        <v>3415</v>
      </c>
    </row>
    <row r="23" spans="1:6" x14ac:dyDescent="0.5">
      <c r="A23">
        <v>19</v>
      </c>
      <c r="B23" t="s">
        <v>3470</v>
      </c>
      <c r="C23" t="s">
        <v>3473</v>
      </c>
      <c r="D23" s="56" t="s">
        <v>3474</v>
      </c>
      <c r="E23" s="56" t="s">
        <v>3474</v>
      </c>
      <c r="F23" s="58" t="s">
        <v>3415</v>
      </c>
    </row>
    <row r="24" spans="1:6" x14ac:dyDescent="0.5">
      <c r="A24">
        <v>20</v>
      </c>
      <c r="B24" t="s">
        <v>3470</v>
      </c>
      <c r="C24" t="s">
        <v>3475</v>
      </c>
      <c r="D24" s="56" t="s">
        <v>3476</v>
      </c>
      <c r="E24" s="56" t="s">
        <v>3476</v>
      </c>
      <c r="F24" s="58" t="s">
        <v>3415</v>
      </c>
    </row>
    <row r="25" spans="1:6" x14ac:dyDescent="0.5">
      <c r="A25">
        <v>21</v>
      </c>
      <c r="B25" t="s">
        <v>3477</v>
      </c>
      <c r="C25" t="s">
        <v>3478</v>
      </c>
      <c r="D25" s="56" t="s">
        <v>3429</v>
      </c>
      <c r="E25" s="56" t="s">
        <v>3429</v>
      </c>
      <c r="F25" s="58" t="s">
        <v>3415</v>
      </c>
    </row>
    <row r="26" spans="1:6" x14ac:dyDescent="0.5">
      <c r="A26">
        <v>22</v>
      </c>
      <c r="B26" t="s">
        <v>3477</v>
      </c>
      <c r="C26" t="s">
        <v>3479</v>
      </c>
      <c r="D26" s="56" t="s">
        <v>3429</v>
      </c>
      <c r="E26" s="56" t="s">
        <v>3429</v>
      </c>
      <c r="F26" s="58" t="s">
        <v>3415</v>
      </c>
    </row>
    <row r="27" spans="1:6" x14ac:dyDescent="0.5">
      <c r="A27">
        <v>23</v>
      </c>
      <c r="B27" t="s">
        <v>3480</v>
      </c>
      <c r="C27" t="s">
        <v>3481</v>
      </c>
      <c r="D27" s="56" t="s">
        <v>3422</v>
      </c>
      <c r="E27" s="56" t="s">
        <v>3422</v>
      </c>
      <c r="F27" s="58" t="s">
        <v>3415</v>
      </c>
    </row>
    <row r="28" spans="1:6" x14ac:dyDescent="0.5">
      <c r="A28">
        <v>24</v>
      </c>
      <c r="B28" t="s">
        <v>3480</v>
      </c>
      <c r="C28" t="s">
        <v>3482</v>
      </c>
      <c r="D28" s="56" t="s">
        <v>3426</v>
      </c>
      <c r="E28" s="56" t="s">
        <v>3426</v>
      </c>
      <c r="F28" s="58" t="s">
        <v>3415</v>
      </c>
    </row>
    <row r="29" spans="1:6" x14ac:dyDescent="0.5">
      <c r="A29">
        <v>25</v>
      </c>
      <c r="B29" t="s">
        <v>3483</v>
      </c>
      <c r="C29" t="s">
        <v>3484</v>
      </c>
      <c r="D29" s="56" t="s">
        <v>2631</v>
      </c>
      <c r="E29" s="56" t="s">
        <v>2631</v>
      </c>
      <c r="F29" s="58" t="s">
        <v>3415</v>
      </c>
    </row>
    <row r="30" spans="1:6" x14ac:dyDescent="0.5">
      <c r="A30">
        <v>26</v>
      </c>
      <c r="B30" t="s">
        <v>3483</v>
      </c>
      <c r="C30" t="s">
        <v>3485</v>
      </c>
      <c r="D30" s="56" t="s">
        <v>3486</v>
      </c>
      <c r="E30" s="56" t="s">
        <v>3486</v>
      </c>
      <c r="F30" s="58" t="s">
        <v>3415</v>
      </c>
    </row>
    <row r="31" spans="1:6" x14ac:dyDescent="0.5">
      <c r="A31">
        <v>27</v>
      </c>
      <c r="B31" t="s">
        <v>3483</v>
      </c>
      <c r="C31" t="s">
        <v>3487</v>
      </c>
      <c r="D31" s="56" t="s">
        <v>3429</v>
      </c>
      <c r="E31" s="56" t="s">
        <v>3429</v>
      </c>
      <c r="F31" s="58" t="s">
        <v>3415</v>
      </c>
    </row>
    <row r="32" spans="1:6" x14ac:dyDescent="0.5">
      <c r="A32">
        <v>28</v>
      </c>
      <c r="B32" t="s">
        <v>3488</v>
      </c>
      <c r="C32" t="s">
        <v>3489</v>
      </c>
      <c r="D32" s="56" t="s">
        <v>2631</v>
      </c>
      <c r="E32" s="56" t="s">
        <v>2631</v>
      </c>
      <c r="F32" s="58" t="s">
        <v>3415</v>
      </c>
    </row>
    <row r="33" spans="1:6" x14ac:dyDescent="0.5">
      <c r="A33">
        <v>29</v>
      </c>
      <c r="B33" t="s">
        <v>3488</v>
      </c>
      <c r="C33" t="s">
        <v>3490</v>
      </c>
      <c r="D33" s="56" t="s">
        <v>2631</v>
      </c>
      <c r="E33" s="56" t="s">
        <v>2631</v>
      </c>
      <c r="F33" s="58" t="s">
        <v>3415</v>
      </c>
    </row>
    <row r="34" spans="1:6" x14ac:dyDescent="0.5">
      <c r="A34">
        <v>30</v>
      </c>
      <c r="B34" t="s">
        <v>3488</v>
      </c>
      <c r="C34" t="s">
        <v>3491</v>
      </c>
      <c r="D34" s="56" t="s">
        <v>3486</v>
      </c>
      <c r="E34" s="56" t="s">
        <v>3486</v>
      </c>
      <c r="F34" s="58" t="s">
        <v>3415</v>
      </c>
    </row>
    <row r="35" spans="1:6" x14ac:dyDescent="0.5">
      <c r="A35">
        <v>31</v>
      </c>
      <c r="B35" t="s">
        <v>3488</v>
      </c>
      <c r="C35" t="s">
        <v>3492</v>
      </c>
      <c r="D35" s="56" t="s">
        <v>3486</v>
      </c>
      <c r="E35" s="56" t="s">
        <v>3486</v>
      </c>
      <c r="F35" s="58" t="s">
        <v>3415</v>
      </c>
    </row>
    <row r="36" spans="1:6" x14ac:dyDescent="0.5">
      <c r="A36">
        <v>32</v>
      </c>
      <c r="B36" t="s">
        <v>3493</v>
      </c>
      <c r="C36" t="s">
        <v>3494</v>
      </c>
      <c r="D36" s="56" t="s">
        <v>3429</v>
      </c>
      <c r="E36" s="56" t="s">
        <v>3429</v>
      </c>
      <c r="F36" s="58" t="s">
        <v>3415</v>
      </c>
    </row>
    <row r="37" spans="1:6" x14ac:dyDescent="0.5">
      <c r="A37">
        <v>33</v>
      </c>
      <c r="B37" t="s">
        <v>3493</v>
      </c>
      <c r="C37" t="s">
        <v>3495</v>
      </c>
      <c r="D37" s="56" t="s">
        <v>3429</v>
      </c>
      <c r="E37" s="56" t="s">
        <v>3429</v>
      </c>
      <c r="F37" s="58" t="s">
        <v>3415</v>
      </c>
    </row>
    <row r="38" spans="1:6" x14ac:dyDescent="0.5">
      <c r="A38">
        <v>34</v>
      </c>
      <c r="B38" t="s">
        <v>3493</v>
      </c>
      <c r="C38" t="s">
        <v>3496</v>
      </c>
      <c r="D38" s="56" t="s">
        <v>3450</v>
      </c>
      <c r="E38" s="56" t="s">
        <v>3450</v>
      </c>
      <c r="F38" s="58" t="s">
        <v>3415</v>
      </c>
    </row>
    <row r="39" spans="1:6" x14ac:dyDescent="0.5">
      <c r="A39">
        <v>35</v>
      </c>
      <c r="B39" t="s">
        <v>3493</v>
      </c>
      <c r="C39" t="s">
        <v>3497</v>
      </c>
      <c r="D39" s="56" t="s">
        <v>3451</v>
      </c>
      <c r="E39" s="56" t="s">
        <v>3451</v>
      </c>
      <c r="F39" s="58" t="s">
        <v>3415</v>
      </c>
    </row>
    <row r="40" spans="1:6" x14ac:dyDescent="0.5">
      <c r="A40">
        <v>36</v>
      </c>
      <c r="B40" t="s">
        <v>3493</v>
      </c>
      <c r="C40" t="s">
        <v>3498</v>
      </c>
      <c r="D40" s="56" t="s">
        <v>3016</v>
      </c>
      <c r="E40" s="56" t="s">
        <v>3016</v>
      </c>
      <c r="F40" s="58" t="s">
        <v>3415</v>
      </c>
    </row>
    <row r="41" spans="1:6" x14ac:dyDescent="0.5">
      <c r="A41">
        <v>37</v>
      </c>
      <c r="B41" t="s">
        <v>3493</v>
      </c>
      <c r="C41" t="s">
        <v>3499</v>
      </c>
      <c r="D41" s="56" t="s">
        <v>136</v>
      </c>
      <c r="E41" s="56" t="s">
        <v>136</v>
      </c>
      <c r="F41" s="58" t="s">
        <v>3415</v>
      </c>
    </row>
    <row r="42" spans="1:6" x14ac:dyDescent="0.5">
      <c r="A42">
        <v>38</v>
      </c>
      <c r="B42" t="s">
        <v>3493</v>
      </c>
      <c r="C42" t="s">
        <v>3500</v>
      </c>
      <c r="D42" s="56" t="s">
        <v>3017</v>
      </c>
      <c r="E42" s="56" t="s">
        <v>3017</v>
      </c>
      <c r="F42" s="58" t="s">
        <v>3415</v>
      </c>
    </row>
    <row r="43" spans="1:6" x14ac:dyDescent="0.5">
      <c r="A43">
        <v>39</v>
      </c>
      <c r="B43" t="s">
        <v>3493</v>
      </c>
      <c r="C43" t="s">
        <v>3501</v>
      </c>
      <c r="D43" s="56" t="s">
        <v>577</v>
      </c>
      <c r="E43" s="56" t="s">
        <v>577</v>
      </c>
      <c r="F43" s="58" t="s">
        <v>3415</v>
      </c>
    </row>
    <row r="44" spans="1:6" x14ac:dyDescent="0.5">
      <c r="A44">
        <v>40</v>
      </c>
      <c r="B44" t="s">
        <v>3502</v>
      </c>
      <c r="C44" t="s">
        <v>3503</v>
      </c>
      <c r="D44" s="56" t="s">
        <v>3429</v>
      </c>
      <c r="E44" s="56" t="s">
        <v>3429</v>
      </c>
      <c r="F44" s="58" t="s">
        <v>3415</v>
      </c>
    </row>
    <row r="45" spans="1:6" x14ac:dyDescent="0.5">
      <c r="A45">
        <v>41</v>
      </c>
      <c r="B45" t="s">
        <v>3502</v>
      </c>
      <c r="C45" t="s">
        <v>3504</v>
      </c>
      <c r="D45" s="56" t="s">
        <v>3429</v>
      </c>
      <c r="E45" s="56" t="s">
        <v>3429</v>
      </c>
      <c r="F45" s="58" t="s">
        <v>3415</v>
      </c>
    </row>
    <row r="46" spans="1:6" x14ac:dyDescent="0.5">
      <c r="A46">
        <v>42</v>
      </c>
      <c r="B46" t="s">
        <v>3502</v>
      </c>
      <c r="C46" t="s">
        <v>3505</v>
      </c>
      <c r="D46" s="56" t="s">
        <v>3016</v>
      </c>
      <c r="E46" s="56" t="s">
        <v>3016</v>
      </c>
      <c r="F46" s="58" t="s">
        <v>3415</v>
      </c>
    </row>
    <row r="47" spans="1:6" x14ac:dyDescent="0.5">
      <c r="A47">
        <v>43</v>
      </c>
      <c r="B47" t="s">
        <v>3502</v>
      </c>
      <c r="C47" t="s">
        <v>3499</v>
      </c>
      <c r="D47" s="56" t="s">
        <v>136</v>
      </c>
      <c r="E47" s="56" t="s">
        <v>136</v>
      </c>
      <c r="F47" s="58" t="s">
        <v>3415</v>
      </c>
    </row>
    <row r="48" spans="1:6" x14ac:dyDescent="0.5">
      <c r="A48">
        <v>44</v>
      </c>
      <c r="B48" t="s">
        <v>3502</v>
      </c>
      <c r="C48" t="s">
        <v>3506</v>
      </c>
      <c r="D48" s="56" t="s">
        <v>3507</v>
      </c>
      <c r="E48" s="56" t="s">
        <v>3507</v>
      </c>
      <c r="F48" s="58" t="s">
        <v>3415</v>
      </c>
    </row>
    <row r="49" spans="1:6" x14ac:dyDescent="0.5">
      <c r="A49">
        <v>45</v>
      </c>
      <c r="B49" t="s">
        <v>3502</v>
      </c>
      <c r="C49" t="s">
        <v>3508</v>
      </c>
      <c r="D49" s="56" t="s">
        <v>3017</v>
      </c>
      <c r="E49" s="56" t="s">
        <v>3017</v>
      </c>
      <c r="F49" s="58" t="s">
        <v>3415</v>
      </c>
    </row>
    <row r="50" spans="1:6" x14ac:dyDescent="0.5">
      <c r="A50">
        <v>46</v>
      </c>
      <c r="B50" t="s">
        <v>3502</v>
      </c>
      <c r="C50" t="s">
        <v>3501</v>
      </c>
      <c r="D50" s="56" t="s">
        <v>577</v>
      </c>
      <c r="E50" s="56" t="s">
        <v>577</v>
      </c>
      <c r="F50" s="58" t="s">
        <v>3415</v>
      </c>
    </row>
    <row r="51" spans="1:6" x14ac:dyDescent="0.5">
      <c r="A51">
        <v>47</v>
      </c>
      <c r="B51" t="s">
        <v>3502</v>
      </c>
      <c r="C51" t="s">
        <v>3509</v>
      </c>
      <c r="D51" s="56" t="s">
        <v>3510</v>
      </c>
      <c r="E51" s="56" t="s">
        <v>3510</v>
      </c>
      <c r="F51" s="58" t="s">
        <v>3415</v>
      </c>
    </row>
    <row r="52" spans="1:6" x14ac:dyDescent="0.5">
      <c r="A52">
        <v>48</v>
      </c>
      <c r="B52" t="s">
        <v>3511</v>
      </c>
      <c r="C52" t="s">
        <v>3512</v>
      </c>
      <c r="D52" s="56" t="s">
        <v>3429</v>
      </c>
      <c r="E52" s="56" t="s">
        <v>3429</v>
      </c>
      <c r="F52" s="58" t="s">
        <v>3415</v>
      </c>
    </row>
    <row r="53" spans="1:6" x14ac:dyDescent="0.5">
      <c r="A53">
        <v>49</v>
      </c>
      <c r="B53" t="s">
        <v>3511</v>
      </c>
      <c r="C53" t="s">
        <v>3513</v>
      </c>
      <c r="D53" s="56" t="s">
        <v>3429</v>
      </c>
      <c r="E53" s="56" t="s">
        <v>3429</v>
      </c>
      <c r="F53" s="58" t="s">
        <v>3415</v>
      </c>
    </row>
    <row r="54" spans="1:6" x14ac:dyDescent="0.5">
      <c r="A54">
        <v>50</v>
      </c>
      <c r="B54" t="s">
        <v>3511</v>
      </c>
      <c r="C54" t="s">
        <v>3496</v>
      </c>
      <c r="D54" s="56" t="s">
        <v>3453</v>
      </c>
      <c r="E54" s="56" t="s">
        <v>3453</v>
      </c>
      <c r="F54" s="58" t="s">
        <v>3415</v>
      </c>
    </row>
    <row r="55" spans="1:6" x14ac:dyDescent="0.5">
      <c r="A55">
        <v>51</v>
      </c>
      <c r="B55" t="s">
        <v>3511</v>
      </c>
      <c r="C55" t="s">
        <v>3514</v>
      </c>
      <c r="D55" s="56" t="s">
        <v>3004</v>
      </c>
      <c r="E55" s="56" t="s">
        <v>3004</v>
      </c>
      <c r="F55" s="58" t="s">
        <v>3415</v>
      </c>
    </row>
    <row r="56" spans="1:6" x14ac:dyDescent="0.5">
      <c r="A56">
        <v>52</v>
      </c>
      <c r="B56" t="s">
        <v>3511</v>
      </c>
      <c r="C56" t="s">
        <v>3515</v>
      </c>
      <c r="D56" s="56" t="s">
        <v>3143</v>
      </c>
      <c r="E56" s="56" t="s">
        <v>3143</v>
      </c>
      <c r="F56" s="58" t="s">
        <v>3415</v>
      </c>
    </row>
    <row r="57" spans="1:6" x14ac:dyDescent="0.5">
      <c r="A57">
        <v>53</v>
      </c>
      <c r="B57" t="s">
        <v>3511</v>
      </c>
      <c r="C57" t="s">
        <v>3516</v>
      </c>
      <c r="D57" s="56" t="s">
        <v>3422</v>
      </c>
      <c r="E57" s="56" t="s">
        <v>3422</v>
      </c>
      <c r="F57" s="58" t="s">
        <v>3415</v>
      </c>
    </row>
    <row r="58" spans="1:6" x14ac:dyDescent="0.5">
      <c r="A58">
        <v>54</v>
      </c>
      <c r="B58" t="s">
        <v>3517</v>
      </c>
      <c r="C58" t="s">
        <v>3518</v>
      </c>
      <c r="D58" s="56" t="s">
        <v>137</v>
      </c>
      <c r="E58" s="56" t="s">
        <v>137</v>
      </c>
      <c r="F58" s="58" t="s">
        <v>3415</v>
      </c>
    </row>
    <row r="59" spans="1:6" x14ac:dyDescent="0.5">
      <c r="A59">
        <v>55</v>
      </c>
      <c r="B59" t="s">
        <v>3517</v>
      </c>
      <c r="C59" t="s">
        <v>3519</v>
      </c>
      <c r="D59" s="56" t="s">
        <v>2633</v>
      </c>
      <c r="E59" s="56" t="s">
        <v>2633</v>
      </c>
      <c r="F59" s="58" t="s">
        <v>3415</v>
      </c>
    </row>
    <row r="60" spans="1:6" x14ac:dyDescent="0.5">
      <c r="A60">
        <v>56</v>
      </c>
      <c r="B60" t="s">
        <v>3517</v>
      </c>
      <c r="C60" t="s">
        <v>3520</v>
      </c>
      <c r="D60" s="56" t="s">
        <v>3521</v>
      </c>
      <c r="E60" s="56" t="s">
        <v>3521</v>
      </c>
      <c r="F60" s="58" t="s">
        <v>3415</v>
      </c>
    </row>
    <row r="61" spans="1:6" x14ac:dyDescent="0.5">
      <c r="A61">
        <v>57</v>
      </c>
      <c r="B61" t="s">
        <v>3517</v>
      </c>
      <c r="C61" t="s">
        <v>3522</v>
      </c>
      <c r="D61" s="56" t="s">
        <v>3523</v>
      </c>
      <c r="E61" s="56" t="s">
        <v>3523</v>
      </c>
      <c r="F61" s="58" t="s">
        <v>3415</v>
      </c>
    </row>
    <row r="62" spans="1:6" x14ac:dyDescent="0.5">
      <c r="A62">
        <v>58</v>
      </c>
      <c r="B62" t="s">
        <v>3524</v>
      </c>
      <c r="C62" t="s">
        <v>3525</v>
      </c>
      <c r="D62" s="56" t="s">
        <v>3429</v>
      </c>
      <c r="E62" s="56" t="s">
        <v>3429</v>
      </c>
      <c r="F62" s="58" t="s">
        <v>3415</v>
      </c>
    </row>
    <row r="63" spans="1:6" x14ac:dyDescent="0.5">
      <c r="A63">
        <v>59</v>
      </c>
      <c r="B63" t="s">
        <v>3524</v>
      </c>
      <c r="C63" t="s">
        <v>3526</v>
      </c>
      <c r="D63" s="56" t="s">
        <v>3429</v>
      </c>
      <c r="E63" s="56" t="s">
        <v>3429</v>
      </c>
      <c r="F63" s="58" t="s">
        <v>3415</v>
      </c>
    </row>
    <row r="64" spans="1:6" x14ac:dyDescent="0.5">
      <c r="A64">
        <v>60</v>
      </c>
      <c r="B64" t="s">
        <v>3527</v>
      </c>
      <c r="C64" t="s">
        <v>3528</v>
      </c>
      <c r="D64" s="56" t="s">
        <v>3529</v>
      </c>
      <c r="E64" s="56" t="s">
        <v>3529</v>
      </c>
      <c r="F64" s="58" t="s">
        <v>3415</v>
      </c>
    </row>
    <row r="65" spans="1:6" x14ac:dyDescent="0.5">
      <c r="A65">
        <v>61</v>
      </c>
      <c r="B65" t="s">
        <v>3527</v>
      </c>
      <c r="C65" t="s">
        <v>3530</v>
      </c>
      <c r="D65" s="56" t="s">
        <v>3419</v>
      </c>
      <c r="E65" s="56" t="s">
        <v>3419</v>
      </c>
      <c r="F65" s="58" t="s">
        <v>3415</v>
      </c>
    </row>
    <row r="66" spans="1:6" x14ac:dyDescent="0.5">
      <c r="A66">
        <v>62</v>
      </c>
      <c r="B66" t="s">
        <v>3531</v>
      </c>
      <c r="C66" t="s">
        <v>3532</v>
      </c>
      <c r="D66" s="56" t="s">
        <v>3429</v>
      </c>
      <c r="E66" s="56" t="s">
        <v>3429</v>
      </c>
      <c r="F66" s="58" t="s">
        <v>3415</v>
      </c>
    </row>
    <row r="67" spans="1:6" x14ac:dyDescent="0.5">
      <c r="A67">
        <v>63</v>
      </c>
      <c r="B67" t="s">
        <v>3533</v>
      </c>
      <c r="C67" t="s">
        <v>3534</v>
      </c>
      <c r="D67" s="56" t="s">
        <v>3429</v>
      </c>
      <c r="E67" s="56" t="s">
        <v>3429</v>
      </c>
      <c r="F67" s="58" t="s">
        <v>3415</v>
      </c>
    </row>
    <row r="68" spans="1:6" x14ac:dyDescent="0.5">
      <c r="A68">
        <v>64</v>
      </c>
      <c r="B68" t="s">
        <v>3533</v>
      </c>
      <c r="C68" t="s">
        <v>3535</v>
      </c>
      <c r="D68" s="56" t="s">
        <v>3429</v>
      </c>
      <c r="E68" s="56" t="s">
        <v>3429</v>
      </c>
      <c r="F68" s="58" t="s">
        <v>3415</v>
      </c>
    </row>
    <row r="69" spans="1:6" x14ac:dyDescent="0.5">
      <c r="A69">
        <v>65</v>
      </c>
      <c r="B69" t="s">
        <v>3533</v>
      </c>
      <c r="C69" t="s">
        <v>3586</v>
      </c>
      <c r="D69" s="56" t="s">
        <v>3429</v>
      </c>
      <c r="E69" s="56" t="s">
        <v>3429</v>
      </c>
      <c r="F69" s="58" t="s">
        <v>3415</v>
      </c>
    </row>
    <row r="70" spans="1:6" x14ac:dyDescent="0.5">
      <c r="A70">
        <v>66</v>
      </c>
      <c r="B70" t="s">
        <v>3533</v>
      </c>
      <c r="C70" t="s">
        <v>3587</v>
      </c>
      <c r="D70" s="56" t="s">
        <v>3429</v>
      </c>
      <c r="E70" s="56" t="s">
        <v>3429</v>
      </c>
      <c r="F70" s="58" t="s">
        <v>3415</v>
      </c>
    </row>
    <row r="71" spans="1:6" x14ac:dyDescent="0.5">
      <c r="A71">
        <v>67</v>
      </c>
      <c r="B71" t="s">
        <v>3533</v>
      </c>
      <c r="C71" t="s">
        <v>3588</v>
      </c>
      <c r="D71" s="56" t="s">
        <v>3429</v>
      </c>
      <c r="E71" s="56" t="s">
        <v>3429</v>
      </c>
      <c r="F71" s="58" t="s">
        <v>3415</v>
      </c>
    </row>
    <row r="72" spans="1:6" x14ac:dyDescent="0.5">
      <c r="A72">
        <v>68</v>
      </c>
      <c r="B72" t="s">
        <v>3533</v>
      </c>
      <c r="C72" t="s">
        <v>3589</v>
      </c>
      <c r="D72" s="56" t="s">
        <v>3429</v>
      </c>
      <c r="E72" s="56" t="s">
        <v>3429</v>
      </c>
      <c r="F72" s="58" t="s">
        <v>3415</v>
      </c>
    </row>
    <row r="73" spans="1:6" x14ac:dyDescent="0.5">
      <c r="A73">
        <v>69</v>
      </c>
      <c r="B73" t="s">
        <v>3536</v>
      </c>
      <c r="C73" t="s">
        <v>3537</v>
      </c>
      <c r="D73" s="56" t="s">
        <v>3429</v>
      </c>
      <c r="E73" s="56" t="s">
        <v>3429</v>
      </c>
      <c r="F73" s="58" t="s">
        <v>3415</v>
      </c>
    </row>
    <row r="74" spans="1:6" x14ac:dyDescent="0.5">
      <c r="A74">
        <v>70</v>
      </c>
      <c r="B74" t="s">
        <v>3538</v>
      </c>
      <c r="C74" t="s">
        <v>3539</v>
      </c>
      <c r="D74" s="56" t="s">
        <v>161</v>
      </c>
      <c r="E74" s="56" t="s">
        <v>161</v>
      </c>
      <c r="F74" s="58" t="s">
        <v>3415</v>
      </c>
    </row>
    <row r="75" spans="1:6" x14ac:dyDescent="0.5">
      <c r="A75">
        <v>71</v>
      </c>
      <c r="B75" t="s">
        <v>3538</v>
      </c>
      <c r="C75" t="s">
        <v>3540</v>
      </c>
      <c r="D75" s="56" t="s">
        <v>3319</v>
      </c>
      <c r="E75" s="56" t="s">
        <v>3319</v>
      </c>
      <c r="F75" s="58" t="s">
        <v>3415</v>
      </c>
    </row>
    <row r="76" spans="1:6" x14ac:dyDescent="0.5">
      <c r="A76">
        <v>72</v>
      </c>
      <c r="B76" t="s">
        <v>3541</v>
      </c>
      <c r="C76" t="s">
        <v>3542</v>
      </c>
      <c r="D76" s="56" t="s">
        <v>3429</v>
      </c>
      <c r="E76" s="56" t="s">
        <v>3429</v>
      </c>
      <c r="F76" s="58" t="s">
        <v>3415</v>
      </c>
    </row>
    <row r="77" spans="1:6" x14ac:dyDescent="0.5">
      <c r="A77">
        <v>73</v>
      </c>
      <c r="B77" t="s">
        <v>3541</v>
      </c>
      <c r="C77" t="s">
        <v>3543</v>
      </c>
      <c r="D77" s="56" t="s">
        <v>3429</v>
      </c>
      <c r="E77" s="56" t="s">
        <v>3429</v>
      </c>
      <c r="F77" s="58" t="s">
        <v>3415</v>
      </c>
    </row>
    <row r="78" spans="1:6" x14ac:dyDescent="0.5">
      <c r="A78">
        <v>74</v>
      </c>
      <c r="B78" t="s">
        <v>3541</v>
      </c>
      <c r="C78" t="s">
        <v>3544</v>
      </c>
      <c r="D78" s="56" t="s">
        <v>3458</v>
      </c>
      <c r="E78" s="56" t="s">
        <v>3458</v>
      </c>
      <c r="F78" s="58" t="s">
        <v>3415</v>
      </c>
    </row>
    <row r="79" spans="1:6" x14ac:dyDescent="0.5">
      <c r="A79">
        <v>75</v>
      </c>
      <c r="B79" t="s">
        <v>3541</v>
      </c>
      <c r="C79" t="s">
        <v>3545</v>
      </c>
      <c r="D79" s="56" t="s">
        <v>3459</v>
      </c>
      <c r="E79" s="56" t="s">
        <v>3459</v>
      </c>
      <c r="F79" s="58" t="s">
        <v>3415</v>
      </c>
    </row>
    <row r="80" spans="1:6" x14ac:dyDescent="0.5">
      <c r="A80">
        <v>76</v>
      </c>
      <c r="B80" t="s">
        <v>3541</v>
      </c>
      <c r="C80" t="s">
        <v>3546</v>
      </c>
      <c r="D80" s="56" t="s">
        <v>3315</v>
      </c>
      <c r="E80" s="56" t="s">
        <v>3315</v>
      </c>
      <c r="F80" s="58" t="s">
        <v>3415</v>
      </c>
    </row>
    <row r="81" spans="1:6" x14ac:dyDescent="0.5">
      <c r="A81">
        <v>77</v>
      </c>
      <c r="B81" t="s">
        <v>3541</v>
      </c>
      <c r="C81" t="s">
        <v>3547</v>
      </c>
      <c r="D81" s="56" t="s">
        <v>3548</v>
      </c>
      <c r="E81" s="56" t="s">
        <v>3548</v>
      </c>
      <c r="F81" s="58" t="s">
        <v>3415</v>
      </c>
    </row>
    <row r="82" spans="1:6" x14ac:dyDescent="0.5">
      <c r="A82">
        <v>78</v>
      </c>
      <c r="B82" t="s">
        <v>3541</v>
      </c>
      <c r="C82" t="s">
        <v>3549</v>
      </c>
      <c r="D82" s="56" t="s">
        <v>3315</v>
      </c>
      <c r="E82" s="56" t="s">
        <v>3315</v>
      </c>
      <c r="F82" s="58" t="s">
        <v>3415</v>
      </c>
    </row>
    <row r="83" spans="1:6" x14ac:dyDescent="0.5">
      <c r="A83">
        <v>79</v>
      </c>
      <c r="B83" t="s">
        <v>3541</v>
      </c>
      <c r="C83" t="s">
        <v>3550</v>
      </c>
      <c r="D83" s="56" t="s">
        <v>3551</v>
      </c>
      <c r="E83" s="56" t="s">
        <v>3551</v>
      </c>
      <c r="F83" s="58" t="s">
        <v>3415</v>
      </c>
    </row>
    <row r="84" spans="1:6" x14ac:dyDescent="0.5">
      <c r="A84">
        <v>80</v>
      </c>
      <c r="B84" t="s">
        <v>3613</v>
      </c>
      <c r="C84" t="s">
        <v>3614</v>
      </c>
      <c r="D84" s="56" t="s">
        <v>3429</v>
      </c>
      <c r="E84" s="56" t="s">
        <v>3429</v>
      </c>
      <c r="F84" s="58" t="s">
        <v>3415</v>
      </c>
    </row>
    <row r="85" spans="1:6" x14ac:dyDescent="0.5">
      <c r="A85">
        <v>81</v>
      </c>
      <c r="B85" t="s">
        <v>3613</v>
      </c>
      <c r="C85" t="s">
        <v>3615</v>
      </c>
      <c r="D85" s="56" t="s">
        <v>3429</v>
      </c>
      <c r="E85" s="56" t="s">
        <v>3429</v>
      </c>
      <c r="F85" s="58" t="s">
        <v>3415</v>
      </c>
    </row>
    <row r="86" spans="1:6" x14ac:dyDescent="0.5">
      <c r="A86">
        <v>82</v>
      </c>
      <c r="B86" t="s">
        <v>3613</v>
      </c>
      <c r="C86" t="s">
        <v>3616</v>
      </c>
      <c r="D86" s="56" t="s">
        <v>3429</v>
      </c>
      <c r="E86" s="56" t="s">
        <v>3429</v>
      </c>
      <c r="F86" s="58" t="s">
        <v>3415</v>
      </c>
    </row>
    <row r="87" spans="1:6" x14ac:dyDescent="0.5">
      <c r="A87">
        <v>83</v>
      </c>
      <c r="B87" t="s">
        <v>3613</v>
      </c>
      <c r="C87" t="s">
        <v>3617</v>
      </c>
      <c r="D87" s="56" t="s">
        <v>3429</v>
      </c>
      <c r="E87" s="56" t="s">
        <v>3429</v>
      </c>
      <c r="F87" s="58" t="s">
        <v>3415</v>
      </c>
    </row>
    <row r="88" spans="1:6" x14ac:dyDescent="0.5">
      <c r="A88">
        <v>84</v>
      </c>
      <c r="B88" t="s">
        <v>3613</v>
      </c>
      <c r="C88" t="s">
        <v>3618</v>
      </c>
      <c r="D88" s="56" t="s">
        <v>3429</v>
      </c>
      <c r="E88" s="56" t="s">
        <v>3429</v>
      </c>
      <c r="F88" s="58" t="s">
        <v>3415</v>
      </c>
    </row>
    <row r="89" spans="1:6" x14ac:dyDescent="0.5">
      <c r="A89">
        <v>85</v>
      </c>
      <c r="B89" t="s">
        <v>3613</v>
      </c>
      <c r="C89" t="s">
        <v>3619</v>
      </c>
      <c r="D89" s="56" t="s">
        <v>3429</v>
      </c>
      <c r="E89" s="56" t="s">
        <v>3429</v>
      </c>
      <c r="F89" s="58" t="s">
        <v>3415</v>
      </c>
    </row>
    <row r="90" spans="1:6" x14ac:dyDescent="0.5">
      <c r="A90">
        <v>86</v>
      </c>
      <c r="B90" t="s">
        <v>3613</v>
      </c>
      <c r="C90" t="s">
        <v>3620</v>
      </c>
      <c r="D90" s="56" t="s">
        <v>3429</v>
      </c>
      <c r="E90" s="56" t="s">
        <v>3429</v>
      </c>
      <c r="F90" s="58" t="s">
        <v>3415</v>
      </c>
    </row>
    <row r="91" spans="1:6" x14ac:dyDescent="0.5">
      <c r="A91">
        <v>87</v>
      </c>
      <c r="B91" t="s">
        <v>3613</v>
      </c>
      <c r="C91" t="s">
        <v>3621</v>
      </c>
      <c r="D91" s="56" t="s">
        <v>3429</v>
      </c>
      <c r="E91" s="56" t="s">
        <v>3429</v>
      </c>
      <c r="F91" s="58" t="s">
        <v>3415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3"/>
  <dimension ref="A1:S42"/>
  <sheetViews>
    <sheetView tabSelected="1" topLeftCell="A11"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99" t="str" cm="1">
        <f t="array" aca="1" ref="B1" ca="1">_xlfn.LET(_xlpm.fn, CELL("filename",$A$1), _xlpm.nm, MID(_xlpm.fn, FIND("]", _xlpm.fn) + 1, 255), _xlfn.XLOOKUP(_xlpm.nm &amp; "(*", Lamb!$A$2:$A$1000, Lamb!$A$2:$A$1000, "", 2))</f>
        <v>addr_lookup(arr, addr_or_value, [rows_n], [cols_n])</v>
      </c>
      <c r="C1" s="95"/>
      <c r="D1" s="95"/>
      <c r="E1" s="95"/>
      <c r="F1" s="96"/>
      <c r="H1" s="45" t="s">
        <v>2</v>
      </c>
      <c r="I1" s="94" t="str" cm="1">
        <f t="array" aca="1" ref="I1" ca="1">_xlfn.LET(_xlpm.fn, CELL("filename",$A$1), _xlpm.nm, MID(_xlpm.fn, FIND("]", _xlpm.fn) + 1, 255), _xlfn.XLOOKUP(_xlpm.nm &amp; "(*", Lamb!$A$2:$A$1000, Lamb!$D$2:$D$1000, "", 2))</f>
        <v>Non-volatile alternative to INDIRECT, and its inverse: address to value, or value to address.
Which way it goes depends on what you pass as addr_or_value, decided by z_is_ad:
  a valid address or range -&gt; returns the value(s) there (lookup)
  anything else            -&gt; returns the numeric address of the first match (reverse lookup)
arr does not have to start at A1. Addresses are absolute sheet coordinates and are resolved against arr's own top-left corner, so a lookup into B2:Z10 uses the same "C3" you would type on the sheet.
Reverse lookup scans row-major (left to right, then down) and returns the first match as a numeric address (1e6*row+col); pass it to str_ad for an A1 string. Matching follows Excel's usual rules, so text comparison is case-insensitive.
[rows_n] and [cols_n] grow the block, adding rows_n-1 rows and cols_n-1 columns to whatever the address or range already covers. The result is a scalar only when the address is a single cell and both are 1; otherwise it is an array. Growth happens before clipping, so a block that runs off the edge of arr is trimmed to the overlap, exactly like a partially overlapping range.
Arguments:
  arr           - source range to read from.
  addr_or_value - a numeric address, an A1 string ("C3"), an A1 range ("B2:D4"), an array of addresses, or a value to search for.
  [rows_n]      - total rows to return, default 1. Adds rows_n-1 rows.
  [cols_n]      - total columns to return, default 1. Adds cols_n-1 columns.
Returns:
  The value at a single address, the rectangle covered by a range, an array of values for an array of addresses, or the numeric address of a searched-for value. "" when nothing overlaps arr, or when a searched-for value is not found.
  An array of addresses is looked up cell by cell and ignores rows_n/cols_n, since each element already stands for one cell.
Example:
  addr_lookup(B2:Z10, "C3")           -&gt;  the value at C3
  addr_lookup(B2:Z10, "C3", 5, 1)     -&gt;  C3:C7
  addr_lookup(B2:Z10, "C3:D4", 5, 1)  -&gt;  C3:D8
  addr_lookup(B2:Z10, 50)             -&gt;  numeric address of the first 50</v>
      </c>
      <c r="J1" s="95"/>
      <c r="K1" s="95"/>
      <c r="L1" s="95"/>
      <c r="M1" s="95"/>
      <c r="N1" s="95"/>
      <c r="O1" s="95"/>
      <c r="P1" s="95"/>
      <c r="Q1" s="95"/>
      <c r="R1" s="96"/>
    </row>
    <row r="2" spans="1:19" ht="409" customHeight="1" x14ac:dyDescent="0.5">
      <c r="A2" s="45" t="s">
        <v>4</v>
      </c>
      <c r="B2" s="97" t="str" cm="1">
        <f t="array" aca="1" ref="B2" ca="1">_xlfn.LET(_xlpm.fn, CELL("filename",$A$1), _xlpm.nm, MID(_xlpm.fn, FIND("]", _xlpm.fn) + 1, 255), _xlfn.XLOOKUP(_xlpm.nm &amp; "(*", Lamb!$A$2:$A$1000, Lamb!$C$2:$C$1000, "", 2))</f>
        <v>=LAMBDA(arr, addr_or_value, [rows_n], [cols_n],
  LET(
    n_r, IF(ISOMITTED(rows_n), 1, rows_n),
    n_c, IF(ISOMITTED(cols_n), 1, cols_n),
    s_row, ROW(INDEX(arr, 1, 1)),
    s_col, COLUMN(INDEX(arr, 1, 1)),
    a_rows, ROWS(arr),
    a_cols, COLUMNS(arr),
    many, ROWS(addr_or_value) * COLUMNS(addr_or_value) &gt; 1,
    cell_at, LAMBDA(one, IFERROR(LET(
      num, num_ad(one),
      r_off, INT(num / 1000000) - s_row + 1,
      c_off, MOD(num, 1000000) - s_col + 1,
      IF(OR(r_off &lt; 1, r_off &gt; a_rows, c_off &lt; 1, c_off &gt; a_cols), "",
         INDEX(arr, r_off, c_off))), "")),
    box, IFERROR(z_ad_box(addr_or_value), 0),
    IF(many, MAP(addr_or_value, cell_at),
      IF(COUNT(box) &lt; 4,
        LET(
          hit, IFERROR(XMATCH(addr_or_value, TOROW(arr), 0), 0),
          row_i, INT((hit - 1) / a_cols) + 1,
          IF(hit = 0, "",
             1000000 * (s_row + row_i - 1) + s_col + hit - (row_i - 1) * a_cols - 1)),
        LET(
          top, INDEX(box, 1),
          lft, INDEX(box, 2),
          bot, INDEX(box, 3) + n_r - 1,
          rgt, INDEX(box, 4) + n_c - 1,
          i_top, MAX(s_row, top),
          i_lft, MAX(s_col, lft),
          i_bot, MIN(s_row + a_rows - 1, bot),
          i_rgt, MIN(s_col + a_cols - 1, rgt),
          IF(OR(i_top &gt; i_bot, i_lft &gt; i_rgt), "",
            IF(AND(top = INDEX(box, 3), lft = INDEX(box, 4), n_r = 1, n_c = 1),
               INDEX(arr, i_top - s_row + 1, i_lft - s_col + 1),
               TAKE(DROP(arr, i_top - s_row, i_lft - s_col),
                    i_bot - i_top + 1, i_rgt - i_lft + 1))))))
  )
)</v>
      </c>
      <c r="C2" s="98"/>
      <c r="D2" s="98"/>
      <c r="E2" s="98"/>
      <c r="F2" s="98"/>
      <c r="G2" s="98"/>
      <c r="H2" s="98"/>
      <c r="I2" s="98"/>
      <c r="J2" s="98"/>
      <c r="K2" s="98"/>
      <c r="L2" s="98"/>
      <c r="M2" s="98"/>
      <c r="N2" s="98"/>
      <c r="O2" s="98"/>
      <c r="P2" s="98"/>
      <c r="Q2" s="98"/>
      <c r="R2" s="98"/>
    </row>
    <row r="4" spans="1:19" x14ac:dyDescent="0.5">
      <c r="A4" s="45" t="inlineStr">
        <is>
          <t xml:space="preserve">ad2cont(ad_or_rng, arr) - non-volatile INDIRECT: contents of arr at an address or range. Empty cells return "" (never 0). No overlap or a non-address returns "". Fixture: D7:F9 holds 10..90.</t>
        </is>
      </c>
      <c r="S4" s="45">
        <f>COUNTIF(S11:S60,"PASS")&amp;" / 8 PASS"</f>
      </c>
    </row>
    <row r="5" spans="1:19" x14ac:dyDescent="0.5">
      <c r="B5" s="45" t="inlineStr">
        <is>
          <t xml:space="preserve">Case</t>
        </is>
      </c>
      <c r="M5" s="48" t="inlineStr">
        <is>
          <t xml:space="preserve">Expected</t>
        </is>
      </c>
      <c r="P5" s="49" t="inlineStr">
        <is>
          <t xml:space="preserve">Actual</t>
        </is>
      </c>
      <c r="S5" s="50" t="inlineStr">
        <is>
          <t xml:space="preserve">Match</t>
        </is>
      </c>
    </row>
    <row r="6" spans="1:19" x14ac:dyDescent="0.5">
      <c r="D6" s="45" t="s">
        <v>2986</v>
      </c>
      <c r="K6" s="45" t="s">
        <v>2987</v>
      </c>
    </row>
    <row r="7" spans="1:19" x14ac:dyDescent="0.5">
      <c r="D7" s="51">
        <v>10</v>
      </c>
      <c r="E7" s="51">
        <v>20</v>
      </c>
      <c r="F7" s="51">
        <v>30</v>
      </c>
      <c r="H7"/>
      <c r="I7">
        <v>0</v>
      </c>
      <c r="K7" s="51" t="inlineStr">
        <is>
          <t xml:space="preserve">D7</t>
        </is>
      </c>
    </row>
    <row r="8" spans="1:19" x14ac:dyDescent="0.5">
      <c r="D8" s="51">
        <v>40</v>
      </c>
      <c r="E8" s="51">
        <v>50</v>
      </c>
      <c r="F8" s="51">
        <v>60</v>
      </c>
      <c r="H8">
        <v>1</v>
      </c>
      <c r="K8" s="51" t="inlineStr">
        <is>
          <t xml:space="preserve">F9</t>
        </is>
      </c>
    </row>
    <row r="9" spans="1:19" x14ac:dyDescent="0.5">
      <c r="D9" s="51">
        <v>70</v>
      </c>
      <c r="E9" s="51">
        <v>80</v>
      </c>
      <c r="F9" s="51">
        <v>90</v>
      </c>
    </row>
    <row r="10" spans="1:19" x14ac:dyDescent="0.5">
      <c r="B10"/>
      <c r="C10"/>
      <c r="E10" s="51"/>
      <c r="G10"/>
      <c r="H10"/>
      <c r="I10"/>
      <c r="J10"/>
      <c r="K10"/>
      <c r="L10"/>
      <c r="M10"/>
      <c r="N10"/>
      <c r="O10"/>
      <c r="P10"/>
      <c r="Q10"/>
      <c r="R10"/>
      <c r="S10"/>
    </row>
    <row r="11" spans="1:19" x14ac:dyDescent="0.5">
      <c r="B11" s="47" t="inlineStr">
        <is>
          <t xml:space="preserve">A1 "E8" -&gt; 50</t>
        </is>
      </c>
      <c r="C11"/>
      <c r="E11" s="51"/>
      <c r="G11"/>
      <c r="H11"/>
      <c r="I11"/>
      <c r="J11"/>
      <c r="K11"/>
      <c r="L11"/>
      <c r="M11" s="52">
        <v>50</v>
      </c>
      <c r="N11"/>
      <c r="O11"/>
      <c r="P11" s="53">
        <f>ad2cont("E8",D7:F9)</f>
      </c>
      <c r="Q11"/>
      <c r="R11"/>
      <c r="S11" s="54">
        <f>IF(P11=M11,"PASS","FAIL")</f>
      </c>
    </row>
    <row r="12" spans="1:19" x14ac:dyDescent="0.5">
      <c r="B12" s="47"/>
      <c r="C12"/>
      <c r="E12" s="51"/>
      <c r="G12"/>
      <c r="H12"/>
      <c r="I12"/>
      <c r="J12"/>
      <c r="K12"/>
      <c r="L12"/>
      <c r="M12" s="52"/>
      <c r="N12"/>
      <c r="O12"/>
      <c r="P12" s="53"/>
      <c r="Q12"/>
      <c r="R12"/>
      <c r="S12" s="54"/>
    </row>
    <row r="13" spans="1:19" x14ac:dyDescent="0.5">
      <c r="B13" s="47" t="inlineStr">
        <is>
          <t xml:space="preserve">numeric 8000005 (E8) -&gt; 50</t>
        </is>
      </c>
      <c r="C13"/>
      <c r="E13" s="51"/>
      <c r="G13"/>
      <c r="H13"/>
      <c r="I13"/>
      <c r="J13"/>
      <c r="K13"/>
      <c r="L13"/>
      <c r="M13" s="52">
        <v>50</v>
      </c>
      <c r="N13"/>
      <c r="O13"/>
      <c r="P13" s="53">
        <f>ad2cont(8000005,D7:F9)</f>
      </c>
      <c r="Q13"/>
      <c r="R13"/>
      <c r="S13" s="54">
        <f>IF(P13=M13,"PASS","FAIL")</f>
      </c>
    </row>
    <row r="14">
      <c r="B14"/>
      <c r="C14"/>
      <c r="E14" s="51"/>
      <c r="G14"/>
      <c r="H14"/>
      <c r="I14"/>
      <c r="J14"/>
      <c r="K14"/>
      <c r="L14"/>
      <c r="M14" s="52"/>
      <c r="N14"/>
      <c r="O14"/>
      <c r="P14" s="53"/>
      <c r="Q14"/>
      <c r="R14"/>
      <c r="S14" s="54"/>
    </row>
    <row r="15" spans="1:19" x14ac:dyDescent="0.5">
      <c r="B15" s="47" t="inlineStr">
        <is>
          <t xml:space="preserve">A1 range "D7:E8" -&gt; 2x2</t>
        </is>
      </c>
      <c r="C15"/>
      <c r="E15" s="51"/>
      <c r="G15"/>
      <c r="H15"/>
      <c r="I15"/>
      <c r="J15"/>
      <c r="K15"/>
      <c r="L15"/>
      <c r="M15" s="52">
        <v>10</v>
      </c>
      <c r="N15" s="52">
        <v>20</v>
      </c>
      <c r="O15"/>
      <c r="P15" s="53">
        <f>ad2cont("D7:E8",D7:F9)</f>
      </c>
      <c r="Q15" s="53"/>
      <c r="R15"/>
      <c r="S15" s="54">
        <f>IF(AND(M15:N16=P15:Q16),"PASS","FAIL")</f>
      </c>
    </row>
    <row r="16" spans="1:19" x14ac:dyDescent="0.5">
      <c r="B16" s="47"/>
      <c r="C16"/>
      <c r="E16" s="51"/>
      <c r="G16"/>
      <c r="H16"/>
      <c r="I16"/>
      <c r="J16"/>
      <c r="K16"/>
      <c r="L16"/>
      <c r="M16" s="52">
        <v>40</v>
      </c>
      <c r="N16" s="52">
        <v>50</v>
      </c>
      <c r="O16"/>
      <c r="P16" s="53"/>
      <c r="Q16" s="53"/>
      <c r="R16"/>
      <c r="S16" s="54"/>
    </row>
    <row r="17">
      <c r="B17"/>
      <c r="C17"/>
      <c r="E17" s="51"/>
      <c r="G17"/>
      <c r="H17"/>
      <c r="I17"/>
      <c r="J17"/>
      <c r="K17"/>
      <c r="L17"/>
      <c r="M17" s="52"/>
      <c r="N17" s="52"/>
      <c r="O17"/>
      <c r="P17" s="53"/>
      <c r="Q17" s="53"/>
      <c r="R17"/>
      <c r="S17" s="54"/>
    </row>
    <row r="18" spans="2:19" x14ac:dyDescent="0.5">
      <c r="B18" s="47" t="inlineStr">
        <is>
          <t xml:space="preserve">numeric range "7000004:8000005" -&gt; 2x2</t>
        </is>
      </c>
      <c r="C18"/>
      <c r="E18" s="51"/>
      <c r="G18"/>
      <c r="H18"/>
      <c r="I18"/>
      <c r="J18"/>
      <c r="K18"/>
      <c r="L18"/>
      <c r="M18" s="52">
        <v>10</v>
      </c>
      <c r="N18" s="52">
        <v>20</v>
      </c>
      <c r="O18"/>
      <c r="P18" s="53">
        <f>ad2cont("7000004:8000005",D7:F9)</f>
      </c>
      <c r="Q18" s="53"/>
      <c r="R18"/>
      <c r="S18" s="54">
        <f>IF(AND(M18:N19=P18:Q19),"PASS","FAIL")</f>
      </c>
    </row>
    <row r="19" spans="2:19" x14ac:dyDescent="0.5">
      <c r="B19" s="47"/>
      <c r="C19"/>
      <c r="E19" s="51"/>
      <c r="G19"/>
      <c r="H19"/>
      <c r="I19"/>
      <c r="J19"/>
      <c r="K19"/>
      <c r="L19"/>
      <c r="M19" s="52">
        <v>40</v>
      </c>
      <c r="N19" s="52">
        <v>50</v>
      </c>
      <c r="O19"/>
      <c r="P19" s="53"/>
      <c r="Q19" s="53"/>
      <c r="R19"/>
      <c r="S19" s="54"/>
    </row>
    <row r="20">
      <c r="B20"/>
      <c r="C20"/>
      <c r="E20" s="51"/>
      <c r="G20"/>
      <c r="H20"/>
      <c r="I20"/>
      <c r="J20"/>
      <c r="K20"/>
      <c r="L20"/>
      <c r="M20" s="52"/>
      <c r="N20" s="52"/>
      <c r="O20"/>
      <c r="P20" s="53"/>
      <c r="Q20" s="53"/>
      <c r="R20"/>
      <c r="S20" s="54"/>
    </row>
    <row r="21" spans="2:19" x14ac:dyDescent="0.5">
      <c r="B21" s="47" t="inlineStr">
        <is>
          <t xml:space="preserve">addr array {D7;F9} -&gt; {10;90}</t>
        </is>
      </c>
      <c r="C21"/>
      <c r="E21" s="51"/>
      <c r="G21"/>
      <c r="H21"/>
      <c r="I21"/>
      <c r="J21"/>
      <c r="K21"/>
      <c r="L21"/>
      <c r="M21" s="52">
        <v>10</v>
      </c>
      <c r="N21" s="52"/>
      <c r="O21"/>
      <c r="P21" s="53">
        <f>ad2cont(K7:K8,D7:F9)</f>
      </c>
      <c r="Q21" s="53"/>
      <c r="R21"/>
      <c r="S21" s="54">
        <f>IF(AND(M21:M22=P21:P22),"PASS","FAIL")</f>
      </c>
    </row>
    <row r="22">
      <c r="B22"/>
      <c r="C22"/>
      <c r="E22" s="51"/>
      <c r="G22"/>
      <c r="H22"/>
      <c r="I22"/>
      <c r="J22"/>
      <c r="K22"/>
      <c r="L22"/>
      <c r="M22" s="52">
        <v>90</v>
      </c>
      <c r="N22" s="52"/>
      <c r="O22"/>
      <c r="P22" s="53"/>
      <c r="Q22" s="53"/>
      <c r="R22"/>
      <c r="S22" s="54"/>
    </row>
    <row r="23">
      <c r="B23"/>
      <c r="C23"/>
      <c r="E23" s="51"/>
      <c r="G23"/>
      <c r="H23"/>
      <c r="I23"/>
      <c r="J23"/>
      <c r="K23"/>
      <c r="L23"/>
      <c r="M23" s="52"/>
      <c r="N23" s="52"/>
      <c r="O23"/>
      <c r="P23" s="53"/>
      <c r="Q23" s="53"/>
      <c r="R23"/>
      <c r="S23" s="54"/>
    </row>
    <row r="24" spans="2:19" x14ac:dyDescent="0.5">
      <c r="B24" s="47" t="inlineStr">
        <is>
          <t xml:space="preserve">out of bounds "Z99" -&gt; ""</t>
        </is>
      </c>
      <c r="C24"/>
      <c r="E24" s="51"/>
      <c r="G24"/>
      <c r="H24"/>
      <c r="I24"/>
      <c r="J24"/>
      <c r="K24"/>
      <c r="L24"/>
      <c r="M24" s="52"/>
      <c r="N24" s="52"/>
      <c r="O24"/>
      <c r="P24" s="53">
        <f>ad2cont("Z99",D7:F9)</f>
      </c>
      <c r="Q24" s="53"/>
      <c r="R24"/>
      <c r="S24" s="54">
        <f>IF(P24=M24,"PASS","FAIL")</f>
      </c>
    </row>
    <row r="25" spans="2:19" x14ac:dyDescent="0.5">
      <c r="B25" s="47"/>
      <c r="C25"/>
      <c r="E25" s="51"/>
      <c r="G25"/>
      <c r="H25"/>
      <c r="I25"/>
      <c r="J25"/>
      <c r="K25"/>
      <c r="L25"/>
      <c r="M25" s="52"/>
      <c r="N25" s="52"/>
      <c r="O25"/>
      <c r="P25" s="53"/>
      <c r="Q25" s="53"/>
      <c r="R25"/>
      <c r="S25" s="54"/>
    </row>
    <row r="26" spans="2:19" x14ac:dyDescent="0.5">
      <c r="B26" s="47" t="inlineStr">
        <is>
          <t xml:space="preserve">empty cell -&gt; "" (not 0)</t>
        </is>
      </c>
      <c r="C26"/>
      <c r="E26" s="51"/>
      <c r="G26"/>
      <c r="H26"/>
      <c r="I26"/>
      <c r="J26"/>
      <c r="K26"/>
      <c r="L26"/>
      <c r="M26" s="52"/>
      <c r="N26" s="52"/>
      <c r="O26"/>
      <c r="P26" s="53">
        <f>ad2cont("H7",H7:H8)</f>
      </c>
      <c r="Q26" s="53"/>
      <c r="R26"/>
      <c r="S26" s="54">
        <f>IF(AND(P26="",NOT(P26=0)),"PASS","FAIL")</f>
      </c>
    </row>
    <row r="27" spans="2:19" x14ac:dyDescent="0.5">
      <c r="B27"/>
      <c r="C27"/>
      <c r="E27" s="51"/>
      <c r="G27"/>
      <c r="H27"/>
      <c r="I27"/>
      <c r="J27"/>
      <c r="K27"/>
      <c r="L27"/>
      <c r="M27" s="52"/>
      <c r="N27" s="52"/>
      <c r="O27"/>
      <c r="P27" s="53"/>
      <c r="Q27" s="53"/>
      <c r="R27"/>
      <c r="S27"/>
    </row>
    <row r="28" spans="2:19" x14ac:dyDescent="0.5">
      <c r="B28" s="47" t="inlineStr">
        <is>
          <t xml:space="preserve">real zero preserved -&gt; 0</t>
        </is>
      </c>
      <c r="C28"/>
      <c r="E28" s="51"/>
      <c r="G28"/>
      <c r="H28"/>
      <c r="I28"/>
      <c r="J28"/>
      <c r="K28"/>
      <c r="L28"/>
      <c r="M28" s="52">
        <v>0</v>
      </c>
      <c r="N28" s="52"/>
      <c r="O28"/>
      <c r="P28" s="53">
        <f>ad2cont("I7",I7)</f>
      </c>
      <c r="Q28" s="53"/>
      <c r="R28"/>
      <c r="S28" s="54">
        <f>IF(AND(P28=0,NOT(P28="")),"PASS","FAIL")</f>
      </c>
    </row>
    <row r="29" spans="2:19" x14ac:dyDescent="0.5">
      <c r="B29" s="47"/>
      <c r="C29"/>
      <c r="E29" s="51"/>
      <c r="G29"/>
      <c r="H29"/>
      <c r="I29"/>
      <c r="J29"/>
      <c r="K29"/>
      <c r="L29"/>
      <c r="M29" s="52"/>
      <c r="N29" s="52"/>
      <c r="O29"/>
      <c r="P29" s="53"/>
      <c r="Q29" s="53"/>
      <c r="R29"/>
      <c r="S29" s="54"/>
    </row>
    <row r="30" spans="2:19" x14ac:dyDescent="0.5">
      <c r="B30" s="47"/>
      <c r="C30"/>
      <c r="E30" s="51"/>
      <c r="G30"/>
      <c r="H30"/>
      <c r="I30"/>
      <c r="J30"/>
      <c r="K30"/>
      <c r="L30"/>
      <c r="M30" s="52"/>
      <c r="N30" s="52"/>
      <c r="O30"/>
      <c r="P30" s="53"/>
      <c r="Q30" s="53"/>
      <c r="R30"/>
      <c r="S30" s="54"/>
    </row>
    <row r="31" spans="2:19" x14ac:dyDescent="0.5">
      <c r="B31" s="47"/>
      <c r="C31"/>
      <c r="E31" s="51"/>
      <c r="G31"/>
      <c r="H31"/>
      <c r="I31"/>
      <c r="J31"/>
      <c r="K31"/>
      <c r="L31"/>
      <c r="M31" s="52"/>
      <c r="N31" s="52"/>
      <c r="O31"/>
      <c r="P31" s="53"/>
      <c r="Q31" s="53"/>
      <c r="R31"/>
      <c r="S31" s="54"/>
    </row>
    <row r="32" spans="2:19" x14ac:dyDescent="0.5">
      <c r="B32" s="47"/>
      <c r="C32"/>
      <c r="E32" s="51"/>
      <c r="G32"/>
      <c r="H32"/>
      <c r="I32"/>
      <c r="J32"/>
      <c r="K32"/>
      <c r="L32"/>
      <c r="M32" s="52"/>
      <c r="N32" s="52"/>
      <c r="O32"/>
      <c r="P32" s="53"/>
      <c r="Q32" s="53"/>
      <c r="R32"/>
      <c r="S32" s="54"/>
    </row>
    <row r="33" spans="2:19" x14ac:dyDescent="0.5">
      <c r="B33" s="47"/>
      <c r="C33"/>
      <c r="E33" s="51"/>
      <c r="G33"/>
      <c r="H33"/>
      <c r="I33"/>
      <c r="J33"/>
      <c r="K33"/>
      <c r="L33"/>
      <c r="M33" s="52"/>
      <c r="N33" s="52"/>
      <c r="O33"/>
      <c r="P33" s="53"/>
      <c r="Q33" s="53"/>
      <c r="R33"/>
      <c r="S33" s="54"/>
    </row>
    <row r="34" spans="2:19" x14ac:dyDescent="0.5">
      <c r="B34" s="47"/>
      <c r="C34"/>
      <c r="E34" s="51"/>
      <c r="G34"/>
      <c r="H34"/>
      <c r="I34"/>
      <c r="J34"/>
      <c r="K34"/>
      <c r="L34"/>
      <c r="M34" s="52"/>
      <c r="N34" s="52"/>
      <c r="O34"/>
      <c r="P34" s="53"/>
      <c r="Q34" s="53"/>
      <c r="R34"/>
      <c r="S34" s="54"/>
    </row>
    <row r="35" spans="2:19" ht="21.5" customHeight="1" x14ac:dyDescent="0.5"/>
    <row r="36">
      <c r="B36"/>
      <c r="C36"/>
      <c r="E36"/>
      <c r="G36"/>
      <c r="H36"/>
      <c r="I36"/>
      <c r="J36"/>
      <c r="K36"/>
      <c r="L36"/>
      <c r="M36"/>
      <c r="N36"/>
      <c r="O36"/>
      <c r="P36"/>
      <c r="Q36"/>
      <c r="R36"/>
      <c r="S36"/>
    </row>
    <row r="37">
      <c r="B37"/>
      <c r="C37"/>
      <c r="E37"/>
      <c r="G37"/>
      <c r="H37"/>
      <c r="I37"/>
      <c r="J37"/>
      <c r="K37"/>
      <c r="L37"/>
      <c r="M37"/>
      <c r="N37"/>
      <c r="O37"/>
      <c r="P37"/>
      <c r="Q37"/>
      <c r="R37"/>
      <c r="S37"/>
    </row>
    <row r="38" spans="2:19" x14ac:dyDescent="0.5">
      <c r="B38" s="47"/>
      <c r="C38"/>
      <c r="E38"/>
      <c r="G38"/>
      <c r="H38"/>
      <c r="I38"/>
      <c r="J38"/>
      <c r="K38"/>
      <c r="L38"/>
      <c r="M38" s="52"/>
      <c r="N38" s="52"/>
      <c r="O38"/>
      <c r="P38"/>
      <c r="Q38" s="53"/>
      <c r="R38"/>
      <c r="S38"/>
    </row>
    <row r="39">
      <c r="B39"/>
      <c r="C39"/>
      <c r="E39"/>
      <c r="G39"/>
      <c r="H39"/>
      <c r="I39"/>
      <c r="J39"/>
      <c r="K39"/>
      <c r="L39"/>
      <c r="M39" s="52"/>
      <c r="N39" s="52"/>
      <c r="O39"/>
      <c r="P39"/>
      <c r="Q39" s="53"/>
      <c r="R39"/>
      <c r="S39"/>
    </row>
    <row r="40" spans="2:19" x14ac:dyDescent="0.5">
      <c r="B40" s="47"/>
      <c r="C40"/>
      <c r="E40"/>
      <c r="G40"/>
      <c r="H40"/>
      <c r="I40"/>
      <c r="J40"/>
      <c r="K40"/>
      <c r="L40"/>
      <c r="M40" s="52"/>
      <c r="N40" s="52"/>
      <c r="O40"/>
      <c r="P40"/>
      <c r="Q40" s="53"/>
      <c r="R40"/>
      <c r="S40"/>
    </row>
    <row r="41">
      <c r="B41"/>
      <c r="C41"/>
      <c r="E41"/>
      <c r="G41"/>
      <c r="H41"/>
      <c r="I41"/>
      <c r="J41"/>
      <c r="K41"/>
      <c r="L41"/>
      <c r="M41" s="52"/>
      <c r="N41" s="52"/>
      <c r="O41"/>
      <c r="P41"/>
      <c r="Q41" s="53"/>
      <c r="R41"/>
      <c r="S41"/>
    </row>
    <row r="42" spans="2:19" x14ac:dyDescent="0.5">
      <c r="B42" s="47"/>
      <c r="C42"/>
      <c r="E42"/>
      <c r="G42"/>
      <c r="H42"/>
      <c r="I42"/>
      <c r="J42"/>
      <c r="K42"/>
      <c r="L42"/>
      <c r="M42" s="52"/>
      <c r="N42" s="52"/>
      <c r="O42"/>
      <c r="P42"/>
      <c r="Q42" s="53"/>
      <c r="R42"/>
      <c r="S42"/>
    </row>
    <row r="43">
      <c r="B43"/>
      <c r="C43"/>
      <c r="E43"/>
      <c r="G43"/>
      <c r="H43"/>
      <c r="I43"/>
      <c r="J43"/>
      <c r="K43"/>
      <c r="L43"/>
      <c r="M43" s="52"/>
      <c r="N43" s="52"/>
      <c r="O43"/>
      <c r="P43"/>
      <c r="Q43" s="53"/>
      <c r="R43"/>
      <c r="S43"/>
    </row>
    <row r="44">
      <c r="B44"/>
      <c r="C44"/>
      <c r="E44"/>
      <c r="G44"/>
      <c r="H44"/>
      <c r="I44"/>
      <c r="J44"/>
      <c r="K44"/>
      <c r="L44"/>
      <c r="M44" s="52"/>
      <c r="N44" s="52"/>
      <c r="O44"/>
      <c r="P44"/>
      <c r="Q44" s="53"/>
      <c r="R44"/>
      <c r="S44"/>
    </row>
    <row r="45">
      <c r="B45"/>
      <c r="C45"/>
      <c r="E45"/>
      <c r="G45"/>
      <c r="H45"/>
      <c r="I45"/>
      <c r="J45"/>
      <c r="K45"/>
      <c r="L45"/>
      <c r="M45" s="52"/>
      <c r="N45" s="52"/>
      <c r="O45"/>
      <c r="P45"/>
      <c r="Q45" s="53"/>
      <c r="R45"/>
      <c r="S45"/>
    </row>
    <row r="46">
      <c r="B46"/>
      <c r="C46"/>
      <c r="E46"/>
      <c r="G46"/>
      <c r="H46"/>
      <c r="I46"/>
      <c r="J46"/>
      <c r="K46"/>
      <c r="L46"/>
      <c r="M46" s="52"/>
      <c r="N46" s="52"/>
      <c r="O46"/>
      <c r="P46"/>
      <c r="Q46" s="53"/>
      <c r="R46"/>
      <c r="S46"/>
    </row>
    <row r="47">
      <c r="B47"/>
      <c r="C47"/>
      <c r="E47"/>
      <c r="G47"/>
      <c r="H47"/>
      <c r="I47"/>
      <c r="J47"/>
      <c r="K47"/>
      <c r="L47"/>
      <c r="M47" s="52"/>
      <c r="N47" s="52"/>
      <c r="O47"/>
      <c r="P47"/>
      <c r="Q47" s="53"/>
      <c r="R47"/>
      <c r="S47"/>
    </row>
    <row r="48">
      <c r="B48"/>
      <c r="C48"/>
      <c r="E48"/>
      <c r="G48"/>
      <c r="H48"/>
      <c r="I48"/>
      <c r="J48"/>
      <c r="K48"/>
      <c r="L48"/>
      <c r="M48" s="52"/>
      <c r="N48" s="52"/>
      <c r="O48"/>
      <c r="P48"/>
      <c r="Q48" s="53"/>
      <c r="R48"/>
      <c r="S48"/>
    </row>
    <row r="49">
      <c r="B49"/>
      <c r="C49"/>
      <c r="E49"/>
      <c r="G49"/>
      <c r="H49"/>
      <c r="I49"/>
      <c r="J49"/>
      <c r="K49"/>
      <c r="L49"/>
      <c r="M49" s="52"/>
      <c r="N49" s="52"/>
      <c r="O49"/>
      <c r="P49"/>
      <c r="Q49" s="53"/>
      <c r="R49"/>
      <c r="S49"/>
    </row>
    <row r="50">
      <c r="B50"/>
      <c r="C50"/>
      <c r="E50"/>
      <c r="G50"/>
      <c r="H50"/>
      <c r="I50"/>
      <c r="J50"/>
      <c r="K50"/>
      <c r="L50"/>
      <c r="M50" s="52"/>
      <c r="N50" s="52"/>
      <c r="O50"/>
      <c r="P50"/>
      <c r="Q50" s="53"/>
      <c r="R50"/>
      <c r="S50"/>
    </row>
    <row r="51">
      <c r="B51"/>
      <c r="C51"/>
      <c r="E51"/>
      <c r="G51"/>
      <c r="H51"/>
      <c r="I51"/>
      <c r="J51"/>
      <c r="K51"/>
      <c r="L51"/>
      <c r="M51" s="52"/>
      <c r="N51" s="52"/>
      <c r="O51"/>
      <c r="P51"/>
      <c r="Q51" s="53"/>
      <c r="R51"/>
      <c r="S51"/>
    </row>
    <row r="52">
      <c r="B52"/>
      <c r="C52"/>
      <c r="E52"/>
      <c r="G52"/>
      <c r="H52"/>
      <c r="I52"/>
      <c r="J52"/>
      <c r="K52"/>
      <c r="L52"/>
      <c r="M52" s="52"/>
      <c r="N52" s="52"/>
      <c r="O52"/>
      <c r="P52"/>
      <c r="Q52" s="53"/>
      <c r="R52"/>
      <c r="S52"/>
    </row>
    <row r="53">
      <c r="B53"/>
      <c r="C53"/>
      <c r="E53"/>
      <c r="G53"/>
      <c r="H53"/>
      <c r="I53"/>
      <c r="J53"/>
      <c r="K53"/>
      <c r="L53"/>
      <c r="M53" s="52"/>
      <c r="N53" s="52"/>
      <c r="O53"/>
      <c r="P53"/>
      <c r="Q53" s="53"/>
      <c r="R53"/>
      <c r="S53"/>
    </row>
    <row r="54">
      <c r="B54"/>
      <c r="C54"/>
      <c r="E54"/>
      <c r="G54"/>
      <c r="H54"/>
      <c r="I54"/>
      <c r="J54"/>
      <c r="K54"/>
      <c r="L54"/>
      <c r="M54" s="52"/>
      <c r="N54" s="52"/>
      <c r="O54"/>
      <c r="P54"/>
      <c r="Q54" s="53"/>
      <c r="R54"/>
      <c r="S54"/>
    </row>
    <row r="55">
      <c r="B55"/>
      <c r="C55"/>
      <c r="E55"/>
      <c r="G55"/>
      <c r="H55"/>
      <c r="I55"/>
      <c r="J55"/>
      <c r="K55"/>
      <c r="L55"/>
      <c r="M55" s="52"/>
      <c r="N55" s="52"/>
      <c r="O55"/>
      <c r="P55"/>
      <c r="Q55" s="53"/>
      <c r="R55"/>
      <c r="S55"/>
    </row>
    <row r="56">
      <c r="B56"/>
      <c r="C56"/>
      <c r="E56"/>
      <c r="G56"/>
      <c r="H56"/>
      <c r="I56"/>
      <c r="J56"/>
      <c r="K56"/>
      <c r="L56"/>
      <c r="M56" s="52"/>
      <c r="N56" s="52"/>
      <c r="O56"/>
      <c r="P56"/>
      <c r="Q56" s="53"/>
      <c r="R56"/>
      <c r="S56"/>
    </row>
    <row r="57">
      <c r="B57"/>
      <c r="C57"/>
      <c r="E57"/>
      <c r="G57"/>
      <c r="H57"/>
      <c r="I57"/>
      <c r="J57"/>
      <c r="K57"/>
      <c r="L57"/>
      <c r="M57" s="52"/>
      <c r="N57" s="52"/>
      <c r="O57"/>
      <c r="P57"/>
      <c r="Q57" s="53"/>
      <c r="R57"/>
      <c r="S57"/>
    </row>
    <row r="58">
      <c r="B58"/>
      <c r="C58"/>
      <c r="E58"/>
      <c r="G58"/>
      <c r="H58"/>
      <c r="I58"/>
      <c r="J58"/>
      <c r="K58"/>
      <c r="L58"/>
      <c r="M58" s="52"/>
      <c r="N58" s="52"/>
      <c r="O58"/>
      <c r="P58"/>
      <c r="Q58" s="53"/>
      <c r="R58"/>
      <c r="S58"/>
    </row>
    <row r="59">
      <c r="B59"/>
      <c r="C59"/>
      <c r="E59"/>
      <c r="G59"/>
      <c r="H59"/>
      <c r="I59"/>
      <c r="J59"/>
      <c r="K59"/>
      <c r="L59"/>
      <c r="M59" s="52"/>
      <c r="N59" s="52"/>
      <c r="O59"/>
      <c r="P59"/>
      <c r="Q59" s="53"/>
      <c r="R59"/>
      <c r="S59"/>
    </row>
    <row r="60">
      <c r="B60"/>
      <c r="C60"/>
      <c r="E60"/>
      <c r="G60"/>
      <c r="H60"/>
      <c r="I60"/>
      <c r="J60"/>
      <c r="K60"/>
      <c r="L60"/>
      <c r="M60" s="52"/>
      <c r="N60" s="52"/>
      <c r="O60"/>
      <c r="P60"/>
      <c r="Q60" s="53"/>
      <c r="R60"/>
      <c r="S60"/>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4"/>
  <dimension ref="A1:R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arrow(str)</v>
      </c>
      <c r="C1" s="95"/>
      <c r="D1" s="95"/>
      <c r="E1" s="95"/>
      <c r="F1" s="96"/>
      <c r="H1" s="45" t="s">
        <v>2</v>
      </c>
      <c r="I1" s="94"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=LAMBDA(str, IFNA(XLOOKUP(TRUE, EXACT(str, Prep!$V$13:$ALY$13), Prep!$V$14:$ALY$14), ""))</v>
      </c>
      <c r="C2" s="98"/>
      <c r="D2" s="98"/>
      <c r="E2" s="98"/>
      <c r="F2" s="98"/>
      <c r="G2" s="98"/>
      <c r="H2" s="98"/>
      <c r="I2" s="98"/>
      <c r="J2" s="98"/>
      <c r="K2" s="98"/>
      <c r="L2" s="98"/>
      <c r="M2" s="98"/>
      <c r="N2" s="98"/>
      <c r="O2" s="98"/>
      <c r="P2" s="98"/>
      <c r="Q2" s="98"/>
      <c r="R2" s="98"/>
    </row>
    <row r="4" spans="1:18" x14ac:dyDescent="0.5">
      <c r="A4" s="45" t="s">
        <v>2995</v>
      </c>
      <c r="J4" s="45" t="str">
        <f>COUNTIF(J6:J18,"PASS")&amp;" / 7 PASS"</f>
        <v>7 / 7 PASS</v>
      </c>
    </row>
    <row r="5" spans="1:18" x14ac:dyDescent="0.5">
      <c r="A5" s="45" t="s">
        <v>7</v>
      </c>
      <c r="B5" s="45" t="s">
        <v>8</v>
      </c>
      <c r="D5" s="45" t="s">
        <v>9</v>
      </c>
      <c r="F5" s="48" t="s">
        <v>10</v>
      </c>
      <c r="H5" s="49" t="s">
        <v>11</v>
      </c>
      <c r="J5" s="50" t="s">
        <v>12</v>
      </c>
    </row>
    <row r="6" spans="1:18" x14ac:dyDescent="0.5">
      <c r="A6" s="46">
        <v>1</v>
      </c>
      <c r="B6" s="47" t="s">
        <v>2996</v>
      </c>
      <c r="D6" s="51" t="s">
        <v>159</v>
      </c>
      <c r="F6" s="52" t="s">
        <v>160</v>
      </c>
      <c r="H6" s="53" t="str" cm="1">
        <f t="array" ref="H6">arrow(D6)</f>
        <v>↑</v>
      </c>
      <c r="J6" s="54" t="str">
        <f>IF(H6=F6,"PASS","FAIL")</f>
        <v>PASS</v>
      </c>
    </row>
    <row r="8" spans="1:18" x14ac:dyDescent="0.5">
      <c r="A8" s="46">
        <v>2</v>
      </c>
      <c r="B8" s="47" t="s">
        <v>2997</v>
      </c>
      <c r="D8" s="51" t="s">
        <v>437</v>
      </c>
      <c r="F8" s="52" t="s">
        <v>434</v>
      </c>
      <c r="H8" s="53" t="str" cm="1">
        <f t="array" ref="H8">arrow(D8)</f>
        <v>↙</v>
      </c>
      <c r="J8" s="54" t="str">
        <f>IF(H8=F8,"PASS","FAIL")</f>
        <v>PASS</v>
      </c>
    </row>
    <row r="10" spans="1:18" x14ac:dyDescent="0.5">
      <c r="A10" s="46">
        <v>3</v>
      </c>
      <c r="B10" s="47" t="s">
        <v>2998</v>
      </c>
      <c r="D10" s="51" t="s">
        <v>259</v>
      </c>
      <c r="F10" s="52" t="s">
        <v>254</v>
      </c>
      <c r="H10" s="53" t="str" cm="1">
        <f t="array" ref="H10">arrow(D10)</f>
        <v>↗</v>
      </c>
      <c r="J10" s="54" t="str">
        <f>IF(H10=F10,"PASS","FAIL")</f>
        <v>PASS</v>
      </c>
    </row>
    <row r="12" spans="1:18" x14ac:dyDescent="0.5">
      <c r="A12" s="46">
        <v>4</v>
      </c>
      <c r="B12" s="47" t="s">
        <v>2999</v>
      </c>
      <c r="D12" s="51" t="s">
        <v>241</v>
      </c>
      <c r="F12" s="52" t="s">
        <v>160</v>
      </c>
      <c r="H12" s="53" t="str" cm="1">
        <f t="array" ref="H12">arrow(D12)</f>
        <v>↑</v>
      </c>
      <c r="J12" s="54" t="str">
        <f>IF(H12=F12,"PASS","FAIL")</f>
        <v>PASS</v>
      </c>
    </row>
    <row r="14" spans="1:18" x14ac:dyDescent="0.5">
      <c r="A14" s="46">
        <v>5</v>
      </c>
      <c r="B14" s="47" t="s">
        <v>3000</v>
      </c>
      <c r="D14" s="51" t="s">
        <v>232</v>
      </c>
      <c r="F14" s="52" t="s">
        <v>160</v>
      </c>
      <c r="H14" s="53" t="str" cm="1">
        <f t="array" ref="H14">arrow(D14)</f>
        <v>↑</v>
      </c>
      <c r="J14" s="54" t="str">
        <f>IF(H14=F14,"PASS","FAIL")</f>
        <v>PASS</v>
      </c>
    </row>
    <row r="16" spans="1:18" x14ac:dyDescent="0.5">
      <c r="A16" s="46">
        <v>6</v>
      </c>
      <c r="B16" s="47" t="s">
        <v>3001</v>
      </c>
      <c r="D16" s="51" t="s">
        <v>249</v>
      </c>
      <c r="F16" s="52" t="s">
        <v>160</v>
      </c>
      <c r="H16" s="53" t="str" cm="1">
        <f t="array" ref="H16">arrow(D16)</f>
        <v>↑</v>
      </c>
      <c r="J16" s="54" t="str">
        <f>IF(H16=F16,"PASS","FAIL")</f>
        <v>PASS</v>
      </c>
    </row>
    <row r="18" spans="1:10" x14ac:dyDescent="0.5">
      <c r="A18" s="46">
        <v>7</v>
      </c>
      <c r="B18" s="47" t="s">
        <v>3367</v>
      </c>
      <c r="D18" s="51" t="s">
        <v>3368</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dimension ref="A1:R14"/>
  <sheetViews>
    <sheetView topLeftCell="A2"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94" customHeight="1" x14ac:dyDescent="0.5">
      <c r="A1" s="45" t="s">
        <v>0</v>
      </c>
      <c r="B1" s="99" t="str" cm="1">
        <f t="array" aca="1" ref="B1" ca="1">_xlfn.LET(_xlpm.fn, CELL("filename",$A$1), _xlpm.nm, MID(_xlpm.fn, FIND("]", _xlpm.fn) + 1, 255), _xlfn.XLOOKUP(_xlpm.nm &amp; "(*", Lamb!$A$2:$A$1000, Lamb!$A$2:$A$1000, "", 2))</f>
        <v>arrow_move(start_ad, arrow, [steps], [board_rng], [push_mode])</v>
      </c>
      <c r="C1" s="95"/>
      <c r="D1" s="95"/>
      <c r="E1" s="95"/>
      <c r="F1" s="96"/>
      <c r="H1" s="45" t="s">
        <v>2</v>
      </c>
      <c r="I1" s="94"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98"/>
      <c r="D2" s="98"/>
      <c r="E2" s="98"/>
      <c r="F2" s="98"/>
      <c r="G2" s="98"/>
      <c r="H2" s="98"/>
      <c r="I2" s="98"/>
      <c r="J2" s="98"/>
      <c r="K2" s="98"/>
      <c r="L2" s="98"/>
      <c r="M2" s="98"/>
      <c r="N2" s="98"/>
      <c r="O2" s="98"/>
      <c r="P2" s="98"/>
      <c r="Q2" s="98"/>
      <c r="R2" s="98"/>
    </row>
    <row r="4" spans="1:18" x14ac:dyDescent="0.5">
      <c r="A4" s="45" t="s">
        <v>3002</v>
      </c>
      <c r="P4" s="45" t="str">
        <f>COUNTIF(P6:P16,"PASS")&amp;" / 5 PASS"</f>
        <v>5 / 5 PASS</v>
      </c>
    </row>
    <row r="5" spans="1:18" x14ac:dyDescent="0.5">
      <c r="A5" s="45" t="s">
        <v>7</v>
      </c>
      <c r="B5" s="45" t="s">
        <v>8</v>
      </c>
      <c r="D5" s="45" t="s">
        <v>9</v>
      </c>
      <c r="L5" s="48" t="s">
        <v>10</v>
      </c>
      <c r="N5" s="49" t="s">
        <v>11</v>
      </c>
      <c r="P5" s="50" t="s">
        <v>12</v>
      </c>
    </row>
    <row r="6" spans="1:18" x14ac:dyDescent="0.5">
      <c r="A6" s="46">
        <v>1</v>
      </c>
      <c r="B6" s="47" t="s">
        <v>3003</v>
      </c>
      <c r="D6" s="51" t="s">
        <v>3004</v>
      </c>
      <c r="F6" s="51" t="s">
        <v>192</v>
      </c>
      <c r="H6" s="51">
        <v>3</v>
      </c>
      <c r="L6" s="52">
        <v>1000004</v>
      </c>
      <c r="N6" s="53" cm="1">
        <f t="array" ref="N6">arrow_move(D6,F6,H6)</f>
        <v>1000004</v>
      </c>
      <c r="P6" s="54" t="str">
        <f>IF(N6=L6,"PASS","FAIL")</f>
        <v>PASS</v>
      </c>
    </row>
    <row r="8" spans="1:18" x14ac:dyDescent="0.5">
      <c r="A8" s="46">
        <v>2</v>
      </c>
      <c r="B8" s="47" t="s">
        <v>3005</v>
      </c>
      <c r="D8" s="51" t="s">
        <v>3004</v>
      </c>
      <c r="F8" s="51" t="s">
        <v>181</v>
      </c>
      <c r="H8" s="51">
        <v>2</v>
      </c>
      <c r="L8" s="52">
        <v>3000001</v>
      </c>
      <c r="N8" s="53" cm="1">
        <f t="array" ref="N8">arrow_move(D8,F8,H8)</f>
        <v>3000001</v>
      </c>
      <c r="P8" s="54" t="str">
        <f>IF(N8=L8,"PASS","FAIL")</f>
        <v>PASS</v>
      </c>
    </row>
    <row r="10" spans="1:18" x14ac:dyDescent="0.5">
      <c r="A10" s="46">
        <v>3</v>
      </c>
      <c r="B10" s="47" t="s">
        <v>3006</v>
      </c>
      <c r="D10" s="51" t="s">
        <v>3007</v>
      </c>
      <c r="F10" s="51" t="s">
        <v>160</v>
      </c>
      <c r="H10" s="51">
        <v>5</v>
      </c>
      <c r="L10" s="52">
        <v>1000001</v>
      </c>
      <c r="N10" s="53" cm="1">
        <f t="array" ref="N10">arrow_move(D10,F10,H10)</f>
        <v>1000001</v>
      </c>
      <c r="P10" s="54" t="str">
        <f>IF(N10=L10,"PASS","FAIL")</f>
        <v>PASS</v>
      </c>
    </row>
    <row r="12" spans="1:18" x14ac:dyDescent="0.5">
      <c r="A12" s="46">
        <v>4</v>
      </c>
      <c r="B12" s="47" t="s">
        <v>3008</v>
      </c>
      <c r="D12" s="51" t="s">
        <v>3007</v>
      </c>
      <c r="F12" s="51" t="s">
        <v>160</v>
      </c>
      <c r="H12" s="51">
        <v>5</v>
      </c>
      <c r="J12" s="51">
        <v>0</v>
      </c>
      <c r="L12" s="52">
        <v>3000001</v>
      </c>
      <c r="N12" s="53" cm="1">
        <f t="array" ref="N12">arrow_move(D12,F12,H12,,J12)</f>
        <v>3000001</v>
      </c>
      <c r="P12" s="54" t="str">
        <f>IF(N12=L12,"PASS","FAIL")</f>
        <v>PASS</v>
      </c>
    </row>
    <row r="14" spans="1:18" x14ac:dyDescent="0.5">
      <c r="A14" s="46">
        <v>5</v>
      </c>
      <c r="B14" s="47" t="s">
        <v>3009</v>
      </c>
      <c r="D14" s="51" t="s">
        <v>3007</v>
      </c>
      <c r="F14" s="51" t="s">
        <v>160</v>
      </c>
      <c r="H14" s="51">
        <v>5</v>
      </c>
      <c r="J14" s="51">
        <v>-1</v>
      </c>
      <c r="L14" s="52" t="s">
        <v>3010</v>
      </c>
      <c r="N14" s="53" t="str" cm="1">
        <f t="array" ref="N14">arrow_move(D14,F14,H14,,J14)</f>
        <v>oob</v>
      </c>
      <c r="P14" s="54" t="str">
        <f>IF(N14=L14,"PASS","FAIL")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6"/>
  <dimension ref="A1:R27"/>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8" ht="210" customHeight="1" x14ac:dyDescent="0.5">
      <c r="A1" s="45" t="s">
        <v>0</v>
      </c>
      <c r="B1" s="99" t="str" cm="1">
        <f t="array" aca="1" ref="B1" ca="1">_xlfn.LET(_xlpm.fn, CELL("filename",$A$1), _xlpm.nm, MID(_xlpm.fn, FIND("]", _xlpm.fn) + 1, 255), _xlfn.XLOOKUP(_xlpm.nm &amp; "(*", Lamb!$A$2:$A$1000, Lamb!$A$2:$A$1000, "", 2))</f>
        <v>arrow_trip(rng, start_ad, dir, [stopper])</v>
      </c>
      <c r="C1" s="95"/>
      <c r="D1" s="95"/>
      <c r="E1" s="95"/>
      <c r="F1" s="96"/>
      <c r="H1" s="45" t="s">
        <v>2</v>
      </c>
      <c r="I1" s="94"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98"/>
      <c r="D2" s="98"/>
      <c r="E2" s="98"/>
      <c r="F2" s="98"/>
      <c r="G2" s="98"/>
      <c r="H2" s="98"/>
      <c r="I2" s="98"/>
      <c r="J2" s="98"/>
      <c r="K2" s="98"/>
      <c r="L2" s="98"/>
      <c r="M2" s="98"/>
      <c r="N2" s="98"/>
      <c r="O2" s="98"/>
      <c r="P2" s="98"/>
      <c r="Q2" s="98"/>
      <c r="R2" s="98"/>
    </row>
    <row r="4" spans="1:18" x14ac:dyDescent="0.5">
      <c r="A4" s="45" t="s">
        <v>3011</v>
      </c>
      <c r="P4" s="45" t="str">
        <f>COUNTIF(P9:P30,"PASS")&amp;" / 5 PASS"</f>
        <v>5 / 5 PASS</v>
      </c>
    </row>
    <row r="5" spans="1:18" x14ac:dyDescent="0.5">
      <c r="B5" s="45" t="s">
        <v>8</v>
      </c>
      <c r="J5" s="48" t="s">
        <v>3012</v>
      </c>
      <c r="K5" s="48" t="s">
        <v>3013</v>
      </c>
      <c r="M5" s="49" t="s">
        <v>3014</v>
      </c>
      <c r="N5" s="49" t="s">
        <v>3013</v>
      </c>
      <c r="P5" s="50" t="s">
        <v>12</v>
      </c>
    </row>
    <row r="6" spans="1:18" x14ac:dyDescent="0.5">
      <c r="B6" s="45" t="s">
        <v>3015</v>
      </c>
    </row>
    <row r="7" spans="1:18" x14ac:dyDescent="0.5">
      <c r="D7" s="51" t="s">
        <v>3016</v>
      </c>
      <c r="E7" s="51" t="s">
        <v>3017</v>
      </c>
      <c r="F7" s="51" t="s">
        <v>2631</v>
      </c>
      <c r="G7" s="51" t="s">
        <v>3018</v>
      </c>
      <c r="H7" s="51" t="s">
        <v>3019</v>
      </c>
    </row>
    <row r="9" spans="1:18" x14ac:dyDescent="0.5">
      <c r="B9" s="47" t="s">
        <v>3020</v>
      </c>
      <c r="J9" s="52">
        <v>7000004</v>
      </c>
      <c r="K9" s="52" t="s">
        <v>3016</v>
      </c>
      <c r="M9" s="53" cm="1">
        <f t="array" ref="M9:N13">arrow_trip(D7:H7,"D7","→")</f>
        <v>7000004</v>
      </c>
      <c r="N9" s="53" t="str">
        <v>a</v>
      </c>
      <c r="P9" s="54" t="str" cm="1">
        <f t="array" ref="P9">IF(AND(J9:K13=M9:N13),"PASS","FAIL")</f>
        <v>PASS</v>
      </c>
    </row>
    <row r="10" spans="1:18" x14ac:dyDescent="0.5">
      <c r="J10" s="52">
        <v>7000005</v>
      </c>
      <c r="K10" s="52" t="s">
        <v>3017</v>
      </c>
      <c r="M10" s="53">
        <v>7000005</v>
      </c>
      <c r="N10" s="53" t="str">
        <v>b</v>
      </c>
    </row>
    <row r="11" spans="1:18" x14ac:dyDescent="0.5">
      <c r="J11" s="52">
        <v>7000006</v>
      </c>
      <c r="K11" s="52" t="s">
        <v>2631</v>
      </c>
      <c r="M11" s="53">
        <v>7000006</v>
      </c>
      <c r="N11" s="53" t="str">
        <v>X</v>
      </c>
    </row>
    <row r="12" spans="1:18" x14ac:dyDescent="0.5">
      <c r="J12" s="52">
        <v>7000007</v>
      </c>
      <c r="K12" s="52" t="s">
        <v>3018</v>
      </c>
      <c r="M12" s="53">
        <v>7000007</v>
      </c>
      <c r="N12" s="53" t="str">
        <v>d</v>
      </c>
    </row>
    <row r="13" spans="1:18" x14ac:dyDescent="0.5">
      <c r="J13" s="52">
        <v>7000008</v>
      </c>
      <c r="K13" s="52" t="s">
        <v>3019</v>
      </c>
      <c r="M13" s="53">
        <v>7000008</v>
      </c>
      <c r="N13" s="53" t="str">
        <v>e</v>
      </c>
    </row>
    <row r="15" spans="1:18" x14ac:dyDescent="0.5">
      <c r="B15" s="47" t="s">
        <v>3021</v>
      </c>
      <c r="J15" s="52">
        <v>7000004</v>
      </c>
      <c r="K15" s="52" t="s">
        <v>3016</v>
      </c>
      <c r="M15" s="53" cm="1">
        <f t="array" ref="M15:N17">arrow_trip(D7:H7,"D7","→","X")</f>
        <v>7000004</v>
      </c>
      <c r="N15" s="53" t="str">
        <v>a</v>
      </c>
      <c r="P15" s="54" t="str" cm="1">
        <f t="array" ref="P15">IF(AND(J15:K17=M15:N17),"PASS","FAIL")</f>
        <v>PASS</v>
      </c>
    </row>
    <row r="16" spans="1:18" x14ac:dyDescent="0.5">
      <c r="J16" s="52">
        <v>7000005</v>
      </c>
      <c r="K16" s="52" t="s">
        <v>3017</v>
      </c>
      <c r="M16" s="53">
        <v>7000005</v>
      </c>
      <c r="N16" s="53" t="str">
        <v>b</v>
      </c>
    </row>
    <row r="17" spans="2:16" x14ac:dyDescent="0.5">
      <c r="J17" s="52">
        <v>7000006</v>
      </c>
      <c r="K17" s="52" t="s">
        <v>2631</v>
      </c>
      <c r="M17" s="53">
        <v>7000006</v>
      </c>
      <c r="N17" s="53" t="str">
        <v>X</v>
      </c>
    </row>
    <row r="19" spans="2:16" x14ac:dyDescent="0.5">
      <c r="B19" s="47" t="s">
        <v>3022</v>
      </c>
      <c r="J19" s="52">
        <v>7000004</v>
      </c>
      <c r="K19" s="52" t="s">
        <v>3016</v>
      </c>
      <c r="M19" s="53" cm="1">
        <f t="array" ref="M19:N23">arrow_trip(D7:H7,"D7","→","Z")</f>
        <v>7000004</v>
      </c>
      <c r="N19" s="53" t="str">
        <v>a</v>
      </c>
      <c r="P19" s="54" t="str" cm="1">
        <f t="array" ref="P19">IF(AND(J19:K23=M19:N23),"PASS","FAIL")</f>
        <v>PASS</v>
      </c>
    </row>
    <row r="20" spans="2:16" x14ac:dyDescent="0.5">
      <c r="J20" s="52">
        <v>7000005</v>
      </c>
      <c r="K20" s="52" t="s">
        <v>3017</v>
      </c>
      <c r="M20" s="53">
        <v>7000005</v>
      </c>
      <c r="N20" s="53" t="str">
        <v>b</v>
      </c>
    </row>
    <row r="21" spans="2:16" x14ac:dyDescent="0.5">
      <c r="J21" s="52">
        <v>7000006</v>
      </c>
      <c r="K21" s="52" t="s">
        <v>2631</v>
      </c>
      <c r="M21" s="53">
        <v>7000006</v>
      </c>
      <c r="N21" s="53" t="str">
        <v>X</v>
      </c>
    </row>
    <row r="22" spans="2:16" x14ac:dyDescent="0.5">
      <c r="J22" s="52">
        <v>7000007</v>
      </c>
      <c r="K22" s="52" t="s">
        <v>3018</v>
      </c>
      <c r="M22" s="53">
        <v>7000007</v>
      </c>
      <c r="N22" s="53" t="str">
        <v>d</v>
      </c>
    </row>
    <row r="23" spans="2:16" x14ac:dyDescent="0.5">
      <c r="J23" s="52">
        <v>7000008</v>
      </c>
      <c r="K23" s="52" t="s">
        <v>3019</v>
      </c>
      <c r="M23" s="53">
        <v>7000008</v>
      </c>
      <c r="N23" s="53" t="str">
        <v>e</v>
      </c>
    </row>
    <row r="25" spans="2:16" x14ac:dyDescent="0.5">
      <c r="B25" s="47" t="s">
        <v>3372</v>
      </c>
      <c r="J25" s="52" t="s">
        <v>2631</v>
      </c>
      <c r="M25" s="53" t="str" cm="1">
        <f t="array" ref="M25">arrow_trip(D7:H7,"D6","→")</f>
        <v>X</v>
      </c>
      <c r="P25" s="54" t="str">
        <f>IF(M25="X","PASS","FAIL")</f>
        <v>PASS</v>
      </c>
    </row>
    <row r="27" spans="2:16" x14ac:dyDescent="0.5">
      <c r="B27" s="47" t="s">
        <v>3373</v>
      </c>
      <c r="J27" s="52" t="str">
        <f>""</f>
        <v/>
      </c>
      <c r="M27" s="53" t="str" cm="1">
        <f t="array" ref="M27">arrow_trip(D7:H7,"D7","Z")</f>
        <v/>
      </c>
      <c r="P27" s="54" t="str">
        <f>IF(M27="","PASS","FAIL")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7"/>
  <dimension ref="A1:R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biggest(check, return)</v>
      </c>
      <c r="C1" s="95"/>
      <c r="D1" s="95"/>
      <c r="E1" s="95"/>
      <c r="F1" s="96"/>
      <c r="H1" s="45" t="s">
        <v>2</v>
      </c>
      <c r="I1" s="94"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=LAMBDA(check, return, IFNA(XLOOKUP(MAX(check), check, return), ""))</v>
      </c>
      <c r="C2" s="98"/>
      <c r="D2" s="98"/>
      <c r="E2" s="98"/>
      <c r="F2" s="98"/>
      <c r="G2" s="98"/>
      <c r="H2" s="98"/>
      <c r="I2" s="98"/>
      <c r="J2" s="98"/>
      <c r="K2" s="98"/>
      <c r="L2" s="98"/>
      <c r="M2" s="98"/>
      <c r="N2" s="98"/>
      <c r="O2" s="98"/>
      <c r="P2" s="98"/>
      <c r="Q2" s="98"/>
      <c r="R2" s="98"/>
    </row>
    <row r="4" spans="1:18" x14ac:dyDescent="0.5">
      <c r="A4" s="45" t="s">
        <v>3023</v>
      </c>
      <c r="L4" s="45" t="str">
        <f>COUNTIF(L6:L15,"PASS")&amp;" / 3 PASS"</f>
        <v>3 / 3 PASS</v>
      </c>
    </row>
    <row r="5" spans="1:18" x14ac:dyDescent="0.5">
      <c r="A5" s="45" t="s">
        <v>7</v>
      </c>
      <c r="B5" s="45" t="s">
        <v>8</v>
      </c>
      <c r="D5" s="45" t="s">
        <v>9</v>
      </c>
      <c r="H5" s="48" t="s">
        <v>10</v>
      </c>
      <c r="J5" s="49" t="s">
        <v>11</v>
      </c>
      <c r="L5" s="50" t="s">
        <v>12</v>
      </c>
    </row>
    <row r="6" spans="1:18" x14ac:dyDescent="0.5">
      <c r="A6" s="46">
        <v>1</v>
      </c>
      <c r="B6" s="47" t="s">
        <v>3024</v>
      </c>
      <c r="D6" s="51">
        <v>30</v>
      </c>
      <c r="F6" s="51" t="s">
        <v>3016</v>
      </c>
      <c r="H6" s="52" t="s">
        <v>3017</v>
      </c>
      <c r="J6" s="53" t="str" cm="1">
        <f t="array" ref="J6">biggest(D6:D8,F6:F8)</f>
        <v>b</v>
      </c>
      <c r="L6" s="54" t="str">
        <f>IF(J6=H6,"PASS","FAIL")</f>
        <v>PASS</v>
      </c>
    </row>
    <row r="7" spans="1:18" x14ac:dyDescent="0.5">
      <c r="A7" s="55"/>
      <c r="B7" s="55"/>
      <c r="D7" s="51">
        <v>70</v>
      </c>
      <c r="F7" s="51" t="s">
        <v>3017</v>
      </c>
    </row>
    <row r="8" spans="1:18" x14ac:dyDescent="0.5">
      <c r="A8" s="55"/>
      <c r="B8" s="55"/>
      <c r="D8" s="51">
        <v>50</v>
      </c>
      <c r="F8" s="51" t="s">
        <v>3025</v>
      </c>
    </row>
    <row r="10" spans="1:18" x14ac:dyDescent="0.5">
      <c r="A10" s="46">
        <v>2</v>
      </c>
      <c r="B10" s="47" t="s">
        <v>3026</v>
      </c>
      <c r="D10" s="51">
        <v>5</v>
      </c>
      <c r="F10" s="51" t="s">
        <v>3027</v>
      </c>
      <c r="H10" s="52" t="s">
        <v>3028</v>
      </c>
      <c r="J10" s="53" t="str" cm="1">
        <f t="array" ref="J10">biggest(D10:D13,F10:F13)</f>
        <v>q</v>
      </c>
      <c r="L10" s="54" t="str">
        <f>IF(J10=H10,"PASS","FAIL")</f>
        <v>PASS</v>
      </c>
    </row>
    <row r="11" spans="1:18" x14ac:dyDescent="0.5">
      <c r="A11" s="55"/>
      <c r="B11" s="55"/>
      <c r="D11" s="51">
        <v>9</v>
      </c>
      <c r="F11" s="51" t="s">
        <v>3028</v>
      </c>
    </row>
    <row r="12" spans="1:18" x14ac:dyDescent="0.5">
      <c r="A12" s="55"/>
      <c r="B12" s="55"/>
      <c r="D12" s="51">
        <v>9</v>
      </c>
      <c r="F12" s="51" t="s">
        <v>3029</v>
      </c>
    </row>
    <row r="13" spans="1:18" x14ac:dyDescent="0.5">
      <c r="A13" s="55"/>
      <c r="B13" s="55"/>
      <c r="D13" s="51">
        <v>2</v>
      </c>
      <c r="F13" s="51" t="s">
        <v>3030</v>
      </c>
    </row>
    <row r="15" spans="1:18" x14ac:dyDescent="0.5">
      <c r="A15" s="46">
        <v>3</v>
      </c>
      <c r="B15" s="47" t="s">
        <v>3374</v>
      </c>
      <c r="D15" s="51" t="s">
        <v>3036</v>
      </c>
      <c r="F15" s="51" t="s">
        <v>3375</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8"/>
  <dimension ref="A1:R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clamp(num_or_arr, [bottom], [top])</v>
      </c>
      <c r="C1" s="95"/>
      <c r="D1" s="95"/>
      <c r="E1" s="95"/>
      <c r="F1" s="96"/>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98"/>
      <c r="D2" s="98"/>
      <c r="E2" s="98"/>
      <c r="F2" s="98"/>
      <c r="G2" s="98"/>
      <c r="H2" s="98"/>
      <c r="I2" s="98"/>
      <c r="J2" s="98"/>
      <c r="K2" s="98"/>
      <c r="L2" s="98"/>
      <c r="M2" s="98"/>
      <c r="N2" s="98"/>
      <c r="O2" s="98"/>
      <c r="P2" s="98"/>
      <c r="Q2" s="98"/>
      <c r="R2" s="98"/>
    </row>
    <row r="4" spans="1:18" x14ac:dyDescent="0.5">
      <c r="A4" s="45" t="s">
        <v>3031</v>
      </c>
      <c r="N4" s="45" t="str">
        <f>COUNTIF(N6:N21,"PASS")&amp;" / 5 PASS"</f>
        <v>5 / 5 PASS</v>
      </c>
    </row>
    <row r="5" spans="1:18" x14ac:dyDescent="0.5">
      <c r="A5" s="45" t="s">
        <v>7</v>
      </c>
      <c r="B5" s="45" t="s">
        <v>8</v>
      </c>
      <c r="D5" s="45" t="s">
        <v>9</v>
      </c>
      <c r="J5" s="48" t="s">
        <v>10</v>
      </c>
      <c r="L5" s="49" t="s">
        <v>11</v>
      </c>
      <c r="N5" s="50" t="s">
        <v>12</v>
      </c>
    </row>
    <row r="6" spans="1:18" x14ac:dyDescent="0.5">
      <c r="A6" s="46">
        <v>1</v>
      </c>
      <c r="B6" s="47" t="s">
        <v>3032</v>
      </c>
      <c r="D6" s="51">
        <v>5</v>
      </c>
      <c r="F6" s="51">
        <v>0</v>
      </c>
      <c r="H6" s="51">
        <v>100</v>
      </c>
      <c r="J6" s="52">
        <v>5</v>
      </c>
      <c r="L6" s="53" cm="1">
        <f t="array" ref="L6:L8">clamp(D6:D8,F6,H6)</f>
        <v>5</v>
      </c>
      <c r="N6" s="54" t="str" cm="1">
        <f t="array" ref="N6">IF(AND(J6:J8=L6:L8),"PASS","FAIL")</f>
        <v>PASS</v>
      </c>
    </row>
    <row r="7" spans="1:18" x14ac:dyDescent="0.5">
      <c r="A7" s="55"/>
      <c r="B7" s="55"/>
      <c r="D7" s="51">
        <v>-3</v>
      </c>
      <c r="J7" s="52">
        <v>0</v>
      </c>
      <c r="L7" s="53">
        <v>0</v>
      </c>
    </row>
    <row r="8" spans="1:18" x14ac:dyDescent="0.5">
      <c r="A8" s="55"/>
      <c r="B8" s="55"/>
      <c r="D8" s="51">
        <v>120</v>
      </c>
      <c r="J8" s="52">
        <v>100</v>
      </c>
      <c r="L8" s="53">
        <v>100</v>
      </c>
    </row>
    <row r="10" spans="1:18" x14ac:dyDescent="0.5">
      <c r="A10" s="46">
        <v>2</v>
      </c>
      <c r="B10" s="47" t="s">
        <v>3033</v>
      </c>
      <c r="D10" s="51">
        <v>150</v>
      </c>
      <c r="F10" s="51">
        <v>100</v>
      </c>
      <c r="J10" s="52">
        <v>100</v>
      </c>
      <c r="L10" s="53" cm="1">
        <f t="array" ref="L10">clamp(D10,,F10)</f>
        <v>100</v>
      </c>
      <c r="N10" s="54" t="str">
        <f>IF(L10=J10,"PASS","FAIL")</f>
        <v>PASS</v>
      </c>
    </row>
    <row r="12" spans="1:18" x14ac:dyDescent="0.5">
      <c r="A12" s="46">
        <v>3</v>
      </c>
      <c r="B12" s="47" t="s">
        <v>3034</v>
      </c>
      <c r="D12" s="51">
        <v>-5</v>
      </c>
      <c r="F12" s="51">
        <v>0</v>
      </c>
      <c r="J12" s="52">
        <v>0</v>
      </c>
      <c r="L12" s="53" cm="1">
        <f t="array" ref="L12">clamp(D12,F12)</f>
        <v>0</v>
      </c>
      <c r="N12" s="54" t="str">
        <f>IF(L12=J12,"PASS","FAIL")</f>
        <v>PASS</v>
      </c>
    </row>
    <row r="14" spans="1:18" x14ac:dyDescent="0.5">
      <c r="A14" s="46">
        <v>4</v>
      </c>
      <c r="B14" s="47" t="s">
        <v>3035</v>
      </c>
      <c r="D14" s="51">
        <v>5</v>
      </c>
      <c r="F14" s="51">
        <v>0</v>
      </c>
      <c r="H14" s="51">
        <v>10</v>
      </c>
      <c r="J14" s="52">
        <v>5</v>
      </c>
      <c r="L14" s="53" cm="1">
        <f t="array" ref="L14:L17">clamp(D14:D17,F14,H14)</f>
        <v>5</v>
      </c>
      <c r="N14" s="54" t="str" cm="1">
        <f t="array" ref="N14">IF(AND(J14:J17=L14:L17),"PASS","FAIL")</f>
        <v>PASS</v>
      </c>
    </row>
    <row r="15" spans="1:18" x14ac:dyDescent="0.5">
      <c r="A15" s="55"/>
      <c r="B15" s="55"/>
      <c r="D15" s="51" t="s">
        <v>3036</v>
      </c>
      <c r="J15" s="52"/>
      <c r="L15" s="53" t="str">
        <v/>
      </c>
    </row>
    <row r="16" spans="1:18" x14ac:dyDescent="0.5">
      <c r="A16" s="55"/>
      <c r="B16" s="55"/>
      <c r="D16" s="51"/>
      <c r="J16" s="52"/>
      <c r="L16" s="53" t="str">
        <v/>
      </c>
    </row>
    <row r="17" spans="1:14" x14ac:dyDescent="0.5">
      <c r="A17" s="55"/>
      <c r="B17" s="55"/>
      <c r="D17" s="51">
        <v>8</v>
      </c>
      <c r="J17" s="52">
        <v>8</v>
      </c>
      <c r="L17" s="53">
        <v>8</v>
      </c>
    </row>
    <row r="19" spans="1:14" x14ac:dyDescent="0.5">
      <c r="A19" s="46">
        <v>5</v>
      </c>
      <c r="B19" s="47" t="s">
        <v>3037</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R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count_substring(str, sub, [case_sensitive])</v>
      </c>
      <c r="C1" s="95"/>
      <c r="D1" s="95"/>
      <c r="E1" s="95"/>
      <c r="F1" s="96"/>
      <c r="H1" s="45" t="s">
        <v>2</v>
      </c>
      <c r="I1" s="94"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98"/>
      <c r="D2" s="98"/>
      <c r="E2" s="98"/>
      <c r="F2" s="98"/>
      <c r="G2" s="98"/>
      <c r="H2" s="98"/>
      <c r="I2" s="98"/>
      <c r="J2" s="98"/>
      <c r="K2" s="98"/>
      <c r="L2" s="98"/>
      <c r="M2" s="98"/>
      <c r="N2" s="98"/>
      <c r="O2" s="98"/>
      <c r="P2" s="98"/>
      <c r="Q2" s="98"/>
      <c r="R2" s="98"/>
    </row>
    <row r="4" spans="1:18" x14ac:dyDescent="0.5">
      <c r="A4" s="45" t="s">
        <v>3038</v>
      </c>
      <c r="N4" s="45" t="str">
        <f>COUNTIF(N6:N20,"PASS")&amp;" / 6 PASS"</f>
        <v>6 / 6 PASS</v>
      </c>
    </row>
    <row r="5" spans="1:18" x14ac:dyDescent="0.5">
      <c r="A5" s="45" t="s">
        <v>7</v>
      </c>
      <c r="B5" s="45" t="s">
        <v>8</v>
      </c>
      <c r="D5" s="45" t="s">
        <v>9</v>
      </c>
      <c r="J5" s="48" t="s">
        <v>10</v>
      </c>
      <c r="L5" s="49" t="s">
        <v>11</v>
      </c>
      <c r="N5" s="50" t="s">
        <v>12</v>
      </c>
    </row>
    <row r="6" spans="1:18" x14ac:dyDescent="0.5">
      <c r="A6" s="46">
        <v>1</v>
      </c>
      <c r="B6" s="47" t="s">
        <v>3039</v>
      </c>
      <c r="D6" s="51" t="s">
        <v>3040</v>
      </c>
      <c r="F6" s="51" t="s">
        <v>3016</v>
      </c>
      <c r="J6" s="52">
        <v>3</v>
      </c>
      <c r="L6" s="53" cm="1">
        <f t="array" ref="L6">count_substring(D6,F6)</f>
        <v>3</v>
      </c>
      <c r="N6" s="54" t="str">
        <f>IF(L6=J6,"PASS","FAIL")</f>
        <v>PASS</v>
      </c>
    </row>
    <row r="8" spans="1:18" x14ac:dyDescent="0.5">
      <c r="A8" s="46">
        <v>2</v>
      </c>
      <c r="B8" s="47" t="s">
        <v>3041</v>
      </c>
      <c r="D8" s="51" t="s">
        <v>3040</v>
      </c>
      <c r="F8" s="51" t="s">
        <v>3042</v>
      </c>
      <c r="J8" s="52">
        <v>2</v>
      </c>
      <c r="L8" s="53" cm="1">
        <f t="array" ref="L8">count_substring(D8,F8)</f>
        <v>2</v>
      </c>
      <c r="N8" s="54" t="str">
        <f>IF(L8=J8,"PASS","FAIL")</f>
        <v>PASS</v>
      </c>
    </row>
    <row r="10" spans="1:18" x14ac:dyDescent="0.5">
      <c r="A10" s="46">
        <v>3</v>
      </c>
      <c r="B10" s="47" t="s">
        <v>3043</v>
      </c>
      <c r="D10" s="51" t="s">
        <v>3044</v>
      </c>
      <c r="F10" s="51" t="s">
        <v>3016</v>
      </c>
      <c r="H10" s="51">
        <v>1</v>
      </c>
      <c r="J10" s="52">
        <v>2</v>
      </c>
      <c r="L10" s="53" cm="1">
        <f t="array" ref="L10">count_substring(D10,F10,H10)</f>
        <v>2</v>
      </c>
      <c r="N10" s="54" t="str">
        <f>IF(L10=J10,"PASS","FAIL")</f>
        <v>PASS</v>
      </c>
    </row>
    <row r="12" spans="1:18" x14ac:dyDescent="0.5">
      <c r="A12" s="46">
        <v>4</v>
      </c>
      <c r="B12" s="47" t="s">
        <v>3045</v>
      </c>
      <c r="D12" s="51" t="s">
        <v>3044</v>
      </c>
      <c r="F12" s="51" t="s">
        <v>3016</v>
      </c>
      <c r="J12" s="52">
        <v>4</v>
      </c>
      <c r="L12" s="53" cm="1">
        <f t="array" ref="L12">count_substring(D12,F12)</f>
        <v>4</v>
      </c>
      <c r="N12" s="54" t="str">
        <f>IF(L12=J12,"PASS","FAIL")</f>
        <v>PASS</v>
      </c>
    </row>
    <row r="14" spans="1:18" x14ac:dyDescent="0.5">
      <c r="A14" s="46">
        <v>5</v>
      </c>
      <c r="B14" s="47" t="s">
        <v>3046</v>
      </c>
      <c r="D14" s="51" t="s">
        <v>3040</v>
      </c>
      <c r="F14" s="51" t="s">
        <v>3016</v>
      </c>
      <c r="J14" s="52">
        <v>3</v>
      </c>
      <c r="L14" s="53" cm="1">
        <f t="array" ref="L14:L15">count_substring(D14,F14:F15)</f>
        <v>3</v>
      </c>
      <c r="N14" s="54" t="str" cm="1">
        <f t="array" ref="N14">IF(AND(J14:J15=L14:L15),"PASS","FAIL")</f>
        <v>PASS</v>
      </c>
    </row>
    <row r="15" spans="1:18" x14ac:dyDescent="0.5">
      <c r="A15" s="55"/>
      <c r="B15" s="55"/>
      <c r="F15" s="51" t="s">
        <v>3047</v>
      </c>
      <c r="J15" s="52">
        <v>2</v>
      </c>
      <c r="L15" s="53">
        <v>2</v>
      </c>
    </row>
    <row r="17" spans="1:14" x14ac:dyDescent="0.5">
      <c r="A17" s="46">
        <v>6</v>
      </c>
      <c r="B17" s="47" t="s">
        <v>3048</v>
      </c>
      <c r="D17" s="51" t="s">
        <v>3040</v>
      </c>
      <c r="F17" s="51" t="s">
        <v>3016</v>
      </c>
      <c r="J17" s="52">
        <v>3</v>
      </c>
      <c r="L17" s="53" cm="1">
        <f t="array" ref="L17:L18">count_substring(D17:D18,F17)</f>
        <v>3</v>
      </c>
      <c r="N17" s="54" t="str" cm="1">
        <f t="array" ref="N17">IF(AND(J17:J18=L17:L18),"PASS","FAIL")</f>
        <v>PASS</v>
      </c>
    </row>
    <row r="18" spans="1:14" x14ac:dyDescent="0.5">
      <c r="A18" s="55"/>
      <c r="B18" s="55"/>
      <c r="D18" s="51" t="s">
        <v>3049</v>
      </c>
      <c r="J18" s="52">
        <v>1</v>
      </c>
      <c r="L18" s="53">
        <v>1</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99" t="str" cm="1">
        <f t="array" aca="1" ref="B1" ca="1">_xlfn.LET(_xlpm.fn, CELL("filename",$A$1), _xlpm.nm, MID(_xlpm.fn, FIND("]", _xlpm.fn) + 1, 255), _xlfn.XLOOKUP(_xlpm.nm &amp; "(*", Lamb!$A$2:$A$1000, Lamb!$A$2:$A$1000, "", 2))</f>
        <v>ctotal(arr)</v>
      </c>
      <c r="C1" s="95"/>
      <c r="D1" s="95"/>
      <c r="E1" s="95"/>
      <c r="F1" s="96"/>
      <c r="H1" s="45" t="s">
        <v>2</v>
      </c>
      <c r="I1" s="94"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95"/>
      <c r="K1" s="95"/>
      <c r="L1" s="95"/>
      <c r="M1" s="95"/>
      <c r="N1" s="95"/>
      <c r="O1" s="95"/>
      <c r="P1" s="95"/>
      <c r="Q1" s="95"/>
      <c r="R1" s="96"/>
    </row>
    <row r="2" spans="1:19" ht="21" customHeight="1" x14ac:dyDescent="0.5">
      <c r="A2" s="45" t="s">
        <v>4</v>
      </c>
      <c r="B2" s="97" t="str" cm="1">
        <f t="array" aca="1" ref="B2" ca="1">_xlfn.LET(_xlpm.fn, CELL("filename",$A$1), _xlpm.nm, MID(_xlpm.fn, FIND("]", _xlpm.fn) + 1, 255), _xlfn.XLOOKUP(_xlpm.nm &amp; "(*", Lamb!$A$2:$A$1000, Lamb!$C$2:$C$1000, "", 2))</f>
        <v>=LAMBDA(arr, SCAN(0, arr, LAMBDA(a, b, a + b)))</v>
      </c>
      <c r="C2" s="98"/>
      <c r="D2" s="98"/>
      <c r="E2" s="98"/>
      <c r="F2" s="98"/>
      <c r="G2" s="98"/>
      <c r="H2" s="98"/>
      <c r="I2" s="98"/>
      <c r="J2" s="98"/>
      <c r="K2" s="98"/>
      <c r="L2" s="98"/>
      <c r="M2" s="98"/>
      <c r="N2" s="98"/>
      <c r="O2" s="98"/>
      <c r="P2" s="98"/>
      <c r="Q2" s="98"/>
      <c r="R2" s="98"/>
    </row>
    <row r="4" spans="1:19" x14ac:dyDescent="0.5">
      <c r="A4" s="45" t="s">
        <v>3050</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3051</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3052</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3053</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3054</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R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5" t="s">
        <v>0</v>
      </c>
      <c r="B1" s="99" t="str" cm="1">
        <f t="array" aca="1" ref="B1" ca="1">_xlfn.LET(_xlpm.fn, CELL("filename",$A$1), _xlpm.nm, MID(_xlpm.fn, FIND("]", _xlpm.fn) + 1, 255), _xlfn.XLOOKUP(_xlpm.nm &amp; "(*", Lamb!$A$2:$A$1000, Lamb!$A$2:$A$1000, "", 2))</f>
        <v>cycles(outer_n, inner_n)</v>
      </c>
      <c r="C1" s="95"/>
      <c r="D1" s="95"/>
      <c r="E1" s="95"/>
      <c r="F1" s="96"/>
      <c r="H1" s="45" t="s">
        <v>2</v>
      </c>
      <c r="I1" s="94"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95"/>
      <c r="K1" s="95"/>
      <c r="L1" s="95"/>
      <c r="M1" s="95"/>
      <c r="N1" s="95"/>
      <c r="O1" s="95"/>
      <c r="P1" s="95"/>
      <c r="Q1" s="95"/>
      <c r="R1" s="96"/>
    </row>
    <row r="2" spans="1:18" ht="84" customHeight="1" x14ac:dyDescent="0.5">
      <c r="A2" s="45" t="s">
        <v>4</v>
      </c>
      <c r="B2" s="97" t="str" cm="1">
        <f t="array" aca="1" ref="B2" ca="1">_xlfn.LET(_xlpm.fn, CELL("filename",$A$1), _xlpm.nm, MID(_xlpm.fn, FIND("]", _xlpm.fn) + 1, 255), _xlfn.XLOOKUP(_xlpm.nm &amp; "(*", Lamb!$A$2:$A$1000, Lamb!$C$2:$C$1000, "", 2))</f>
        <v>=LAMBDA(outer_n, inner_n, LET(
   seq, SEQUENCE(outer_n * inner_n, 1, 0),
   HSTACK(INT(seq / inner_n) + 1, MOD(seq, inner_n) + 1)
))</v>
      </c>
      <c r="C2" s="98"/>
      <c r="D2" s="98"/>
      <c r="E2" s="98"/>
      <c r="F2" s="98"/>
      <c r="G2" s="98"/>
      <c r="H2" s="98"/>
      <c r="I2" s="98"/>
      <c r="J2" s="98"/>
      <c r="K2" s="98"/>
      <c r="L2" s="98"/>
      <c r="M2" s="98"/>
      <c r="N2" s="98"/>
      <c r="O2" s="98"/>
      <c r="P2" s="98"/>
      <c r="Q2" s="98"/>
      <c r="R2" s="98"/>
    </row>
    <row r="4" spans="1:18" x14ac:dyDescent="0.5">
      <c r="A4" s="45" t="s">
        <v>3055</v>
      </c>
      <c r="N4" s="45" t="str">
        <f>COUNTIF(N6:N20,"PASS")&amp;" / 2 PASS"</f>
        <v>2 / 2 PASS</v>
      </c>
    </row>
    <row r="5" spans="1:18" x14ac:dyDescent="0.5">
      <c r="A5" s="45" t="s">
        <v>7</v>
      </c>
      <c r="B5" s="45" t="s">
        <v>8</v>
      </c>
      <c r="D5" s="45" t="s">
        <v>9</v>
      </c>
      <c r="H5" s="48" t="s">
        <v>10</v>
      </c>
      <c r="K5" s="49" t="s">
        <v>11</v>
      </c>
      <c r="N5" s="50" t="s">
        <v>12</v>
      </c>
    </row>
    <row r="6" spans="1:18" x14ac:dyDescent="0.5">
      <c r="A6" s="46">
        <v>1</v>
      </c>
      <c r="B6" s="47" t="s">
        <v>3056</v>
      </c>
      <c r="D6" s="51">
        <v>3</v>
      </c>
      <c r="F6" s="51">
        <v>2</v>
      </c>
      <c r="H6" s="52">
        <v>1</v>
      </c>
      <c r="I6" s="52">
        <v>1</v>
      </c>
      <c r="K6" s="53" cm="1">
        <f t="array" ref="K6:L11">cycles(D6,F6)</f>
        <v>1</v>
      </c>
      <c r="L6" s="53">
        <v>1</v>
      </c>
      <c r="N6" s="54" t="str" cm="1">
        <f t="array" ref="N6">IF(AND(H6:I11=K6:L11),"PASS","FAIL")</f>
        <v>PASS</v>
      </c>
    </row>
    <row r="7" spans="1:18" x14ac:dyDescent="0.5">
      <c r="A7" s="55"/>
      <c r="B7" s="55"/>
      <c r="H7" s="52">
        <v>1</v>
      </c>
      <c r="I7" s="52">
        <v>2</v>
      </c>
      <c r="K7" s="53">
        <v>1</v>
      </c>
      <c r="L7" s="53">
        <v>2</v>
      </c>
    </row>
    <row r="8" spans="1:18" x14ac:dyDescent="0.5">
      <c r="A8" s="55"/>
      <c r="B8" s="55"/>
      <c r="H8" s="52">
        <v>2</v>
      </c>
      <c r="I8" s="52">
        <v>1</v>
      </c>
      <c r="K8" s="53">
        <v>2</v>
      </c>
      <c r="L8" s="53">
        <v>1</v>
      </c>
    </row>
    <row r="9" spans="1:18" x14ac:dyDescent="0.5">
      <c r="A9" s="55"/>
      <c r="B9" s="55"/>
      <c r="H9" s="52">
        <v>2</v>
      </c>
      <c r="I9" s="52">
        <v>2</v>
      </c>
      <c r="K9" s="53">
        <v>2</v>
      </c>
      <c r="L9" s="53">
        <v>2</v>
      </c>
    </row>
    <row r="10" spans="1:18" x14ac:dyDescent="0.5">
      <c r="A10" s="55"/>
      <c r="B10" s="55"/>
      <c r="H10" s="52">
        <v>3</v>
      </c>
      <c r="I10" s="52">
        <v>1</v>
      </c>
      <c r="K10" s="53">
        <v>3</v>
      </c>
      <c r="L10" s="53">
        <v>1</v>
      </c>
    </row>
    <row r="11" spans="1:18" x14ac:dyDescent="0.5">
      <c r="A11" s="55"/>
      <c r="B11" s="55"/>
      <c r="H11" s="52">
        <v>3</v>
      </c>
      <c r="I11" s="52">
        <v>2</v>
      </c>
      <c r="K11" s="53">
        <v>3</v>
      </c>
      <c r="L11" s="53">
        <v>2</v>
      </c>
    </row>
    <row r="13" spans="1:18" x14ac:dyDescent="0.5">
      <c r="A13" s="46">
        <v>2</v>
      </c>
      <c r="B13" s="47" t="s">
        <v>3057</v>
      </c>
      <c r="D13" s="51">
        <v>2</v>
      </c>
      <c r="F13" s="51">
        <v>3</v>
      </c>
      <c r="H13" s="52">
        <v>1</v>
      </c>
      <c r="I13" s="52">
        <v>1</v>
      </c>
      <c r="K13" s="53" cm="1">
        <f t="array" ref="K13:L18">cycles(D13,F13)</f>
        <v>1</v>
      </c>
      <c r="L13" s="53">
        <v>1</v>
      </c>
      <c r="N13" s="54" t="str" cm="1">
        <f t="array" ref="N13">IF(AND(H13:I18=K13:L18),"PASS","FAIL")</f>
        <v>PASS</v>
      </c>
    </row>
    <row r="14" spans="1:18" x14ac:dyDescent="0.5">
      <c r="A14" s="55"/>
      <c r="B14" s="55"/>
      <c r="H14" s="52">
        <v>1</v>
      </c>
      <c r="I14" s="52">
        <v>2</v>
      </c>
      <c r="K14" s="53">
        <v>1</v>
      </c>
      <c r="L14" s="53">
        <v>2</v>
      </c>
    </row>
    <row r="15" spans="1:18" x14ac:dyDescent="0.5">
      <c r="A15" s="55"/>
      <c r="B15" s="55"/>
      <c r="H15" s="52">
        <v>1</v>
      </c>
      <c r="I15" s="52">
        <v>3</v>
      </c>
      <c r="K15" s="53">
        <v>1</v>
      </c>
      <c r="L15" s="53">
        <v>3</v>
      </c>
    </row>
    <row r="16" spans="1:18"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R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die_pips(st)</v>
      </c>
      <c r="C1" s="95"/>
      <c r="D1" s="95"/>
      <c r="E1" s="95"/>
      <c r="F1" s="96"/>
      <c r="H1" s="45" t="s">
        <v>2</v>
      </c>
      <c r="I1" s="94"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95"/>
      <c r="K1" s="95"/>
      <c r="L1" s="95"/>
      <c r="M1" s="95"/>
      <c r="N1" s="95"/>
      <c r="O1" s="95"/>
      <c r="P1" s="95"/>
      <c r="Q1" s="95"/>
      <c r="R1" s="96"/>
    </row>
    <row r="2" spans="1:18" ht="315" customHeight="1" x14ac:dyDescent="0.5">
      <c r="A2" s="45" t="s">
        <v>4</v>
      </c>
      <c r="B2" s="97"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98"/>
      <c r="D2" s="98"/>
      <c r="E2" s="98"/>
      <c r="F2" s="98"/>
      <c r="G2" s="98"/>
      <c r="H2" s="98"/>
      <c r="I2" s="98"/>
      <c r="J2" s="98"/>
      <c r="K2" s="98"/>
      <c r="L2" s="98"/>
      <c r="M2" s="98"/>
      <c r="N2" s="98"/>
      <c r="O2" s="98"/>
      <c r="P2" s="98"/>
      <c r="Q2" s="98"/>
      <c r="R2" s="98"/>
    </row>
    <row r="4" spans="1:18" x14ac:dyDescent="0.5">
      <c r="A4" s="45" t="s">
        <v>3058</v>
      </c>
      <c r="J4" s="45" t="str">
        <f>COUNTIF(J6:J16,"PASS")&amp;" / 5 PASS"</f>
        <v>5 / 5 PASS</v>
      </c>
    </row>
    <row r="5" spans="1:18" x14ac:dyDescent="0.5">
      <c r="A5" s="45" t="s">
        <v>7</v>
      </c>
      <c r="B5" s="45" t="s">
        <v>8</v>
      </c>
      <c r="D5" s="45" t="s">
        <v>9</v>
      </c>
      <c r="F5" s="48" t="s">
        <v>10</v>
      </c>
      <c r="H5" s="49" t="s">
        <v>11</v>
      </c>
      <c r="J5" s="50" t="s">
        <v>12</v>
      </c>
    </row>
    <row r="6" spans="1:18" x14ac:dyDescent="0.5">
      <c r="A6" s="46">
        <v>1</v>
      </c>
      <c r="B6" s="47" t="s">
        <v>3059</v>
      </c>
      <c r="D6" s="51" t="s">
        <v>3060</v>
      </c>
      <c r="F6" s="52">
        <v>5</v>
      </c>
      <c r="H6" s="53" cm="1">
        <f t="array" ref="H6">die_pips(D6)</f>
        <v>5</v>
      </c>
      <c r="J6" s="54" t="str">
        <f>IF(H6=F6,"PASS","FAIL")</f>
        <v>PASS</v>
      </c>
    </row>
    <row r="8" spans="1:18" x14ac:dyDescent="0.5">
      <c r="A8" s="46">
        <v>2</v>
      </c>
      <c r="B8" s="47" t="s">
        <v>3061</v>
      </c>
      <c r="D8" s="51" t="s">
        <v>3062</v>
      </c>
      <c r="F8" s="52">
        <v>2</v>
      </c>
      <c r="H8" s="53" cm="1">
        <f t="array" ref="H8">die_pips(D8)</f>
        <v>2</v>
      </c>
      <c r="J8" s="54" t="str">
        <f>IF(H8=F8,"PASS","FAIL")</f>
        <v>PASS</v>
      </c>
    </row>
    <row r="10" spans="1:18" x14ac:dyDescent="0.5">
      <c r="A10" s="46">
        <v>3</v>
      </c>
      <c r="B10" s="47" t="s">
        <v>3063</v>
      </c>
      <c r="D10" s="51" t="s">
        <v>3064</v>
      </c>
      <c r="F10" s="52">
        <v>1</v>
      </c>
      <c r="H10" s="53" cm="1">
        <f t="array" ref="H10:H11">die_pips(D10)</f>
        <v>1</v>
      </c>
      <c r="J10" s="54" t="str" cm="1">
        <f t="array" ref="J10">IF(AND(F10:F11=H10:H11),"PASS","FAIL")</f>
        <v>PASS</v>
      </c>
    </row>
    <row r="11" spans="1:18" x14ac:dyDescent="0.5">
      <c r="A11" s="55"/>
      <c r="B11" s="55"/>
      <c r="F11" s="52">
        <v>6</v>
      </c>
      <c r="H11" s="53">
        <v>6</v>
      </c>
    </row>
    <row r="13" spans="1:18" x14ac:dyDescent="0.5">
      <c r="A13" s="46">
        <v>4</v>
      </c>
      <c r="B13" s="47" t="s">
        <v>3065</v>
      </c>
      <c r="D13" s="51" t="s">
        <v>3066</v>
      </c>
      <c r="F13" s="52">
        <v>3</v>
      </c>
      <c r="H13" s="53" cm="1">
        <f t="array" ref="H13:H14">die_pips(D13:D14)</f>
        <v>3</v>
      </c>
      <c r="J13" s="54" t="str" cm="1">
        <f t="array" ref="J13">IF(AND(F13:F14=H13:H14),"PASS","FAIL")</f>
        <v>PASS</v>
      </c>
    </row>
    <row r="14" spans="1:18" x14ac:dyDescent="0.5">
      <c r="A14" s="55"/>
      <c r="B14" s="55"/>
      <c r="D14" s="51" t="s">
        <v>3060</v>
      </c>
      <c r="F14" s="52">
        <v>5</v>
      </c>
      <c r="H14" s="53">
        <v>5</v>
      </c>
    </row>
    <row r="16" spans="1:18" x14ac:dyDescent="0.5">
      <c r="A16" s="46">
        <v>5</v>
      </c>
      <c r="B16" s="47" t="s">
        <v>3376</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R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73" customHeight="1" x14ac:dyDescent="0.5">
      <c r="A1" s="45" t="s">
        <v>0</v>
      </c>
      <c r="B1" s="99" t="str" cm="1">
        <f t="array" aca="1" ref="B1" ca="1">_xlfn.LET(_xlpm.fn, CELL("filename",$A$1), _xlpm.nm, MID(_xlpm.fn, FIND("]", _xlpm.fn) + 1, 255), _xlfn.XLOOKUP(_xlpm.nm &amp; "(*", Lamb!$A$2:$A$1000, Lamb!$A$2:$A$1000, "", 2))</f>
        <v>dist(start_ad, end_ad, [diag_allowed], [print_components])</v>
      </c>
      <c r="C1" s="95"/>
      <c r="D1" s="95"/>
      <c r="E1" s="95"/>
      <c r="F1" s="96"/>
      <c r="H1" s="45" t="s">
        <v>2</v>
      </c>
      <c r="I1" s="94"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98"/>
      <c r="D2" s="98"/>
      <c r="E2" s="98"/>
      <c r="F2" s="98"/>
      <c r="G2" s="98"/>
      <c r="H2" s="98"/>
      <c r="I2" s="98"/>
      <c r="J2" s="98"/>
      <c r="K2" s="98"/>
      <c r="L2" s="98"/>
      <c r="M2" s="98"/>
      <c r="N2" s="98"/>
      <c r="O2" s="98"/>
      <c r="P2" s="98"/>
      <c r="Q2" s="98"/>
      <c r="R2" s="98"/>
    </row>
    <row r="4" spans="1:18" x14ac:dyDescent="0.5">
      <c r="A4" s="45" t="s">
        <v>3067</v>
      </c>
      <c r="P4" s="45" t="str">
        <f>COUNTIF(P6:P33,"PASS")&amp;" / 7 PASS"</f>
        <v>7 / 7 PASS</v>
      </c>
    </row>
    <row r="5" spans="1:18" x14ac:dyDescent="0.5">
      <c r="A5" s="45" t="s">
        <v>7</v>
      </c>
      <c r="B5" s="45" t="s">
        <v>8</v>
      </c>
      <c r="D5" s="45" t="s">
        <v>9</v>
      </c>
      <c r="L5" s="48" t="s">
        <v>10</v>
      </c>
      <c r="N5" s="49" t="s">
        <v>11</v>
      </c>
      <c r="P5" s="50" t="s">
        <v>12</v>
      </c>
    </row>
    <row r="6" spans="1:18" x14ac:dyDescent="0.5">
      <c r="A6" s="46">
        <v>1</v>
      </c>
      <c r="B6" s="47" t="s">
        <v>3068</v>
      </c>
      <c r="D6" s="51" t="s">
        <v>3004</v>
      </c>
      <c r="F6" s="51" t="s">
        <v>3069</v>
      </c>
      <c r="L6" s="52">
        <v>2</v>
      </c>
      <c r="N6" s="53" cm="1">
        <f t="array" ref="N6">dist(D6,F6)</f>
        <v>2</v>
      </c>
      <c r="P6" s="54" t="str">
        <f>IF(N6=L6,"PASS","FAIL")</f>
        <v>PASS</v>
      </c>
    </row>
    <row r="8" spans="1:18" x14ac:dyDescent="0.5">
      <c r="A8" s="46">
        <v>2</v>
      </c>
      <c r="B8" s="47" t="s">
        <v>3070</v>
      </c>
      <c r="D8" s="51" t="s">
        <v>3004</v>
      </c>
      <c r="F8" s="51" t="s">
        <v>3069</v>
      </c>
      <c r="H8" s="51">
        <v>0</v>
      </c>
      <c r="L8" s="52">
        <v>4</v>
      </c>
      <c r="N8" s="53" cm="1">
        <f t="array" ref="N8">dist(D8,F8,H8)</f>
        <v>4</v>
      </c>
      <c r="P8" s="54" t="str">
        <f>IF(N8=L8,"PASS","FAIL")</f>
        <v>PASS</v>
      </c>
    </row>
    <row r="10" spans="1:18" x14ac:dyDescent="0.5">
      <c r="A10" s="46">
        <v>3</v>
      </c>
      <c r="B10" s="47" t="s">
        <v>3071</v>
      </c>
      <c r="D10" s="51" t="s">
        <v>3004</v>
      </c>
      <c r="F10" s="51" t="s">
        <v>3069</v>
      </c>
      <c r="H10" s="51">
        <v>-1</v>
      </c>
      <c r="L10" s="52">
        <v>2.8284271247461898</v>
      </c>
      <c r="N10" s="53" cm="1">
        <f t="array" ref="N10">dist(D10,F10,H10)</f>
        <v>2.8284271247461903</v>
      </c>
      <c r="P10" s="54" t="str">
        <f>IF(ABS(N10-L10)&lt;0.000000001,"PASS","FAIL")</f>
        <v>PASS</v>
      </c>
    </row>
    <row r="12" spans="1:18" x14ac:dyDescent="0.5">
      <c r="A12" s="46">
        <v>4</v>
      </c>
      <c r="B12" s="47" t="s">
        <v>3072</v>
      </c>
      <c r="D12" s="51" t="s">
        <v>3004</v>
      </c>
      <c r="F12" s="51" t="s">
        <v>3073</v>
      </c>
      <c r="L12" s="52">
        <v>3</v>
      </c>
      <c r="N12" s="53" cm="1">
        <f t="array" ref="N12">dist(D12,F12)</f>
        <v>3</v>
      </c>
      <c r="P12" s="54" t="str">
        <f>IF(N12=L12,"PASS","FAIL")</f>
        <v>PASS</v>
      </c>
    </row>
    <row r="14" spans="1:18" x14ac:dyDescent="0.5">
      <c r="A14" s="46">
        <v>5</v>
      </c>
      <c r="B14" s="47" t="s">
        <v>3074</v>
      </c>
      <c r="D14" s="51" t="s">
        <v>3004</v>
      </c>
      <c r="F14" s="51" t="s">
        <v>3069</v>
      </c>
      <c r="H14" s="51">
        <v>1</v>
      </c>
      <c r="J14" s="51">
        <v>1</v>
      </c>
      <c r="L14" s="52" t="s">
        <v>374</v>
      </c>
      <c r="N14" s="53" t="str" cm="1">
        <f t="array" ref="N14:N19">dist(D14,F14,H14,J14)</f>
        <v>↘</v>
      </c>
      <c r="P14" s="54" t="str" cm="1">
        <f t="array" ref="P14">IF(AND(L14:L19=N14:N19),"PASS","FAIL")</f>
        <v>PASS</v>
      </c>
    </row>
    <row r="15" spans="1:18" x14ac:dyDescent="0.5">
      <c r="A15" s="55"/>
      <c r="B15" s="55"/>
      <c r="L15" s="52">
        <v>2</v>
      </c>
      <c r="N15" s="53">
        <v>2</v>
      </c>
    </row>
    <row r="16" spans="1:18"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3075</v>
      </c>
      <c r="D21" s="51" t="s">
        <v>3004</v>
      </c>
      <c r="F21" s="51" t="s">
        <v>3076</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3077</v>
      </c>
      <c r="D28" s="51" t="s">
        <v>3004</v>
      </c>
      <c r="F28" s="51" t="s">
        <v>3069</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R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exists(arr, value)</v>
      </c>
      <c r="C1" s="95"/>
      <c r="D1" s="95"/>
      <c r="E1" s="95"/>
      <c r="F1" s="96"/>
      <c r="H1" s="45" t="s">
        <v>2</v>
      </c>
      <c r="I1" s="94"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=LAMBDA(Arr, Val, IF(ISNUMBER(XMATCH(Val, TOCOL(Arr), 0)), 1, 0))</v>
      </c>
      <c r="C2" s="98"/>
      <c r="D2" s="98"/>
      <c r="E2" s="98"/>
      <c r="F2" s="98"/>
      <c r="G2" s="98"/>
      <c r="H2" s="98"/>
      <c r="I2" s="98"/>
      <c r="J2" s="98"/>
      <c r="K2" s="98"/>
      <c r="L2" s="98"/>
      <c r="M2" s="98"/>
      <c r="N2" s="98"/>
      <c r="O2" s="98"/>
      <c r="P2" s="98"/>
      <c r="Q2" s="98"/>
      <c r="R2" s="98"/>
    </row>
    <row r="4" spans="1:18" x14ac:dyDescent="0.5">
      <c r="A4" s="45" t="s">
        <v>3078</v>
      </c>
      <c r="L4" s="45" t="str">
        <f>COUNTIF(L6:L22,"PASS")&amp;" / 4 PASS"</f>
        <v>4 / 4 PASS</v>
      </c>
    </row>
    <row r="5" spans="1:18" x14ac:dyDescent="0.5">
      <c r="A5" s="45" t="s">
        <v>7</v>
      </c>
      <c r="B5" s="45" t="s">
        <v>8</v>
      </c>
      <c r="D5" s="45" t="s">
        <v>9</v>
      </c>
      <c r="H5" s="48" t="s">
        <v>10</v>
      </c>
      <c r="J5" s="49" t="s">
        <v>11</v>
      </c>
      <c r="L5" s="50" t="s">
        <v>12</v>
      </c>
    </row>
    <row r="6" spans="1:18" x14ac:dyDescent="0.5">
      <c r="A6" s="46">
        <v>1</v>
      </c>
      <c r="B6" s="47" t="s">
        <v>3079</v>
      </c>
      <c r="D6" s="51">
        <v>1</v>
      </c>
      <c r="F6" s="51">
        <v>2</v>
      </c>
      <c r="H6" s="52">
        <v>1</v>
      </c>
      <c r="J6" s="53" cm="1">
        <f t="array" ref="J6">exists(D6:D8,F6)</f>
        <v>1</v>
      </c>
      <c r="L6" s="54" t="str">
        <f>IF(J6=H6,"PASS","FAIL")</f>
        <v>PASS</v>
      </c>
    </row>
    <row r="7" spans="1:18" x14ac:dyDescent="0.5">
      <c r="A7" s="55"/>
      <c r="B7" s="55"/>
      <c r="D7" s="51">
        <v>2</v>
      </c>
    </row>
    <row r="8" spans="1:18" x14ac:dyDescent="0.5">
      <c r="A8" s="55"/>
      <c r="B8" s="55"/>
      <c r="D8" s="51">
        <v>3</v>
      </c>
    </row>
    <row r="10" spans="1:18" x14ac:dyDescent="0.5">
      <c r="A10" s="46">
        <v>2</v>
      </c>
      <c r="B10" s="47" t="s">
        <v>3080</v>
      </c>
      <c r="D10" s="51" t="s">
        <v>3016</v>
      </c>
      <c r="F10" s="51" t="s">
        <v>3036</v>
      </c>
      <c r="H10" s="52">
        <v>0</v>
      </c>
      <c r="J10" s="53" cm="1">
        <f t="array" ref="J10">exists(D10:D12,F10)</f>
        <v>0</v>
      </c>
      <c r="L10" s="54" t="str">
        <f>IF(J10=H10,"PASS","FAIL")</f>
        <v>PASS</v>
      </c>
    </row>
    <row r="11" spans="1:18" x14ac:dyDescent="0.5">
      <c r="A11" s="55"/>
      <c r="B11" s="55"/>
      <c r="D11" s="51" t="s">
        <v>3017</v>
      </c>
    </row>
    <row r="12" spans="1:18" x14ac:dyDescent="0.5">
      <c r="A12" s="55"/>
      <c r="B12" s="55"/>
      <c r="D12" s="51" t="s">
        <v>3025</v>
      </c>
    </row>
    <row r="14" spans="1:18" x14ac:dyDescent="0.5">
      <c r="A14" s="46">
        <v>3</v>
      </c>
      <c r="B14" s="47" t="s">
        <v>3081</v>
      </c>
      <c r="D14" s="51">
        <v>1</v>
      </c>
      <c r="F14" s="51">
        <v>2</v>
      </c>
      <c r="H14" s="52">
        <v>1</v>
      </c>
      <c r="J14" s="53" cm="1">
        <f t="array" ref="J14:J15">exists(D14:D16,F14:F15)</f>
        <v>1</v>
      </c>
      <c r="L14" s="54" t="str" cm="1">
        <f t="array" ref="L14">IF(AND(H14:H15=J14:J15),"PASS","FAIL")</f>
        <v>PASS</v>
      </c>
    </row>
    <row r="15" spans="1:18" x14ac:dyDescent="0.5">
      <c r="A15" s="55"/>
      <c r="B15" s="55"/>
      <c r="D15" s="51">
        <v>2</v>
      </c>
      <c r="F15" s="51">
        <v>9</v>
      </c>
      <c r="H15" s="52">
        <v>0</v>
      </c>
      <c r="J15" s="53">
        <v>0</v>
      </c>
    </row>
    <row r="16" spans="1:18" x14ac:dyDescent="0.5">
      <c r="A16" s="55"/>
      <c r="B16" s="55"/>
      <c r="D16" s="51">
        <v>3</v>
      </c>
    </row>
    <row r="18" spans="1:12" x14ac:dyDescent="0.5">
      <c r="A18" s="46">
        <v>4</v>
      </c>
      <c r="B18" s="47" t="s">
        <v>3082</v>
      </c>
      <c r="D18" s="51" t="s">
        <v>3016</v>
      </c>
      <c r="F18" s="51" t="s">
        <v>3016</v>
      </c>
      <c r="H18" s="52">
        <v>1</v>
      </c>
      <c r="J18" s="53" cm="1">
        <f t="array" ref="J18:J19">exists(D18:D20,F18:F19)</f>
        <v>1</v>
      </c>
      <c r="L18" s="54" t="str" cm="1">
        <f t="array" ref="L18">IF(AND(H18:H19=J18:J19),"PASS","FAIL")</f>
        <v>PASS</v>
      </c>
    </row>
    <row r="19" spans="1:12" x14ac:dyDescent="0.5">
      <c r="A19" s="55"/>
      <c r="B19" s="55"/>
      <c r="D19" s="51" t="s">
        <v>3017</v>
      </c>
      <c r="F19" s="51" t="s">
        <v>3083</v>
      </c>
      <c r="H19" s="52">
        <v>0</v>
      </c>
      <c r="J19" s="53">
        <v>0</v>
      </c>
    </row>
    <row r="20" spans="1:12" x14ac:dyDescent="0.5">
      <c r="A20" s="55"/>
      <c r="B20" s="55"/>
      <c r="D20" s="51" t="s">
        <v>3025</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R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5" t="s">
        <v>0</v>
      </c>
      <c r="B1" s="99" t="str" cm="1">
        <f t="array" aca="1" ref="B1" ca="1">_xlfn.LET(_xlpm.fn, CELL("filename",$A$1), _xlpm.nm, MID(_xlpm.fn, FIND("]", _xlpm.fn) + 1, 255), _xlfn.XLOOKUP(_xlpm.nm &amp; "(*", Lamb!$A$2:$A$1000, Lamb!$A$2:$A$1000, "", 2))</f>
        <v>freq_table(array, [min_freq])</v>
      </c>
      <c r="C1" s="95"/>
      <c r="D1" s="95"/>
      <c r="E1" s="95"/>
      <c r="F1" s="96"/>
      <c r="H1" s="45" t="s">
        <v>2</v>
      </c>
      <c r="I1" s="94"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95"/>
      <c r="K1" s="95"/>
      <c r="L1" s="95"/>
      <c r="M1" s="95"/>
      <c r="N1" s="95"/>
      <c r="O1" s="95"/>
      <c r="P1" s="95"/>
      <c r="Q1" s="95"/>
      <c r="R1" s="96"/>
    </row>
    <row r="2" spans="1:18" ht="189" customHeight="1" x14ac:dyDescent="0.5">
      <c r="A2" s="45" t="s">
        <v>4</v>
      </c>
      <c r="B2" s="97"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98"/>
      <c r="D2" s="98"/>
      <c r="E2" s="98"/>
      <c r="F2" s="98"/>
      <c r="G2" s="98"/>
      <c r="H2" s="98"/>
      <c r="I2" s="98"/>
      <c r="J2" s="98"/>
      <c r="K2" s="98"/>
      <c r="L2" s="98"/>
      <c r="M2" s="98"/>
      <c r="N2" s="98"/>
      <c r="O2" s="98"/>
      <c r="P2" s="98"/>
      <c r="Q2" s="98"/>
      <c r="R2" s="98"/>
    </row>
    <row r="4" spans="1:18" x14ac:dyDescent="0.5">
      <c r="A4" s="45" t="s">
        <v>3084</v>
      </c>
      <c r="N4" s="45" t="str">
        <f>COUNTIF(N6:N33,"PASS")&amp;" / 5 PASS"</f>
        <v>5 / 5 PASS</v>
      </c>
    </row>
    <row r="5" spans="1:18" x14ac:dyDescent="0.5">
      <c r="A5" s="45" t="s">
        <v>7</v>
      </c>
      <c r="B5" s="45" t="s">
        <v>8</v>
      </c>
      <c r="D5" s="45" t="s">
        <v>9</v>
      </c>
      <c r="H5" s="48" t="s">
        <v>10</v>
      </c>
      <c r="K5" s="49" t="s">
        <v>11</v>
      </c>
      <c r="N5" s="50" t="s">
        <v>12</v>
      </c>
    </row>
    <row r="6" spans="1:18" x14ac:dyDescent="0.5">
      <c r="A6" s="46">
        <v>1</v>
      </c>
      <c r="B6" s="47" t="s">
        <v>3085</v>
      </c>
      <c r="D6" s="51">
        <v>1</v>
      </c>
      <c r="H6" s="52">
        <v>1</v>
      </c>
      <c r="I6" s="52">
        <v>2</v>
      </c>
      <c r="K6" s="53" cm="1">
        <f t="array" ref="K6:L7">freq_table(D6:D8)</f>
        <v>1</v>
      </c>
      <c r="L6" s="53">
        <v>2</v>
      </c>
      <c r="N6" s="54" t="str" cm="1">
        <f t="array" ref="N6">IF(AND(H6:I7=K6:L7),"PASS","FAIL")</f>
        <v>PASS</v>
      </c>
    </row>
    <row r="7" spans="1:18" x14ac:dyDescent="0.5">
      <c r="A7" s="55"/>
      <c r="B7" s="55"/>
      <c r="D7" s="51">
        <v>1</v>
      </c>
      <c r="H7" s="52">
        <v>2</v>
      </c>
      <c r="I7" s="52">
        <v>1</v>
      </c>
      <c r="K7" s="53">
        <v>2</v>
      </c>
      <c r="L7" s="53">
        <v>1</v>
      </c>
    </row>
    <row r="8" spans="1:18" x14ac:dyDescent="0.5">
      <c r="A8" s="55"/>
      <c r="B8" s="55"/>
      <c r="D8" s="51">
        <v>2</v>
      </c>
    </row>
    <row r="10" spans="1:18" x14ac:dyDescent="0.5">
      <c r="A10" s="46">
        <v>2</v>
      </c>
      <c r="B10" s="47" t="s">
        <v>3086</v>
      </c>
      <c r="D10" s="51" t="s">
        <v>3016</v>
      </c>
      <c r="H10" s="52" t="s">
        <v>3016</v>
      </c>
      <c r="I10" s="52">
        <v>3</v>
      </c>
      <c r="K10" s="53" t="str" cm="1">
        <f t="array" ref="K10:L12">freq_table(D10:D15)</f>
        <v>a</v>
      </c>
      <c r="L10" s="53">
        <v>3</v>
      </c>
      <c r="N10" s="54" t="str" cm="1">
        <f t="array" ref="N10">IF(AND(H10:I12=K10:L12),"PASS","FAIL")</f>
        <v>PASS</v>
      </c>
    </row>
    <row r="11" spans="1:18" x14ac:dyDescent="0.5">
      <c r="A11" s="55"/>
      <c r="B11" s="55"/>
      <c r="D11" s="51" t="s">
        <v>3016</v>
      </c>
      <c r="H11" s="52" t="s">
        <v>3017</v>
      </c>
      <c r="I11" s="52">
        <v>2</v>
      </c>
      <c r="K11" s="53" t="str">
        <v>b</v>
      </c>
      <c r="L11" s="53">
        <v>2</v>
      </c>
    </row>
    <row r="12" spans="1:18" x14ac:dyDescent="0.5">
      <c r="A12" s="55"/>
      <c r="B12" s="55"/>
      <c r="D12" s="51" t="s">
        <v>3016</v>
      </c>
      <c r="H12" s="52" t="s">
        <v>3025</v>
      </c>
      <c r="I12" s="52">
        <v>1</v>
      </c>
      <c r="K12" s="53" t="str">
        <v>c</v>
      </c>
      <c r="L12" s="53">
        <v>1</v>
      </c>
    </row>
    <row r="13" spans="1:18" x14ac:dyDescent="0.5">
      <c r="A13" s="55"/>
      <c r="B13" s="55"/>
      <c r="D13" s="51" t="s">
        <v>3017</v>
      </c>
    </row>
    <row r="14" spans="1:18" x14ac:dyDescent="0.5">
      <c r="A14" s="55"/>
      <c r="B14" s="55"/>
      <c r="D14" s="51" t="s">
        <v>3017</v>
      </c>
    </row>
    <row r="15" spans="1:18" x14ac:dyDescent="0.5">
      <c r="A15" s="55"/>
      <c r="B15" s="55"/>
      <c r="D15" s="51" t="s">
        <v>3025</v>
      </c>
    </row>
    <row r="17" spans="1:14" x14ac:dyDescent="0.5">
      <c r="A17" s="46">
        <v>3</v>
      </c>
      <c r="B17" s="47" t="s">
        <v>3087</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3088</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3089</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R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is_unique(arr)</v>
      </c>
      <c r="C1" s="95"/>
      <c r="D1" s="95"/>
      <c r="E1" s="95"/>
      <c r="F1" s="96"/>
      <c r="H1" s="45" t="s">
        <v>2</v>
      </c>
      <c r="I1" s="94"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str2arr to check a string character by character.</v>
      </c>
      <c r="J1" s="95"/>
      <c r="K1" s="95"/>
      <c r="L1" s="95"/>
      <c r="M1" s="95"/>
      <c r="N1" s="95"/>
      <c r="O1" s="95"/>
      <c r="P1" s="95"/>
      <c r="Q1" s="95"/>
      <c r="R1" s="96"/>
    </row>
    <row r="2" spans="1:18" ht="168" customHeight="1" x14ac:dyDescent="0.5">
      <c r="A2" s="45" t="s">
        <v>4</v>
      </c>
      <c r="B2" s="97"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98"/>
      <c r="D2" s="98"/>
      <c r="E2" s="98"/>
      <c r="F2" s="98"/>
      <c r="G2" s="98"/>
      <c r="H2" s="98"/>
      <c r="I2" s="98"/>
      <c r="J2" s="98"/>
      <c r="K2" s="98"/>
      <c r="L2" s="98"/>
      <c r="M2" s="98"/>
      <c r="N2" s="98"/>
      <c r="O2" s="98"/>
      <c r="P2" s="98"/>
      <c r="Q2" s="98"/>
      <c r="R2" s="98"/>
    </row>
    <row r="4" spans="1:18" x14ac:dyDescent="0.5">
      <c r="A4" s="45" t="s">
        <v>3090</v>
      </c>
      <c r="J4" s="45" t="str">
        <f>COUNTIF(J6:J22,"PASS")&amp;" / 4 PASS"</f>
        <v>4 / 4 PASS</v>
      </c>
    </row>
    <row r="5" spans="1:18" x14ac:dyDescent="0.5">
      <c r="A5" s="45" t="s">
        <v>7</v>
      </c>
      <c r="B5" s="45" t="s">
        <v>8</v>
      </c>
      <c r="D5" s="45" t="s">
        <v>9</v>
      </c>
      <c r="F5" s="48" t="s">
        <v>10</v>
      </c>
      <c r="H5" s="49" t="s">
        <v>11</v>
      </c>
      <c r="J5" s="50" t="s">
        <v>12</v>
      </c>
    </row>
    <row r="6" spans="1:18" x14ac:dyDescent="0.5">
      <c r="A6" s="46">
        <v>1</v>
      </c>
      <c r="B6" s="47" t="s">
        <v>3051</v>
      </c>
      <c r="D6" s="51">
        <v>1</v>
      </c>
      <c r="F6" s="52">
        <v>1</v>
      </c>
      <c r="H6" s="53" cm="1">
        <f t="array" ref="H6">is_unique(D6:D8)</f>
        <v>1</v>
      </c>
      <c r="J6" s="54" t="str">
        <f>IF(H6=F6,"PASS","FAIL")</f>
        <v>PASS</v>
      </c>
    </row>
    <row r="7" spans="1:18" x14ac:dyDescent="0.5">
      <c r="A7" s="55"/>
      <c r="B7" s="55"/>
      <c r="D7" s="51">
        <v>2</v>
      </c>
    </row>
    <row r="8" spans="1:18" x14ac:dyDescent="0.5">
      <c r="A8" s="55"/>
      <c r="B8" s="55"/>
      <c r="D8" s="51">
        <v>3</v>
      </c>
    </row>
    <row r="10" spans="1:18" x14ac:dyDescent="0.5">
      <c r="A10" s="46">
        <v>2</v>
      </c>
      <c r="B10" s="47" t="s">
        <v>3091</v>
      </c>
      <c r="D10" s="51">
        <v>1</v>
      </c>
      <c r="F10" s="52">
        <v>0</v>
      </c>
      <c r="H10" s="53" cm="1">
        <f t="array" ref="H10">is_unique(D10:D12)</f>
        <v>0</v>
      </c>
      <c r="J10" s="54" t="str">
        <f>IF(H10=F10,"PASS","FAIL")</f>
        <v>PASS</v>
      </c>
    </row>
    <row r="11" spans="1:18" x14ac:dyDescent="0.5">
      <c r="A11" s="55"/>
      <c r="B11" s="55"/>
      <c r="D11" s="51">
        <v>2</v>
      </c>
    </row>
    <row r="12" spans="1:18" x14ac:dyDescent="0.5">
      <c r="A12" s="55"/>
      <c r="B12" s="55"/>
      <c r="D12" s="51">
        <v>2</v>
      </c>
    </row>
    <row r="14" spans="1:18" x14ac:dyDescent="0.5">
      <c r="A14" s="46">
        <v>3</v>
      </c>
      <c r="B14" s="47" t="s">
        <v>3092</v>
      </c>
      <c r="D14" s="51" t="s">
        <v>3016</v>
      </c>
      <c r="F14" s="52">
        <v>0</v>
      </c>
      <c r="H14" s="53" cm="1">
        <f t="array" ref="H14">is_unique(D14:D15)</f>
        <v>0</v>
      </c>
      <c r="J14" s="54" t="str">
        <f>IF(H14=F14,"PASS","FAIL")</f>
        <v>PASS</v>
      </c>
    </row>
    <row r="15" spans="1:18" x14ac:dyDescent="0.5">
      <c r="A15" s="55"/>
      <c r="B15" s="55"/>
      <c r="D15" s="51" t="s">
        <v>137</v>
      </c>
    </row>
    <row r="17" spans="1:10" x14ac:dyDescent="0.5">
      <c r="A17" s="46">
        <v>4</v>
      </c>
      <c r="B17" s="47" t="s">
        <v>3093</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R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5" t="s">
        <v>0</v>
      </c>
      <c r="B1" s="99" t="str" cm="1">
        <f t="array" aca="1" ref="B1" ca="1">_xlfn.LET(_xlpm.fn, CELL("filename",$A$1), _xlpm.nm, MID(_xlpm.fn, FIND("]", _xlpm.fn) + 1, 255), _xlfn.XLOOKUP(_xlpm.nm &amp; "(*", Lamb!$A$2:$A$1000, Lamb!$A$2:$A$1000, "", 2))</f>
        <v>knight_moves(start_ad, end_ad)</v>
      </c>
      <c r="C1" s="95"/>
      <c r="D1" s="95"/>
      <c r="E1" s="95"/>
      <c r="F1" s="96"/>
      <c r="H1" s="45" t="s">
        <v>2</v>
      </c>
      <c r="I1" s="94"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95"/>
      <c r="K1" s="95"/>
      <c r="L1" s="95"/>
      <c r="M1" s="95"/>
      <c r="N1" s="95"/>
      <c r="O1" s="95"/>
      <c r="P1" s="95"/>
      <c r="Q1" s="95"/>
      <c r="R1" s="96"/>
    </row>
    <row r="2" spans="1:18" ht="315" customHeight="1" x14ac:dyDescent="0.5">
      <c r="A2" s="45" t="s">
        <v>4</v>
      </c>
      <c r="B2" s="97"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98"/>
      <c r="D2" s="98"/>
      <c r="E2" s="98"/>
      <c r="F2" s="98"/>
      <c r="G2" s="98"/>
      <c r="H2" s="98"/>
      <c r="I2" s="98"/>
      <c r="J2" s="98"/>
      <c r="K2" s="98"/>
      <c r="L2" s="98"/>
      <c r="M2" s="98"/>
      <c r="N2" s="98"/>
      <c r="O2" s="98"/>
      <c r="P2" s="98"/>
      <c r="Q2" s="98"/>
      <c r="R2" s="98"/>
    </row>
    <row r="4" spans="1:18" x14ac:dyDescent="0.5">
      <c r="A4" s="45" t="s">
        <v>3094</v>
      </c>
      <c r="L4" s="45" t="str">
        <f>COUNTIF(L6:L20,"PASS")&amp;" / 7 PASS"</f>
        <v>7 / 7 PASS</v>
      </c>
    </row>
    <row r="5" spans="1:18" x14ac:dyDescent="0.5">
      <c r="A5" s="45" t="s">
        <v>7</v>
      </c>
      <c r="B5" s="45" t="s">
        <v>8</v>
      </c>
      <c r="D5" s="45" t="s">
        <v>9</v>
      </c>
      <c r="H5" s="48" t="s">
        <v>10</v>
      </c>
      <c r="J5" s="49" t="s">
        <v>11</v>
      </c>
      <c r="L5" s="50" t="s">
        <v>12</v>
      </c>
    </row>
    <row r="6" spans="1:18" x14ac:dyDescent="0.5">
      <c r="A6" s="46">
        <v>1</v>
      </c>
      <c r="B6" s="47" t="s">
        <v>3095</v>
      </c>
      <c r="D6" s="51" t="s">
        <v>3004</v>
      </c>
      <c r="F6" s="51" t="s">
        <v>3096</v>
      </c>
      <c r="H6" s="52">
        <v>1</v>
      </c>
      <c r="J6" s="53" cm="1">
        <f t="array" ref="J6">knight_moves(D6,F6)</f>
        <v>1</v>
      </c>
      <c r="L6" s="54" t="str">
        <f>IF(J6=H6,"PASS","FAIL")</f>
        <v>PASS</v>
      </c>
    </row>
    <row r="8" spans="1:18" x14ac:dyDescent="0.5">
      <c r="A8" s="46">
        <v>2</v>
      </c>
      <c r="B8" s="47" t="s">
        <v>3097</v>
      </c>
      <c r="D8" s="51" t="s">
        <v>3004</v>
      </c>
      <c r="F8" s="51" t="s">
        <v>3069</v>
      </c>
      <c r="H8" s="52">
        <v>4</v>
      </c>
      <c r="J8" s="53" cm="1">
        <f t="array" ref="J8">knight_moves(D8,F8)</f>
        <v>4</v>
      </c>
      <c r="L8" s="54" t="str">
        <f>IF(J8=H8,"PASS","FAIL")</f>
        <v>PASS</v>
      </c>
    </row>
    <row r="10" spans="1:18" x14ac:dyDescent="0.5">
      <c r="A10" s="46">
        <v>3</v>
      </c>
      <c r="B10" s="47" t="s">
        <v>3098</v>
      </c>
      <c r="D10" s="51" t="s">
        <v>3004</v>
      </c>
      <c r="F10" s="51" t="s">
        <v>3004</v>
      </c>
      <c r="H10" s="52">
        <v>0</v>
      </c>
      <c r="J10" s="53" cm="1">
        <f t="array" ref="J10">knight_moves(D10,F10)</f>
        <v>0</v>
      </c>
      <c r="L10" s="54" t="str">
        <f>IF(J10=H10,"PASS","FAIL")</f>
        <v>PASS</v>
      </c>
    </row>
    <row r="12" spans="1:18" x14ac:dyDescent="0.5">
      <c r="A12" s="46">
        <v>4</v>
      </c>
      <c r="B12" s="47" t="s">
        <v>3099</v>
      </c>
      <c r="D12" s="51" t="s">
        <v>3004</v>
      </c>
      <c r="F12" s="51" t="s">
        <v>3100</v>
      </c>
      <c r="H12" s="52">
        <v>3</v>
      </c>
      <c r="J12" s="53" cm="1">
        <f t="array" ref="J12">knight_moves(D12,F12)</f>
        <v>3</v>
      </c>
      <c r="L12" s="54" t="str">
        <f>IF(J12=H12,"PASS","FAIL")</f>
        <v>PASS</v>
      </c>
    </row>
    <row r="14" spans="1:18" x14ac:dyDescent="0.5">
      <c r="A14" s="46">
        <v>5</v>
      </c>
      <c r="B14" s="47" t="s">
        <v>3101</v>
      </c>
      <c r="D14" s="51" t="s">
        <v>3004</v>
      </c>
      <c r="F14" s="51" t="s">
        <v>3102</v>
      </c>
      <c r="H14" s="52">
        <v>6</v>
      </c>
      <c r="J14" s="53" cm="1">
        <f t="array" ref="J14">knight_moves(D14,F14)</f>
        <v>6</v>
      </c>
      <c r="L14" s="54" t="str">
        <f>IF(J14=H14,"PASS","FAIL")</f>
        <v>PASS</v>
      </c>
    </row>
    <row r="16" spans="1:18" x14ac:dyDescent="0.5">
      <c r="A16" s="46">
        <v>6</v>
      </c>
      <c r="B16" s="47" t="s">
        <v>3103</v>
      </c>
      <c r="D16" s="51">
        <v>1000001</v>
      </c>
      <c r="F16" s="51">
        <v>8000008</v>
      </c>
      <c r="H16" s="52">
        <v>6</v>
      </c>
      <c r="J16" s="53" cm="1">
        <f t="array" ref="J16">knight_moves(D16,F16)</f>
        <v>6</v>
      </c>
      <c r="L16" s="54" t="str">
        <f>IF(J16=H16,"PASS","FAIL")</f>
        <v>PASS</v>
      </c>
    </row>
    <row r="18" spans="1:12" x14ac:dyDescent="0.5">
      <c r="A18" s="46">
        <v>7</v>
      </c>
      <c r="B18" s="47" t="s">
        <v>3104</v>
      </c>
      <c r="D18" s="51">
        <v>1000001</v>
      </c>
      <c r="F18" s="51" t="s">
        <v>3069</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R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label_lookup(arr,row_label,column_label)</v>
      </c>
      <c r="C1" s="95"/>
      <c r="D1" s="95"/>
      <c r="E1" s="95"/>
      <c r="F1" s="96"/>
      <c r="H1" s="45" t="s">
        <v>2</v>
      </c>
      <c r="I1" s="94"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95"/>
      <c r="K1" s="95"/>
      <c r="L1" s="95"/>
      <c r="M1" s="95"/>
      <c r="N1" s="95"/>
      <c r="O1" s="95"/>
      <c r="P1" s="95"/>
      <c r="Q1" s="95"/>
      <c r="R1" s="96"/>
    </row>
    <row r="2" spans="1:18" ht="147" customHeight="1" x14ac:dyDescent="0.5">
      <c r="A2" s="45" t="s">
        <v>4</v>
      </c>
      <c r="B2" s="97"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98"/>
      <c r="D2" s="98"/>
      <c r="E2" s="98"/>
      <c r="F2" s="98"/>
      <c r="G2" s="98"/>
      <c r="H2" s="98"/>
      <c r="I2" s="98"/>
      <c r="J2" s="98"/>
      <c r="K2" s="98"/>
      <c r="L2" s="98"/>
      <c r="M2" s="98"/>
      <c r="N2" s="98"/>
      <c r="O2" s="98"/>
      <c r="P2" s="98"/>
      <c r="Q2" s="98"/>
      <c r="R2" s="98"/>
    </row>
    <row r="4" spans="1:18" x14ac:dyDescent="0.5">
      <c r="A4" s="45" t="s">
        <v>3105</v>
      </c>
      <c r="N4" s="45" t="str">
        <f>COUNTIF(N11:N20,"PASS")&amp;" / 4 PASS"</f>
        <v>4 / 4 PASS</v>
      </c>
    </row>
    <row r="5" spans="1:18" x14ac:dyDescent="0.5">
      <c r="B5" s="45" t="s">
        <v>8</v>
      </c>
      <c r="J5" s="48" t="s">
        <v>10</v>
      </c>
      <c r="L5" s="49" t="s">
        <v>11</v>
      </c>
      <c r="N5" s="50" t="s">
        <v>12</v>
      </c>
    </row>
    <row r="6" spans="1:18" x14ac:dyDescent="0.5">
      <c r="D6" s="45" t="s">
        <v>3106</v>
      </c>
    </row>
    <row r="7" spans="1:18" x14ac:dyDescent="0.5">
      <c r="D7" s="51"/>
      <c r="E7" s="51" t="s">
        <v>3107</v>
      </c>
      <c r="F7" s="51" t="s">
        <v>3108</v>
      </c>
      <c r="G7" s="51" t="s">
        <v>3109</v>
      </c>
    </row>
    <row r="8" spans="1:18" x14ac:dyDescent="0.5">
      <c r="D8" s="51" t="s">
        <v>137</v>
      </c>
      <c r="E8" s="51">
        <v>1</v>
      </c>
      <c r="F8" s="51">
        <v>2</v>
      </c>
      <c r="G8" s="51">
        <v>3</v>
      </c>
    </row>
    <row r="9" spans="1:18" x14ac:dyDescent="0.5">
      <c r="D9" s="51" t="s">
        <v>144</v>
      </c>
      <c r="E9" s="51">
        <v>4</v>
      </c>
      <c r="F9" s="51">
        <v>5</v>
      </c>
      <c r="G9" s="51">
        <v>6</v>
      </c>
    </row>
    <row r="11" spans="1:18" x14ac:dyDescent="0.5">
      <c r="B11" s="46" t="s">
        <v>3110</v>
      </c>
      <c r="J11" s="52">
        <v>5</v>
      </c>
      <c r="L11" s="53" cm="1">
        <f t="array" ref="L11">label_lookup(D7:G9,"B","Tue")</f>
        <v>5</v>
      </c>
      <c r="N11" s="54" t="str">
        <f>IF(L11=J11,"PASS","FAIL")</f>
        <v>PASS</v>
      </c>
    </row>
    <row r="13" spans="1:18" x14ac:dyDescent="0.5">
      <c r="B13" s="46" t="s">
        <v>3111</v>
      </c>
      <c r="J13" s="52">
        <v>3</v>
      </c>
      <c r="L13" s="53" cm="1">
        <f t="array" ref="L13">label_lookup(D7:G9,"A","Wed")</f>
        <v>3</v>
      </c>
      <c r="N13" s="54" t="str">
        <f>IF(L13=J13,"PASS","FAIL")</f>
        <v>PASS</v>
      </c>
    </row>
    <row r="15" spans="1:18" x14ac:dyDescent="0.5">
      <c r="B15" s="46" t="s">
        <v>3112</v>
      </c>
      <c r="J15" s="52">
        <v>4</v>
      </c>
      <c r="L15" s="53" cm="1">
        <f t="array" ref="L15">label_lookup(D7:G9,"B","Mon")</f>
        <v>4</v>
      </c>
      <c r="N15" s="54" t="str">
        <f>IF(L15=J15,"PASS","FAIL")</f>
        <v>PASS</v>
      </c>
    </row>
    <row r="17" spans="2:14" x14ac:dyDescent="0.5">
      <c r="B17" s="46" t="s">
        <v>3377</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8" ht="252" customHeight="1" x14ac:dyDescent="0.5">
      <c r="A1" s="45" t="s">
        <v>0</v>
      </c>
      <c r="B1" s="99" t="str" cm="1">
        <f t="array" aca="1" ref="B1" ca="1">_xlfn.LET(_xlpm.fn, CELL("filename",$A$1), _xlpm.nm, MID(_xlpm.fn, FIND("]", _xlpm.fn) + 1, 255), _xlfn.XLOOKUP(_xlpm.nm &amp; "(*", Lamb!$A$2:$A$1000, Lamb!$A$2:$A$1000, "", 2))</f>
        <v>load_array(input_string,[col_delimiter],[row_delimiter])</v>
      </c>
      <c r="C1" s="95"/>
      <c r="D1" s="95"/>
      <c r="E1" s="95"/>
      <c r="F1" s="96"/>
      <c r="H1" s="45" t="s">
        <v>2</v>
      </c>
      <c r="I1" s="94"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95"/>
      <c r="K1" s="95"/>
      <c r="L1" s="95"/>
      <c r="M1" s="95"/>
      <c r="N1" s="95"/>
      <c r="O1" s="95"/>
      <c r="P1" s="95"/>
      <c r="Q1" s="95"/>
      <c r="R1" s="96"/>
    </row>
    <row r="2" spans="1:18" ht="294" customHeight="1" x14ac:dyDescent="0.5">
      <c r="A2" s="45" t="s">
        <v>4</v>
      </c>
      <c r="B2" s="97"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98"/>
      <c r="D2" s="98"/>
      <c r="E2" s="98"/>
      <c r="F2" s="98"/>
      <c r="G2" s="98"/>
      <c r="H2" s="98"/>
      <c r="I2" s="98"/>
      <c r="J2" s="98"/>
      <c r="K2" s="98"/>
      <c r="L2" s="98"/>
      <c r="M2" s="98"/>
      <c r="N2" s="98"/>
      <c r="O2" s="98"/>
      <c r="P2" s="98"/>
      <c r="Q2" s="98"/>
      <c r="R2" s="98"/>
    </row>
    <row r="4" spans="1:18" x14ac:dyDescent="0.5">
      <c r="A4" s="45" t="s">
        <v>3113</v>
      </c>
      <c r="P4" s="45" t="str">
        <f>COUNTIF(P6:P15,"PASS")&amp;" / 3 PASS"</f>
        <v>3 / 3 PASS</v>
      </c>
    </row>
    <row r="5" spans="1:18" x14ac:dyDescent="0.5">
      <c r="A5" s="45" t="s">
        <v>7</v>
      </c>
      <c r="B5" s="45" t="s">
        <v>8</v>
      </c>
      <c r="D5" s="45" t="s">
        <v>9</v>
      </c>
      <c r="J5" s="48" t="s">
        <v>10</v>
      </c>
      <c r="M5" s="49" t="s">
        <v>11</v>
      </c>
      <c r="P5" s="50" t="s">
        <v>12</v>
      </c>
    </row>
    <row r="6" spans="1:18" x14ac:dyDescent="0.5">
      <c r="A6" s="46">
        <v>1</v>
      </c>
      <c r="B6" s="47" t="s">
        <v>3114</v>
      </c>
      <c r="D6" s="51" t="s">
        <v>3114</v>
      </c>
      <c r="J6" s="52">
        <v>1</v>
      </c>
      <c r="K6" s="52">
        <v>2</v>
      </c>
      <c r="M6" s="53" cm="1">
        <f t="array" ref="M6:N7">load_array(D6)</f>
        <v>1</v>
      </c>
      <c r="N6" s="53">
        <v>2</v>
      </c>
      <c r="P6" s="54" t="str" cm="1">
        <f t="array" ref="P6">IF(AND(J6:K7=M6:N7),"PASS","FAIL")</f>
        <v>PASS</v>
      </c>
    </row>
    <row r="7" spans="1:18" x14ac:dyDescent="0.5">
      <c r="A7" s="55"/>
      <c r="B7" s="55"/>
      <c r="J7" s="52">
        <v>3</v>
      </c>
      <c r="K7" s="52">
        <v>4</v>
      </c>
      <c r="M7" s="53">
        <v>3</v>
      </c>
      <c r="N7" s="53">
        <v>4</v>
      </c>
    </row>
    <row r="9" spans="1:18" x14ac:dyDescent="0.5">
      <c r="A9" s="46">
        <v>2</v>
      </c>
      <c r="B9" s="47" t="s">
        <v>3115</v>
      </c>
      <c r="D9" s="51" t="s">
        <v>3115</v>
      </c>
      <c r="J9" s="52" t="s">
        <v>3016</v>
      </c>
      <c r="K9" s="52" t="s">
        <v>3017</v>
      </c>
      <c r="M9" s="53" t="str" cm="1">
        <f t="array" ref="M9:N10">load_array(D9)</f>
        <v>a</v>
      </c>
      <c r="N9" s="53" t="str">
        <v>b</v>
      </c>
      <c r="P9" s="54" t="str" cm="1">
        <f t="array" ref="P9">IF(AND(J9:K10=M9:N10),"PASS","FAIL")</f>
        <v>PASS</v>
      </c>
    </row>
    <row r="10" spans="1:18" x14ac:dyDescent="0.5">
      <c r="A10" s="55"/>
      <c r="B10" s="55"/>
      <c r="J10" s="52" t="s">
        <v>3025</v>
      </c>
      <c r="K10" s="52" t="s">
        <v>3018</v>
      </c>
      <c r="M10" s="53" t="str">
        <v>c</v>
      </c>
      <c r="N10" s="53" t="str">
        <v>d</v>
      </c>
    </row>
    <row r="12" spans="1:18" x14ac:dyDescent="0.5">
      <c r="A12" s="46">
        <v>3</v>
      </c>
      <c r="B12" s="47" t="s">
        <v>3116</v>
      </c>
      <c r="D12" s="51" t="s">
        <v>3117</v>
      </c>
      <c r="F12" s="51" t="s">
        <v>3118</v>
      </c>
      <c r="H12" s="51" t="s">
        <v>3119</v>
      </c>
      <c r="J12" s="52">
        <v>1</v>
      </c>
      <c r="K12" s="52">
        <v>2</v>
      </c>
      <c r="M12" s="53" cm="1">
        <f t="array" ref="M12:N13">load_array(D12,F12,H12)</f>
        <v>1</v>
      </c>
      <c r="N12" s="53">
        <v>2</v>
      </c>
      <c r="P12" s="54" t="str" cm="1">
        <f t="array" ref="P12">IF(AND(J12:K13=M12:N13),"PASS","FAIL")</f>
        <v>PASS</v>
      </c>
    </row>
    <row r="13" spans="1:18"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0"/>
  <dimension ref="A1:R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8" ht="294" customHeight="1" x14ac:dyDescent="0.5">
      <c r="A1" s="45" t="s">
        <v>0</v>
      </c>
      <c r="B1" s="99" t="str" cm="1">
        <f t="array" aca="1" ref="B1" ca="1">_xlfn.LET(_xlpm.fn, CELL("filename",$A$1), _xlpm.nm, MID(_xlpm.fn, FIND("]", _xlpm.fn) + 1, 255), _xlfn.XLOOKUP(_xlpm.nm &amp; "(*", Lamb!$A$2:$A$1000, Lamb!$A$2:$A$1000, "", 2))</f>
        <v>neighbors_count(arr, val, dist, [diag_allowed], [self_count])</v>
      </c>
      <c r="C1" s="95"/>
      <c r="D1" s="95"/>
      <c r="E1" s="95"/>
      <c r="F1" s="96"/>
      <c r="H1" s="45" t="s">
        <v>2</v>
      </c>
      <c r="I1" s="94"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98"/>
      <c r="D2" s="98"/>
      <c r="E2" s="98"/>
      <c r="F2" s="98"/>
      <c r="G2" s="98"/>
      <c r="H2" s="98"/>
      <c r="I2" s="98"/>
      <c r="J2" s="98"/>
      <c r="K2" s="98"/>
      <c r="L2" s="98"/>
      <c r="M2" s="98"/>
      <c r="N2" s="98"/>
      <c r="O2" s="98"/>
      <c r="P2" s="98"/>
      <c r="Q2" s="98"/>
      <c r="R2" s="98"/>
    </row>
    <row r="4" spans="1:18" x14ac:dyDescent="0.5">
      <c r="A4" s="45" t="s">
        <v>3120</v>
      </c>
      <c r="Q4" s="45" t="str">
        <f>COUNTIF(Q7:Q20,"PASS")&amp;" / 3 PASS"</f>
        <v>3 / 3 PASS</v>
      </c>
    </row>
    <row r="5" spans="1:18" x14ac:dyDescent="0.5">
      <c r="B5" s="45" t="s">
        <v>8</v>
      </c>
      <c r="D5" s="45" t="s">
        <v>3121</v>
      </c>
      <c r="I5" s="48" t="s">
        <v>10</v>
      </c>
      <c r="M5" s="49" t="s">
        <v>11</v>
      </c>
      <c r="Q5" s="50" t="s">
        <v>12</v>
      </c>
    </row>
    <row r="6" spans="1:18" x14ac:dyDescent="0.5">
      <c r="B6" s="45" t="s">
        <v>3122</v>
      </c>
    </row>
    <row r="7" spans="1:18" x14ac:dyDescent="0.5">
      <c r="B7" s="47" t="s">
        <v>3123</v>
      </c>
      <c r="D7" s="51">
        <v>1</v>
      </c>
      <c r="E7" s="51">
        <v>1</v>
      </c>
      <c r="F7" s="51">
        <v>0</v>
      </c>
      <c r="I7" s="52">
        <v>3</v>
      </c>
      <c r="J7" s="52">
        <v>4</v>
      </c>
      <c r="K7" s="52">
        <v>3</v>
      </c>
      <c r="M7" s="53" cm="1">
        <f t="array" ref="M7:O9">neighbors_count(D7:F9,1,1)</f>
        <v>3</v>
      </c>
      <c r="N7" s="53">
        <v>4</v>
      </c>
      <c r="O7" s="53">
        <v>3</v>
      </c>
      <c r="Q7" s="54" t="str" cm="1">
        <f t="array" ref="Q7">IF(AND(I7:K9=M7:O9),"PASS","FAIL")</f>
        <v>PASS</v>
      </c>
    </row>
    <row r="8" spans="1:18" x14ac:dyDescent="0.5">
      <c r="D8" s="51">
        <v>0</v>
      </c>
      <c r="E8" s="51">
        <v>1</v>
      </c>
      <c r="F8" s="51">
        <v>1</v>
      </c>
      <c r="I8" s="52">
        <v>4</v>
      </c>
      <c r="J8" s="52">
        <v>6</v>
      </c>
      <c r="K8" s="52">
        <v>4</v>
      </c>
      <c r="M8" s="53">
        <v>4</v>
      </c>
      <c r="N8" s="53">
        <v>6</v>
      </c>
      <c r="O8" s="53">
        <v>4</v>
      </c>
    </row>
    <row r="9" spans="1:18" x14ac:dyDescent="0.5">
      <c r="D9" s="51">
        <v>1</v>
      </c>
      <c r="E9" s="51">
        <v>0</v>
      </c>
      <c r="F9" s="51">
        <v>1</v>
      </c>
      <c r="I9" s="52">
        <v>2</v>
      </c>
      <c r="J9" s="52">
        <v>4</v>
      </c>
      <c r="K9" s="52">
        <v>3</v>
      </c>
      <c r="M9" s="53">
        <v>2</v>
      </c>
      <c r="N9" s="53">
        <v>4</v>
      </c>
      <c r="O9" s="53">
        <v>3</v>
      </c>
    </row>
    <row r="11" spans="1:18" x14ac:dyDescent="0.5">
      <c r="B11" s="47" t="s">
        <v>3124</v>
      </c>
      <c r="I11" s="52">
        <v>2</v>
      </c>
      <c r="J11" s="52">
        <v>3</v>
      </c>
      <c r="K11" s="52">
        <v>3</v>
      </c>
      <c r="M11" s="53" cm="1">
        <f t="array" ref="M11:O13">neighbors_count(D7:F9,1,1,,0)</f>
        <v>2</v>
      </c>
      <c r="N11" s="53">
        <v>3</v>
      </c>
      <c r="O11" s="53">
        <v>3</v>
      </c>
      <c r="Q11" s="54" t="str" cm="1">
        <f t="array" ref="Q11">IF(AND(I11:K13=M11:O13),"PASS","FAIL")</f>
        <v>PASS</v>
      </c>
    </row>
    <row r="12" spans="1:18" x14ac:dyDescent="0.5">
      <c r="I12" s="52">
        <v>4</v>
      </c>
      <c r="J12" s="52">
        <v>5</v>
      </c>
      <c r="K12" s="52">
        <v>3</v>
      </c>
      <c r="M12" s="53">
        <v>4</v>
      </c>
      <c r="N12" s="53">
        <v>5</v>
      </c>
      <c r="O12" s="53">
        <v>3</v>
      </c>
    </row>
    <row r="13" spans="1:18" x14ac:dyDescent="0.5">
      <c r="I13" s="52">
        <v>1</v>
      </c>
      <c r="J13" s="52">
        <v>4</v>
      </c>
      <c r="K13" s="52">
        <v>2</v>
      </c>
      <c r="M13" s="53">
        <v>1</v>
      </c>
      <c r="N13" s="53">
        <v>4</v>
      </c>
      <c r="O13" s="53">
        <v>2</v>
      </c>
    </row>
    <row r="15" spans="1:18" x14ac:dyDescent="0.5">
      <c r="B15" s="47" t="s">
        <v>3125</v>
      </c>
      <c r="I15" s="52">
        <v>2</v>
      </c>
      <c r="J15" s="52">
        <v>3</v>
      </c>
      <c r="K15" s="52">
        <v>2</v>
      </c>
      <c r="M15" s="53" cm="1">
        <f t="array" ref="M15:O17">neighbors_count(D7:F9,1,1,0)</f>
        <v>2</v>
      </c>
      <c r="N15" s="53">
        <v>3</v>
      </c>
      <c r="O15" s="53">
        <v>2</v>
      </c>
      <c r="Q15" s="54" t="str" cm="1">
        <f t="array" ref="Q15">IF(AND(I15:K17=M15:O17),"PASS","FAIL")</f>
        <v>PASS</v>
      </c>
    </row>
    <row r="16" spans="1:18"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1"/>
  <dimension ref="A1:R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5" t="s">
        <v>0</v>
      </c>
      <c r="B1" s="99" t="str" cm="1">
        <f t="array" aca="1" ref="B1" ca="1">_xlfn.LET(_xlpm.fn, CELL("filename",$A$1), _xlpm.nm, MID(_xlpm.fn, FIND("]", _xlpm.fn) + 1, 255), _xlfn.XLOOKUP(_xlpm.nm &amp; "(*", Lamb!$A$2:$A$1000, Lamb!$A$2:$A$1000, "", 2))</f>
        <v>neighbors_list(center_ad, [size], [boundary_rng], [diag_allowed])</v>
      </c>
      <c r="C1" s="95"/>
      <c r="D1" s="95"/>
      <c r="E1" s="95"/>
      <c r="F1" s="96"/>
      <c r="H1" s="45" t="s">
        <v>2</v>
      </c>
      <c r="I1" s="94"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98"/>
      <c r="D2" s="98"/>
      <c r="E2" s="98"/>
      <c r="F2" s="98"/>
      <c r="G2" s="98"/>
      <c r="H2" s="98"/>
      <c r="I2" s="98"/>
      <c r="J2" s="98"/>
      <c r="K2" s="98"/>
      <c r="L2" s="98"/>
      <c r="M2" s="98"/>
      <c r="N2" s="98"/>
      <c r="O2" s="98"/>
      <c r="P2" s="98"/>
      <c r="Q2" s="98"/>
      <c r="R2" s="98"/>
    </row>
    <row r="4" spans="1:18" x14ac:dyDescent="0.5">
      <c r="A4" s="45" t="s">
        <v>3126</v>
      </c>
      <c r="L4" s="45" t="str">
        <f>COUNTIF(L6:L43,"PASS")&amp;" / 5 PASS"</f>
        <v>5 / 5 PASS</v>
      </c>
    </row>
    <row r="5" spans="1:18" x14ac:dyDescent="0.5">
      <c r="A5" s="45" t="s">
        <v>7</v>
      </c>
      <c r="B5" s="45" t="s">
        <v>8</v>
      </c>
      <c r="D5" s="45" t="s">
        <v>9</v>
      </c>
      <c r="H5" s="48" t="s">
        <v>10</v>
      </c>
      <c r="J5" s="49" t="s">
        <v>11</v>
      </c>
      <c r="L5" s="50" t="s">
        <v>12</v>
      </c>
    </row>
    <row r="6" spans="1:18" x14ac:dyDescent="0.5">
      <c r="A6" s="46">
        <v>1</v>
      </c>
      <c r="B6" s="47" t="s">
        <v>3127</v>
      </c>
      <c r="D6" s="51" t="s">
        <v>3128</v>
      </c>
      <c r="F6" s="51">
        <v>0</v>
      </c>
      <c r="H6" s="52" t="s">
        <v>3100</v>
      </c>
      <c r="J6" s="53" t="str" cm="1">
        <f t="array" ref="J6:J9">neighbors_list(D6,,,F6)</f>
        <v>B1</v>
      </c>
      <c r="L6" s="54" t="str" cm="1">
        <f t="array" ref="L6">IF(AND(H6:H9=J6:J9),"PASS","FAIL")</f>
        <v>PASS</v>
      </c>
    </row>
    <row r="7" spans="1:18" x14ac:dyDescent="0.5">
      <c r="A7" s="55"/>
      <c r="B7" s="55"/>
      <c r="H7" s="52" t="s">
        <v>3129</v>
      </c>
      <c r="J7" s="53" t="str">
        <v>A2</v>
      </c>
    </row>
    <row r="8" spans="1:18" x14ac:dyDescent="0.5">
      <c r="A8" s="55"/>
      <c r="B8" s="55"/>
      <c r="H8" s="52" t="s">
        <v>3130</v>
      </c>
      <c r="J8" s="53" t="str">
        <v>C2</v>
      </c>
    </row>
    <row r="9" spans="1:18" x14ac:dyDescent="0.5">
      <c r="A9" s="55"/>
      <c r="B9" s="55"/>
      <c r="H9" s="52" t="s">
        <v>3096</v>
      </c>
      <c r="J9" s="53" t="str">
        <v>B3</v>
      </c>
    </row>
    <row r="11" spans="1:18" x14ac:dyDescent="0.5">
      <c r="A11" s="46">
        <v>2</v>
      </c>
      <c r="B11" s="47" t="s">
        <v>3131</v>
      </c>
      <c r="D11" s="51" t="s">
        <v>3128</v>
      </c>
      <c r="H11" s="52" t="s">
        <v>3004</v>
      </c>
      <c r="J11" s="53" t="str" cm="1">
        <f t="array" ref="J11:J18">neighbors_list(D11)</f>
        <v>A1</v>
      </c>
      <c r="L11" s="54" t="str" cm="1">
        <f t="array" ref="L11">IF(AND(H11:H18=J11:J18),"PASS","FAIL")</f>
        <v>PASS</v>
      </c>
    </row>
    <row r="12" spans="1:18" x14ac:dyDescent="0.5">
      <c r="A12" s="55"/>
      <c r="B12" s="55"/>
      <c r="H12" s="52" t="s">
        <v>3100</v>
      </c>
      <c r="J12" s="53" t="str">
        <v>B1</v>
      </c>
    </row>
    <row r="13" spans="1:18" x14ac:dyDescent="0.5">
      <c r="A13" s="55"/>
      <c r="B13" s="55"/>
      <c r="H13" s="52" t="s">
        <v>3132</v>
      </c>
      <c r="J13" s="53" t="str">
        <v>C1</v>
      </c>
    </row>
    <row r="14" spans="1:18" x14ac:dyDescent="0.5">
      <c r="A14" s="55"/>
      <c r="B14" s="55"/>
      <c r="H14" s="52" t="s">
        <v>3129</v>
      </c>
      <c r="J14" s="53" t="str">
        <v>A2</v>
      </c>
    </row>
    <row r="15" spans="1:18" x14ac:dyDescent="0.5">
      <c r="A15" s="55"/>
      <c r="B15" s="55"/>
      <c r="H15" s="52" t="s">
        <v>3130</v>
      </c>
      <c r="J15" s="53" t="str">
        <v>C2</v>
      </c>
    </row>
    <row r="16" spans="1:18" x14ac:dyDescent="0.5">
      <c r="A16" s="55"/>
      <c r="B16" s="55"/>
      <c r="H16" s="52" t="s">
        <v>3007</v>
      </c>
      <c r="J16" s="53" t="str">
        <v>A3</v>
      </c>
    </row>
    <row r="17" spans="1:12" x14ac:dyDescent="0.5">
      <c r="A17" s="55"/>
      <c r="B17" s="55"/>
      <c r="H17" s="52" t="s">
        <v>3096</v>
      </c>
      <c r="J17" s="53" t="str">
        <v>B3</v>
      </c>
    </row>
    <row r="18" spans="1:12" x14ac:dyDescent="0.5">
      <c r="A18" s="55"/>
      <c r="B18" s="55"/>
      <c r="H18" s="52" t="s">
        <v>3069</v>
      </c>
      <c r="J18" s="53" t="str">
        <v>C3</v>
      </c>
    </row>
    <row r="20" spans="1:12" x14ac:dyDescent="0.5">
      <c r="A20" s="46">
        <v>3</v>
      </c>
      <c r="B20" s="47" t="s">
        <v>3133</v>
      </c>
      <c r="D20" s="51">
        <v>2000002</v>
      </c>
      <c r="H20" s="52" t="s">
        <v>3004</v>
      </c>
      <c r="J20" s="53" t="str" cm="1">
        <f t="array" ref="J20:J27">neighbors_list(D20)</f>
        <v>A1</v>
      </c>
      <c r="L20" s="54" t="str" cm="1">
        <f t="array" ref="L20">IF(AND(H20:H27=J20:J27),"PASS","FAIL")</f>
        <v>PASS</v>
      </c>
    </row>
    <row r="21" spans="1:12" x14ac:dyDescent="0.5">
      <c r="A21" s="55"/>
      <c r="B21" s="55"/>
      <c r="H21" s="52" t="s">
        <v>3100</v>
      </c>
      <c r="J21" s="53" t="str">
        <v>B1</v>
      </c>
    </row>
    <row r="22" spans="1:12" x14ac:dyDescent="0.5">
      <c r="A22" s="55"/>
      <c r="B22" s="55"/>
      <c r="H22" s="52" t="s">
        <v>3132</v>
      </c>
      <c r="J22" s="53" t="str">
        <v>C1</v>
      </c>
    </row>
    <row r="23" spans="1:12" x14ac:dyDescent="0.5">
      <c r="A23" s="55"/>
      <c r="B23" s="55"/>
      <c r="H23" s="52" t="s">
        <v>3129</v>
      </c>
      <c r="J23" s="53" t="str">
        <v>A2</v>
      </c>
    </row>
    <row r="24" spans="1:12" x14ac:dyDescent="0.5">
      <c r="A24" s="55"/>
      <c r="B24" s="55"/>
      <c r="H24" s="52" t="s">
        <v>3130</v>
      </c>
      <c r="J24" s="53" t="str">
        <v>C2</v>
      </c>
    </row>
    <row r="25" spans="1:12" x14ac:dyDescent="0.5">
      <c r="A25" s="55"/>
      <c r="B25" s="55"/>
      <c r="H25" s="52" t="s">
        <v>3007</v>
      </c>
      <c r="J25" s="53" t="str">
        <v>A3</v>
      </c>
    </row>
    <row r="26" spans="1:12" x14ac:dyDescent="0.5">
      <c r="A26" s="55"/>
      <c r="B26" s="55"/>
      <c r="H26" s="52" t="s">
        <v>3096</v>
      </c>
      <c r="J26" s="53" t="str">
        <v>B3</v>
      </c>
    </row>
    <row r="27" spans="1:12" x14ac:dyDescent="0.5">
      <c r="A27" s="55"/>
      <c r="B27" s="55"/>
      <c r="H27" s="52" t="s">
        <v>3069</v>
      </c>
      <c r="J27" s="53" t="str">
        <v>C3</v>
      </c>
    </row>
    <row r="29" spans="1:12" x14ac:dyDescent="0.5">
      <c r="A29" s="46">
        <v>4</v>
      </c>
      <c r="B29" s="47" t="s">
        <v>3134</v>
      </c>
      <c r="D29" s="51">
        <v>2000002</v>
      </c>
      <c r="F29" s="51">
        <v>0</v>
      </c>
      <c r="H29" s="52" t="s">
        <v>3100</v>
      </c>
      <c r="J29" s="53" t="str" cm="1">
        <f t="array" ref="J29:J32">neighbors_list(D29,,,F29)</f>
        <v>B1</v>
      </c>
      <c r="L29" s="54" t="str" cm="1">
        <f t="array" ref="L29">IF(AND(H29:H32=J29:J32),"PASS","FAIL")</f>
        <v>PASS</v>
      </c>
    </row>
    <row r="30" spans="1:12" x14ac:dyDescent="0.5">
      <c r="A30" s="55"/>
      <c r="B30" s="55"/>
      <c r="H30" s="52" t="s">
        <v>3129</v>
      </c>
      <c r="J30" s="53" t="str">
        <v>A2</v>
      </c>
    </row>
    <row r="31" spans="1:12" x14ac:dyDescent="0.5">
      <c r="A31" s="55"/>
      <c r="B31" s="55"/>
      <c r="H31" s="52" t="s">
        <v>3130</v>
      </c>
      <c r="J31" s="53" t="str">
        <v>C2</v>
      </c>
    </row>
    <row r="32" spans="1:12" x14ac:dyDescent="0.5">
      <c r="A32" s="55"/>
      <c r="B32" s="55"/>
      <c r="H32" s="52" t="s">
        <v>3096</v>
      </c>
      <c r="J32" s="53" t="str">
        <v>B3</v>
      </c>
    </row>
    <row r="34" spans="1:12" x14ac:dyDescent="0.5">
      <c r="A34" s="46">
        <v>5</v>
      </c>
      <c r="B34" s="47" t="s">
        <v>3135</v>
      </c>
      <c r="D34" s="51">
        <v>3000003</v>
      </c>
      <c r="H34" s="52" t="s">
        <v>3128</v>
      </c>
      <c r="J34" s="53" t="str" cm="1">
        <f t="array" ref="J34:J41">neighbors_list(D34)</f>
        <v>B2</v>
      </c>
      <c r="L34" s="54" t="str" cm="1">
        <f t="array" ref="L34">IF(AND(H34:H41=J34:J41),"PASS","FAIL")</f>
        <v>PASS</v>
      </c>
    </row>
    <row r="35" spans="1:12" x14ac:dyDescent="0.5">
      <c r="A35" s="55"/>
      <c r="B35" s="55"/>
      <c r="H35" s="52" t="s">
        <v>3130</v>
      </c>
      <c r="J35" s="53" t="str">
        <v>C2</v>
      </c>
    </row>
    <row r="36" spans="1:12" x14ac:dyDescent="0.5">
      <c r="A36" s="55"/>
      <c r="B36" s="55"/>
      <c r="H36" s="52" t="s">
        <v>3073</v>
      </c>
      <c r="J36" s="53" t="str">
        <v>D2</v>
      </c>
    </row>
    <row r="37" spans="1:12" x14ac:dyDescent="0.5">
      <c r="A37" s="55"/>
      <c r="B37" s="55"/>
      <c r="H37" s="52" t="s">
        <v>3096</v>
      </c>
      <c r="J37" s="53" t="str">
        <v>B3</v>
      </c>
    </row>
    <row r="38" spans="1:12" x14ac:dyDescent="0.5">
      <c r="A38" s="55"/>
      <c r="B38" s="55"/>
      <c r="H38" s="52" t="s">
        <v>3136</v>
      </c>
      <c r="J38" s="53" t="str">
        <v>D3</v>
      </c>
    </row>
    <row r="39" spans="1:12" x14ac:dyDescent="0.5">
      <c r="A39" s="55"/>
      <c r="B39" s="55"/>
      <c r="H39" s="52" t="s">
        <v>3137</v>
      </c>
      <c r="J39" s="53" t="str">
        <v>B4</v>
      </c>
    </row>
    <row r="40" spans="1:12" x14ac:dyDescent="0.5">
      <c r="A40" s="55"/>
      <c r="B40" s="55"/>
      <c r="H40" s="52" t="s">
        <v>3076</v>
      </c>
      <c r="J40" s="53" t="str">
        <v>C4</v>
      </c>
    </row>
    <row r="41" spans="1:12" x14ac:dyDescent="0.5">
      <c r="A41" s="55"/>
      <c r="B41" s="55"/>
      <c r="H41" s="52" t="s">
        <v>3138</v>
      </c>
      <c r="J41" s="53" t="str">
        <v>D4</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2"/>
  <dimension ref="A1:R17"/>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num_ad(arr)</v>
      </c>
      <c r="C1" s="95"/>
      <c r="D1" s="95"/>
      <c r="E1" s="95"/>
      <c r="F1" s="96"/>
      <c r="H1" s="45" t="s">
        <v>2</v>
      </c>
      <c r="I1" s="94" t="str" cm="1">
        <f t="array" aca="1" ref="I1" ca="1">_xlfn.LET(_xlpm.fn, CELL("filename",$A$1), _xlpm.nm, MID(_xlpm.fn, FIND("]", _xlpm.fn) + 1, 255), _xlfn.XLOOKUP(_xlpm.nm &amp; "(*", Lamb!$A$2:$A$1000, Lamb!$D$2:$D$1000, "", 2))</f>
        <v>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v>
      </c>
      <c r="C2" s="98"/>
      <c r="D2" s="98"/>
      <c r="E2" s="98"/>
      <c r="F2" s="98"/>
      <c r="G2" s="98"/>
      <c r="H2" s="98"/>
      <c r="I2" s="98"/>
      <c r="J2" s="98"/>
      <c r="K2" s="98"/>
      <c r="L2" s="98"/>
      <c r="M2" s="98"/>
      <c r="N2" s="98"/>
      <c r="O2" s="98"/>
      <c r="P2" s="98"/>
      <c r="Q2" s="98"/>
      <c r="R2" s="98"/>
    </row>
    <row r="4" spans="1:18" x14ac:dyDescent="0.5">
      <c r="A4" s="45" t="inlineStr">
        <is>
          <t xml:space="preserve">num_ad(ad_or_rng) - any address/range -&gt; numeric address(es). String address -&gt; number; range -&gt; array; empty -&gt; ""; else passthrough.</t>
        </is>
      </c>
      <c r="J4" s="45">
        <f>COUNTIF(J6:J40,"PASS")&amp;" / 8 PASS"</f>
      </c>
    </row>
    <row r="5" spans="1:18" x14ac:dyDescent="0.5">
      <c r="A5" s="45" t="s">
        <v>7</v>
      </c>
      <c r="B5" s="45" t="s">
        <v>8</v>
      </c>
      <c r="D5" s="45" t="s">
        <v>9</v>
      </c>
      <c r="F5" s="48" t="s">
        <v>10</v>
      </c>
      <c r="H5" s="49" t="s">
        <v>11</v>
      </c>
      <c r="J5" s="50" t="s">
        <v>12</v>
      </c>
    </row>
    <row r="6" spans="1:18" x14ac:dyDescent="0.5">
      <c r="A6" s="46">
        <v>1</v>
      </c>
      <c r="B6" s="47" t="s">
        <v>3140</v>
      </c>
      <c r="D6" s="51" t="s">
        <v>3136</v>
      </c>
      <c r="F6" s="52">
        <v>3000004</v>
      </c>
      <c r="H6" s="53" cm="1">
        <f t="array" ref="H6">num_ad(D6)</f>
        <v>3000004</v>
      </c>
      <c r="J6" s="54" t="str">
        <f>IF(H6=F6,"PASS","FAIL")</f>
        <v>PASS</v>
      </c>
    </row>
    <row r="8" spans="1:18" x14ac:dyDescent="0.5">
      <c r="A8" s="46">
        <v>2</v>
      </c>
      <c r="B8" s="47" t="s">
        <v>3141</v>
      </c>
      <c r="D8" s="51">
        <v>3000004</v>
      </c>
      <c r="F8" s="52">
        <v>3000004</v>
      </c>
      <c r="H8" s="53" cm="1">
        <f t="array" ref="H8">num_ad(D8)</f>
        <v>3000004</v>
      </c>
      <c r="J8" s="54" t="str">
        <f>IF(H8=F8,"PASS","FAIL")</f>
        <v>PASS</v>
      </c>
    </row>
    <row r="10" spans="1:18" x14ac:dyDescent="0.5">
      <c r="A10" s="46">
        <v>3</v>
      </c>
      <c r="B10" s="47" t="s">
        <v>3142</v>
      </c>
      <c r="D10" s="51" t="s">
        <v>3143</v>
      </c>
      <c r="F10" s="52" t="s">
        <v>3143</v>
      </c>
      <c r="H10" s="53" t="str" cm="1">
        <f t="array" ref="H10">num_ad(D10)</f>
        <v>hi</v>
      </c>
      <c r="J10" s="54" t="str">
        <f>IF(H10=F10,"PASS","FAIL")</f>
        <v>PASS</v>
      </c>
    </row>
    <row r="12" spans="1:18" x14ac:dyDescent="0.5">
      <c r="A12" s="46">
        <v>4</v>
      </c>
      <c r="B12" s="47" t="s">
        <v>3144</v>
      </c>
      <c r="D12" s="51" t="s">
        <v>3145</v>
      </c>
      <c r="F12" s="52">
        <v>2000002</v>
      </c>
      <c r="H12" s="53" cm="1">
        <f t="array" ref="H12">num_ad(D12)</f>
        <v>2000002</v>
      </c>
      <c r="J12" s="54" t="str">
        <f>IF(H12=F12,"PASS","FAIL")</f>
        <v>PASS</v>
      </c>
    </row>
    <row r="14" spans="1:18" x14ac:dyDescent="0.5">
      <c r="A14" s="46">
        <v>5</v>
      </c>
      <c r="B14" s="47" t="inlineStr">
        <is>
          <t xml:space="preserve">range "A1:B2" -&gt; 2x2 numeric</t>
        </is>
      </c>
      <c r="D14" s="51" t="inlineStr">
        <is>
          <t xml:space="preserve">A1:B2</t>
        </is>
      </c>
      <c r="F14" s="52">
        <v>1000001</v>
      </c>
      <c r="G14">
        <v>1000002</v>
      </c>
      <c r="H14" s="53">
        <f>num_ad(D14)</f>
      </c>
      <c r="J14" s="54">
        <f>IF(AND(F14:G15=H14:I15),"PASS","FAIL")</f>
      </c>
    </row>
    <row r="15">
      <c r="F15">
        <v>2000001</v>
      </c>
      <c r="G15">
        <v>2000002</v>
      </c>
    </row>
    <row r="16" spans="1:18" x14ac:dyDescent="0.5">
      <c r="A16" s="46">
        <v>6</v>
      </c>
      <c r="B16" s="47" t="s">
        <v>3148</v>
      </c>
      <c r="D16" s="51" t="s">
        <v>3004</v>
      </c>
      <c r="F16" s="52">
        <v>1000001</v>
      </c>
      <c r="H16" s="53" cm="1">
        <f t="array" ref="H16:H17">num_ad(D16:D17)</f>
        <v>1000001</v>
      </c>
      <c r="J16" s="54" t="str" cm="1">
        <f t="array" ref="J16">IF(AND(F16:F17=H16:H17),"PASS","FAIL")</f>
        <v>PASS</v>
      </c>
    </row>
    <row r="17" spans="1:8" x14ac:dyDescent="0.5">
      <c r="A17" s="55"/>
      <c r="B17" s="55"/>
      <c r="D17" s="51" t="s">
        <v>3128</v>
      </c>
      <c r="F17" s="52">
        <v>2000002</v>
      </c>
      <c r="H17" s="53">
        <v>2000002</v>
      </c>
    </row>
    <row r="19">
      <c r="A19">
        <v>7</v>
      </c>
      <c r="B19" s="55" t="inlineStr">
        <is>
          <t xml:space="preserve">numeric range "1000001:1000002" -&gt; {1000001,1000002}</t>
        </is>
      </c>
      <c r="D19" s="51" t="inlineStr">
        <is>
          <t xml:space="preserve">1000001:1000002</t>
        </is>
      </c>
      <c r="F19" s="52">
        <v>1000001</v>
      </c>
      <c r="G19">
        <v>1000002</v>
      </c>
      <c r="H19" s="53">
        <f>num_ad(D19)</f>
      </c>
      <c r="J19">
        <f>IF(AND(F19:G19=H19:I19),"PASS","FAIL")</f>
      </c>
    </row>
    <row r="21">
      <c r="A21">
        <v>8</v>
      </c>
      <c r="B21" s="55" t="inlineStr">
        <is>
          <t xml:space="preserve">empty -&gt; "" (not 0)</t>
        </is>
      </c>
      <c r="D21" s="51"/>
      <c r="F21" s="52"/>
      <c r="H21" s="53">
        <f>num_ad(D21)</f>
      </c>
      <c r="J21">
        <f>IF(AND(H21="",NOT(H21=0)),"PASS","FAIL")</f>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3"/>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offset_letter(st, offset)</v>
      </c>
      <c r="C1" s="95"/>
      <c r="D1" s="95"/>
      <c r="E1" s="95"/>
      <c r="F1" s="96"/>
      <c r="H1" s="45" t="s">
        <v>2</v>
      </c>
      <c r="I1" s="94"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98"/>
      <c r="D2" s="98"/>
      <c r="E2" s="98"/>
      <c r="F2" s="98"/>
      <c r="G2" s="98"/>
      <c r="H2" s="98"/>
      <c r="I2" s="98"/>
      <c r="J2" s="98"/>
      <c r="K2" s="98"/>
      <c r="L2" s="98"/>
      <c r="M2" s="98"/>
      <c r="N2" s="98"/>
      <c r="O2" s="98"/>
      <c r="P2" s="98"/>
      <c r="Q2" s="98"/>
      <c r="R2" s="98"/>
    </row>
    <row r="4" spans="1:18" x14ac:dyDescent="0.5">
      <c r="A4" s="45" t="s">
        <v>3149</v>
      </c>
      <c r="L4" s="45" t="str">
        <f>COUNTIF(L6:L19,"PASS")&amp;" / 6 PASS"</f>
        <v>6 / 6 PASS</v>
      </c>
    </row>
    <row r="5" spans="1:18" x14ac:dyDescent="0.5">
      <c r="A5" s="45" t="s">
        <v>7</v>
      </c>
      <c r="B5" s="45" t="s">
        <v>8</v>
      </c>
      <c r="D5" s="45" t="s">
        <v>9</v>
      </c>
      <c r="H5" s="48" t="s">
        <v>10</v>
      </c>
      <c r="J5" s="49" t="s">
        <v>11</v>
      </c>
      <c r="L5" s="50" t="s">
        <v>12</v>
      </c>
    </row>
    <row r="6" spans="1:18" x14ac:dyDescent="0.5">
      <c r="A6" s="46">
        <v>1</v>
      </c>
      <c r="B6" s="47" t="s">
        <v>3150</v>
      </c>
      <c r="D6" s="51" t="s">
        <v>3151</v>
      </c>
      <c r="F6" s="51">
        <v>2</v>
      </c>
      <c r="H6" s="52" t="s">
        <v>3152</v>
      </c>
      <c r="J6" s="53" t="str" cm="1">
        <f t="array" ref="J6">offset_letter(D6,F6)</f>
        <v>zab</v>
      </c>
      <c r="L6" s="54" t="str">
        <f>IF(J6=H6,"PASS","FAIL")</f>
        <v>PASS</v>
      </c>
    </row>
    <row r="8" spans="1:18" x14ac:dyDescent="0.5">
      <c r="A8" s="46">
        <v>2</v>
      </c>
      <c r="B8" s="47" t="s">
        <v>3153</v>
      </c>
      <c r="D8" s="51" t="s">
        <v>3154</v>
      </c>
      <c r="F8" s="51">
        <v>1</v>
      </c>
      <c r="H8" s="52" t="s">
        <v>3155</v>
      </c>
      <c r="J8" s="53" t="str" cm="1">
        <f t="array" ref="J8">offset_letter(D8,F8)</f>
        <v>bcd</v>
      </c>
      <c r="L8" s="54" t="str">
        <f>IF(J8=H8,"PASS","FAIL")</f>
        <v>PASS</v>
      </c>
    </row>
    <row r="10" spans="1:18" x14ac:dyDescent="0.5">
      <c r="A10" s="46">
        <v>3</v>
      </c>
      <c r="B10" s="47" t="s">
        <v>3156</v>
      </c>
      <c r="D10" s="51" t="s">
        <v>3157</v>
      </c>
      <c r="F10" s="51">
        <v>1</v>
      </c>
      <c r="H10" s="52" t="s">
        <v>3158</v>
      </c>
      <c r="J10" s="53" t="str" cm="1">
        <f t="array" ref="J10">offset_letter(D10,F10)</f>
        <v>Ifmmp</v>
      </c>
      <c r="L10" s="54" t="str">
        <f>IF(J10=H10,"PASS","FAIL")</f>
        <v>PASS</v>
      </c>
    </row>
    <row r="12" spans="1:18" x14ac:dyDescent="0.5">
      <c r="A12" s="46">
        <v>4</v>
      </c>
      <c r="B12" s="47" t="s">
        <v>3159</v>
      </c>
      <c r="D12" s="51" t="s">
        <v>3160</v>
      </c>
      <c r="F12" s="51">
        <v>1</v>
      </c>
      <c r="H12" s="52" t="s">
        <v>3161</v>
      </c>
      <c r="J12" s="53" t="str" cm="1">
        <f t="array" ref="J12">offset_letter(D12,F12)</f>
        <v>b1c</v>
      </c>
      <c r="L12" s="54" t="str">
        <f>IF(J12=H12,"PASS","FAIL")</f>
        <v>PASS</v>
      </c>
    </row>
    <row r="14" spans="1:18" x14ac:dyDescent="0.5">
      <c r="A14" s="46">
        <v>5</v>
      </c>
      <c r="B14" s="47" t="s">
        <v>3162</v>
      </c>
      <c r="D14" s="51" t="s">
        <v>3155</v>
      </c>
      <c r="F14" s="51">
        <v>-1</v>
      </c>
      <c r="H14" s="52" t="s">
        <v>3154</v>
      </c>
      <c r="J14" s="53" t="str" cm="1">
        <f t="array" ref="J14">offset_letter(D14,F14)</f>
        <v>abc</v>
      </c>
      <c r="L14" s="54" t="str">
        <f>IF(J14=H14,"PASS","FAIL")</f>
        <v>PASS</v>
      </c>
    </row>
    <row r="16" spans="1:18" x14ac:dyDescent="0.5">
      <c r="A16" s="46">
        <v>6</v>
      </c>
      <c r="B16" s="47" t="s">
        <v>3163</v>
      </c>
      <c r="D16" s="51" t="s">
        <v>3154</v>
      </c>
      <c r="F16" s="51">
        <v>1</v>
      </c>
      <c r="H16" s="52" t="s">
        <v>3155</v>
      </c>
      <c r="J16" s="53" t="str" cm="1">
        <f t="array" ref="J16:J17">offset_letter(D16:D17,F16)</f>
        <v>bcd</v>
      </c>
      <c r="L16" s="54" t="str" cm="1">
        <f t="array" ref="L16">IF(AND(H16:H17=J16:J17),"PASS","FAIL")</f>
        <v>PASS</v>
      </c>
    </row>
    <row r="17" spans="1:10" x14ac:dyDescent="0.5">
      <c r="A17" s="55"/>
      <c r="B17" s="55"/>
      <c r="D17" s="51" t="s">
        <v>3164</v>
      </c>
      <c r="H17" s="52" t="s">
        <v>3165</v>
      </c>
      <c r="J17" s="53" t="str">
        <v>YZA</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only_letters(st)</v>
      </c>
      <c r="C1" s="95"/>
      <c r="D1" s="95"/>
      <c r="E1" s="95"/>
      <c r="F1" s="96"/>
      <c r="H1" s="45" t="s">
        <v>2</v>
      </c>
      <c r="I1" s="94"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95"/>
      <c r="K1" s="95"/>
      <c r="L1" s="95"/>
      <c r="M1" s="95"/>
      <c r="N1" s="95"/>
      <c r="O1" s="95"/>
      <c r="P1" s="95"/>
      <c r="Q1" s="95"/>
      <c r="R1" s="96"/>
    </row>
    <row r="2" spans="1:18" ht="84" customHeight="1" x14ac:dyDescent="0.5">
      <c r="A2" s="45" t="s">
        <v>4</v>
      </c>
      <c r="B2" s="97" t="str" cm="1">
        <f t="array" aca="1" ref="B2" ca="1">_xlfn.LET(_xlpm.fn, CELL("filename",$A$1), _xlpm.nm, MID(_xlpm.fn, FIND("]", _xlpm.fn) + 1, 255), _xlfn.XLOOKUP(_xlpm.nm &amp; "(*", Lamb!$A$2:$A$1000, Lamb!$C$2:$C$1000, "", 2))</f>
        <v>=LAMBDA(arr, LET(
   f, LAMBDA(x, IFERROR(CONCAT(REGEXEXTRACT(x, "[a-z]", 1, 1)), "")),
   IF(ROWS(arr) * COLUMNS(arr) = 1, f(arr), MAP(arr, f))
))</v>
      </c>
      <c r="C2" s="98"/>
      <c r="D2" s="98"/>
      <c r="E2" s="98"/>
      <c r="F2" s="98"/>
      <c r="G2" s="98"/>
      <c r="H2" s="98"/>
      <c r="I2" s="98"/>
      <c r="J2" s="98"/>
      <c r="K2" s="98"/>
      <c r="L2" s="98"/>
      <c r="M2" s="98"/>
      <c r="N2" s="98"/>
      <c r="O2" s="98"/>
      <c r="P2" s="98"/>
      <c r="Q2" s="98"/>
      <c r="R2" s="98"/>
    </row>
    <row r="4" spans="1:18" x14ac:dyDescent="0.5">
      <c r="A4" s="45" t="s">
        <v>3166</v>
      </c>
      <c r="J4" s="45" t="str">
        <f>COUNTIF(J6:J17,"PASS")&amp;" / 5 PASS"</f>
        <v>5 / 5 PASS</v>
      </c>
    </row>
    <row r="5" spans="1:18" x14ac:dyDescent="0.5">
      <c r="A5" s="45" t="s">
        <v>7</v>
      </c>
      <c r="B5" s="45" t="s">
        <v>8</v>
      </c>
      <c r="D5" s="45" t="s">
        <v>9</v>
      </c>
      <c r="F5" s="48" t="s">
        <v>10</v>
      </c>
      <c r="H5" s="49" t="s">
        <v>11</v>
      </c>
      <c r="J5" s="50" t="s">
        <v>12</v>
      </c>
    </row>
    <row r="6" spans="1:18" x14ac:dyDescent="0.5">
      <c r="A6" s="46">
        <v>1</v>
      </c>
      <c r="B6" s="47" t="s">
        <v>3167</v>
      </c>
      <c r="D6" s="51" t="s">
        <v>3168</v>
      </c>
      <c r="F6" s="52" t="s">
        <v>3169</v>
      </c>
      <c r="H6" s="53" t="str" cm="1">
        <f t="array" ref="H6">only_letters(D6)</f>
        <v>aBc</v>
      </c>
      <c r="J6" s="54" t="str">
        <f>IF(H6=F6,"PASS","FAIL")</f>
        <v>PASS</v>
      </c>
    </row>
    <row r="8" spans="1:18" x14ac:dyDescent="0.5">
      <c r="A8" s="46">
        <v>2</v>
      </c>
      <c r="B8" s="47" t="s">
        <v>3170</v>
      </c>
      <c r="D8" s="51" t="s">
        <v>3157</v>
      </c>
      <c r="F8" s="52" t="s">
        <v>3157</v>
      </c>
      <c r="H8" s="53" t="str" cm="1">
        <f t="array" ref="H8">only_letters(D8)</f>
        <v>Hello</v>
      </c>
      <c r="J8" s="54" t="str">
        <f>IF(H8=F8,"PASS","FAIL")</f>
        <v>PASS</v>
      </c>
    </row>
    <row r="10" spans="1:18" x14ac:dyDescent="0.5">
      <c r="A10" s="46">
        <v>3</v>
      </c>
      <c r="B10" s="47" t="s">
        <v>3171</v>
      </c>
      <c r="D10" s="51" t="s">
        <v>3172</v>
      </c>
      <c r="F10" s="52" t="s">
        <v>3173</v>
      </c>
      <c r="H10" s="53" t="str" cm="1">
        <f t="array" ref="H10">only_letters(D10)</f>
        <v>XYz</v>
      </c>
      <c r="J10" s="54" t="str">
        <f>IF(H10=F10,"PASS","FAIL")</f>
        <v>PASS</v>
      </c>
    </row>
    <row r="12" spans="1:18" x14ac:dyDescent="0.5">
      <c r="A12" s="46">
        <v>4</v>
      </c>
      <c r="B12" s="47" t="s">
        <v>3174</v>
      </c>
      <c r="D12" s="51" t="s">
        <v>3175</v>
      </c>
      <c r="F12" s="52"/>
      <c r="H12" s="53" t="str" cm="1">
        <f t="array" ref="H12">only_letters(D12)</f>
        <v/>
      </c>
      <c r="J12" s="54" t="str">
        <f>IF(H12=F12,"PASS","FAIL")</f>
        <v>PASS</v>
      </c>
    </row>
    <row r="14" spans="1:18" x14ac:dyDescent="0.5">
      <c r="A14" s="46">
        <v>5</v>
      </c>
      <c r="B14" s="47" t="s">
        <v>3176</v>
      </c>
      <c r="D14" s="51" t="s">
        <v>3160</v>
      </c>
      <c r="F14" s="52" t="s">
        <v>3177</v>
      </c>
      <c r="H14" s="53" t="str" cm="1">
        <f t="array" ref="H14:H15">only_letters(D14:D15)</f>
        <v>ab</v>
      </c>
      <c r="J14" s="54" t="str" cm="1">
        <f t="array" ref="J14">IF(AND(F14:F15=H14:H15),"PASS","FAIL")</f>
        <v>PASS</v>
      </c>
    </row>
    <row r="15" spans="1:18" x14ac:dyDescent="0.5">
      <c r="A15" s="55"/>
      <c r="B15" s="55"/>
      <c r="D15" s="51" t="s">
        <v>3178</v>
      </c>
      <c r="F15" s="52" t="s">
        <v>3179</v>
      </c>
      <c r="H15" s="53" t="str">
        <v>Cd</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5"/>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only_numbers(st)</v>
      </c>
      <c r="C1" s="95"/>
      <c r="D1" s="95"/>
      <c r="E1" s="95"/>
      <c r="F1" s="96"/>
      <c r="H1" s="45" t="s">
        <v>2</v>
      </c>
      <c r="I1" s="94"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95"/>
      <c r="K1" s="95"/>
      <c r="L1" s="95"/>
      <c r="M1" s="95"/>
      <c r="N1" s="95"/>
      <c r="O1" s="95"/>
      <c r="P1" s="95"/>
      <c r="Q1" s="95"/>
      <c r="R1" s="96"/>
    </row>
    <row r="2" spans="1:18" ht="84" customHeight="1" x14ac:dyDescent="0.5">
      <c r="A2" s="45" t="s">
        <v>4</v>
      </c>
      <c r="B2" s="97" t="str" cm="1">
        <f t="array" aca="1" ref="B2" ca="1">_xlfn.LET(_xlpm.fn, CELL("filename",$A$1), _xlpm.nm, MID(_xlpm.fn, FIND("]", _xlpm.fn) + 1, 255), _xlfn.XLOOKUP(_xlpm.nm &amp; "(*", Lamb!$A$2:$A$1000, Lamb!$C$2:$C$1000, "", 2))</f>
        <v>=LAMBDA(txt, LET(
   matches, IFERROR(--REGEXEXTRACT(txt, "-?\d+(?:\.\d+)?", 1), ""),
   IF(ROWS(matches) * COLUMNS(matches) = 1, INDEX(matches, 1), matches)
))</v>
      </c>
      <c r="C2" s="98"/>
      <c r="D2" s="98"/>
      <c r="E2" s="98"/>
      <c r="F2" s="98"/>
      <c r="G2" s="98"/>
      <c r="H2" s="98"/>
      <c r="I2" s="98"/>
      <c r="J2" s="98"/>
      <c r="K2" s="98"/>
      <c r="L2" s="98"/>
      <c r="M2" s="98"/>
      <c r="N2" s="98"/>
      <c r="O2" s="98"/>
      <c r="P2" s="98"/>
      <c r="Q2" s="98"/>
      <c r="R2" s="98"/>
    </row>
    <row r="4" spans="1:18" x14ac:dyDescent="0.5">
      <c r="A4" s="45" t="s">
        <v>3180</v>
      </c>
      <c r="J4" s="45" t="str">
        <f>COUNTIF(J6:J19,"PASS")&amp;" / 5 PASS"</f>
        <v>5 / 5 PASS</v>
      </c>
    </row>
    <row r="5" spans="1:18" x14ac:dyDescent="0.5">
      <c r="A5" s="45" t="s">
        <v>7</v>
      </c>
      <c r="B5" s="45" t="s">
        <v>8</v>
      </c>
      <c r="D5" s="45" t="s">
        <v>9</v>
      </c>
      <c r="F5" s="48" t="s">
        <v>10</v>
      </c>
      <c r="H5" s="49" t="s">
        <v>11</v>
      </c>
      <c r="J5" s="50" t="s">
        <v>12</v>
      </c>
    </row>
    <row r="6" spans="1:18" x14ac:dyDescent="0.5">
      <c r="A6" s="46">
        <v>1</v>
      </c>
      <c r="B6" s="47" t="s">
        <v>3181</v>
      </c>
      <c r="D6" s="51" t="s">
        <v>3182</v>
      </c>
      <c r="F6" s="52">
        <v>10</v>
      </c>
      <c r="H6" s="53" cm="1">
        <f t="array" ref="H6">only_numbers(D6)</f>
        <v>10</v>
      </c>
      <c r="J6" s="54" t="str">
        <f>IF(H6=F6,"PASS","FAIL")</f>
        <v>PASS</v>
      </c>
    </row>
    <row r="8" spans="1:18" x14ac:dyDescent="0.5">
      <c r="A8" s="46">
        <v>2</v>
      </c>
      <c r="B8" s="47" t="s">
        <v>3183</v>
      </c>
      <c r="D8" s="51" t="s">
        <v>3184</v>
      </c>
      <c r="F8" s="52">
        <v>3.5</v>
      </c>
      <c r="H8" s="53" cm="1">
        <f t="array" ref="H8">only_numbers(D8)</f>
        <v>3.5</v>
      </c>
      <c r="J8" s="54" t="str">
        <f>IF(H8=F8,"PASS","FAIL")</f>
        <v>PASS</v>
      </c>
    </row>
    <row r="10" spans="1:18" x14ac:dyDescent="0.5">
      <c r="A10" s="46">
        <v>3</v>
      </c>
      <c r="B10" s="47" t="s">
        <v>3185</v>
      </c>
      <c r="D10" s="51" t="s">
        <v>3154</v>
      </c>
      <c r="H10" s="53" t="str" cm="1">
        <f t="array" ref="H10">only_numbers(D10)</f>
        <v/>
      </c>
      <c r="J10" s="54" t="str" cm="1">
        <f t="array" ref="J10">IF(AND(F9:F10=H9:H10),"PASS","FAIL")</f>
        <v>PASS</v>
      </c>
    </row>
    <row r="12" spans="1:18" x14ac:dyDescent="0.5">
      <c r="A12" s="46">
        <v>4</v>
      </c>
      <c r="B12" s="47" t="s">
        <v>3186</v>
      </c>
      <c r="D12" s="51" t="s">
        <v>3187</v>
      </c>
      <c r="F12" s="52">
        <v>1</v>
      </c>
      <c r="H12" s="53" cm="1">
        <f t="array" ref="H12:H14">_xlfn.TOCOL(only_numbers(D12))</f>
        <v>1</v>
      </c>
      <c r="J12" s="54" t="str" cm="1">
        <f t="array" ref="J12">IF(AND(F12:F14=H12:H14),"PASS","FAIL")</f>
        <v>PASS</v>
      </c>
    </row>
    <row r="13" spans="1:18" x14ac:dyDescent="0.5">
      <c r="A13" s="55"/>
      <c r="B13" s="55"/>
      <c r="F13" s="52">
        <v>2</v>
      </c>
      <c r="H13" s="53">
        <v>2</v>
      </c>
    </row>
    <row r="14" spans="1:18" x14ac:dyDescent="0.5">
      <c r="A14" s="55"/>
      <c r="B14" s="55"/>
      <c r="F14" s="52">
        <v>3</v>
      </c>
      <c r="H14" s="53">
        <v>3</v>
      </c>
    </row>
    <row r="16" spans="1:18" x14ac:dyDescent="0.5">
      <c r="A16" s="46">
        <v>5</v>
      </c>
      <c r="B16" s="47" t="s">
        <v>3188</v>
      </c>
      <c r="D16" s="51" t="s">
        <v>3188</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6"/>
  <dimension ref="A1:R18"/>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52" customHeight="1" x14ac:dyDescent="0.5">
      <c r="A1" s="45" t="s">
        <v>0</v>
      </c>
      <c r="B1" s="99" t="str" cm="1">
        <f t="array" aca="1" ref="B1" ca="1">_xlfn.LET(_xlpm.fn, CELL("filename",$A$1), _xlpm.nm, MID(_xlpm.fn, FIND("]", _xlpm.fn) + 1, 255), _xlfn.XLOOKUP(_xlpm.nm &amp; "(*", Lamb!$A$2:$A$1000, Lamb!$A$2:$A$1000, "", 2))</f>
        <v>range2ad(range, [str])</v>
      </c>
      <c r="C1" s="95"/>
      <c r="D1" s="95"/>
      <c r="E1" s="95"/>
      <c r="F1" s="96"/>
      <c r="H1" s="45" t="s">
        <v>2</v>
      </c>
      <c r="I1" s="94" t="str" cm="1">
        <f t="array" aca="1" ref="I1" ca="1">_xlfn.LET(_xlpm.fn, CELL("filename",$A$1), _xlpm.nm, MID(_xlpm.fn, FIND("]", _xlpm.fn) + 1, 255), _xlfn.XLOOKUP(_xlpm.nm &amp; "(*", Lamb!$A$2:$A$1000, Lamb!$D$2:$D$1000, "", 2))</f>
        <v>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v>
      </c>
      <c r="J1" s="95"/>
      <c r="K1" s="95"/>
      <c r="L1" s="95"/>
      <c r="M1" s="95"/>
      <c r="N1" s="95"/>
      <c r="O1" s="95"/>
      <c r="P1" s="95"/>
      <c r="Q1" s="95"/>
      <c r="R1" s="96"/>
    </row>
    <row r="2" spans="1:18" ht="357" customHeight="1" x14ac:dyDescent="0.5">
      <c r="A2" s="45" t="s">
        <v>4</v>
      </c>
      <c r="B2" s="97" t="str" cm="1">
        <f t="array" aca="1" ref="B2" ca="1">_xlfn.LET(_xlpm.fn, CELL("filename",$A$1), _xlpm.nm, MID(_xlpm.fn, FIND("]", _xlpm.fn) + 1, 255), _xlfn.XLOOKUP(_xlpm.nm &amp; "(*", Lamb!$A$2:$A$1000, Lamb!$C$2:$C$1000, "", 2))</f>
        <v>=LAMBDA(range,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v>
      </c>
      <c r="C2" s="98"/>
      <c r="D2" s="98"/>
      <c r="E2" s="98"/>
      <c r="F2" s="98"/>
      <c r="G2" s="98"/>
      <c r="H2" s="98"/>
      <c r="I2" s="98"/>
      <c r="J2" s="98"/>
      <c r="K2" s="98"/>
      <c r="L2" s="98"/>
      <c r="M2" s="98"/>
      <c r="N2" s="98"/>
      <c r="O2" s="98"/>
      <c r="P2" s="98"/>
      <c r="Q2" s="98"/>
      <c r="R2" s="98"/>
    </row>
    <row r="4" spans="1:18" x14ac:dyDescent="0.5">
      <c r="A4" s="45" t="inlineStr">
        <is>
          <t xml:space="preserve">expand_rng(ad_or_rng,[r_down],[c_right],[r_up],[c_left]) - grow an address/range into a bigger rectangle, returned as a range string in the input's format. Clamps at row 1 / col 1. Array input -&gt; #VALUE!.</t>
        </is>
      </c>
      <c r="J4" s="98">
        <f>COUNTIF(J6:J40,"PASS")&amp;" / 7 PASS"</f>
      </c>
      <c r="P4" s="45"/>
    </row>
    <row r="5" spans="1:18" x14ac:dyDescent="0.5">
      <c r="A5" s="45" t="inlineStr">
        <is>
          <t xml:space="preserve">#</t>
        </is>
      </c>
      <c r="B5" s="45" t="inlineStr">
        <is>
          <t xml:space="preserve">Case</t>
        </is>
      </c>
      <c r="D5" s="45" t="inlineStr">
        <is>
          <t xml:space="preserve">Inputs</t>
        </is>
      </c>
      <c r="F5" t="inlineStr">
        <is>
          <t xml:space="preserve">Expected</t>
        </is>
      </c>
      <c r="H5" s="48" t="inlineStr">
        <is>
          <t xml:space="preserve">Actual</t>
        </is>
      </c>
      <c r="J5" s="98" t="inlineStr">
        <is>
          <t xml:space="preserve">Match</t>
        </is>
      </c>
      <c r="L5" s="49" t="s">
        <v>11</v>
      </c>
      <c r="P5" s="50" t="s">
        <v>12</v>
      </c>
    </row>
    <row r="6" spans="1:18" x14ac:dyDescent="0.5">
      <c r="A6" s="46">
        <v>1</v>
      </c>
      <c r="B6" s="47" t="inlineStr">
        <is>
          <t xml:space="preserve">grow "J10:K11" 1,2,0,4 -&gt; "F10:M12"</t>
        </is>
      </c>
      <c r="C6"/>
      <c r="D6" s="51" t="inlineStr">
        <is>
          <t xml:space="preserve">grow "J10:K11" 1,2,0,4</t>
        </is>
      </c>
      <c r="E6"/>
      <c r="F6" t="inlineStr">
        <is>
          <t xml:space="preserve">F10:M12</t>
        </is>
      </c>
      <c r="G6"/>
      <c r="H6" s="52">
        <f>expand_rng("J10:K11",1,2,0,4)</f>
      </c>
      <c r="I6" s="52"/>
      <c r="J6">
        <f>IF(H6=F6,"PASS","FAIL")</f>
      </c>
      <c r="K6"/>
      <c r="L6" s="53"/>
      <c r="M6" s="53"/>
      <c r="N6"/>
      <c r="O6"/>
      <c r="P6" s="54"/>
    </row>
    <row r="7" spans="1:18" x14ac:dyDescent="0.5">
      <c r="A7" s="55"/>
      <c r="B7" s="47"/>
      <c r="C7"/>
      <c r="D7" s="51"/>
      <c r="E7"/>
      <c r="F7"/>
      <c r="G7"/>
      <c r="H7" s="52"/>
      <c r="I7" s="52"/>
      <c r="J7"/>
      <c r="K7"/>
      <c r="L7" s="53"/>
      <c r="M7" s="53"/>
      <c r="N7"/>
      <c r="O7"/>
      <c r="P7" s="54"/>
    </row>
    <row r="8">
      <c r="A8">
        <v>2</v>
      </c>
      <c r="B8" s="47" t="inlineStr">
        <is>
          <t xml:space="preserve">grow "B3" up 10 -&gt; "B1:B3" (clamp)</t>
        </is>
      </c>
      <c r="C8"/>
      <c r="D8" s="51" t="inlineStr">
        <is>
          <t xml:space="preserve">grow "B3" up 10</t>
        </is>
      </c>
      <c r="E8"/>
      <c r="F8" t="inlineStr">
        <is>
          <t xml:space="preserve">B1:B3</t>
        </is>
      </c>
      <c r="G8"/>
      <c r="H8" s="52">
        <f>expand_rng("B3",0,0,10,0)</f>
      </c>
      <c r="I8" s="52"/>
      <c r="J8">
        <f>IF(H8=F8,"PASS","FAIL")</f>
      </c>
      <c r="K8"/>
      <c r="L8" s="53"/>
      <c r="M8" s="53"/>
      <c r="N8"/>
      <c r="O8"/>
      <c r="P8" s="54"/>
    </row>
    <row r="9" spans="1:18" x14ac:dyDescent="0.5">
      <c r="A9" s="46"/>
      <c r="B9" s="47"/>
      <c r="C9"/>
      <c r="D9" s="51"/>
      <c r="E9"/>
      <c r="F9" s="51"/>
      <c r="G9"/>
      <c r="H9" s="52"/>
      <c r="I9" s="52"/>
      <c r="J9"/>
      <c r="K9"/>
      <c r="L9" s="53"/>
      <c r="M9" s="53"/>
      <c r="N9"/>
      <c r="O9"/>
      <c r="P9" s="54"/>
    </row>
    <row r="10" spans="1:18" x14ac:dyDescent="0.5">
      <c r="A10" s="55">
        <v>3</v>
      </c>
      <c r="B10" s="47" t="inlineStr">
        <is>
          <t xml:space="preserve">grow "B3" left 10 -&gt; "A3:B3" (clamp)</t>
        </is>
      </c>
      <c r="C10"/>
      <c r="D10" s="51" t="inlineStr">
        <is>
          <t xml:space="preserve">grow "B3" left 10</t>
        </is>
      </c>
      <c r="E10"/>
      <c r="F10" s="51" t="inlineStr">
        <is>
          <t xml:space="preserve">A3:B3</t>
        </is>
      </c>
      <c r="G10"/>
      <c r="H10" s="52">
        <f>expand_rng("B3",0,0,0,10)</f>
      </c>
      <c r="I10" s="52"/>
      <c r="J10">
        <f>IF(H10=F10,"PASS","FAIL")</f>
      </c>
      <c r="K10"/>
      <c r="L10" s="53"/>
      <c r="M10" s="53"/>
      <c r="N10"/>
      <c r="O10"/>
      <c r="P10" s="54"/>
    </row>
    <row r="11">
      <c r="A11"/>
      <c r="B11" s="47"/>
      <c r="C11"/>
      <c r="D11" s="51"/>
      <c r="E11"/>
      <c r="F11" s="51"/>
      <c r="G11"/>
      <c r="H11" s="52"/>
      <c r="I11" s="52"/>
      <c r="J11"/>
      <c r="K11"/>
      <c r="L11" s="53"/>
      <c r="M11" s="53"/>
      <c r="N11"/>
      <c r="O11"/>
      <c r="P11" s="54"/>
    </row>
    <row r="12" spans="1:18" x14ac:dyDescent="0.5">
      <c r="A12" s="46">
        <v>4</v>
      </c>
      <c r="B12" s="47" t="inlineStr">
        <is>
          <t xml:space="preserve">numeric range down 1 -&gt; "1000001:2000002"</t>
        </is>
      </c>
      <c r="C12"/>
      <c r="D12" s="51" t="inlineStr">
        <is>
          <t xml:space="preserve">numeric range down 1</t>
        </is>
      </c>
      <c r="E12"/>
      <c r="F12" s="51" t="inlineStr">
        <is>
          <t xml:space="preserve">1000001:2000002</t>
        </is>
      </c>
      <c r="G12"/>
      <c r="H12" s="52">
        <f>expand_rng("1000001:1000002",1,0,0,0)</f>
      </c>
      <c r="I12" s="52"/>
      <c r="J12">
        <f>IF(H12=F12,"PASS","FAIL")</f>
      </c>
      <c r="K12"/>
      <c r="L12" s="53"/>
      <c r="M12" s="53"/>
      <c r="N12"/>
      <c r="O12"/>
      <c r="P12" s="54"/>
    </row>
    <row r="13" spans="1:18" x14ac:dyDescent="0.5">
      <c r="A13" s="55"/>
      <c r="B13" s="47"/>
      <c r="C13"/>
      <c r="D13" s="51"/>
      <c r="E13"/>
      <c r="F13" s="51"/>
      <c r="G13"/>
      <c r="H13" s="52"/>
      <c r="I13" s="52"/>
      <c r="J13"/>
      <c r="K13"/>
      <c r="L13" s="53"/>
      <c r="M13" s="53"/>
      <c r="N13"/>
      <c r="O13"/>
      <c r="P13" s="54"/>
    </row>
    <row r="14" spans="1:18" x14ac:dyDescent="0.5">
      <c r="A14" s="55">
        <v>5</v>
      </c>
      <c r="B14" s="47" t="inlineStr">
        <is>
          <t xml:space="preserve">single numeric, no grow -&gt; "3000004:3000004"</t>
        </is>
      </c>
      <c r="C14"/>
      <c r="D14" s="51" t="inlineStr">
        <is>
          <t xml:space="preserve">single numeric, no grow</t>
        </is>
      </c>
      <c r="E14"/>
      <c r="F14" s="51" t="inlineStr">
        <is>
          <t xml:space="preserve">3000004:3000004</t>
        </is>
      </c>
      <c r="G14"/>
      <c r="H14" s="52">
        <f>expand_rng(3000004)</f>
      </c>
      <c r="I14" s="52"/>
      <c r="J14">
        <f>IF(H14=F14,"PASS","FAIL")</f>
      </c>
      <c r="K14"/>
      <c r="L14" s="53"/>
      <c r="M14" s="53"/>
      <c r="N14"/>
      <c r="O14"/>
      <c r="P14" s="54"/>
    </row>
    <row r="15">
      <c r="A15"/>
      <c r="B15" s="47"/>
      <c r="C15"/>
      <c r="D15" s="51"/>
      <c r="E15"/>
      <c r="F15" s="51"/>
      <c r="G15"/>
      <c r="H15" s="52"/>
      <c r="I15" s="52"/>
      <c r="J15"/>
      <c r="K15"/>
      <c r="L15" s="53"/>
      <c r="M15" s="53"/>
      <c r="N15"/>
      <c r="O15"/>
      <c r="P15" s="54"/>
    </row>
    <row r="16" spans="1:18" x14ac:dyDescent="0.5">
      <c r="A16" s="46">
        <v>6</v>
      </c>
      <c r="B16" s="47" t="inlineStr">
        <is>
          <t xml:space="preserve">array input -&gt; #VALUE!</t>
        </is>
      </c>
      <c r="C16"/>
      <c r="D16" s="51"/>
      <c r="E16"/>
      <c r="F16" s="51">
        <v>3</v>
      </c>
      <c r="G16"/>
      <c r="H16" s="52">
        <f>ERROR.TYPE(expand_rng({1,2}))</f>
      </c>
      <c r="I16" s="52"/>
      <c r="J16" s="52">
        <f>IF(H16=F16,"PASS","FAIL")</f>
      </c>
      <c r="K16"/>
      <c r="L16" s="53"/>
      <c r="M16" s="53"/>
      <c r="N16" s="53"/>
      <c r="O16"/>
      <c r="P16" s="54"/>
    </row>
    <row r="17">
      <c r="A17"/>
      <c r="B17" s="47"/>
      <c r="C17"/>
      <c r="D17" s="51"/>
      <c r="E17"/>
      <c r="F17" s="51"/>
      <c r="G17"/>
      <c r="H17" s="52"/>
      <c r="I17" s="52"/>
      <c r="J17" s="52"/>
      <c r="K17"/>
      <c r="L17" s="53"/>
      <c r="M17" s="53"/>
      <c r="N17" s="53"/>
      <c r="O17"/>
      <c r="P17" s="54"/>
    </row>
    <row r="18" spans="1:16" x14ac:dyDescent="0.5">
      <c r="A18" s="46">
        <v>7</v>
      </c>
      <c r="B18" s="47" t="inlineStr">
        <is>
          <t xml:space="preserve">negative/non-int arg -&gt; #VALUE!</t>
        </is>
      </c>
      <c r="C18"/>
      <c r="D18" s="51"/>
      <c r="E18"/>
      <c r="F18" s="51">
        <v>3</v>
      </c>
      <c r="G18"/>
      <c r="H18" s="52">
        <f>ERROR.TYPE(expand_rng("B3",-1))</f>
      </c>
      <c r="I18" s="52"/>
      <c r="J18" s="52">
        <f>IF(H18=F18,"PASS","FAIL")</f>
      </c>
      <c r="K18"/>
      <c r="L18" s="53"/>
      <c r="M18" s="53"/>
      <c r="N18" s="53"/>
      <c r="O18"/>
      <c r="P18" s="54"/>
    </row>
    <row r="19">
      <c r="A19"/>
      <c r="B19" s="47"/>
      <c r="C19"/>
      <c r="D19" s="51"/>
      <c r="E19"/>
      <c r="F19" s="51"/>
      <c r="G19"/>
      <c r="H19" s="52"/>
      <c r="I19" s="52"/>
      <c r="J19" s="52"/>
      <c r="K19"/>
      <c r="L19" s="53"/>
      <c r="M19" s="53"/>
      <c r="N19" s="53"/>
      <c r="O19"/>
      <c r="P19" s="54"/>
    </row>
    <row r="20">
      <c r="A20"/>
      <c r="B20" s="47"/>
      <c r="C20"/>
      <c r="D20" s="51"/>
      <c r="E20"/>
      <c r="F20" s="51"/>
      <c r="G20"/>
      <c r="H20" s="52"/>
      <c r="I20" s="52"/>
      <c r="J20" s="52"/>
      <c r="K20"/>
      <c r="L20" s="53"/>
      <c r="M20" s="53"/>
      <c r="N20" s="53"/>
      <c r="O20"/>
      <c r="P20" s="54"/>
    </row>
    <row r="21">
      <c r="A21"/>
      <c r="B21" s="47"/>
      <c r="C21"/>
      <c r="D21" s="51"/>
      <c r="E21"/>
      <c r="F21" s="51"/>
      <c r="G21"/>
      <c r="H21" s="52"/>
      <c r="I21" s="52"/>
      <c r="J21" s="52"/>
      <c r="K21"/>
      <c r="L21" s="53"/>
      <c r="M21" s="53"/>
      <c r="N21" s="53"/>
      <c r="O21"/>
      <c r="P21" s="54"/>
    </row>
    <row r="22">
      <c r="A22"/>
      <c r="B22" s="47"/>
      <c r="C22"/>
      <c r="D22" s="51"/>
      <c r="E22"/>
      <c r="F22" s="51"/>
      <c r="G22"/>
      <c r="H22" s="52"/>
      <c r="I22" s="52"/>
      <c r="J22" s="52"/>
      <c r="K22"/>
      <c r="L22" s="53"/>
      <c r="M22" s="53"/>
      <c r="N22" s="53"/>
      <c r="O22"/>
      <c r="P22" s="54"/>
    </row>
    <row r="23">
      <c r="A23"/>
      <c r="B23" s="47"/>
      <c r="C23"/>
      <c r="D23" s="51"/>
      <c r="E23"/>
      <c r="F23" s="51"/>
      <c r="G23"/>
      <c r="H23" s="52"/>
      <c r="I23" s="52"/>
      <c r="J23" s="52"/>
      <c r="K23"/>
      <c r="L23" s="53"/>
      <c r="M23" s="53"/>
      <c r="N23" s="53"/>
      <c r="O23"/>
      <c r="P23" s="54"/>
    </row>
    <row r="24">
      <c r="A24"/>
      <c r="B24" s="47"/>
      <c r="C24"/>
      <c r="D24" s="51"/>
      <c r="E24"/>
      <c r="F24" s="51"/>
      <c r="G24"/>
      <c r="H24" s="52"/>
      <c r="I24" s="52"/>
      <c r="J24" s="52"/>
      <c r="K24"/>
      <c r="L24" s="53"/>
      <c r="M24" s="53"/>
      <c r="N24" s="53"/>
      <c r="O24"/>
      <c r="P24" s="54"/>
    </row>
    <row r="25">
      <c r="A25"/>
      <c r="B25" s="47"/>
      <c r="C25"/>
      <c r="D25" s="51"/>
      <c r="E25"/>
      <c r="F25" s="51"/>
      <c r="G25"/>
      <c r="H25" s="52"/>
      <c r="I25" s="52"/>
      <c r="J25" s="52"/>
      <c r="K25"/>
      <c r="L25" s="53"/>
      <c r="M25" s="53"/>
      <c r="N25" s="53"/>
      <c r="O25"/>
      <c r="P25" s="54"/>
    </row>
    <row r="26">
      <c r="A26"/>
      <c r="B26" s="47"/>
      <c r="C26"/>
      <c r="D26" s="51"/>
      <c r="E26"/>
      <c r="F26" s="51"/>
      <c r="G26"/>
      <c r="H26" s="52"/>
      <c r="I26" s="52"/>
      <c r="J26" s="52"/>
      <c r="K26"/>
      <c r="L26" s="53"/>
      <c r="M26" s="53"/>
      <c r="N26" s="53"/>
      <c r="O26"/>
      <c r="P26" s="54"/>
    </row>
    <row r="27">
      <c r="A27"/>
      <c r="B27" s="47"/>
      <c r="C27"/>
      <c r="D27" s="51"/>
      <c r="E27"/>
      <c r="F27" s="51"/>
      <c r="G27"/>
      <c r="H27" s="52"/>
      <c r="I27" s="52"/>
      <c r="J27" s="52"/>
      <c r="K27"/>
      <c r="L27" s="53"/>
      <c r="M27" s="53"/>
      <c r="N27" s="53"/>
      <c r="O27"/>
      <c r="P27" s="54"/>
    </row>
    <row r="28">
      <c r="A28"/>
      <c r="B28" s="47"/>
      <c r="C28"/>
      <c r="D28" s="51"/>
      <c r="E28"/>
      <c r="F28" s="51"/>
      <c r="G28"/>
      <c r="H28" s="52"/>
      <c r="I28" s="52"/>
      <c r="J28" s="52"/>
      <c r="K28"/>
      <c r="L28" s="53"/>
      <c r="M28" s="53"/>
      <c r="N28" s="53"/>
      <c r="O28"/>
      <c r="P28" s="54"/>
    </row>
    <row r="29">
      <c r="A29"/>
      <c r="B29" s="47"/>
      <c r="C29"/>
      <c r="D29" s="51"/>
      <c r="E29"/>
      <c r="F29" s="51"/>
      <c r="G29"/>
      <c r="H29" s="52"/>
      <c r="I29" s="52"/>
      <c r="J29" s="52"/>
      <c r="K29"/>
      <c r="L29" s="53"/>
      <c r="M29" s="53"/>
      <c r="N29" s="53"/>
      <c r="O29"/>
      <c r="P29" s="54"/>
    </row>
    <row r="30">
      <c r="A30"/>
      <c r="B30" s="47"/>
      <c r="C30"/>
      <c r="D30" s="51"/>
      <c r="E30"/>
      <c r="F30" s="51"/>
      <c r="G30"/>
      <c r="H30" s="52"/>
      <c r="I30" s="52"/>
      <c r="J30" s="52"/>
      <c r="K30"/>
      <c r="L30" s="53"/>
      <c r="M30" s="53"/>
      <c r="N30" s="53"/>
      <c r="O30"/>
      <c r="P30" s="54"/>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8FE4E-3F0C-48E6-9210-846A8AE2987C}">
  <sheetPr codeName="Sheet128"/>
  <dimension ref="A1:R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rc_to_ref(row_n, col_n, [str])</v>
      </c>
      <c r="C1" s="95"/>
      <c r="D1" s="95"/>
      <c r="E1" s="95"/>
      <c r="F1" s="96"/>
      <c r="H1" s="45" t="s">
        <v>2</v>
      </c>
      <c r="I1" s="94" t="str" cm="1">
        <f t="array" aca="1" ref="I1" ca="1">_xlfn.LET(_xlpm.fn, CELL("filename",$A$1), _xlpm.nm, MID(_xlpm.fn, FIND("]", _xlpm.fn) + 1, 255), _xlfn.XLOOKUP(_xlpm.nm &amp; "(*", Lamb!$A$2:$A$1000, Lamb!$D$2:$D$1000, "", 2))</f>
        <v>Builds a cell reference from a row and column number. The inverse of ref_to_rc.
Numeric output is the project's standard packed address (1e6 * row + col). The string form is produced with str_ad, so it matches the relative A1 style used everywhere else in the library.
Arguments:
  row_n - row number, 1 to 1048576.
  col_n - column number, 1 to 16384.
  [str] - 0 (default) returns the numeric address; 1 returns an A1 string.
Returns:
  The reference in the requested form. Returns #VALUE! if either coordinate is non-numeric, non-integer, or outside the sheet.
Example:
  rc_to_ref(3, 4)     -&gt;  3000004
  rc_to_ref(3, 4, 1)  -&gt;  "D3"
  rc_to_ref(0, 4)     -&gt;  #VALUE!</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98"/>
      <c r="D2" s="98"/>
      <c r="E2" s="98"/>
      <c r="F2" s="98"/>
      <c r="G2" s="98"/>
      <c r="H2" s="98"/>
      <c r="I2" s="98"/>
      <c r="J2" s="98"/>
      <c r="K2" s="98"/>
      <c r="L2" s="98"/>
      <c r="M2" s="98"/>
      <c r="N2" s="98"/>
      <c r="O2" s="98"/>
      <c r="P2" s="98"/>
      <c r="Q2" s="98"/>
      <c r="R2" s="98"/>
    </row>
    <row r="4" spans="1:18" x14ac:dyDescent="0.5">
      <c r="A4" s="45" t="inlineStr">
        <is>
          <t xml:space="preserve">rc2ad(row_n, col_n, [str]) - build an address from a row and column. Numeric address by default, A1 string when str=1. Out-of-range or non-integer inputs return #VALUE!.</t>
        </is>
      </c>
      <c r="J4" s="45" t="str">
        <f>COUNTIF(J6:J20,"PASS")&amp;" / 7 PASS"</f>
        <v>7 / 7 PASS</v>
      </c>
    </row>
    <row r="5" spans="1:18" x14ac:dyDescent="0.5">
      <c r="A5" s="45" t="s">
        <v>7</v>
      </c>
      <c r="B5" s="45" t="s">
        <v>8</v>
      </c>
      <c r="D5" s="45" t="s">
        <v>9</v>
      </c>
      <c r="E5" s="45"/>
      <c r="F5" s="48" t="s">
        <v>10</v>
      </c>
      <c r="H5" s="49" t="s">
        <v>11</v>
      </c>
      <c r="J5" s="50" t="s">
        <v>12</v>
      </c>
    </row>
    <row r="6" spans="1:18" x14ac:dyDescent="0.5">
      <c r="A6" s="46">
        <v>1</v>
      </c>
      <c r="B6" s="47" t="s">
        <v>3569</v>
      </c>
      <c r="D6" s="51">
        <v>3</v>
      </c>
      <c r="E6" s="51">
        <v>4</v>
      </c>
      <c r="F6" s="52">
        <v>3000004</v>
      </c>
      <c r="H6" s="53">
        <f>rc2ad(D6,E6)</f>
      </c>
      <c r="J6" s="54" t="str">
        <f>IF(H6=F6,"PASS","FAIL")</f>
        <v>PASS</v>
      </c>
    </row>
    <row r="7" spans="1:18" x14ac:dyDescent="0.5">
      <c r="B7" s="47"/>
      <c r="D7" s="51"/>
      <c r="E7" s="51"/>
      <c r="F7" s="52"/>
      <c r="H7" s="53"/>
      <c r="J7" s="54"/>
    </row>
    <row r="8" spans="1:18" x14ac:dyDescent="0.5">
      <c r="A8" s="46">
        <v>2</v>
      </c>
      <c r="B8" s="47" t="s">
        <v>3570</v>
      </c>
      <c r="D8" s="51">
        <v>3</v>
      </c>
      <c r="E8" s="51">
        <v>4</v>
      </c>
      <c r="F8" s="52" t="s">
        <v>3136</v>
      </c>
      <c r="G8">
        <v>1</v>
      </c>
      <c r="H8" s="53">
        <f>rc2ad(D8,E8,G8)</f>
      </c>
      <c r="J8" s="54" t="str">
        <f>IF(H8=F8,"PASS","FAIL")</f>
        <v>PASS</v>
      </c>
    </row>
    <row r="9" spans="1:18" x14ac:dyDescent="0.5">
      <c r="B9" s="47"/>
      <c r="D9" s="51"/>
      <c r="E9" s="51"/>
      <c r="F9" s="52"/>
      <c r="H9" s="53"/>
      <c r="J9" s="54"/>
    </row>
    <row r="10" spans="1:18" x14ac:dyDescent="0.5">
      <c r="A10" s="46">
        <v>3</v>
      </c>
      <c r="B10" s="47" t="s">
        <v>3571</v>
      </c>
      <c r="D10" s="51">
        <v>0</v>
      </c>
      <c r="E10" s="51">
        <v>4</v>
      </c>
      <c r="F10" s="52">
        <v>3</v>
      </c>
      <c r="H10" s="53">
        <f>ERROR.TYPE(rc2ad(D10,E10))</f>
      </c>
      <c r="J10" s="54" t="str">
        <f>IF(H10=F10,"PASS","FAIL")</f>
        <v>PASS</v>
      </c>
    </row>
    <row r="11" spans="1:18" x14ac:dyDescent="0.5">
      <c r="B11" s="47"/>
      <c r="D11" s="51"/>
      <c r="E11" s="51"/>
      <c r="F11" s="52"/>
      <c r="H11" s="53"/>
      <c r="J11" s="54"/>
    </row>
    <row r="12" spans="1:18" x14ac:dyDescent="0.5">
      <c r="A12" s="46">
        <v>4</v>
      </c>
      <c r="B12" s="47" t="s">
        <v>3572</v>
      </c>
      <c r="D12" s="51">
        <v>3</v>
      </c>
      <c r="E12" s="51">
        <v>16385</v>
      </c>
      <c r="F12" s="52">
        <v>3</v>
      </c>
      <c r="H12" s="53">
        <f>ERROR.TYPE(rc2ad(D12,E12))</f>
      </c>
      <c r="J12" s="54" t="str">
        <f>IF(H12=F12,"PASS","FAIL")</f>
        <v>PASS</v>
      </c>
    </row>
    <row r="13" spans="1:18" x14ac:dyDescent="0.5">
      <c r="B13" s="47"/>
      <c r="D13" s="51"/>
      <c r="E13" s="51"/>
      <c r="F13" s="52"/>
      <c r="H13" s="53"/>
      <c r="J13" s="54"/>
    </row>
    <row r="14" spans="1:18" x14ac:dyDescent="0.5">
      <c r="A14" s="46">
        <v>5</v>
      </c>
      <c r="B14" s="47" t="s">
        <v>3573</v>
      </c>
      <c r="D14" s="51">
        <v>3.5</v>
      </c>
      <c r="E14" s="51">
        <v>4</v>
      </c>
      <c r="F14" s="52">
        <v>3</v>
      </c>
      <c r="H14" s="53">
        <f>ERROR.TYPE(rc2ad(D14,E14))</f>
      </c>
      <c r="J14" s="54" t="str">
        <f>IF(H14=F14,"PASS","FAIL")</f>
        <v>PASS</v>
      </c>
    </row>
    <row r="15" spans="1:18" x14ac:dyDescent="0.5">
      <c r="B15" s="47"/>
      <c r="D15" s="51"/>
      <c r="E15" s="51"/>
      <c r="F15" s="52"/>
      <c r="H15" s="53"/>
      <c r="J15" s="54"/>
    </row>
    <row r="16" spans="1:18" x14ac:dyDescent="0.5">
      <c r="A16" s="46">
        <v>6</v>
      </c>
      <c r="B16" s="47" t="s">
        <v>3574</v>
      </c>
      <c r="D16" s="51">
        <v>1048576</v>
      </c>
      <c r="E16" s="51">
        <v>16384</v>
      </c>
      <c r="F16" s="52" t="s">
        <v>3567</v>
      </c>
      <c r="G16">
        <v>1</v>
      </c>
      <c r="H16" s="53">
        <f>rc2ad(D16,E16,G16)</f>
      </c>
      <c r="J16" s="54" t="str">
        <f>IF(H16=F16,"PASS","FAIL")</f>
        <v>PASS</v>
      </c>
    </row>
    <row r="17" spans="1:10" x14ac:dyDescent="0.5">
      <c r="A17" s="55"/>
      <c r="B17" s="47"/>
      <c r="D17" s="51"/>
      <c r="E17" s="51"/>
      <c r="F17" s="52"/>
      <c r="H17" s="53"/>
      <c r="J17" s="54"/>
    </row>
    <row r="18" spans="1:10" x14ac:dyDescent="0.5">
      <c r="A18">
        <v>7</v>
      </c>
      <c r="B18" s="47" t="s">
        <v>3575</v>
      </c>
      <c r="D18" s="51">
        <v>3</v>
      </c>
      <c r="E18" s="51">
        <v>4</v>
      </c>
      <c r="F18" s="52">
        <v>3000004</v>
      </c>
      <c r="H18" s="53">
        <f>rc2ad(INDEX(ad2rc(rc2ad(D18,E18)),1),INDEX(ad2rc(rc2ad(D18,E18)),2))</f>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EBFAC-1E61-455E-BD57-C68B58FAF78B}">
  <sheetPr codeName="Sheet127"/>
  <dimension ref="A1:R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ref_to_rc(ref, [as_row])</v>
      </c>
      <c r="C1" s="95"/>
      <c r="D1" s="95"/>
      <c r="E1" s="95"/>
      <c r="F1" s="96"/>
      <c r="H1" s="45" t="s">
        <v>2</v>
      </c>
      <c r="I1" s="94" t="str" cm="1">
        <f t="array" aca="1" ref="I1" ca="1">_xlfn.LET(_xlpm.fn, CELL("filename",$A$1), _xlpm.nm, MID(_xlpm.fn, FIND("]", _xlpm.fn) + 1, 255), _xlfn.XLOOKUP(_xlpm.nm &amp; "(*", Lamb!$A$2:$A$1000, Lamb!$D$2:$D$1000, "", 2))</f>
        <v>Splits one cell reference into its row and column numbers. The inverse of rc_to_ref.
The reference is autodetected: pass either a numeric address (1e6 * row + col) or an A1 string. Coercion is done with num_ad, so "$D$3", "Sheet1!D3" and lower case all work, and a value that is already numeric passes straight through.
Arguments:
  ref      - a single cell reference, numeric (3000004) or A1 string ("D3").
  [as_row] - 0 (default) returns a 2-row vertical array; 1 returns a 2-column horizontal array.
Returns:
  The row and column as two numbers, in that order - vertical by default, horizontal when as_row = 1. Returns #VALUE! if ref is not a single valid cell reference (junk text, an out-of-range address, a multi-cell array, or an error).
Example:
  ref_to_rc("D3")     -&gt;  {3; 4}
  ref_to_rc(3000004)  -&gt;  {3; 4}
  ref_to_rc("D3", 1)  -&gt;  {3, 4}
  ref_to_rc("hi")     -&gt;  #VALUE!</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=LAMBDA(ref, [as_row],
  LET(
    wide, IF(ISOMITTED(as_row), 0, as_row),
    num, num_ad(ref),
    ok, IFERROR(AND(ROWS(ref) * COLUMNS(ref) = 1, ISNUMBER(num), num = INT(num),
                    INT(num / 1000000) &gt;= 1, INT(num / 1000000) &lt;= 1048576,
                    MOD(num, 1000000) &gt;= 1, MOD(num, 1000000) &lt;= 16384), FALSE),
    IF(NOT(ok), #VALUE!,
       IF(wide,
          HSTACK(INT(num / 1000000), MOD(num, 1000000)),
          VSTACK(INT(num / 1000000), MOD(num, 1000000))))
  )
)</v>
      </c>
      <c r="C2" s="98"/>
      <c r="D2" s="98"/>
      <c r="E2" s="98"/>
      <c r="F2" s="98"/>
      <c r="G2" s="98"/>
      <c r="H2" s="98"/>
      <c r="I2" s="98"/>
      <c r="J2" s="98"/>
      <c r="K2" s="98"/>
      <c r="L2" s="98"/>
      <c r="M2" s="98"/>
      <c r="N2" s="98"/>
      <c r="O2" s="98"/>
      <c r="P2" s="98"/>
      <c r="Q2" s="98"/>
      <c r="R2" s="98"/>
    </row>
    <row r="4" spans="1:18" x14ac:dyDescent="0.5">
      <c r="A4" s="45" t="inlineStr">
        <is>
          <t xml:space="preserve">ad2rc(ad, [as_row]) - split one address (numeric or A1 string) into its row and column. Vertical {row;col} by default, horizontal when as_row=1. A range, an array, or a non-address returns #VALUE!.</t>
        </is>
      </c>
      <c r="J4" s="45" t="str">
        <f>COUNTIF(J6:J20,"PASS")&amp;" / 7 PASS"</f>
        <v>7 / 7 PASS</v>
      </c>
    </row>
    <row r="5" spans="1:18" x14ac:dyDescent="0.5">
      <c r="A5" s="45" t="s">
        <v>7</v>
      </c>
      <c r="B5" s="45" t="s">
        <v>8</v>
      </c>
      <c r="D5" s="45" t="s">
        <v>9</v>
      </c>
      <c r="F5" s="48" t="s">
        <v>10</v>
      </c>
      <c r="H5" s="49" t="s">
        <v>11</v>
      </c>
      <c r="J5" s="50" t="s">
        <v>12</v>
      </c>
    </row>
    <row r="6" spans="1:18" x14ac:dyDescent="0.5">
      <c r="A6" s="46">
        <v>1</v>
      </c>
      <c r="B6" s="47" t="s">
        <v>3559</v>
      </c>
      <c r="D6" s="51" t="s">
        <v>3136</v>
      </c>
      <c r="F6" s="52">
        <v>3</v>
      </c>
      <c r="H6" s="53">
        <f>ad2rc(D6)</f>
      </c>
      <c r="J6" s="54" t="str" cm="1">
        <f t="array" ref="J6">IF(AND(F6:F7=H6:H7),"PASS","FAIL")</f>
        <v>PASS</v>
      </c>
    </row>
    <row r="7" spans="1:18" x14ac:dyDescent="0.5">
      <c r="B7" s="47"/>
      <c r="D7" s="51"/>
      <c r="F7" s="52">
        <v>4</v>
      </c>
      <c r="H7" s="53">
        <v>4</v>
      </c>
      <c r="J7" s="54"/>
    </row>
    <row r="8" spans="1:18" x14ac:dyDescent="0.5">
      <c r="A8" s="46">
        <v>2</v>
      </c>
      <c r="B8" s="47" t="s">
        <v>3560</v>
      </c>
      <c r="D8" s="51">
        <v>3000004</v>
      </c>
      <c r="F8" s="52">
        <v>3</v>
      </c>
      <c r="H8" s="53">
        <f>ad2rc(D8)</f>
      </c>
      <c r="J8" s="54" t="str" cm="1">
        <f t="array" ref="J8">IF(AND(F8:F9=H8:H9),"PASS","FAIL")</f>
        <v>PASS</v>
      </c>
    </row>
    <row r="9" spans="1:18" x14ac:dyDescent="0.5">
      <c r="B9" s="47"/>
      <c r="D9" s="51"/>
      <c r="F9" s="52">
        <v>4</v>
      </c>
      <c r="H9" s="53">
        <v>4</v>
      </c>
      <c r="J9" s="54"/>
    </row>
    <row r="10" spans="1:18" x14ac:dyDescent="0.5">
      <c r="A10" s="46">
        <v>3</v>
      </c>
      <c r="B10" s="47" t="s">
        <v>3561</v>
      </c>
      <c r="D10" s="51" t="s">
        <v>3562</v>
      </c>
      <c r="F10" s="52">
        <v>3</v>
      </c>
      <c r="H10" s="53">
        <f>ad2rc(D10)</f>
      </c>
      <c r="J10" s="54" t="str" cm="1">
        <f t="array" ref="J10">IF(AND(F10:F11=H10:H11),"PASS","FAIL")</f>
        <v>PASS</v>
      </c>
    </row>
    <row r="11" spans="1:18" x14ac:dyDescent="0.5">
      <c r="B11" s="47"/>
      <c r="D11" s="51"/>
      <c r="F11" s="52">
        <v>4</v>
      </c>
      <c r="H11" s="53">
        <v>4</v>
      </c>
      <c r="J11" s="54"/>
    </row>
    <row r="12" spans="1:18" x14ac:dyDescent="0.5">
      <c r="A12" s="46">
        <v>4</v>
      </c>
      <c r="B12" s="47" t="s">
        <v>3563</v>
      </c>
      <c r="D12" s="51" t="s">
        <v>3136</v>
      </c>
      <c r="E12">
        <v>1</v>
      </c>
      <c r="F12" s="52">
        <v>3</v>
      </c>
      <c r="G12">
        <v>4</v>
      </c>
      <c r="H12" s="53">
        <f>ad2rc(D12,E12)</f>
      </c>
      <c r="I12">
        <v>4</v>
      </c>
      <c r="J12" s="54" t="str" cm="1">
        <f t="array" ref="J12">IF(AND(F12:G12=H12:I12),"PASS","FAIL")</f>
        <v>PASS</v>
      </c>
    </row>
    <row r="13" spans="1:18" x14ac:dyDescent="0.5">
      <c r="B13" s="47"/>
      <c r="D13" s="51"/>
      <c r="F13" s="52"/>
      <c r="H13" s="53"/>
      <c r="J13" s="54"/>
    </row>
    <row r="14" spans="1:18" x14ac:dyDescent="0.5">
      <c r="A14" s="46">
        <v>5</v>
      </c>
      <c r="B14" s="47" t="s">
        <v>3564</v>
      </c>
      <c r="D14" s="51" t="s">
        <v>3143</v>
      </c>
      <c r="F14" s="52">
        <v>3</v>
      </c>
      <c r="H14" s="53">
        <f>ERROR.TYPE(ad2rc(D14))</f>
      </c>
      <c r="J14" s="54" t="str">
        <f>IF(H14=F14,"PASS","FAIL")</f>
        <v>PASS</v>
      </c>
    </row>
    <row r="15" spans="1:18" x14ac:dyDescent="0.5">
      <c r="B15" s="47"/>
      <c r="D15" s="51"/>
      <c r="F15" s="52"/>
      <c r="H15" s="53"/>
      <c r="J15" s="54"/>
    </row>
    <row r="16" spans="1:18" x14ac:dyDescent="0.5">
      <c r="A16" s="46">
        <v>6</v>
      </c>
      <c r="B16" s="47" t="s">
        <v>3565</v>
      </c>
      <c r="D16" s="51">
        <v>4</v>
      </c>
      <c r="F16" s="52">
        <v>3</v>
      </c>
      <c r="H16" s="53">
        <f>ERROR.TYPE(ad2rc(D16))</f>
      </c>
      <c r="J16" s="54" t="str">
        <f>IF(H16=F16,"PASS","FAIL")</f>
        <v>PASS</v>
      </c>
    </row>
    <row r="17" spans="1:10" x14ac:dyDescent="0.5">
      <c r="A17" s="55"/>
      <c r="B17" s="47"/>
      <c r="D17" s="51"/>
      <c r="F17" s="52"/>
      <c r="H17" s="53"/>
      <c r="J17" s="54"/>
    </row>
    <row r="18" spans="1:10" x14ac:dyDescent="0.5">
      <c r="A18">
        <v>7</v>
      </c>
      <c r="B18" s="47" t="s">
        <v>3566</v>
      </c>
      <c r="D18" s="51" t="s">
        <v>3567</v>
      </c>
      <c r="F18" s="52">
        <v>1048576</v>
      </c>
      <c r="H18" s="53">
        <f>ad2rc(D18)</f>
      </c>
      <c r="J18" s="54" t="str" cm="1">
        <f t="array" ref="J18">IF(AND(F18:F19=H18:H19),"PASS","FAIL")</f>
        <v>PASS</v>
      </c>
    </row>
    <row r="19" spans="1:10" x14ac:dyDescent="0.5">
      <c r="B19" s="47"/>
      <c r="D19" s="51"/>
      <c r="F19" s="52">
        <v>16384</v>
      </c>
      <c r="H19" s="53">
        <v>16384</v>
      </c>
      <c r="J19" s="54"/>
    </row>
  </sheetData>
  <mergeCells count="3">
    <mergeCell ref="B1:F1"/>
    <mergeCell ref="I1:R1"/>
    <mergeCell ref="B2:R2"/>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7"/>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rev(arr)</v>
      </c>
      <c r="C1" s="95"/>
      <c r="D1" s="95"/>
      <c r="E1" s="95"/>
      <c r="F1" s="96"/>
      <c r="H1" s="45" t="s">
        <v>2</v>
      </c>
      <c r="I1" s="94"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=LAMBDA(arr, xtocol(arr, 0, , arrow("L") &amp; arrow("U")))</v>
      </c>
      <c r="C2" s="98"/>
      <c r="D2" s="98"/>
      <c r="E2" s="98"/>
      <c r="F2" s="98"/>
      <c r="G2" s="98"/>
      <c r="H2" s="98"/>
      <c r="I2" s="98"/>
      <c r="J2" s="98"/>
      <c r="K2" s="98"/>
      <c r="L2" s="98"/>
      <c r="M2" s="98"/>
      <c r="N2" s="98"/>
      <c r="O2" s="98"/>
      <c r="P2" s="98"/>
      <c r="Q2" s="98"/>
      <c r="R2" s="98"/>
    </row>
    <row r="4" spans="1:18" x14ac:dyDescent="0.5">
      <c r="A4" s="45" t="s">
        <v>3198</v>
      </c>
      <c r="J4" s="45" t="str">
        <f>COUNTIF(J6:J18,"PASS")&amp;" / 3 PASS"</f>
        <v>3 / 3 PASS</v>
      </c>
    </row>
    <row r="5" spans="1:18" x14ac:dyDescent="0.5">
      <c r="A5" s="45" t="s">
        <v>7</v>
      </c>
      <c r="B5" s="45" t="s">
        <v>8</v>
      </c>
      <c r="D5" s="45" t="s">
        <v>9</v>
      </c>
      <c r="F5" s="48" t="s">
        <v>10</v>
      </c>
      <c r="H5" s="49" t="s">
        <v>11</v>
      </c>
      <c r="J5" s="50" t="s">
        <v>12</v>
      </c>
    </row>
    <row r="6" spans="1:18" x14ac:dyDescent="0.5">
      <c r="A6" s="46">
        <v>1</v>
      </c>
      <c r="B6" s="47" t="s">
        <v>3051</v>
      </c>
      <c r="D6" s="51">
        <v>1</v>
      </c>
      <c r="F6" s="52">
        <v>3</v>
      </c>
      <c r="H6" s="53" cm="1">
        <f t="array" ref="H6:H8">rev(D6:D8)</f>
        <v>3</v>
      </c>
      <c r="J6" s="54" t="str" cm="1">
        <f t="array" ref="J6">IF(AND(F6:F8=H6:H8),"PASS","FAIL")</f>
        <v>PASS</v>
      </c>
    </row>
    <row r="7" spans="1:18" x14ac:dyDescent="0.5">
      <c r="A7" s="55"/>
      <c r="B7" s="55"/>
      <c r="D7" s="51">
        <v>2</v>
      </c>
      <c r="F7" s="52">
        <v>2</v>
      </c>
      <c r="H7" s="53">
        <v>2</v>
      </c>
    </row>
    <row r="8" spans="1:18" x14ac:dyDescent="0.5">
      <c r="A8" s="55"/>
      <c r="B8" s="55"/>
      <c r="D8" s="51">
        <v>3</v>
      </c>
      <c r="F8" s="52">
        <v>1</v>
      </c>
      <c r="H8" s="53">
        <v>1</v>
      </c>
    </row>
    <row r="10" spans="1:18" x14ac:dyDescent="0.5">
      <c r="A10" s="46">
        <v>2</v>
      </c>
      <c r="B10" s="47" t="s">
        <v>3199</v>
      </c>
      <c r="D10" s="51" t="s">
        <v>3016</v>
      </c>
      <c r="F10" s="52" t="s">
        <v>3025</v>
      </c>
      <c r="H10" s="53" t="str" cm="1">
        <f t="array" ref="H10:H12">rev(D10:D12)</f>
        <v>c</v>
      </c>
      <c r="J10" s="54" t="str" cm="1">
        <f t="array" ref="J10">IF(AND(F10:F12=H10:H12),"PASS","FAIL")</f>
        <v>PASS</v>
      </c>
    </row>
    <row r="11" spans="1:18" x14ac:dyDescent="0.5">
      <c r="A11" s="55"/>
      <c r="B11" s="55"/>
      <c r="D11" s="51" t="s">
        <v>3017</v>
      </c>
      <c r="F11" s="52" t="s">
        <v>3017</v>
      </c>
      <c r="H11" s="53" t="str">
        <v>b</v>
      </c>
    </row>
    <row r="12" spans="1:18" x14ac:dyDescent="0.5">
      <c r="A12" s="55"/>
      <c r="B12" s="55"/>
      <c r="D12" s="51" t="s">
        <v>3025</v>
      </c>
      <c r="F12" s="52" t="s">
        <v>3016</v>
      </c>
      <c r="H12" s="53" t="str">
        <v>a</v>
      </c>
    </row>
    <row r="14" spans="1:18" x14ac:dyDescent="0.5">
      <c r="A14" s="46">
        <v>3</v>
      </c>
      <c r="B14" s="47" t="s">
        <v>3200</v>
      </c>
      <c r="D14" s="51">
        <v>1</v>
      </c>
      <c r="F14" s="52">
        <v>3</v>
      </c>
      <c r="H14" s="53" cm="1">
        <f t="array" ref="H14:H15">rev(D14:D16)</f>
        <v>3</v>
      </c>
      <c r="J14" s="54" t="str" cm="1">
        <f t="array" ref="J14">IF(AND(F14:F15=H14:H15),"PASS","FAIL")</f>
        <v>PASS</v>
      </c>
    </row>
    <row r="15" spans="1:18" x14ac:dyDescent="0.5">
      <c r="A15" s="55"/>
      <c r="B15" s="55"/>
      <c r="D15" s="51"/>
      <c r="F15" s="52">
        <v>1</v>
      </c>
      <c r="H15" s="53">
        <v>1</v>
      </c>
    </row>
    <row r="16" spans="1:18" x14ac:dyDescent="0.5">
      <c r="A16" s="55"/>
      <c r="B16" s="55"/>
      <c r="D16" s="51">
        <v>3</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rotate_arrow(arrow, steps, [clockwise])</v>
      </c>
      <c r="C1" s="95"/>
      <c r="D1" s="95"/>
      <c r="E1" s="95"/>
      <c r="F1" s="96"/>
      <c r="H1" s="45" t="s">
        <v>2</v>
      </c>
      <c r="I1" s="94" t="str" cm="1">
        <f t="array" aca="1" ref="I1" ca="1">_xlfn.LET(_xlpm.fn, CELL("filename",$A$1), _xlpm.nm, MID(_xlpm.fn, FIND("]", _xlpm.fn) + 1, 255), _xlfn.XLOOKUP(_xlpm.nm &amp; "(*", Lamb!$A$2:$A$1000, Lamb!$D$2:$D$1000, "", 2))</f>
        <v>Rotates an arrow around the eight compass directions.
Arguments:
  arrow       - the arrow to rotate (↑↗→↘↓↙←↖).
  steps       - number of 45-degree turns.
  [clockwise] - 1 = clockwise (default), 0 = counter-clockwise.
Returns:
  The rotated arrow, or "" if arrow is not one of ↑↗→↘↓↙←↖.
Example:
  rotate_arrow("→", 1)  -&gt;  "↘"</v>
      </c>
      <c r="J1" s="95"/>
      <c r="K1" s="95"/>
      <c r="L1" s="95"/>
      <c r="M1" s="95"/>
      <c r="N1" s="95"/>
      <c r="O1" s="95"/>
      <c r="P1" s="95"/>
      <c r="Q1" s="95"/>
      <c r="R1" s="96"/>
    </row>
    <row r="2" spans="1:18" ht="168" customHeight="1" x14ac:dyDescent="0.5">
      <c r="A2" s="45" t="s">
        <v>4</v>
      </c>
      <c r="B2" s="97" t="str" cm="1">
        <f t="array" aca="1" ref="B2" ca="1">_xlfn.LET(_xlpm.fn, CELL("filename",$A$1), _xlpm.nm, MID(_xlpm.fn, FIND("]", _xlpm.fn) + 1, 255), _xlfn.XLOOKUP(_xlpm.nm &amp; "(*", Lamb!$A$2:$A$1000, Lamb!$C$2:$C$1000, "", 2))</f>
        <v>=LAMBDA(arrow, steps, [dir], LET(
   arrows, "↑↗→↘↓↙←↖",
   arrow_list, MID(arrows, SEQUENCE(8), 1),
   i, XMATCH(arrow, arrow_list),
   s, IF(ISOMITTED(dir), steps, IF(dir = "ccw", -steps, steps)),
   n, MOD(i - 1 + s, 8) + 1,
   IFNA(MID(arrows, n, 1), "")
))</v>
      </c>
      <c r="C2" s="98"/>
      <c r="D2" s="98"/>
      <c r="E2" s="98"/>
      <c r="F2" s="98"/>
      <c r="G2" s="98"/>
      <c r="H2" s="98"/>
      <c r="I2" s="98"/>
      <c r="J2" s="98"/>
      <c r="K2" s="98"/>
      <c r="L2" s="98"/>
      <c r="M2" s="98"/>
      <c r="N2" s="98"/>
      <c r="O2" s="98"/>
      <c r="P2" s="98"/>
      <c r="Q2" s="98"/>
      <c r="R2" s="98"/>
    </row>
    <row r="4" spans="1:18" x14ac:dyDescent="0.5">
      <c r="A4" s="45" t="s">
        <v>3201</v>
      </c>
      <c r="N4" s="45" t="str">
        <f>COUNTIF(N6:N16,"PASS")&amp;" / 6 PASS"</f>
        <v>6 / 6 PASS</v>
      </c>
    </row>
    <row r="5" spans="1:18" x14ac:dyDescent="0.5">
      <c r="A5" s="45" t="s">
        <v>7</v>
      </c>
      <c r="B5" s="45" t="s">
        <v>8</v>
      </c>
      <c r="D5" s="45" t="s">
        <v>9</v>
      </c>
      <c r="J5" s="48" t="s">
        <v>10</v>
      </c>
      <c r="L5" s="49" t="s">
        <v>11</v>
      </c>
      <c r="N5" s="50" t="s">
        <v>12</v>
      </c>
    </row>
    <row r="6" spans="1:18" x14ac:dyDescent="0.5">
      <c r="A6" s="46">
        <v>1</v>
      </c>
      <c r="B6" s="47" t="s">
        <v>3202</v>
      </c>
      <c r="D6" s="51" t="s">
        <v>192</v>
      </c>
      <c r="F6" s="51">
        <v>1</v>
      </c>
      <c r="J6" s="52" t="s">
        <v>374</v>
      </c>
      <c r="L6" s="53" t="str" cm="1">
        <f t="array" ref="L6">rotate_arrow(D6,F6)</f>
        <v>↘</v>
      </c>
      <c r="N6" s="54" t="str">
        <f>IF(L6=J6,"PASS","FAIL")</f>
        <v>PASS</v>
      </c>
    </row>
    <row r="8" spans="1:18" x14ac:dyDescent="0.5">
      <c r="A8" s="46">
        <v>2</v>
      </c>
      <c r="B8" s="47" t="s">
        <v>3203</v>
      </c>
      <c r="D8" s="51" t="s">
        <v>160</v>
      </c>
      <c r="F8" s="51">
        <v>2</v>
      </c>
      <c r="J8" s="52" t="s">
        <v>192</v>
      </c>
      <c r="L8" s="53" t="str" cm="1">
        <f t="array" ref="L8">rotate_arrow(D8,F8)</f>
        <v>→</v>
      </c>
      <c r="N8" s="54" t="str">
        <f>IF(L8=J8,"PASS","FAIL")</f>
        <v>PASS</v>
      </c>
    </row>
    <row r="10" spans="1:18" x14ac:dyDescent="0.5">
      <c r="A10" s="46">
        <v>3</v>
      </c>
      <c r="B10" s="47" t="s">
        <v>3204</v>
      </c>
      <c r="D10" s="51" t="s">
        <v>160</v>
      </c>
      <c r="F10" s="51">
        <v>1</v>
      </c>
      <c r="H10" s="51" t="s">
        <v>3205</v>
      </c>
      <c r="J10" s="52" t="s">
        <v>522</v>
      </c>
      <c r="L10" s="53" t="str" cm="1">
        <f t="array" ref="L10">rotate_arrow(D10,F10,H10)</f>
        <v>↖</v>
      </c>
      <c r="N10" s="54" t="str">
        <f>IF(L10=J10,"PASS","FAIL")</f>
        <v>PASS</v>
      </c>
    </row>
    <row r="12" spans="1:18" x14ac:dyDescent="0.5">
      <c r="A12" s="46">
        <v>4</v>
      </c>
      <c r="B12" s="47" t="s">
        <v>3206</v>
      </c>
      <c r="D12" s="51" t="s">
        <v>160</v>
      </c>
      <c r="F12" s="51">
        <v>4</v>
      </c>
      <c r="J12" s="52" t="s">
        <v>181</v>
      </c>
      <c r="L12" s="53" t="str" cm="1">
        <f t="array" ref="L12">rotate_arrow(D12,F12)</f>
        <v>↓</v>
      </c>
      <c r="N12" s="54" t="str">
        <f>IF(L12=J12,"PASS","FAIL")</f>
        <v>PASS</v>
      </c>
    </row>
    <row r="14" spans="1:18" x14ac:dyDescent="0.5">
      <c r="A14" s="46">
        <v>5</v>
      </c>
      <c r="B14" s="47" t="s">
        <v>3207</v>
      </c>
      <c r="D14" s="51" t="s">
        <v>192</v>
      </c>
      <c r="F14" s="51">
        <v>1</v>
      </c>
      <c r="H14" s="51" t="s">
        <v>3205</v>
      </c>
      <c r="J14" s="52" t="s">
        <v>254</v>
      </c>
      <c r="L14" s="53" t="str" cm="1">
        <f t="array" ref="L14">rotate_arrow(D14,F14,H14)</f>
        <v>↗</v>
      </c>
      <c r="N14" s="54" t="str">
        <f>IF(L14=J14,"PASS","FAIL")</f>
        <v>PASS</v>
      </c>
    </row>
    <row r="16" spans="1:18" x14ac:dyDescent="0.5">
      <c r="A16" s="46">
        <v>6</v>
      </c>
      <c r="B16" s="47" t="s">
        <v>3378</v>
      </c>
      <c r="D16" s="51" t="s">
        <v>2633</v>
      </c>
      <c r="F16" s="51">
        <v>1</v>
      </c>
      <c r="J16" s="52" t="str">
        <f>""</f>
        <v/>
      </c>
      <c r="L16" s="53" t="str" cm="1">
        <f t="array" ref="L16">rotate_arrow(D16,F16)</f>
        <v/>
      </c>
      <c r="N16" s="54" t="str">
        <f>IF(L16=J16,"PASS","FAIL")</f>
        <v>PASS</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9"/>
  <dimension ref="A1:R23"/>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8" ht="231" customHeight="1" x14ac:dyDescent="0.5">
      <c r="A1" s="45" t="s">
        <v>0</v>
      </c>
      <c r="B1" s="99" t="str" cm="1">
        <f t="array" aca="1" ref="B1" ca="1">_xlfn.LET(_xlpm.fn, CELL("filename",$A$1), _xlpm.nm, MID(_xlpm.fn, FIND("]", _xlpm.fn) + 1, 255), _xlfn.XLOOKUP(_xlpm.nm &amp; "(*", Lamb!$A$2:$A$1000, Lamb!$A$2:$A$1000, "", 2))</f>
        <v>route_cost(cost_map, start_ref, [diag_allowed])</v>
      </c>
      <c r="C1" s="95"/>
      <c r="D1" s="95"/>
      <c r="E1" s="95"/>
      <c r="F1" s="96"/>
      <c r="H1" s="45" t="s">
        <v>2</v>
      </c>
      <c r="I1" s="94"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98"/>
      <c r="D2" s="98"/>
      <c r="E2" s="98"/>
      <c r="F2" s="98"/>
      <c r="G2" s="98"/>
      <c r="H2" s="98"/>
      <c r="I2" s="98"/>
      <c r="J2" s="98"/>
      <c r="K2" s="98"/>
      <c r="L2" s="98"/>
      <c r="M2" s="98"/>
      <c r="N2" s="98"/>
      <c r="O2" s="98"/>
      <c r="P2" s="98"/>
      <c r="Q2" s="98"/>
      <c r="R2" s="98"/>
    </row>
    <row r="4" spans="1:18" x14ac:dyDescent="0.5">
      <c r="A4" s="45" t="s">
        <v>3208</v>
      </c>
      <c r="O4" s="45" t="str">
        <f>COUNTIF(O11:O30,"PASS")&amp;" / 5 PASS"</f>
        <v>5 / 5 PASS</v>
      </c>
    </row>
    <row r="5" spans="1:18" x14ac:dyDescent="0.5">
      <c r="B5" s="45" t="s">
        <v>8</v>
      </c>
      <c r="I5" s="48" t="s">
        <v>10</v>
      </c>
      <c r="L5" s="49" t="s">
        <v>11</v>
      </c>
      <c r="O5" s="50" t="s">
        <v>12</v>
      </c>
    </row>
    <row r="6" spans="1:18" x14ac:dyDescent="0.5">
      <c r="D6" s="45" t="s">
        <v>3209</v>
      </c>
    </row>
    <row r="7" spans="1:18" x14ac:dyDescent="0.5">
      <c r="D7" s="51">
        <v>1</v>
      </c>
      <c r="E7" s="51">
        <v>1</v>
      </c>
    </row>
    <row r="8" spans="1:18" x14ac:dyDescent="0.5">
      <c r="D8" s="51">
        <v>1</v>
      </c>
      <c r="E8" s="51">
        <v>1</v>
      </c>
    </row>
    <row r="11" spans="1:18" x14ac:dyDescent="0.5">
      <c r="B11" s="47" t="s">
        <v>3210</v>
      </c>
      <c r="I11" s="52">
        <v>0</v>
      </c>
      <c r="J11" s="52">
        <v>1</v>
      </c>
      <c r="L11" s="53" cm="1">
        <f t="array" ref="L11:M12">route_cost(D7:E8,{1,1},0)</f>
        <v>0</v>
      </c>
      <c r="M11" s="53">
        <v>1</v>
      </c>
      <c r="O11" s="54" t="str" cm="1">
        <f t="array" ref="O11">IF(AND(I11:J12=L11:M12),"PASS","FAIL")</f>
        <v>PASS</v>
      </c>
    </row>
    <row r="12" spans="1:18" x14ac:dyDescent="0.5">
      <c r="I12" s="52">
        <v>1</v>
      </c>
      <c r="J12" s="52">
        <v>2</v>
      </c>
      <c r="L12" s="53">
        <v>1</v>
      </c>
      <c r="M12" s="53">
        <v>2</v>
      </c>
    </row>
    <row r="14" spans="1:18" x14ac:dyDescent="0.5">
      <c r="B14" s="47" t="s">
        <v>3211</v>
      </c>
      <c r="I14" s="52">
        <v>0</v>
      </c>
      <c r="J14" s="52">
        <v>1</v>
      </c>
      <c r="L14" s="53" cm="1">
        <f t="array" ref="L14:M15">route_cost(D7:E8,"D7",0)</f>
        <v>0</v>
      </c>
      <c r="M14" s="53">
        <v>1</v>
      </c>
      <c r="O14" s="54" t="str" cm="1">
        <f t="array" ref="O14">IF(AND(I14:J15=L14:M15),"PASS","FAIL")</f>
        <v>PASS</v>
      </c>
    </row>
    <row r="15" spans="1:18" x14ac:dyDescent="0.5">
      <c r="I15" s="52">
        <v>1</v>
      </c>
      <c r="J15" s="52">
        <v>2</v>
      </c>
      <c r="L15" s="53">
        <v>1</v>
      </c>
      <c r="M15" s="53">
        <v>2</v>
      </c>
    </row>
    <row r="17" spans="2:15" x14ac:dyDescent="0.5">
      <c r="B17" s="47" t="s">
        <v>3212</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3213</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3379</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0"/>
  <dimension ref="A1:R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8" ht="252" customHeight="1" x14ac:dyDescent="0.5">
      <c r="A1" s="45" t="s">
        <v>0</v>
      </c>
      <c r="B1" s="99" t="str" cm="1">
        <f t="array" aca="1" ref="B1" ca="1">_xlfn.LET(_xlpm.fn, CELL("filename",$A$1), _xlpm.nm, MID(_xlpm.fn, FIND("]", _xlpm.fn) + 1, 255), _xlfn.XLOOKUP(_xlpm.nm &amp; "(*", Lamb!$A$2:$A$1000, Lamb!$A$2:$A$1000, "", 2))</f>
        <v>save_array(input_array,[col_delimiter],[row_delimiter])</v>
      </c>
      <c r="C1" s="95"/>
      <c r="D1" s="95"/>
      <c r="E1" s="95"/>
      <c r="F1" s="96"/>
      <c r="H1" s="45" t="s">
        <v>2</v>
      </c>
      <c r="I1" s="94"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95"/>
      <c r="K1" s="95"/>
      <c r="L1" s="95"/>
      <c r="M1" s="95"/>
      <c r="N1" s="95"/>
      <c r="O1" s="95"/>
      <c r="P1" s="95"/>
      <c r="Q1" s="95"/>
      <c r="R1" s="96"/>
    </row>
    <row r="2" spans="1:18" ht="189" customHeight="1" x14ac:dyDescent="0.5">
      <c r="A2" s="45" t="s">
        <v>4</v>
      </c>
      <c r="B2" s="97"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98"/>
      <c r="D2" s="98"/>
      <c r="E2" s="98"/>
      <c r="F2" s="98"/>
      <c r="G2" s="98"/>
      <c r="H2" s="98"/>
      <c r="I2" s="98"/>
      <c r="J2" s="98"/>
      <c r="K2" s="98"/>
      <c r="L2" s="98"/>
      <c r="M2" s="98"/>
      <c r="N2" s="98"/>
      <c r="O2" s="98"/>
      <c r="P2" s="98"/>
      <c r="Q2" s="98"/>
      <c r="R2" s="98"/>
    </row>
    <row r="4" spans="1:18" x14ac:dyDescent="0.5">
      <c r="A4" s="45" t="s">
        <v>3214</v>
      </c>
      <c r="O4" s="45" t="str">
        <f>COUNTIF(O6:O14,"PASS")&amp;" / 3 PASS"</f>
        <v>3 / 3 PASS</v>
      </c>
    </row>
    <row r="5" spans="1:18" x14ac:dyDescent="0.5">
      <c r="A5" s="45" t="s">
        <v>7</v>
      </c>
      <c r="B5" s="45" t="s">
        <v>8</v>
      </c>
      <c r="D5" s="45" t="s">
        <v>9</v>
      </c>
      <c r="K5" s="48" t="s">
        <v>10</v>
      </c>
      <c r="M5" s="49" t="s">
        <v>11</v>
      </c>
      <c r="O5" s="50" t="s">
        <v>12</v>
      </c>
    </row>
    <row r="6" spans="1:18" x14ac:dyDescent="0.5">
      <c r="A6" s="46">
        <v>1</v>
      </c>
      <c r="B6" s="47" t="s">
        <v>3215</v>
      </c>
      <c r="D6" s="51">
        <v>1</v>
      </c>
      <c r="E6" s="51">
        <v>2</v>
      </c>
      <c r="K6" s="52" t="s">
        <v>3114</v>
      </c>
      <c r="M6" s="53" t="str" cm="1">
        <f t="array" ref="M6">save_array(D6:E7)</f>
        <v>1|2;3|4</v>
      </c>
      <c r="O6" s="54" t="str">
        <f>IF(M6=K6,"PASS","FAIL")</f>
        <v>PASS</v>
      </c>
    </row>
    <row r="7" spans="1:18" x14ac:dyDescent="0.5">
      <c r="A7" s="55"/>
      <c r="B7" s="55"/>
      <c r="D7" s="51">
        <v>3</v>
      </c>
      <c r="E7" s="51">
        <v>4</v>
      </c>
    </row>
    <row r="9" spans="1:18" x14ac:dyDescent="0.5">
      <c r="A9" s="46">
        <v>2</v>
      </c>
      <c r="B9" s="47" t="s">
        <v>3216</v>
      </c>
      <c r="D9" s="51" t="s">
        <v>3016</v>
      </c>
      <c r="E9" s="51" t="s">
        <v>3017</v>
      </c>
      <c r="K9" s="52" t="s">
        <v>3217</v>
      </c>
      <c r="M9" s="53" t="str" cm="1">
        <f t="array" ref="M9">save_array(D9:E9)</f>
        <v>a|b</v>
      </c>
      <c r="O9" s="54" t="str">
        <f>IF(M9=K9,"PASS","FAIL")</f>
        <v>PASS</v>
      </c>
    </row>
    <row r="11" spans="1:18" x14ac:dyDescent="0.5">
      <c r="A11" s="46">
        <v>3</v>
      </c>
      <c r="B11" s="47" t="s">
        <v>3116</v>
      </c>
      <c r="D11" s="51">
        <v>1</v>
      </c>
      <c r="E11" s="51">
        <v>2</v>
      </c>
      <c r="G11" s="51" t="s">
        <v>3118</v>
      </c>
      <c r="I11" s="51" t="s">
        <v>3119</v>
      </c>
      <c r="K11" s="52" t="s">
        <v>3117</v>
      </c>
      <c r="M11" s="53" t="str" cm="1">
        <f t="array" ref="M11">save_array(D11:E12,G11,I11)</f>
        <v>1,2/3,4</v>
      </c>
      <c r="O11" s="54" t="str">
        <f>IF(M11=K11,"PASS","FAIL")</f>
        <v>PASS</v>
      </c>
    </row>
    <row r="12" spans="1:18" x14ac:dyDescent="0.5">
      <c r="A12" s="55"/>
      <c r="B12" s="55"/>
      <c r="D12" s="51">
        <v>3</v>
      </c>
      <c r="E12" s="51">
        <v>4</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81"/>
  <dimension ref="A1:R26"/>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315" customHeight="1" x14ac:dyDescent="0.5">
      <c r="A1" s="45" t="s">
        <v>0</v>
      </c>
      <c r="B1" s="99" t="str" cm="1">
        <f t="array" aca="1" ref="B1" ca="1">_xlfn.LET(_xlpm.fn, CELL("filename",$A$1), _xlpm.nm, MID(_xlpm.fn, FIND("]", _xlpm.fn) + 1, 255), _xlfn.XLOOKUP(_xlpm.nm &amp; "(*", Lamb!$A$2:$A$1000, Lamb!$A$2:$A$1000, "", 2))</f>
        <v>selections(arr, n, [order_matters], [repeats_allowed], [countdown_mode], [clean_inputs])</v>
      </c>
      <c r="C1" s="95"/>
      <c r="D1" s="95"/>
      <c r="E1" s="95"/>
      <c r="F1" s="96"/>
      <c r="H1" s="45" t="s">
        <v>2</v>
      </c>
      <c r="I1" s="94"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v>
      </c>
      <c r="C2" s="98"/>
      <c r="D2" s="98"/>
      <c r="E2" s="98"/>
      <c r="F2" s="98"/>
      <c r="G2" s="98"/>
      <c r="H2" s="98"/>
      <c r="I2" s="98"/>
      <c r="J2" s="98"/>
      <c r="K2" s="98"/>
      <c r="L2" s="98"/>
      <c r="M2" s="98"/>
      <c r="N2" s="98"/>
      <c r="O2" s="98"/>
      <c r="P2" s="98"/>
      <c r="Q2" s="98"/>
      <c r="R2" s="98"/>
    </row>
    <row r="4" spans="1:18" x14ac:dyDescent="0.5">
      <c r="A4" s="45" t="s">
        <v>3218</v>
      </c>
      <c r="R4" s="45" t="str">
        <f>COUNTIF(R6:R28,"PASS")&amp;" / 4 PASS"</f>
        <v>4 / 4 PASS</v>
      </c>
    </row>
    <row r="5" spans="1:18" x14ac:dyDescent="0.5">
      <c r="A5" s="45" t="s">
        <v>7</v>
      </c>
      <c r="B5" s="45" t="s">
        <v>8</v>
      </c>
      <c r="D5" s="45" t="s">
        <v>9</v>
      </c>
      <c r="L5" s="48" t="s">
        <v>10</v>
      </c>
      <c r="O5" s="49" t="s">
        <v>11</v>
      </c>
      <c r="R5" s="50" t="s">
        <v>12</v>
      </c>
    </row>
    <row r="6" spans="1:18" x14ac:dyDescent="0.5">
      <c r="A6" s="46">
        <v>1</v>
      </c>
      <c r="B6" s="47" t="s">
        <v>3219</v>
      </c>
      <c r="D6" s="51" t="s">
        <v>3016</v>
      </c>
      <c r="F6" s="51">
        <v>2</v>
      </c>
      <c r="L6" s="52" t="s">
        <v>3016</v>
      </c>
      <c r="M6" s="52" t="s">
        <v>3017</v>
      </c>
      <c r="O6" s="53" t="str" cm="1">
        <f t="array" ref="O6:P8">selections(D6:D8,F6)</f>
        <v>a</v>
      </c>
      <c r="P6" s="53" t="str">
        <v>b</v>
      </c>
      <c r="R6" s="54" t="str" cm="1">
        <f t="array" ref="R6">IF(AND(L6:M8=O6:P8),"PASS","FAIL")</f>
        <v>PASS</v>
      </c>
    </row>
    <row r="7" spans="1:18" x14ac:dyDescent="0.5">
      <c r="A7" s="55"/>
      <c r="B7" s="55"/>
      <c r="D7" s="51" t="s">
        <v>3017</v>
      </c>
      <c r="L7" s="52" t="s">
        <v>3016</v>
      </c>
      <c r="M7" s="52" t="s">
        <v>3025</v>
      </c>
      <c r="O7" s="53" t="str">
        <v>a</v>
      </c>
      <c r="P7" s="53" t="str">
        <v>c</v>
      </c>
    </row>
    <row r="8" spans="1:18" x14ac:dyDescent="0.5">
      <c r="A8" s="55"/>
      <c r="B8" s="55"/>
      <c r="D8" s="51" t="s">
        <v>3025</v>
      </c>
      <c r="L8" s="52" t="s">
        <v>3017</v>
      </c>
      <c r="M8" s="52" t="s">
        <v>3025</v>
      </c>
      <c r="O8" s="53" t="str">
        <v>b</v>
      </c>
      <c r="P8" s="53" t="str">
        <v>c</v>
      </c>
    </row>
    <row r="10" spans="1:18" x14ac:dyDescent="0.5">
      <c r="A10" s="46">
        <v>2</v>
      </c>
      <c r="B10" s="47" t="s">
        <v>3220</v>
      </c>
      <c r="D10" s="51">
        <v>1</v>
      </c>
      <c r="F10" s="51">
        <v>2</v>
      </c>
      <c r="L10" s="52">
        <v>1</v>
      </c>
      <c r="M10" s="52">
        <v>2</v>
      </c>
      <c r="O10" s="53" cm="1">
        <f t="array" ref="O10:P15">selections(D10:D13,F10)</f>
        <v>1</v>
      </c>
      <c r="P10" s="53">
        <v>2</v>
      </c>
      <c r="R10" s="54" t="str" cm="1">
        <f t="array" ref="R10">IF(AND(L10:M15=O10:P15),"PASS","FAIL")</f>
        <v>PASS</v>
      </c>
    </row>
    <row r="11" spans="1:18" x14ac:dyDescent="0.5">
      <c r="A11" s="55"/>
      <c r="B11" s="55"/>
      <c r="D11" s="51">
        <v>2</v>
      </c>
      <c r="L11" s="52">
        <v>1</v>
      </c>
      <c r="M11" s="52">
        <v>3</v>
      </c>
      <c r="O11" s="53">
        <v>1</v>
      </c>
      <c r="P11" s="53">
        <v>3</v>
      </c>
    </row>
    <row r="12" spans="1:18" x14ac:dyDescent="0.5">
      <c r="A12" s="55"/>
      <c r="B12" s="55"/>
      <c r="D12" s="51">
        <v>3</v>
      </c>
      <c r="L12" s="52">
        <v>1</v>
      </c>
      <c r="M12" s="52">
        <v>4</v>
      </c>
      <c r="O12" s="53">
        <v>1</v>
      </c>
      <c r="P12" s="53">
        <v>4</v>
      </c>
    </row>
    <row r="13" spans="1:18" x14ac:dyDescent="0.5">
      <c r="A13" s="55"/>
      <c r="B13" s="55"/>
      <c r="D13" s="51">
        <v>4</v>
      </c>
      <c r="L13" s="52">
        <v>2</v>
      </c>
      <c r="M13" s="52">
        <v>3</v>
      </c>
      <c r="O13" s="53">
        <v>2</v>
      </c>
      <c r="P13" s="53">
        <v>3</v>
      </c>
    </row>
    <row r="14" spans="1:18" x14ac:dyDescent="0.5">
      <c r="A14" s="55"/>
      <c r="B14" s="55"/>
      <c r="L14" s="52">
        <v>2</v>
      </c>
      <c r="M14" s="52">
        <v>4</v>
      </c>
      <c r="O14" s="53">
        <v>2</v>
      </c>
      <c r="P14" s="53">
        <v>4</v>
      </c>
    </row>
    <row r="15" spans="1:18" x14ac:dyDescent="0.5">
      <c r="A15" s="55"/>
      <c r="B15" s="55"/>
      <c r="L15" s="52">
        <v>3</v>
      </c>
      <c r="M15" s="52">
        <v>4</v>
      </c>
      <c r="O15" s="53">
        <v>3</v>
      </c>
      <c r="P15" s="53">
        <v>4</v>
      </c>
    </row>
    <row r="17" spans="1:18" x14ac:dyDescent="0.5">
      <c r="A17" s="46">
        <v>3</v>
      </c>
      <c r="B17" s="47" t="s">
        <v>3221</v>
      </c>
      <c r="D17" s="51" t="s">
        <v>3016</v>
      </c>
      <c r="F17" s="51">
        <v>2</v>
      </c>
      <c r="H17" s="51">
        <v>1</v>
      </c>
      <c r="L17" s="52" t="s">
        <v>3016</v>
      </c>
      <c r="M17" s="52" t="s">
        <v>3017</v>
      </c>
      <c r="O17" s="53" t="str" cm="1">
        <f t="array" ref="O17:P22">selections(D17:D19,F17,H17)</f>
        <v>a</v>
      </c>
      <c r="P17" s="53" t="str">
        <v>b</v>
      </c>
      <c r="R17" s="54" t="str" cm="1">
        <f t="array" ref="R17">IF(AND(L17:M22=O17:P22),"PASS","FAIL")</f>
        <v>PASS</v>
      </c>
    </row>
    <row r="18" spans="1:18" x14ac:dyDescent="0.5">
      <c r="A18" s="55"/>
      <c r="B18" s="55"/>
      <c r="D18" s="51" t="s">
        <v>3017</v>
      </c>
      <c r="L18" s="52" t="s">
        <v>3016</v>
      </c>
      <c r="M18" s="52" t="s">
        <v>3025</v>
      </c>
      <c r="O18" s="53" t="str">
        <v>a</v>
      </c>
      <c r="P18" s="53" t="str">
        <v>c</v>
      </c>
    </row>
    <row r="19" spans="1:18" x14ac:dyDescent="0.5">
      <c r="A19" s="55"/>
      <c r="B19" s="55"/>
      <c r="D19" s="51" t="s">
        <v>3025</v>
      </c>
      <c r="L19" s="52" t="s">
        <v>3017</v>
      </c>
      <c r="M19" s="52" t="s">
        <v>3016</v>
      </c>
      <c r="O19" s="53" t="str">
        <v>b</v>
      </c>
      <c r="P19" s="53" t="str">
        <v>a</v>
      </c>
    </row>
    <row r="20" spans="1:18" x14ac:dyDescent="0.5">
      <c r="A20" s="55"/>
      <c r="B20" s="55"/>
      <c r="L20" s="52" t="s">
        <v>3017</v>
      </c>
      <c r="M20" s="52" t="s">
        <v>3025</v>
      </c>
      <c r="O20" s="53" t="str">
        <v>b</v>
      </c>
      <c r="P20" s="53" t="str">
        <v>c</v>
      </c>
    </row>
    <row r="21" spans="1:18" x14ac:dyDescent="0.5">
      <c r="A21" s="55"/>
      <c r="B21" s="55"/>
      <c r="L21" s="52" t="s">
        <v>3025</v>
      </c>
      <c r="M21" s="52" t="s">
        <v>3016</v>
      </c>
      <c r="O21" s="53" t="str">
        <v>c</v>
      </c>
      <c r="P21" s="53" t="str">
        <v>a</v>
      </c>
    </row>
    <row r="22" spans="1:18" x14ac:dyDescent="0.5">
      <c r="A22" s="55"/>
      <c r="B22" s="55"/>
      <c r="L22" s="52" t="s">
        <v>3025</v>
      </c>
      <c r="M22" s="52" t="s">
        <v>3017</v>
      </c>
      <c r="O22" s="53" t="str">
        <v>c</v>
      </c>
      <c r="P22" s="53" t="str">
        <v>b</v>
      </c>
    </row>
    <row r="24" spans="1:18" x14ac:dyDescent="0.5">
      <c r="A24" s="46">
        <v>4</v>
      </c>
      <c r="B24" s="47" t="s">
        <v>3222</v>
      </c>
      <c r="D24" s="51" t="s">
        <v>3016</v>
      </c>
      <c r="F24" s="51">
        <v>2</v>
      </c>
      <c r="H24" s="51">
        <v>0</v>
      </c>
      <c r="J24" s="51">
        <v>1</v>
      </c>
      <c r="L24" s="52" t="s">
        <v>3016</v>
      </c>
      <c r="M24" s="52" t="s">
        <v>3016</v>
      </c>
      <c r="O24" s="53" t="str" cm="1">
        <f t="array" ref="O24:P26">selections(D24:D25,F24,H24,J24)</f>
        <v>a</v>
      </c>
      <c r="P24" s="53" t="str">
        <v>a</v>
      </c>
      <c r="R24" s="54" t="str" cm="1">
        <f t="array" ref="R24">IF(AND(L24:M26=O24:P26),"PASS","FAIL")</f>
        <v>PASS</v>
      </c>
    </row>
    <row r="25" spans="1:18" x14ac:dyDescent="0.5">
      <c r="A25" s="55"/>
      <c r="B25" s="55"/>
      <c r="D25" s="51" t="s">
        <v>3017</v>
      </c>
      <c r="L25" s="52" t="s">
        <v>3016</v>
      </c>
      <c r="M25" s="52" t="s">
        <v>3017</v>
      </c>
      <c r="O25" s="53" t="str">
        <v>a</v>
      </c>
      <c r="P25" s="53" t="str">
        <v>b</v>
      </c>
    </row>
    <row r="26" spans="1:18" x14ac:dyDescent="0.5">
      <c r="A26" s="55"/>
      <c r="B26" s="55"/>
      <c r="L26" s="52" t="s">
        <v>3017</v>
      </c>
      <c r="M26" s="52" t="s">
        <v>3017</v>
      </c>
      <c r="O26" s="53" t="str">
        <v>b</v>
      </c>
      <c r="P26" s="53" t="str">
        <v>b</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82"/>
  <dimension ref="A1:R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5" t="s">
        <v>0</v>
      </c>
      <c r="B1" s="99" t="str" cm="1">
        <f t="array" aca="1" ref="B1" ca="1">_xlfn.LET(_xlpm.fn, CELL("filename",$A$1), _xlpm.nm, MID(_xlpm.fn, FIND("]", _xlpm.fn) + 1, 255), _xlfn.XLOOKUP(_xlpm.nm &amp; "(*", Lamb!$A$2:$A$1000, Lamb!$A$2:$A$1000, "", 2))</f>
        <v>set(rng, [as_row])</v>
      </c>
      <c r="C1" s="95"/>
      <c r="D1" s="95"/>
      <c r="E1" s="95"/>
      <c r="F1" s="96"/>
      <c r="H1" s="45" t="s">
        <v>2</v>
      </c>
      <c r="I1" s="94"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95"/>
      <c r="K1" s="95"/>
      <c r="L1" s="95"/>
      <c r="M1" s="95"/>
      <c r="N1" s="95"/>
      <c r="O1" s="95"/>
      <c r="P1" s="95"/>
      <c r="Q1" s="95"/>
      <c r="R1" s="96"/>
    </row>
    <row r="2" spans="1:18" ht="231" customHeight="1" x14ac:dyDescent="0.5">
      <c r="A2" s="45" t="s">
        <v>4</v>
      </c>
      <c r="B2" s="97"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98"/>
      <c r="D2" s="98"/>
      <c r="E2" s="98"/>
      <c r="F2" s="98"/>
      <c r="G2" s="98"/>
      <c r="H2" s="98"/>
      <c r="I2" s="98"/>
      <c r="J2" s="98"/>
      <c r="K2" s="98"/>
      <c r="L2" s="98"/>
      <c r="M2" s="98"/>
      <c r="N2" s="98"/>
      <c r="O2" s="98"/>
      <c r="P2" s="98"/>
      <c r="Q2" s="98"/>
      <c r="R2" s="98"/>
    </row>
    <row r="4" spans="1:18" x14ac:dyDescent="0.5">
      <c r="A4" s="45" t="s">
        <v>3223</v>
      </c>
      <c r="P4" s="45" t="str">
        <f>COUNTIF(P6:P25,"PASS")&amp;" / 4 PASS"</f>
        <v>4 / 4 PASS</v>
      </c>
    </row>
    <row r="5" spans="1:18" x14ac:dyDescent="0.5">
      <c r="A5" s="45" t="s">
        <v>7</v>
      </c>
      <c r="B5" s="45" t="s">
        <v>8</v>
      </c>
      <c r="D5" s="45" t="s">
        <v>9</v>
      </c>
      <c r="H5" s="48" t="s">
        <v>10</v>
      </c>
      <c r="L5" s="49" t="s">
        <v>11</v>
      </c>
      <c r="P5" s="50" t="s">
        <v>12</v>
      </c>
    </row>
    <row r="6" spans="1:18" x14ac:dyDescent="0.5">
      <c r="A6" s="46">
        <v>1</v>
      </c>
      <c r="B6" s="47" t="s">
        <v>3224</v>
      </c>
      <c r="D6" s="51">
        <v>3</v>
      </c>
      <c r="H6" s="52">
        <v>1</v>
      </c>
      <c r="L6" s="53" cm="1">
        <f t="array" ref="L6:L8">set(D6:D9)</f>
        <v>1</v>
      </c>
      <c r="P6" s="54" t="str" cm="1">
        <f t="array" ref="P6">IF(AND(H6:H8=L6:L8),"PASS","FAIL")</f>
        <v>PASS</v>
      </c>
    </row>
    <row r="7" spans="1:18" x14ac:dyDescent="0.5">
      <c r="A7" s="55"/>
      <c r="B7" s="55"/>
      <c r="D7" s="51">
        <v>1</v>
      </c>
      <c r="H7" s="52">
        <v>2</v>
      </c>
      <c r="L7" s="53">
        <v>2</v>
      </c>
    </row>
    <row r="8" spans="1:18" x14ac:dyDescent="0.5">
      <c r="A8" s="55"/>
      <c r="B8" s="55"/>
      <c r="D8" s="51">
        <v>2</v>
      </c>
      <c r="H8" s="52">
        <v>3</v>
      </c>
      <c r="L8" s="53">
        <v>3</v>
      </c>
    </row>
    <row r="9" spans="1:18" x14ac:dyDescent="0.5">
      <c r="A9" s="55"/>
      <c r="B9" s="55"/>
      <c r="D9" s="51">
        <v>1</v>
      </c>
    </row>
    <row r="11" spans="1:18" x14ac:dyDescent="0.5">
      <c r="A11" s="46">
        <v>2</v>
      </c>
      <c r="B11" s="47" t="s">
        <v>3225</v>
      </c>
      <c r="D11" s="51" t="s">
        <v>3025</v>
      </c>
      <c r="H11" s="52" t="s">
        <v>3016</v>
      </c>
      <c r="L11" s="53" t="str" cm="1">
        <f t="array" ref="L11:L13">set(D11:D14)</f>
        <v>a</v>
      </c>
      <c r="P11" s="54" t="str" cm="1">
        <f t="array" ref="P11">IF(AND(H11:H13=L11:L13),"PASS","FAIL")</f>
        <v>PASS</v>
      </c>
    </row>
    <row r="12" spans="1:18" x14ac:dyDescent="0.5">
      <c r="A12" s="55"/>
      <c r="B12" s="55"/>
      <c r="D12" s="51" t="s">
        <v>3016</v>
      </c>
      <c r="H12" s="52" t="s">
        <v>3017</v>
      </c>
      <c r="L12" s="53" t="str">
        <v>b</v>
      </c>
    </row>
    <row r="13" spans="1:18" x14ac:dyDescent="0.5">
      <c r="A13" s="55"/>
      <c r="B13" s="55"/>
      <c r="D13" s="51" t="s">
        <v>3017</v>
      </c>
      <c r="H13" s="52" t="s">
        <v>3025</v>
      </c>
      <c r="L13" s="53" t="str">
        <v>c</v>
      </c>
    </row>
    <row r="14" spans="1:18" x14ac:dyDescent="0.5">
      <c r="A14" s="55"/>
      <c r="B14" s="55"/>
      <c r="D14" s="51" t="s">
        <v>3016</v>
      </c>
    </row>
    <row r="16" spans="1:18" x14ac:dyDescent="0.5">
      <c r="A16" s="46">
        <v>3</v>
      </c>
      <c r="B16" s="47" t="s">
        <v>3226</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3227</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83"/>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5" t="s">
        <v>0</v>
      </c>
      <c r="B1" s="99" t="str" cm="1">
        <f t="array" aca="1" ref="B1" ca="1">_xlfn.LET(_xlpm.fn, CELL("filename",$A$1), _xlpm.nm, MID(_xlpm.fn, FIND("]", _xlpm.fn) + 1, 255), _xlfn.XLOOKUP(_xlpm.nm &amp; "(*", Lamb!$A$2:$A$1000, Lamb!$A$2:$A$1000, "", 2))</f>
        <v>set_d(a, b, [as_row])</v>
      </c>
      <c r="C1" s="95"/>
      <c r="D1" s="95"/>
      <c r="E1" s="95"/>
      <c r="F1" s="96"/>
      <c r="H1" s="45" t="s">
        <v>2</v>
      </c>
      <c r="I1" s="94"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95"/>
      <c r="K1" s="95"/>
      <c r="L1" s="95"/>
      <c r="M1" s="95"/>
      <c r="N1" s="95"/>
      <c r="O1" s="95"/>
      <c r="P1" s="95"/>
      <c r="Q1" s="95"/>
      <c r="R1" s="96"/>
    </row>
    <row r="2" spans="1:18" ht="231" customHeight="1" x14ac:dyDescent="0.5">
      <c r="A2" s="45" t="s">
        <v>4</v>
      </c>
      <c r="B2" s="97"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98"/>
      <c r="D2" s="98"/>
      <c r="E2" s="98"/>
      <c r="F2" s="98"/>
      <c r="G2" s="98"/>
      <c r="H2" s="98"/>
      <c r="I2" s="98"/>
      <c r="J2" s="98"/>
      <c r="K2" s="98"/>
      <c r="L2" s="98"/>
      <c r="M2" s="98"/>
      <c r="N2" s="98"/>
      <c r="O2" s="98"/>
      <c r="P2" s="98"/>
      <c r="Q2" s="98"/>
      <c r="R2" s="98"/>
    </row>
    <row r="4" spans="1:18" x14ac:dyDescent="0.5">
      <c r="A4" s="45" t="s">
        <v>3228</v>
      </c>
      <c r="L4" s="45" t="str">
        <f>COUNTIF(L6:L15,"PASS")&amp;" / 2 PASS"</f>
        <v>2 / 2 PASS</v>
      </c>
    </row>
    <row r="5" spans="1:18" x14ac:dyDescent="0.5">
      <c r="A5" s="45" t="s">
        <v>7</v>
      </c>
      <c r="B5" s="45" t="s">
        <v>8</v>
      </c>
      <c r="D5" s="45" t="s">
        <v>9</v>
      </c>
      <c r="H5" s="48" t="s">
        <v>10</v>
      </c>
      <c r="J5" s="49" t="s">
        <v>11</v>
      </c>
      <c r="L5" s="50" t="s">
        <v>12</v>
      </c>
    </row>
    <row r="6" spans="1:18" x14ac:dyDescent="0.5">
      <c r="A6" s="46">
        <v>1</v>
      </c>
      <c r="B6" s="47" t="s">
        <v>3229</v>
      </c>
      <c r="D6" s="51">
        <v>1</v>
      </c>
      <c r="F6" s="51">
        <v>2</v>
      </c>
      <c r="H6" s="52">
        <v>1</v>
      </c>
      <c r="J6" s="53" cm="1">
        <f t="array" ref="J6:J7">set_d(D6:D8,F6)</f>
        <v>1</v>
      </c>
      <c r="L6" s="54" t="str" cm="1">
        <f t="array" ref="L6">IF(AND(H6:H7=J6:J7),"PASS","FAIL")</f>
        <v>PASS</v>
      </c>
    </row>
    <row r="7" spans="1:18" x14ac:dyDescent="0.5">
      <c r="A7" s="55"/>
      <c r="B7" s="55"/>
      <c r="D7" s="51">
        <v>2</v>
      </c>
      <c r="H7" s="52">
        <v>3</v>
      </c>
      <c r="J7" s="53">
        <v>3</v>
      </c>
    </row>
    <row r="8" spans="1:18" x14ac:dyDescent="0.5">
      <c r="A8" s="55"/>
      <c r="B8" s="55"/>
      <c r="D8" s="51">
        <v>3</v>
      </c>
    </row>
    <row r="10" spans="1:18" x14ac:dyDescent="0.5">
      <c r="A10" s="46">
        <v>2</v>
      </c>
      <c r="B10" s="47" t="s">
        <v>3230</v>
      </c>
      <c r="D10" s="51" t="s">
        <v>3016</v>
      </c>
      <c r="F10" s="51" t="s">
        <v>3017</v>
      </c>
      <c r="H10" s="52" t="s">
        <v>3016</v>
      </c>
      <c r="J10" s="53" t="str" cm="1">
        <f t="array" ref="J10:J11">set_d(D10:D13,F10:F11)</f>
        <v>a</v>
      </c>
      <c r="L10" s="54" t="str" cm="1">
        <f t="array" ref="L10">IF(AND(H10:H11=J10:J11),"PASS","FAIL")</f>
        <v>PASS</v>
      </c>
    </row>
    <row r="11" spans="1:18" x14ac:dyDescent="0.5">
      <c r="A11" s="55"/>
      <c r="B11" s="55"/>
      <c r="D11" s="51" t="s">
        <v>3017</v>
      </c>
      <c r="F11" s="51" t="s">
        <v>3018</v>
      </c>
      <c r="H11" s="52" t="s">
        <v>3025</v>
      </c>
      <c r="J11" s="53" t="str">
        <v>c</v>
      </c>
    </row>
    <row r="12" spans="1:18" x14ac:dyDescent="0.5">
      <c r="A12" s="55"/>
      <c r="B12" s="55"/>
      <c r="D12" s="51" t="s">
        <v>3025</v>
      </c>
    </row>
    <row r="13" spans="1:18" x14ac:dyDescent="0.5">
      <c r="A13" s="55"/>
      <c r="B13" s="55"/>
      <c r="D13" s="51" t="s">
        <v>3018</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8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5" t="s">
        <v>0</v>
      </c>
      <c r="B1" s="99" t="str" cm="1">
        <f t="array" aca="1" ref="B1" ca="1">_xlfn.LET(_xlpm.fn, CELL("filename",$A$1), _xlpm.nm, MID(_xlpm.fn, FIND("]", _xlpm.fn) + 1, 255), _xlfn.XLOOKUP(_xlpm.nm &amp; "(*", Lamb!$A$2:$A$1000, Lamb!$A$2:$A$1000, "", 2))</f>
        <v>set_i(a, b, [as_row])</v>
      </c>
      <c r="C1" s="95"/>
      <c r="D1" s="95"/>
      <c r="E1" s="95"/>
      <c r="F1" s="96"/>
      <c r="H1" s="45" t="s">
        <v>2</v>
      </c>
      <c r="I1" s="94"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95"/>
      <c r="K1" s="95"/>
      <c r="L1" s="95"/>
      <c r="M1" s="95"/>
      <c r="N1" s="95"/>
      <c r="O1" s="95"/>
      <c r="P1" s="95"/>
      <c r="Q1" s="95"/>
      <c r="R1" s="96"/>
    </row>
    <row r="2" spans="1:18" ht="231" customHeight="1" x14ac:dyDescent="0.5">
      <c r="A2" s="45" t="s">
        <v>4</v>
      </c>
      <c r="B2" s="97"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98"/>
      <c r="D2" s="98"/>
      <c r="E2" s="98"/>
      <c r="F2" s="98"/>
      <c r="G2" s="98"/>
      <c r="H2" s="98"/>
      <c r="I2" s="98"/>
      <c r="J2" s="98"/>
      <c r="K2" s="98"/>
      <c r="L2" s="98"/>
      <c r="M2" s="98"/>
      <c r="N2" s="98"/>
      <c r="O2" s="98"/>
      <c r="P2" s="98"/>
      <c r="Q2" s="98"/>
      <c r="R2" s="98"/>
    </row>
    <row r="4" spans="1:18" x14ac:dyDescent="0.5">
      <c r="A4" s="45" t="s">
        <v>3231</v>
      </c>
      <c r="L4" s="45" t="str">
        <f>COUNTIF(L6:L17,"PASS")&amp;" / 3 PASS"</f>
        <v>3 / 3 PASS</v>
      </c>
    </row>
    <row r="5" spans="1:18" x14ac:dyDescent="0.5">
      <c r="A5" s="45" t="s">
        <v>7</v>
      </c>
      <c r="B5" s="45" t="s">
        <v>8</v>
      </c>
      <c r="D5" s="45" t="s">
        <v>9</v>
      </c>
      <c r="H5" s="48" t="s">
        <v>10</v>
      </c>
      <c r="J5" s="49" t="s">
        <v>11</v>
      </c>
      <c r="L5" s="50" t="s">
        <v>12</v>
      </c>
    </row>
    <row r="6" spans="1:18" x14ac:dyDescent="0.5">
      <c r="A6" s="46">
        <v>1</v>
      </c>
      <c r="B6" s="47" t="s">
        <v>3232</v>
      </c>
      <c r="D6" s="51">
        <v>1</v>
      </c>
      <c r="F6" s="51">
        <v>2</v>
      </c>
      <c r="H6" s="52">
        <v>2</v>
      </c>
      <c r="J6" s="53" cm="1">
        <f t="array" ref="J6:J7">set_i(D6:D8,F6:F8)</f>
        <v>2</v>
      </c>
      <c r="L6" s="54" t="str" cm="1">
        <f t="array" ref="L6">IF(AND(H6:H7=J6:J7),"PASS","FAIL")</f>
        <v>PASS</v>
      </c>
    </row>
    <row r="7" spans="1:18" x14ac:dyDescent="0.5">
      <c r="A7" s="55"/>
      <c r="B7" s="55"/>
      <c r="D7" s="51">
        <v>2</v>
      </c>
      <c r="F7" s="51">
        <v>3</v>
      </c>
      <c r="H7" s="52">
        <v>3</v>
      </c>
      <c r="J7" s="53">
        <v>3</v>
      </c>
    </row>
    <row r="8" spans="1:18" x14ac:dyDescent="0.5">
      <c r="A8" s="55"/>
      <c r="B8" s="55"/>
      <c r="D8" s="51">
        <v>3</v>
      </c>
      <c r="F8" s="51">
        <v>4</v>
      </c>
    </row>
    <row r="10" spans="1:18" x14ac:dyDescent="0.5">
      <c r="A10" s="46">
        <v>2</v>
      </c>
      <c r="B10" s="47" t="s">
        <v>3233</v>
      </c>
      <c r="D10" s="51" t="s">
        <v>3016</v>
      </c>
      <c r="F10" s="51" t="s">
        <v>3017</v>
      </c>
      <c r="H10" s="52" t="s">
        <v>3017</v>
      </c>
      <c r="J10" s="53" t="str" cm="1">
        <f t="array" ref="J10:J11">set_i(D10:D12,F10:F11)</f>
        <v>b</v>
      </c>
      <c r="L10" s="54" t="str" cm="1">
        <f t="array" ref="L10">IF(AND(H10:H11=J10:J11),"PASS","FAIL")</f>
        <v>PASS</v>
      </c>
    </row>
    <row r="11" spans="1:18" x14ac:dyDescent="0.5">
      <c r="A11" s="55"/>
      <c r="B11" s="55"/>
      <c r="D11" s="51" t="s">
        <v>3017</v>
      </c>
      <c r="F11" s="51" t="s">
        <v>3025</v>
      </c>
      <c r="H11" s="52" t="s">
        <v>3025</v>
      </c>
      <c r="J11" s="53" t="str">
        <v>c</v>
      </c>
    </row>
    <row r="12" spans="1:18" x14ac:dyDescent="0.5">
      <c r="A12" s="55"/>
      <c r="B12" s="55"/>
      <c r="D12" s="51" t="s">
        <v>3025</v>
      </c>
    </row>
    <row r="14" spans="1:18" x14ac:dyDescent="0.5">
      <c r="A14" s="46">
        <v>3</v>
      </c>
      <c r="B14" s="47" t="s">
        <v>3234</v>
      </c>
      <c r="D14" s="51">
        <v>1</v>
      </c>
      <c r="F14" s="51">
        <v>3</v>
      </c>
      <c r="H14" s="52"/>
      <c r="J14" s="53" t="str" cm="1">
        <f t="array" ref="J14">IFERROR(set_i(D14:D15,F14:F15),"")</f>
        <v/>
      </c>
      <c r="L14" s="54" t="str">
        <f>IF(J14=H14,"PASS","FAIL")</f>
        <v>PASS</v>
      </c>
    </row>
    <row r="15" spans="1:18" x14ac:dyDescent="0.5">
      <c r="A15" s="55"/>
      <c r="B15" s="55"/>
      <c r="D15" s="51">
        <v>2</v>
      </c>
      <c r="F15" s="51">
        <v>4</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85"/>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5" t="s">
        <v>0</v>
      </c>
      <c r="B1" s="99" t="str" cm="1">
        <f t="array" aca="1" ref="B1" ca="1">_xlfn.LET(_xlpm.fn, CELL("filename",$A$1), _xlpm.nm, MID(_xlpm.fn, FIND("]", _xlpm.fn) + 1, 255), _xlfn.XLOOKUP(_xlpm.nm &amp; "(*", Lamb!$A$2:$A$1000, Lamb!$A$2:$A$1000, "", 2))</f>
        <v>set_u(a, b, [as_row])</v>
      </c>
      <c r="C1" s="95"/>
      <c r="D1" s="95"/>
      <c r="E1" s="95"/>
      <c r="F1" s="96"/>
      <c r="H1" s="45" t="s">
        <v>2</v>
      </c>
      <c r="I1" s="94"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95"/>
      <c r="K1" s="95"/>
      <c r="L1" s="95"/>
      <c r="M1" s="95"/>
      <c r="N1" s="95"/>
      <c r="O1" s="95"/>
      <c r="P1" s="95"/>
      <c r="Q1" s="95"/>
      <c r="R1" s="96"/>
    </row>
    <row r="2" spans="1:18" ht="63" customHeight="1" x14ac:dyDescent="0.5">
      <c r="A2" s="45" t="s">
        <v>4</v>
      </c>
      <c r="B2" s="97" t="str" cm="1">
        <f t="array" aca="1" ref="B2" ca="1">_xlfn.LET(_xlpm.fn, CELL("filename",$A$1), _xlpm.nm, MID(_xlpm.fn, FIND("]", _xlpm.fn) + 1, 255), _xlfn.XLOOKUP(_xlpm.nm &amp; "(*", Lamb!$A$2:$A$1000, Lamb!$C$2:$C$1000, "", 2))</f>
        <v>=LAMBDA(val_a, val_b, [as_row],
   set(VSTACK(val_a, val_b), IF(ISOMITTED(as_row), 0, as_row))
)</v>
      </c>
      <c r="C2" s="98"/>
      <c r="D2" s="98"/>
      <c r="E2" s="98"/>
      <c r="F2" s="98"/>
      <c r="G2" s="98"/>
      <c r="H2" s="98"/>
      <c r="I2" s="98"/>
      <c r="J2" s="98"/>
      <c r="K2" s="98"/>
      <c r="L2" s="98"/>
      <c r="M2" s="98"/>
      <c r="N2" s="98"/>
      <c r="O2" s="98"/>
      <c r="P2" s="98"/>
      <c r="Q2" s="98"/>
      <c r="R2" s="98"/>
    </row>
    <row r="4" spans="1:18" x14ac:dyDescent="0.5">
      <c r="A4" s="45" t="s">
        <v>3235</v>
      </c>
      <c r="R4" s="45" t="str">
        <f>COUNTIF(R6:R18,"PASS")&amp;" / 3 PASS"</f>
        <v>3 / 3 PASS</v>
      </c>
    </row>
    <row r="5" spans="1:18" x14ac:dyDescent="0.5">
      <c r="A5" s="45" t="s">
        <v>7</v>
      </c>
      <c r="B5" s="45" t="s">
        <v>8</v>
      </c>
      <c r="D5" s="45" t="s">
        <v>9</v>
      </c>
      <c r="J5" s="48" t="s">
        <v>10</v>
      </c>
      <c r="N5" s="49" t="s">
        <v>11</v>
      </c>
      <c r="R5" s="50" t="s">
        <v>12</v>
      </c>
    </row>
    <row r="6" spans="1:18" x14ac:dyDescent="0.5">
      <c r="A6" s="46">
        <v>1</v>
      </c>
      <c r="B6" s="47" t="s">
        <v>3236</v>
      </c>
      <c r="D6" s="51">
        <v>1</v>
      </c>
      <c r="F6" s="51">
        <v>2</v>
      </c>
      <c r="J6" s="52">
        <v>1</v>
      </c>
      <c r="N6" s="53" cm="1">
        <f t="array" ref="N6:N8">set_u(D6:D7,F6:F7)</f>
        <v>1</v>
      </c>
      <c r="R6" s="54" t="str" cm="1">
        <f t="array" ref="R6">IF(AND(J6:J8=N6:N8),"PASS","FAIL")</f>
        <v>PASS</v>
      </c>
    </row>
    <row r="7" spans="1:18" x14ac:dyDescent="0.5">
      <c r="A7" s="55"/>
      <c r="B7" s="55"/>
      <c r="D7" s="51">
        <v>2</v>
      </c>
      <c r="F7" s="51">
        <v>3</v>
      </c>
      <c r="J7" s="52">
        <v>2</v>
      </c>
      <c r="N7" s="53">
        <v>2</v>
      </c>
    </row>
    <row r="8" spans="1:18" x14ac:dyDescent="0.5">
      <c r="A8" s="55"/>
      <c r="B8" s="55"/>
      <c r="J8" s="52">
        <v>3</v>
      </c>
      <c r="N8" s="53">
        <v>3</v>
      </c>
    </row>
    <row r="10" spans="1:18" x14ac:dyDescent="0.5">
      <c r="A10" s="46">
        <v>2</v>
      </c>
      <c r="B10" s="47" t="s">
        <v>3237</v>
      </c>
      <c r="D10" s="51" t="s">
        <v>3016</v>
      </c>
      <c r="F10" s="51" t="s">
        <v>3017</v>
      </c>
      <c r="J10" s="52" t="s">
        <v>3016</v>
      </c>
      <c r="N10" s="53" t="str" cm="1">
        <f t="array" ref="N10:N13">set_u(D10:D11,F10:F12)</f>
        <v>a</v>
      </c>
      <c r="R10" s="54" t="str" cm="1">
        <f t="array" ref="R10">IF(AND(J10:J13=N10:N13),"PASS","FAIL")</f>
        <v>PASS</v>
      </c>
    </row>
    <row r="11" spans="1:18" x14ac:dyDescent="0.5">
      <c r="A11" s="55"/>
      <c r="B11" s="55"/>
      <c r="D11" s="51" t="s">
        <v>3017</v>
      </c>
      <c r="F11" s="51" t="s">
        <v>3025</v>
      </c>
      <c r="J11" s="52" t="s">
        <v>3017</v>
      </c>
      <c r="N11" s="53" t="str">
        <v>b</v>
      </c>
    </row>
    <row r="12" spans="1:18" x14ac:dyDescent="0.5">
      <c r="A12" s="55"/>
      <c r="B12" s="55"/>
      <c r="F12" s="51" t="s">
        <v>3018</v>
      </c>
      <c r="J12" s="52" t="s">
        <v>3025</v>
      </c>
      <c r="N12" s="53" t="str">
        <v>c</v>
      </c>
    </row>
    <row r="13" spans="1:18" x14ac:dyDescent="0.5">
      <c r="A13" s="55"/>
      <c r="B13" s="55"/>
      <c r="J13" s="52" t="s">
        <v>3018</v>
      </c>
      <c r="N13" s="53" t="str">
        <v>d</v>
      </c>
    </row>
    <row r="15" spans="1:18" x14ac:dyDescent="0.5">
      <c r="A15" s="46">
        <v>3</v>
      </c>
      <c r="B15" s="47" t="s">
        <v>3238</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8" x14ac:dyDescent="0.5">
      <c r="A16" s="55"/>
      <c r="B16" s="55"/>
      <c r="D16" s="51">
        <v>3</v>
      </c>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86"/>
  <dimension ref="A1:R21"/>
  <sheetViews>
    <sheetView workbookViewId="0"/>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273" customHeight="1" x14ac:dyDescent="0.5">
      <c r="A1" s="45" t="s">
        <v>0</v>
      </c>
      <c r="B1" s="99" t="str" cm="1">
        <f t="array" aca="1" ref="B1" ca="1">_xlfn.LET(_xlpm.fn, CELL("filename",$A$1), _xlpm.nm, MID(_xlpm.fn, FIND("]", _xlpm.fn) + 1, 255), _xlfn.XLOOKUP(_xlpm.nm &amp; "(*", Lamb!$A$2:$A$1000, Lamb!$A$2:$A$1000, "", 2))</f>
        <v>shift_arr(arr, dir, [steps], [fill])</v>
      </c>
      <c r="C1" s="95"/>
      <c r="D1" s="95"/>
      <c r="E1" s="95"/>
      <c r="F1" s="96"/>
      <c r="H1" s="45" t="s">
        <v>2</v>
      </c>
      <c r="I1" s="94" t="str" cm="1">
        <f t="array" aca="1" ref="I1" ca="1">_xlfn.LET(_xlpm.fn, CELL("filename",$A$1), _xlpm.nm, MID(_xlpm.fn, FIND("]", _xlpm.fn) + 1, 255), _xlfn.XLOOKUP(_xlpm.nm &amp; "(*", Lamb!$A$2:$A$1000, Lamb!$D$2:$D$1000, "", 2))</f>
        <v>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98"/>
      <c r="D2" s="98"/>
      <c r="E2" s="98"/>
      <c r="F2" s="98"/>
      <c r="G2" s="98"/>
      <c r="H2" s="98"/>
      <c r="I2" s="98"/>
      <c r="J2" s="98"/>
      <c r="K2" s="98"/>
      <c r="L2" s="98"/>
      <c r="M2" s="98"/>
      <c r="N2" s="98"/>
      <c r="O2" s="98"/>
      <c r="P2" s="98"/>
      <c r="Q2" s="98"/>
      <c r="R2" s="98"/>
    </row>
    <row r="4" spans="1:18" x14ac:dyDescent="0.5">
      <c r="A4" s="45" t="s">
        <v>3239</v>
      </c>
      <c r="R4" s="45" t="str">
        <f>COUNTIF(R6:R21,"PASS")&amp;" / 5 PASS"</f>
        <v>5 / 5 PASS</v>
      </c>
    </row>
    <row r="5" spans="1:18" x14ac:dyDescent="0.5">
      <c r="A5" s="45" t="s">
        <v>7</v>
      </c>
      <c r="B5" s="45" t="s">
        <v>8</v>
      </c>
      <c r="D5" s="45" t="s">
        <v>9</v>
      </c>
      <c r="L5" s="48" t="s">
        <v>10</v>
      </c>
      <c r="O5" s="49" t="s">
        <v>11</v>
      </c>
      <c r="R5" s="50" t="s">
        <v>12</v>
      </c>
    </row>
    <row r="6" spans="1:18" x14ac:dyDescent="0.5">
      <c r="A6" s="46">
        <v>1</v>
      </c>
      <c r="B6" s="47" t="s">
        <v>3240</v>
      </c>
      <c r="D6" s="51">
        <v>1</v>
      </c>
      <c r="F6" s="51" t="s">
        <v>157</v>
      </c>
      <c r="L6" s="52">
        <v>3</v>
      </c>
      <c r="O6" s="53" cm="1">
        <f t="array" ref="O6:O8">shift_arr(D6:D8,F6)</f>
        <v>3</v>
      </c>
      <c r="R6" s="54" t="str" cm="1">
        <f t="array" ref="R6">IF(AND(L6:L8=O6:O8),"PASS","FAIL")</f>
        <v>PASS</v>
      </c>
    </row>
    <row r="7" spans="1:18" x14ac:dyDescent="0.5">
      <c r="A7" s="55"/>
      <c r="B7" s="55"/>
      <c r="D7" s="51">
        <v>2</v>
      </c>
      <c r="L7" s="52">
        <v>1</v>
      </c>
      <c r="O7" s="53">
        <v>1</v>
      </c>
    </row>
    <row r="8" spans="1:18" x14ac:dyDescent="0.5">
      <c r="A8" s="55"/>
      <c r="B8" s="55"/>
      <c r="D8" s="51">
        <v>3</v>
      </c>
      <c r="L8" s="52">
        <v>2</v>
      </c>
      <c r="O8" s="53">
        <v>2</v>
      </c>
    </row>
    <row r="10" spans="1:18" x14ac:dyDescent="0.5">
      <c r="A10" s="46">
        <v>2</v>
      </c>
      <c r="B10" s="47" t="s">
        <v>3241</v>
      </c>
      <c r="D10" s="51">
        <v>1</v>
      </c>
      <c r="F10" s="51" t="s">
        <v>159</v>
      </c>
      <c r="L10" s="52">
        <v>2</v>
      </c>
      <c r="O10" s="53" cm="1">
        <f t="array" ref="O10:O12">shift_arr(D10:D12,F10)</f>
        <v>2</v>
      </c>
      <c r="R10" s="54" t="str" cm="1">
        <f t="array" ref="R10">IF(AND(L10:L12=O10:O12),"PASS","FAIL")</f>
        <v>PASS</v>
      </c>
    </row>
    <row r="11" spans="1:18" x14ac:dyDescent="0.5">
      <c r="A11" s="55"/>
      <c r="B11" s="55"/>
      <c r="D11" s="51">
        <v>2</v>
      </c>
      <c r="L11" s="52">
        <v>3</v>
      </c>
      <c r="O11" s="53">
        <v>3</v>
      </c>
    </row>
    <row r="12" spans="1:18" x14ac:dyDescent="0.5">
      <c r="A12" s="55"/>
      <c r="B12" s="55"/>
      <c r="D12" s="51">
        <v>3</v>
      </c>
      <c r="L12" s="52">
        <v>1</v>
      </c>
      <c r="O12" s="53">
        <v>1</v>
      </c>
    </row>
    <row r="14" spans="1:18" x14ac:dyDescent="0.5">
      <c r="A14" s="46">
        <v>3</v>
      </c>
      <c r="B14" s="47" t="s">
        <v>3242</v>
      </c>
      <c r="D14" s="51">
        <v>1</v>
      </c>
      <c r="F14" s="51" t="s">
        <v>157</v>
      </c>
      <c r="H14" s="51">
        <v>1</v>
      </c>
      <c r="J14" s="51">
        <v>0</v>
      </c>
      <c r="L14" s="52">
        <v>0</v>
      </c>
      <c r="O14" s="53" cm="1">
        <f t="array" ref="O14:O16">shift_arr(D14:D16,F14,H14,J14)</f>
        <v>0</v>
      </c>
      <c r="R14" s="54" t="str" cm="1">
        <f t="array" ref="R14">IF(AND(L14:L16=O14:O16),"PASS","FAIL")</f>
        <v>PASS</v>
      </c>
    </row>
    <row r="15" spans="1:18" x14ac:dyDescent="0.5">
      <c r="A15" s="55"/>
      <c r="B15" s="55"/>
      <c r="D15" s="51">
        <v>2</v>
      </c>
      <c r="L15" s="52">
        <v>1</v>
      </c>
      <c r="O15" s="53">
        <v>1</v>
      </c>
    </row>
    <row r="16" spans="1:18" x14ac:dyDescent="0.5">
      <c r="A16" s="55"/>
      <c r="B16" s="55"/>
      <c r="D16" s="51">
        <v>3</v>
      </c>
      <c r="L16" s="52">
        <v>2</v>
      </c>
      <c r="O16" s="53">
        <v>2</v>
      </c>
    </row>
    <row r="18" spans="1:18" x14ac:dyDescent="0.5">
      <c r="A18" s="46">
        <v>4</v>
      </c>
      <c r="B18" s="47" t="s">
        <v>3243</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3373</v>
      </c>
      <c r="D21" s="51">
        <v>1</v>
      </c>
      <c r="F21" s="51" t="s">
        <v>3368</v>
      </c>
      <c r="L21" s="52" t="str">
        <f>""</f>
        <v/>
      </c>
      <c r="O21" s="53" t="str" cm="1">
        <f t="array" ref="O21">shift_arr(D21,F21)</f>
        <v/>
      </c>
      <c r="R21" s="54" t="str">
        <f>IF(O21=L21,"PASS","FAIL")</f>
        <v>PASS</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87"/>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smallest(check, return)</v>
      </c>
      <c r="C1" s="95"/>
      <c r="D1" s="95"/>
      <c r="E1" s="95"/>
      <c r="F1" s="96"/>
      <c r="H1" s="45" t="s">
        <v>2</v>
      </c>
      <c r="I1" s="94"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=LAMBDA(check, return, IFNA(XLOOKUP(MIN(check), check, return), ""))</v>
      </c>
      <c r="C2" s="98"/>
      <c r="D2" s="98"/>
      <c r="E2" s="98"/>
      <c r="F2" s="98"/>
      <c r="G2" s="98"/>
      <c r="H2" s="98"/>
      <c r="I2" s="98"/>
      <c r="J2" s="98"/>
      <c r="K2" s="98"/>
      <c r="L2" s="98"/>
      <c r="M2" s="98"/>
      <c r="N2" s="98"/>
      <c r="O2" s="98"/>
      <c r="P2" s="98"/>
      <c r="Q2" s="98"/>
      <c r="R2" s="98"/>
    </row>
    <row r="4" spans="1:18" x14ac:dyDescent="0.5">
      <c r="A4" s="45" t="s">
        <v>3244</v>
      </c>
      <c r="L4" s="45" t="str">
        <f>COUNTIF(L6:L15,"PASS")&amp;" / 3 PASS"</f>
        <v>3 / 3 PASS</v>
      </c>
    </row>
    <row r="5" spans="1:18" x14ac:dyDescent="0.5">
      <c r="A5" s="45" t="s">
        <v>7</v>
      </c>
      <c r="B5" s="45" t="s">
        <v>8</v>
      </c>
      <c r="D5" s="45" t="s">
        <v>9</v>
      </c>
      <c r="H5" s="48" t="s">
        <v>10</v>
      </c>
      <c r="J5" s="49" t="s">
        <v>11</v>
      </c>
      <c r="L5" s="50" t="s">
        <v>12</v>
      </c>
    </row>
    <row r="6" spans="1:18" x14ac:dyDescent="0.5">
      <c r="A6" s="46">
        <v>1</v>
      </c>
      <c r="B6" s="47" t="s">
        <v>3245</v>
      </c>
      <c r="D6" s="51">
        <v>30</v>
      </c>
      <c r="F6" s="51" t="s">
        <v>3016</v>
      </c>
      <c r="H6" s="52" t="s">
        <v>3016</v>
      </c>
      <c r="J6" s="53" t="str" cm="1">
        <f t="array" ref="J6">smallest(D6:D8,F6:F8)</f>
        <v>a</v>
      </c>
      <c r="L6" s="54" t="str">
        <f>IF(J6=H6,"PASS","FAIL")</f>
        <v>PASS</v>
      </c>
    </row>
    <row r="7" spans="1:18" x14ac:dyDescent="0.5">
      <c r="A7" s="55"/>
      <c r="B7" s="55"/>
      <c r="D7" s="51">
        <v>70</v>
      </c>
      <c r="F7" s="51" t="s">
        <v>3017</v>
      </c>
    </row>
    <row r="8" spans="1:18" x14ac:dyDescent="0.5">
      <c r="A8" s="55"/>
      <c r="B8" s="55"/>
      <c r="D8" s="51">
        <v>50</v>
      </c>
      <c r="F8" s="51" t="s">
        <v>3025</v>
      </c>
    </row>
    <row r="10" spans="1:18" x14ac:dyDescent="0.5">
      <c r="A10" s="46">
        <v>2</v>
      </c>
      <c r="B10" s="47" t="s">
        <v>3246</v>
      </c>
      <c r="D10" s="51">
        <v>5</v>
      </c>
      <c r="F10" s="51" t="s">
        <v>3027</v>
      </c>
      <c r="H10" s="52" t="s">
        <v>3029</v>
      </c>
      <c r="J10" s="53" t="str" cm="1">
        <f t="array" ref="J10">smallest(D10:D13,F10:F13)</f>
        <v>r</v>
      </c>
      <c r="L10" s="54" t="str">
        <f>IF(J10=H10,"PASS","FAIL")</f>
        <v>PASS</v>
      </c>
    </row>
    <row r="11" spans="1:18" x14ac:dyDescent="0.5">
      <c r="A11" s="55"/>
      <c r="B11" s="55"/>
      <c r="D11" s="51">
        <v>9</v>
      </c>
      <c r="F11" s="51" t="s">
        <v>3028</v>
      </c>
    </row>
    <row r="12" spans="1:18" x14ac:dyDescent="0.5">
      <c r="A12" s="55"/>
      <c r="B12" s="55"/>
      <c r="D12" s="51">
        <v>2</v>
      </c>
      <c r="F12" s="51" t="s">
        <v>3029</v>
      </c>
    </row>
    <row r="13" spans="1:18" x14ac:dyDescent="0.5">
      <c r="A13" s="55"/>
      <c r="B13" s="55"/>
      <c r="D13" s="51">
        <v>2</v>
      </c>
      <c r="F13" s="51" t="s">
        <v>3030</v>
      </c>
    </row>
    <row r="15" spans="1:18" x14ac:dyDescent="0.5">
      <c r="A15" s="46">
        <v>3</v>
      </c>
      <c r="B15" s="47" t="s">
        <v>3374</v>
      </c>
      <c r="D15" s="51" t="s">
        <v>3036</v>
      </c>
      <c r="F15" s="51" t="s">
        <v>3375</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8"/>
  <dimension ref="A1:R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5" t="s">
        <v>0</v>
      </c>
      <c r="B1" s="99" t="str" cm="1">
        <f t="array" aca="1" ref="B1" ca="1">_xlfn.LET(_xlpm.fn, CELL("filename",$A$1), _xlpm.nm, MID(_xlpm.fn, FIND("]", _xlpm.fn) + 1, 255), _xlfn.XLOOKUP(_xlpm.nm &amp; "(*", Lamb!$A$2:$A$1000, Lamb!$A$2:$A$1000, "", 2))</f>
        <v>str2arr(str_or_array, [as_row])</v>
      </c>
      <c r="C1" s="95"/>
      <c r="D1" s="95"/>
      <c r="E1" s="95"/>
      <c r="F1" s="96"/>
      <c r="H1" s="45" t="s">
        <v>2</v>
      </c>
      <c r="I1" s="94"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98"/>
      <c r="D2" s="98"/>
      <c r="E2" s="98"/>
      <c r="F2" s="98"/>
      <c r="G2" s="98"/>
      <c r="H2" s="98"/>
      <c r="I2" s="98"/>
      <c r="J2" s="98"/>
      <c r="K2" s="98"/>
      <c r="L2" s="98"/>
      <c r="M2" s="98"/>
      <c r="N2" s="98"/>
      <c r="O2" s="98"/>
      <c r="P2" s="98"/>
      <c r="Q2" s="98"/>
      <c r="R2" s="98"/>
    </row>
    <row r="4" spans="1:18" x14ac:dyDescent="0.5">
      <c r="A4" s="45" t="s">
        <v>3247</v>
      </c>
      <c r="P4" s="45" t="str">
        <f>COUNTIF(P6:P16,"PASS")&amp;" / 3 PASS"</f>
        <v>3 / 3 PASS</v>
      </c>
    </row>
    <row r="5" spans="1:18" x14ac:dyDescent="0.5">
      <c r="A5" s="45" t="s">
        <v>7</v>
      </c>
      <c r="B5" s="45" t="s">
        <v>8</v>
      </c>
      <c r="D5" s="45" t="s">
        <v>9</v>
      </c>
      <c r="H5" s="48" t="s">
        <v>10</v>
      </c>
      <c r="L5" s="49" t="s">
        <v>11</v>
      </c>
      <c r="P5" s="50" t="s">
        <v>12</v>
      </c>
    </row>
    <row r="6" spans="1:18" x14ac:dyDescent="0.5">
      <c r="A6" s="46">
        <v>1</v>
      </c>
      <c r="B6" s="47" t="s">
        <v>3248</v>
      </c>
      <c r="D6" s="51" t="s">
        <v>3154</v>
      </c>
      <c r="H6" s="52" t="s">
        <v>3016</v>
      </c>
      <c r="L6" s="53" t="str" cm="1">
        <f t="array" ref="L6:L8">str2arr(D6)</f>
        <v>a</v>
      </c>
      <c r="P6" s="54" t="str" cm="1">
        <f t="array" ref="P6">IF(AND(H6:H8=L6:L8),"PASS","FAIL")</f>
        <v>PASS</v>
      </c>
    </row>
    <row r="7" spans="1:18" x14ac:dyDescent="0.5">
      <c r="A7" s="55"/>
      <c r="B7" s="55"/>
      <c r="H7" s="52" t="s">
        <v>3017</v>
      </c>
      <c r="L7" s="53" t="str">
        <v>b</v>
      </c>
    </row>
    <row r="8" spans="1:18" x14ac:dyDescent="0.5">
      <c r="A8" s="55"/>
      <c r="B8" s="55"/>
      <c r="H8" s="52" t="s">
        <v>3025</v>
      </c>
      <c r="L8" s="53" t="str">
        <v>c</v>
      </c>
    </row>
    <row r="10" spans="1:18" x14ac:dyDescent="0.5">
      <c r="A10" s="46">
        <v>2</v>
      </c>
      <c r="B10" s="47" t="s">
        <v>3249</v>
      </c>
      <c r="D10" s="51" t="s">
        <v>3250</v>
      </c>
      <c r="H10" s="52" t="s">
        <v>3036</v>
      </c>
      <c r="L10" s="53" t="str" cm="1">
        <f t="array" ref="L10:L12">str2arr(D10)</f>
        <v>x</v>
      </c>
      <c r="P10" s="54" t="str" cm="1">
        <f t="array" ref="P10">IF(AND(H10:H12=L10:L12),"PASS","FAIL")</f>
        <v>PASS</v>
      </c>
    </row>
    <row r="11" spans="1:18" x14ac:dyDescent="0.5">
      <c r="A11" s="55"/>
      <c r="B11" s="55"/>
      <c r="H11" s="52">
        <v>1</v>
      </c>
      <c r="L11" s="53">
        <v>1</v>
      </c>
    </row>
    <row r="12" spans="1:18" x14ac:dyDescent="0.5">
      <c r="A12" s="55"/>
      <c r="B12" s="55"/>
      <c r="H12" s="52" t="s">
        <v>3251</v>
      </c>
      <c r="L12" s="53" t="str">
        <v>y</v>
      </c>
    </row>
    <row r="14" spans="1:18" x14ac:dyDescent="0.5">
      <c r="A14" s="46">
        <v>3</v>
      </c>
      <c r="B14" s="47" t="s">
        <v>3252</v>
      </c>
      <c r="D14" s="51" t="s">
        <v>3154</v>
      </c>
      <c r="F14" s="51">
        <v>1</v>
      </c>
      <c r="H14" s="52" t="s">
        <v>3016</v>
      </c>
      <c r="I14" s="52" t="s">
        <v>3017</v>
      </c>
      <c r="J14" s="52" t="s">
        <v>3025</v>
      </c>
      <c r="L14" s="53" t="str" cm="1">
        <f t="array" ref="L14:N14">str2arr(D14,F14)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8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94" customHeight="1" x14ac:dyDescent="0.5">
      <c r="A1" s="45" t="s">
        <v>0</v>
      </c>
      <c r="B1" s="99" t="str" cm="1">
        <f t="array" aca="1" ref="B1" ca="1">_xlfn.LET(_xlpm.fn, CELL("filename",$A$1), _xlpm.nm, MID(_xlpm.fn, FIND("]", _xlpm.fn) + 1, 255), _xlfn.XLOOKUP(_xlpm.nm &amp; "(*", Lamb!$A$2:$A$1000, Lamb!$A$2:$A$1000, "", 2))</f>
        <v>str_ad(arr)</v>
      </c>
      <c r="C1" s="95"/>
      <c r="D1" s="95"/>
      <c r="E1" s="95"/>
      <c r="F1" s="96"/>
      <c r="H1" s="45" t="s">
        <v>2</v>
      </c>
      <c r="I1" s="94" t="str" cm="1">
        <f t="array" aca="1" ref="I1" ca="1">_xlfn.LET(_xlpm.fn, CELL("filename",$A$1), _xlpm.nm, MID(_xlpm.fn, FIND("]", _xlpm.fn) + 1, 255), _xlfn.XLOOKUP(_xlpm.nm &amp; "(*", Lamb!$A$2:$A$1000, Lamb!$D$2:$D$1000, "", 2))</f>
        <v>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v>
      </c>
      <c r="J1" s="95"/>
      <c r="K1" s="95"/>
      <c r="L1" s="95"/>
      <c r="M1" s="95"/>
      <c r="N1" s="95"/>
      <c r="O1" s="95"/>
      <c r="P1" s="95"/>
      <c r="Q1" s="95"/>
      <c r="R1" s="96"/>
    </row>
    <row r="2" spans="1:18" ht="294" customHeight="1" x14ac:dyDescent="0.5">
      <c r="A2" s="45" t="s">
        <v>4</v>
      </c>
      <c r="B2" s="97" t="str" cm="1">
        <f t="array" aca="1" ref="B2" ca="1">_xlfn.LET(_xlpm.fn, CELL("filename",$A$1), _xlpm.nm, MID(_xlpm.fn, FIND("]", _xlpm.fn) + 1, 255), _xlfn.XLOOKUP(_xlpm.nm &amp; "(*", Lamb!$A$2:$A$1000, Lamb!$C$2:$C$1000, "", 2))</f>
        <v>=LAMBDA(arr,
  LET(
    to_str, LAMBDA(one,
      IFERROR(
        IF(NOT(ISNUMBER(one)), one,
          LET(
            row_num, INT(one / 1000000),
            col, MOD(one, 1000000),
            ok, AND(one = INT(one), row_num &gt;= 1, row_num &lt;= 1048576, col &gt;= 1, col &lt;= 16384),
            IF(ok, ADDRESS(row_num, col, 4), one))),
        one)),
    IF(ROWS(arr) * COLUMNS(arr) = 1, to_str(arr), MAP(arr, to_str))
  )
)</v>
      </c>
      <c r="C2" s="98"/>
      <c r="D2" s="98"/>
      <c r="E2" s="98"/>
      <c r="F2" s="98"/>
      <c r="G2" s="98"/>
      <c r="H2" s="98"/>
      <c r="I2" s="98"/>
      <c r="J2" s="98"/>
      <c r="K2" s="98"/>
      <c r="L2" s="98"/>
      <c r="M2" s="98"/>
      <c r="N2" s="98"/>
      <c r="O2" s="98"/>
      <c r="P2" s="98"/>
      <c r="Q2" s="98"/>
      <c r="R2" s="98"/>
    </row>
    <row r="4" spans="1:18" x14ac:dyDescent="0.5">
      <c r="A4" s="45" t="inlineStr">
        <is>
          <t xml:space="preserve">str_ad(ad_or_rng) - any address/range -&gt; A1 string address(es). Numeric address -&gt; "D3"; range -&gt; array of A1 strings; empty -&gt; ""; else passthrough.</t>
        </is>
      </c>
      <c r="J4" s="45">
        <f>COUNTIF(J6:J40,"PASS")&amp;" / 7 PASS"</f>
      </c>
    </row>
    <row r="5" spans="1:18" x14ac:dyDescent="0.5">
      <c r="A5" s="45" t="s">
        <v>7</v>
      </c>
      <c r="B5" s="45" t="s">
        <v>8</v>
      </c>
      <c r="D5" s="45" t="s">
        <v>9</v>
      </c>
      <c r="F5" s="48" t="s">
        <v>10</v>
      </c>
      <c r="H5" s="49" t="s">
        <v>11</v>
      </c>
      <c r="J5" s="50" t="s">
        <v>12</v>
      </c>
    </row>
    <row r="6" spans="1:18" x14ac:dyDescent="0.5">
      <c r="A6" s="46">
        <v>1</v>
      </c>
      <c r="B6" s="47" t="s">
        <v>3254</v>
      </c>
      <c r="D6" s="51">
        <v>3000004</v>
      </c>
      <c r="F6" s="52" t="s">
        <v>3136</v>
      </c>
      <c r="H6" s="53" t="str" cm="1">
        <f t="array" ref="H6">str_ad(D6)</f>
        <v>D3</v>
      </c>
      <c r="J6" s="54" t="str">
        <f>IF(H6=F6,"PASS","FAIL")</f>
        <v>PASS</v>
      </c>
    </row>
    <row r="8" spans="1:18" x14ac:dyDescent="0.5">
      <c r="A8" s="46">
        <v>2</v>
      </c>
      <c r="B8" s="47" t="s">
        <v>3255</v>
      </c>
      <c r="D8" s="51" t="s">
        <v>3136</v>
      </c>
      <c r="F8" s="52" t="s">
        <v>3136</v>
      </c>
      <c r="H8" s="53" t="str" cm="1">
        <f t="array" ref="H8">str_ad(D8)</f>
        <v>D3</v>
      </c>
      <c r="J8" s="54" t="str">
        <f>IF(H8=F8,"PASS","FAIL")</f>
        <v>PASS</v>
      </c>
    </row>
    <row r="10" spans="1:18" x14ac:dyDescent="0.5">
      <c r="A10" s="46">
        <v>3</v>
      </c>
      <c r="B10" s="47" t="s">
        <v>3256</v>
      </c>
      <c r="D10" s="51">
        <v>2000000</v>
      </c>
      <c r="F10" s="52">
        <v>2000000</v>
      </c>
      <c r="H10" s="53" cm="1">
        <f t="array" ref="H10">str_ad(D10)</f>
        <v>2000000</v>
      </c>
      <c r="J10" s="54" t="str">
        <f>IF(H10=F10,"PASS","FAIL")</f>
        <v>PASS</v>
      </c>
    </row>
    <row r="12" spans="1:18" x14ac:dyDescent="0.5">
      <c r="A12" s="46">
        <v>4</v>
      </c>
      <c r="B12" s="47" t="s">
        <v>3257</v>
      </c>
      <c r="D12" s="51">
        <v>1000001</v>
      </c>
      <c r="F12" s="52" t="s">
        <v>3004</v>
      </c>
      <c r="H12" s="53" t="str" cm="1">
        <f t="array" ref="H12:H13">str_ad(D12:D13)</f>
        <v>A1</v>
      </c>
      <c r="J12" s="54" t="str" cm="1">
        <f t="array" ref="J12">IF(AND(F12:F13=H12:H13),"PASS","FAIL")</f>
        <v>PASS</v>
      </c>
    </row>
    <row r="13" spans="1:18" x14ac:dyDescent="0.5">
      <c r="A13" s="55"/>
      <c r="B13" s="55"/>
      <c r="D13" s="51">
        <v>2000002</v>
      </c>
      <c r="F13" s="52" t="s">
        <v>3128</v>
      </c>
      <c r="H13" s="53" t="str">
        <v>B2</v>
      </c>
    </row>
    <row r="15">
      <c r="A15">
        <v>5</v>
      </c>
      <c r="B15" s="55" t="inlineStr">
        <is>
          <t xml:space="preserve">numeric range "1000001:2000002" -&gt; A1 2x2</t>
        </is>
      </c>
      <c r="D15" s="51" t="inlineStr">
        <is>
          <t xml:space="preserve">1000001:2000002</t>
        </is>
      </c>
      <c r="F15" s="52" t="inlineStr">
        <is>
          <t xml:space="preserve">A1</t>
        </is>
      </c>
      <c r="G15" t="inlineStr">
        <is>
          <t xml:space="preserve">B1</t>
        </is>
      </c>
      <c r="H15" s="53">
        <f>str_ad(D15)</f>
      </c>
      <c r="J15">
        <f>IF(AND(F15:G16=H15:I16),"PASS","FAIL")</f>
      </c>
    </row>
    <row r="16">
      <c r="F16" t="inlineStr">
        <is>
          <t xml:space="preserve">A2</t>
        </is>
      </c>
      <c r="G16" t="inlineStr">
        <is>
          <t xml:space="preserve">B2</t>
        </is>
      </c>
    </row>
    <row r="18">
      <c r="A18">
        <v>6</v>
      </c>
      <c r="B18" t="inlineStr">
        <is>
          <t xml:space="preserve">A1 range "B2:C2" -&gt; {"B2","C2"}</t>
        </is>
      </c>
      <c r="D18" t="inlineStr">
        <is>
          <t xml:space="preserve">B2:C2</t>
        </is>
      </c>
      <c r="F18" t="inlineStr">
        <is>
          <t xml:space="preserve">B2</t>
        </is>
      </c>
      <c r="G18" t="inlineStr">
        <is>
          <t xml:space="preserve">C2</t>
        </is>
      </c>
      <c r="H18">
        <f>str_ad(D18)</f>
      </c>
      <c r="J18">
        <f>IF(AND(F18:G18=H18:I18),"PASS","FAIL")</f>
      </c>
    </row>
    <row r="20">
      <c r="A20">
        <v>7</v>
      </c>
      <c r="B20" t="inlineStr">
        <is>
          <t xml:space="preserve">empty -&gt; "" (not 0)</t>
        </is>
      </c>
      <c r="D20"/>
      <c r="H20">
        <f>str_ad(D20)</f>
      </c>
      <c r="J20">
        <f>IF(AND(H20="",NOT(H20=0)),"PASS","FAIL")</f>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90"/>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str_rev(str)</v>
      </c>
      <c r="C1" s="95"/>
      <c r="D1" s="95"/>
      <c r="E1" s="95"/>
      <c r="F1" s="96"/>
      <c r="H1" s="45" t="s">
        <v>2</v>
      </c>
      <c r="I1" s="94"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95"/>
      <c r="K1" s="95"/>
      <c r="L1" s="95"/>
      <c r="M1" s="95"/>
      <c r="N1" s="95"/>
      <c r="O1" s="95"/>
      <c r="P1" s="95"/>
      <c r="Q1" s="95"/>
      <c r="R1" s="96"/>
    </row>
    <row r="2" spans="1:18" ht="210" customHeight="1" x14ac:dyDescent="0.5">
      <c r="A2" s="45" t="s">
        <v>4</v>
      </c>
      <c r="B2" s="97"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98"/>
      <c r="D2" s="98"/>
      <c r="E2" s="98"/>
      <c r="F2" s="98"/>
      <c r="G2" s="98"/>
      <c r="H2" s="98"/>
      <c r="I2" s="98"/>
      <c r="J2" s="98"/>
      <c r="K2" s="98"/>
      <c r="L2" s="98"/>
      <c r="M2" s="98"/>
      <c r="N2" s="98"/>
      <c r="O2" s="98"/>
      <c r="P2" s="98"/>
      <c r="Q2" s="98"/>
      <c r="R2" s="98"/>
    </row>
    <row r="4" spans="1:18" x14ac:dyDescent="0.5">
      <c r="A4" s="45" t="s">
        <v>3258</v>
      </c>
      <c r="J4" s="45" t="str">
        <f>COUNTIF(J6:J15,"PASS")&amp;" / 4 PASS"</f>
        <v>4 / 4 PASS</v>
      </c>
    </row>
    <row r="5" spans="1:18" x14ac:dyDescent="0.5">
      <c r="A5" s="45" t="s">
        <v>7</v>
      </c>
      <c r="B5" s="45" t="s">
        <v>8</v>
      </c>
      <c r="D5" s="45" t="s">
        <v>9</v>
      </c>
      <c r="F5" s="48" t="s">
        <v>10</v>
      </c>
      <c r="H5" s="49" t="s">
        <v>11</v>
      </c>
      <c r="J5" s="50" t="s">
        <v>12</v>
      </c>
    </row>
    <row r="6" spans="1:18" x14ac:dyDescent="0.5">
      <c r="A6" s="46">
        <v>1</v>
      </c>
      <c r="B6" s="47" t="s">
        <v>3154</v>
      </c>
      <c r="D6" s="51" t="s">
        <v>3154</v>
      </c>
      <c r="F6" s="52" t="s">
        <v>3259</v>
      </c>
      <c r="H6" s="53" t="str" cm="1">
        <f t="array" ref="H6">str_rev(D6)</f>
        <v>cba</v>
      </c>
      <c r="J6" s="54" t="str">
        <f>IF(H6=F6,"PASS","FAIL")</f>
        <v>PASS</v>
      </c>
    </row>
    <row r="8" spans="1:18" x14ac:dyDescent="0.5">
      <c r="A8" s="46">
        <v>2</v>
      </c>
      <c r="B8" s="47" t="s">
        <v>3260</v>
      </c>
      <c r="D8" s="51" t="s">
        <v>3260</v>
      </c>
      <c r="F8" s="52" t="s">
        <v>3261</v>
      </c>
      <c r="H8" s="53" t="str" cm="1">
        <f t="array" ref="H8">str_rev(D8)</f>
        <v>olleh</v>
      </c>
      <c r="J8" s="54" t="str">
        <f>IF(H8=F8,"PASS","FAIL")</f>
        <v>PASS</v>
      </c>
    </row>
    <row r="10" spans="1:18" x14ac:dyDescent="0.5">
      <c r="A10" s="46">
        <v>3</v>
      </c>
      <c r="B10" s="47" t="s">
        <v>3262</v>
      </c>
      <c r="D10" s="51" t="s">
        <v>3263</v>
      </c>
      <c r="F10" s="52" t="s">
        <v>3264</v>
      </c>
      <c r="H10" s="53" t="str" cm="1">
        <f t="array" ref="H10">str_rev(D10)</f>
        <v>b1A</v>
      </c>
      <c r="J10" s="54" t="str">
        <f>IF(H10=F10,"PASS","FAIL")</f>
        <v>PASS</v>
      </c>
    </row>
    <row r="12" spans="1:18" x14ac:dyDescent="0.5">
      <c r="A12" s="46">
        <v>4</v>
      </c>
      <c r="B12" s="47" t="s">
        <v>3176</v>
      </c>
      <c r="D12" s="51" t="s">
        <v>3154</v>
      </c>
      <c r="F12" s="52" t="s">
        <v>3259</v>
      </c>
      <c r="H12" s="53" t="str" cm="1">
        <f t="array" ref="H12:H13">str_rev(D12:D13)</f>
        <v>cba</v>
      </c>
      <c r="J12" s="54" t="str" cm="1">
        <f t="array" ref="J12">IF(AND(F12:F13=H12:H13),"PASS","FAIL")</f>
        <v>PASS</v>
      </c>
    </row>
    <row r="13" spans="1:18" x14ac:dyDescent="0.5">
      <c r="A13" s="55"/>
      <c r="B13" s="55"/>
      <c r="D13" s="51" t="s">
        <v>3265</v>
      </c>
      <c r="F13" s="52" t="s">
        <v>3266</v>
      </c>
      <c r="H13" s="53" t="str">
        <v>yx</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91"/>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textbetween(str_or_arr, prefix, suffix)</v>
      </c>
      <c r="C1" s="95"/>
      <c r="D1" s="95"/>
      <c r="E1" s="95"/>
      <c r="F1" s="96"/>
      <c r="H1" s="45" t="s">
        <v>2</v>
      </c>
      <c r="I1" s="94"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98"/>
      <c r="D2" s="98"/>
      <c r="E2" s="98"/>
      <c r="F2" s="98"/>
      <c r="G2" s="98"/>
      <c r="H2" s="98"/>
      <c r="I2" s="98"/>
      <c r="J2" s="98"/>
      <c r="K2" s="98"/>
      <c r="L2" s="98"/>
      <c r="M2" s="98"/>
      <c r="N2" s="98"/>
      <c r="O2" s="98"/>
      <c r="P2" s="98"/>
      <c r="Q2" s="98"/>
      <c r="R2" s="98"/>
    </row>
    <row r="4" spans="1:18" x14ac:dyDescent="0.5">
      <c r="A4" s="45" t="s">
        <v>3267</v>
      </c>
      <c r="N4" s="45" t="str">
        <f>COUNTIF(N6:N17,"PASS")&amp;" / 5 PASS"</f>
        <v>5 / 5 PASS</v>
      </c>
    </row>
    <row r="5" spans="1:18" x14ac:dyDescent="0.5">
      <c r="A5" s="45" t="s">
        <v>7</v>
      </c>
      <c r="B5" s="45" t="s">
        <v>8</v>
      </c>
      <c r="D5" s="45" t="s">
        <v>9</v>
      </c>
      <c r="J5" s="48" t="s">
        <v>10</v>
      </c>
      <c r="L5" s="49" t="s">
        <v>11</v>
      </c>
      <c r="N5" s="50" t="s">
        <v>12</v>
      </c>
    </row>
    <row r="6" spans="1:18" x14ac:dyDescent="0.5">
      <c r="A6" s="46">
        <v>1</v>
      </c>
      <c r="B6" s="47" t="s">
        <v>3268</v>
      </c>
      <c r="D6" s="51" t="s">
        <v>3269</v>
      </c>
      <c r="F6" s="51" t="s">
        <v>3270</v>
      </c>
      <c r="H6" s="51" t="s">
        <v>3271</v>
      </c>
      <c r="J6" s="52" t="s">
        <v>3036</v>
      </c>
      <c r="L6" s="53" t="str" cm="1">
        <f t="array" ref="L6">textbetween(D6,F6,H6)</f>
        <v>x</v>
      </c>
      <c r="N6" s="54" t="str">
        <f>IF(L6=J6,"PASS","FAIL")</f>
        <v>PASS</v>
      </c>
    </row>
    <row r="8" spans="1:18" x14ac:dyDescent="0.5">
      <c r="A8" s="46">
        <v>2</v>
      </c>
      <c r="B8" s="47" t="s">
        <v>3272</v>
      </c>
      <c r="D8" s="51" t="s">
        <v>3273</v>
      </c>
      <c r="F8" s="51" t="s">
        <v>3274</v>
      </c>
      <c r="H8" s="51" t="s">
        <v>3275</v>
      </c>
      <c r="J8" s="52" t="s">
        <v>3143</v>
      </c>
      <c r="L8" s="53" t="str" cm="1">
        <f t="array" ref="L8">textbetween(D8,F8,H8)</f>
        <v>hi</v>
      </c>
      <c r="N8" s="54" t="str">
        <f>IF(L8=J8,"PASS","FAIL")</f>
        <v>PASS</v>
      </c>
    </row>
    <row r="10" spans="1:18" x14ac:dyDescent="0.5">
      <c r="A10" s="46">
        <v>3</v>
      </c>
      <c r="B10" s="47" t="s">
        <v>3276</v>
      </c>
      <c r="D10" s="51" t="s">
        <v>3277</v>
      </c>
      <c r="F10" s="51" t="s">
        <v>3278</v>
      </c>
      <c r="H10" s="51" t="s">
        <v>3279</v>
      </c>
      <c r="J10" s="52">
        <v>5</v>
      </c>
      <c r="L10" s="53" cm="1">
        <f t="array" ref="L10">textbetween(D10,F10,H10)</f>
        <v>5</v>
      </c>
      <c r="N10" s="54" t="str">
        <f>IF(L10=J10,"PASS","FAIL")</f>
        <v>PASS</v>
      </c>
    </row>
    <row r="12" spans="1:18" x14ac:dyDescent="0.5">
      <c r="A12" s="46">
        <v>4</v>
      </c>
      <c r="B12" s="47" t="s">
        <v>3280</v>
      </c>
      <c r="D12" s="51" t="s">
        <v>3154</v>
      </c>
      <c r="F12" s="51" t="s">
        <v>3270</v>
      </c>
      <c r="H12" s="51" t="s">
        <v>3271</v>
      </c>
      <c r="J12" s="52"/>
      <c r="L12" s="53" t="str" cm="1">
        <f t="array" ref="L12">textbetween(D12,F12,H12)</f>
        <v/>
      </c>
      <c r="N12" s="54" t="str">
        <f>IF(L12=J12,"PASS","FAIL")</f>
        <v>PASS</v>
      </c>
    </row>
    <row r="14" spans="1:18" x14ac:dyDescent="0.5">
      <c r="A14" s="46">
        <v>5</v>
      </c>
      <c r="B14" s="47" t="s">
        <v>3176</v>
      </c>
      <c r="D14" s="51" t="s">
        <v>3281</v>
      </c>
      <c r="F14" s="51" t="s">
        <v>3270</v>
      </c>
      <c r="H14" s="51" t="s">
        <v>3271</v>
      </c>
      <c r="J14" s="52" t="s">
        <v>3016</v>
      </c>
      <c r="L14" s="53" t="str" cm="1">
        <f t="array" ref="L14:L15">textbetween(D14:D15,F14,H14)</f>
        <v>a</v>
      </c>
      <c r="N14" s="54" t="str" cm="1">
        <f t="array" ref="N14">IF(AND(J14:J15=L14:L15),"PASS","FAIL")</f>
        <v>PASS</v>
      </c>
    </row>
    <row r="15" spans="1:18" x14ac:dyDescent="0.5">
      <c r="A15" s="55"/>
      <c r="B15" s="55"/>
      <c r="D15" s="51" t="s">
        <v>3282</v>
      </c>
      <c r="J15" s="52" t="s">
        <v>3283</v>
      </c>
      <c r="L15" s="53" t="str">
        <v>bc</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92"/>
  <dimension ref="A1:R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8" ht="231" customHeight="1" x14ac:dyDescent="0.5">
      <c r="A1" s="45" t="s">
        <v>0</v>
      </c>
      <c r="B1" s="99" t="str" cm="1">
        <f t="array" aca="1" ref="B1" ca="1">_xlfn.LET(_xlpm.fn, CELL("filename",$A$1), _xlpm.nm, MID(_xlpm.fn, FIND("]", _xlpm.fn) + 1, 255), _xlfn.XLOOKUP(_xlpm.nm &amp; "(*", Lamb!$A$2:$A$1000, Lamb!$A$2:$A$1000, "", 2))</f>
        <v>transform_array(arr, dir)</v>
      </c>
      <c r="C1" s="95"/>
      <c r="D1" s="95"/>
      <c r="E1" s="95"/>
      <c r="F1" s="96"/>
      <c r="H1" s="45" t="s">
        <v>2</v>
      </c>
      <c r="I1" s="94"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98"/>
      <c r="D2" s="98"/>
      <c r="E2" s="98"/>
      <c r="F2" s="98"/>
      <c r="G2" s="98"/>
      <c r="H2" s="98"/>
      <c r="I2" s="98"/>
      <c r="J2" s="98"/>
      <c r="K2" s="98"/>
      <c r="L2" s="98"/>
      <c r="M2" s="98"/>
      <c r="N2" s="98"/>
      <c r="O2" s="98"/>
      <c r="P2" s="98"/>
      <c r="Q2" s="98"/>
      <c r="R2" s="98"/>
    </row>
    <row r="4" spans="1:18" x14ac:dyDescent="0.5">
      <c r="A4" s="45" t="s">
        <v>3284</v>
      </c>
      <c r="P4" s="45" t="str">
        <f>COUNTIF(P6:P25,"PASS")&amp;" / 7 PASS"</f>
        <v>7 / 7 PASS</v>
      </c>
    </row>
    <row r="5" spans="1:18" x14ac:dyDescent="0.5">
      <c r="A5" s="45" t="s">
        <v>7</v>
      </c>
      <c r="B5" s="45" t="s">
        <v>8</v>
      </c>
      <c r="D5" s="45" t="s">
        <v>9</v>
      </c>
      <c r="J5" s="48" t="s">
        <v>10</v>
      </c>
      <c r="M5" s="49" t="s">
        <v>11</v>
      </c>
      <c r="P5" s="50" t="s">
        <v>12</v>
      </c>
    </row>
    <row r="6" spans="1:18" x14ac:dyDescent="0.5">
      <c r="A6" s="46">
        <v>1</v>
      </c>
      <c r="B6" s="47" t="s">
        <v>3285</v>
      </c>
      <c r="D6" s="51">
        <v>1</v>
      </c>
      <c r="E6" s="51">
        <v>2</v>
      </c>
      <c r="G6" s="51" t="s">
        <v>538</v>
      </c>
      <c r="J6" s="52">
        <v>2</v>
      </c>
      <c r="K6" s="52">
        <v>1</v>
      </c>
      <c r="M6" s="53" cm="1">
        <f t="array" ref="M6:N7">transform_array(D6:E7,G6)</f>
        <v>2</v>
      </c>
      <c r="N6" s="53">
        <v>1</v>
      </c>
      <c r="P6" s="54" t="str" cm="1">
        <f t="array" ref="P6">IF(AND(J6:K7=M6:N7),"PASS","FAIL")</f>
        <v>PASS</v>
      </c>
    </row>
    <row r="7" spans="1:18" x14ac:dyDescent="0.5">
      <c r="A7" s="55"/>
      <c r="B7" s="55"/>
      <c r="D7" s="51">
        <v>3</v>
      </c>
      <c r="E7" s="51">
        <v>4</v>
      </c>
      <c r="J7" s="52">
        <v>4</v>
      </c>
      <c r="K7" s="52">
        <v>3</v>
      </c>
      <c r="M7" s="53">
        <v>4</v>
      </c>
      <c r="N7" s="53">
        <v>3</v>
      </c>
    </row>
    <row r="9" spans="1:18" x14ac:dyDescent="0.5">
      <c r="A9" s="46">
        <v>2</v>
      </c>
      <c r="B9" s="47" t="s">
        <v>3286</v>
      </c>
      <c r="D9" s="51">
        <v>1</v>
      </c>
      <c r="E9" s="51">
        <v>2</v>
      </c>
      <c r="G9" s="51" t="s">
        <v>555</v>
      </c>
      <c r="J9" s="52">
        <v>3</v>
      </c>
      <c r="K9" s="52">
        <v>4</v>
      </c>
      <c r="M9" s="53" cm="1">
        <f t="array" ref="M9:N10">transform_array(D9:E10,G9)</f>
        <v>3</v>
      </c>
      <c r="N9" s="53">
        <v>4</v>
      </c>
      <c r="P9" s="54" t="str" cm="1">
        <f t="array" ref="P9">IF(AND(J9:K10=M9:N10),"PASS","FAIL")</f>
        <v>PASS</v>
      </c>
    </row>
    <row r="10" spans="1:18" x14ac:dyDescent="0.5">
      <c r="A10" s="55"/>
      <c r="B10" s="55"/>
      <c r="D10" s="51">
        <v>3</v>
      </c>
      <c r="E10" s="51">
        <v>4</v>
      </c>
      <c r="J10" s="52">
        <v>1</v>
      </c>
      <c r="K10" s="52">
        <v>2</v>
      </c>
      <c r="M10" s="53">
        <v>1</v>
      </c>
      <c r="N10" s="53">
        <v>2</v>
      </c>
    </row>
    <row r="12" spans="1:18" x14ac:dyDescent="0.5">
      <c r="A12" s="46">
        <v>3</v>
      </c>
      <c r="B12" s="47" t="s">
        <v>3287</v>
      </c>
      <c r="D12" s="51">
        <v>1</v>
      </c>
      <c r="E12" s="51">
        <v>2</v>
      </c>
      <c r="G12" s="51" t="s">
        <v>564</v>
      </c>
      <c r="J12" s="52">
        <v>3</v>
      </c>
      <c r="K12" s="52">
        <v>1</v>
      </c>
      <c r="M12" s="53" cm="1">
        <f t="array" ref="M12:N13">transform_array(D12:E13,G12)</f>
        <v>3</v>
      </c>
      <c r="N12" s="53">
        <v>1</v>
      </c>
      <c r="P12" s="54" t="str" cm="1">
        <f t="array" ref="P12">IF(AND(J12:K13=M12:N13),"PASS","FAIL")</f>
        <v>PASS</v>
      </c>
    </row>
    <row r="13" spans="1:18" x14ac:dyDescent="0.5">
      <c r="A13" s="55"/>
      <c r="B13" s="55"/>
      <c r="D13" s="51">
        <v>3</v>
      </c>
      <c r="E13" s="51">
        <v>4</v>
      </c>
      <c r="J13" s="52">
        <v>4</v>
      </c>
      <c r="K13" s="52">
        <v>2</v>
      </c>
      <c r="M13" s="53">
        <v>4</v>
      </c>
      <c r="N13" s="53">
        <v>2</v>
      </c>
    </row>
    <row r="15" spans="1:18" x14ac:dyDescent="0.5">
      <c r="A15" s="46">
        <v>4</v>
      </c>
      <c r="B15" s="47" t="s">
        <v>3288</v>
      </c>
      <c r="D15" s="51">
        <v>1</v>
      </c>
      <c r="E15" s="51">
        <v>2</v>
      </c>
      <c r="G15" s="51" t="s">
        <v>573</v>
      </c>
      <c r="J15" s="52">
        <v>2</v>
      </c>
      <c r="K15" s="52">
        <v>4</v>
      </c>
      <c r="M15" s="53" cm="1">
        <f t="array" ref="M15:N16">transform_array(D15:E16,G15)</f>
        <v>2</v>
      </c>
      <c r="N15" s="53">
        <v>4</v>
      </c>
      <c r="P15" s="54" t="str" cm="1">
        <f t="array" ref="P15">IF(AND(J15:K16=M15:N16),"PASS","FAIL")</f>
        <v>PASS</v>
      </c>
    </row>
    <row r="16" spans="1:18" x14ac:dyDescent="0.5">
      <c r="A16" s="55"/>
      <c r="B16" s="55"/>
      <c r="D16" s="51">
        <v>3</v>
      </c>
      <c r="E16" s="51">
        <v>4</v>
      </c>
      <c r="J16" s="52">
        <v>1</v>
      </c>
      <c r="K16" s="52">
        <v>3</v>
      </c>
      <c r="M16" s="53">
        <v>1</v>
      </c>
      <c r="N16" s="53">
        <v>3</v>
      </c>
    </row>
    <row r="18" spans="1:16" x14ac:dyDescent="0.5">
      <c r="A18" s="46">
        <v>5</v>
      </c>
      <c r="B18" s="47" t="s">
        <v>3289</v>
      </c>
      <c r="D18" s="51">
        <v>1</v>
      </c>
      <c r="E18" s="51">
        <v>2</v>
      </c>
      <c r="G18" s="51" t="s">
        <v>3290</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3291</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3380</v>
      </c>
      <c r="J25" s="52" t="s">
        <v>3381</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99" t="str" cm="1">
        <f t="array" aca="1" ref="B1" ca="1">_xlfn.LET(_xlpm.fn, CELL("filename",$A$1), _xlpm.nm, MID(_xlpm.fn, FIND("]", _xlpm.fn) + 1, 255), _xlfn.XLOOKUP(_xlpm.nm &amp; "(*", Lamb!$A$2:$A$1000, Lamb!$A$2:$A$1000, "", 2))</f>
        <v>update_arr( array, r, c, value)</v>
      </c>
      <c r="C1" s="95"/>
      <c r="D1" s="95"/>
      <c r="E1" s="95"/>
      <c r="F1" s="96"/>
      <c r="H1" s="45" t="s">
        <v>2</v>
      </c>
      <c r="I1" s="94"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95"/>
      <c r="K1" s="95"/>
      <c r="L1" s="95"/>
      <c r="M1" s="95"/>
      <c r="N1" s="95"/>
      <c r="O1" s="95"/>
      <c r="P1" s="95"/>
      <c r="Q1" s="95"/>
      <c r="R1" s="96"/>
    </row>
    <row r="2" spans="1:22" ht="168" customHeight="1" x14ac:dyDescent="0.5">
      <c r="A2" s="45" t="s">
        <v>4</v>
      </c>
      <c r="B2" s="97" t="str" cm="1">
        <f t="array" aca="1" ref="B2" ca="1">_xlfn.LET(_xlpm.fn, CELL("filename",$A$1), _xlpm.nm, MID(_xlpm.fn, FIND("]", _xlpm.fn) + 1, 255), _xlfn.XLOOKUP(_xlpm.nm &amp; "(*", Lamb!$A$2:$A$1000, Lamb!$C$2:$C$1000, "", 2))</f>
        <v>=LAMBDA(array, r, c, value, LET(
   arr, array,
   MAKEARRAY(
      ROWS(arr),
      COLUMNS(arr),
      LAMBDA(i, j, IF((i = r) * (j = c), value, INDEX(arr, i, j)))
   )
))</v>
      </c>
      <c r="C2" s="98"/>
      <c r="D2" s="98"/>
      <c r="E2" s="98"/>
      <c r="F2" s="98"/>
      <c r="G2" s="98"/>
      <c r="H2" s="98"/>
      <c r="I2" s="98"/>
      <c r="J2" s="98"/>
      <c r="K2" s="98"/>
      <c r="L2" s="98"/>
      <c r="M2" s="98"/>
      <c r="N2" s="98"/>
      <c r="O2" s="98"/>
      <c r="P2" s="98"/>
      <c r="Q2" s="98"/>
      <c r="R2" s="98"/>
    </row>
    <row r="4" spans="1:22" x14ac:dyDescent="0.5">
      <c r="A4" s="45" t="s">
        <v>3292</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3293</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3294</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99" t="str" cm="1">
        <f t="array" aca="1" ref="B1" ca="1">_xlfn.LET(_xlpm.fn, CELL("filename",$A$1), _xlpm.nm, MID(_xlpm.fn, FIND("]", _xlpm.fn) + 1, 255), _xlfn.XLOOKUP(_xlpm.nm &amp; "(*", Lamb!$A$2:$A$1000, Lamb!$A$2:$A$1000, "", 2))</f>
        <v>xbyrow(arr, function)</v>
      </c>
      <c r="C1" s="95"/>
      <c r="D1" s="95"/>
      <c r="E1" s="95"/>
      <c r="F1" s="96"/>
      <c r="H1" s="45" t="s">
        <v>2</v>
      </c>
      <c r="I1" s="94"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95"/>
      <c r="K1" s="95"/>
      <c r="L1" s="95"/>
      <c r="M1" s="95"/>
      <c r="N1" s="95"/>
      <c r="O1" s="95"/>
      <c r="P1" s="95"/>
      <c r="Q1" s="95"/>
      <c r="R1" s="96"/>
    </row>
    <row r="2" spans="1:25" ht="63" customHeight="1" x14ac:dyDescent="0.5">
      <c r="A2" s="45" t="s">
        <v>4</v>
      </c>
      <c r="B2" s="97" t="str" cm="1">
        <f t="array" aca="1" ref="B2" ca="1">_xlfn.LET(_xlpm.fn, CELL("filename",$A$1), _xlpm.nm, MID(_xlpm.fn, FIND("]", _xlpm.fn) + 1, 255), _xlfn.XLOOKUP(_xlpm.nm &amp; "(*", Lamb!$A$2:$A$1000, Lamb!$C$2:$C$1000, "", 2))</f>
        <v>=LAMBDA(arr, function,
  IFNA(z_xbyrow_ix(arr, function, 1, ROWS(arr)), "")
)</v>
      </c>
      <c r="C2" s="98"/>
      <c r="D2" s="98"/>
      <c r="E2" s="98"/>
      <c r="F2" s="98"/>
      <c r="G2" s="98"/>
      <c r="H2" s="98"/>
      <c r="I2" s="98"/>
      <c r="J2" s="98"/>
      <c r="K2" s="98"/>
      <c r="L2" s="98"/>
      <c r="M2" s="98"/>
      <c r="N2" s="98"/>
      <c r="O2" s="98"/>
      <c r="P2" s="98"/>
      <c r="Q2" s="98"/>
      <c r="R2" s="98"/>
    </row>
    <row r="4" spans="1:25" x14ac:dyDescent="0.5">
      <c r="A4" s="45" t="s">
        <v>3295</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3296</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3297</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3298</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3299</v>
      </c>
      <c r="D18" s="51" t="s">
        <v>3128</v>
      </c>
      <c r="G18" s="52" t="s">
        <v>3004</v>
      </c>
      <c r="H18" s="52" t="s">
        <v>3100</v>
      </c>
      <c r="I18" s="52" t="s">
        <v>3132</v>
      </c>
      <c r="J18" s="52" t="s">
        <v>3129</v>
      </c>
      <c r="K18" s="52" t="s">
        <v>3130</v>
      </c>
      <c r="L18" s="52" t="s">
        <v>3007</v>
      </c>
      <c r="M18" s="52" t="s">
        <v>3096</v>
      </c>
      <c r="N18" s="52" t="s">
        <v>3069</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3300</v>
      </c>
      <c r="G19" s="52" t="s">
        <v>3301</v>
      </c>
      <c r="H19" s="52" t="s">
        <v>3137</v>
      </c>
      <c r="I19" s="52" t="s">
        <v>3076</v>
      </c>
      <c r="J19" s="52" t="s">
        <v>3302</v>
      </c>
      <c r="K19" s="52" t="s">
        <v>3303</v>
      </c>
      <c r="L19" s="52" t="s">
        <v>3304</v>
      </c>
      <c r="M19" s="52" t="s">
        <v>3305</v>
      </c>
      <c r="N19" s="52" t="s">
        <v>3306</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95"/>
  <dimension ref="A1:R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xcountif(arr, criteria)</v>
      </c>
      <c r="C1" s="95"/>
      <c r="D1" s="95"/>
      <c r="E1" s="95"/>
      <c r="F1" s="96"/>
      <c r="H1" s="45" t="s">
        <v>2</v>
      </c>
      <c r="I1" s="94"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95"/>
      <c r="K1" s="95"/>
      <c r="L1" s="95"/>
      <c r="M1" s="95"/>
      <c r="N1" s="95"/>
      <c r="O1" s="95"/>
      <c r="P1" s="95"/>
      <c r="Q1" s="95"/>
      <c r="R1" s="96"/>
    </row>
    <row r="2" spans="1:18" ht="189" customHeight="1" x14ac:dyDescent="0.5">
      <c r="A2" s="45" t="s">
        <v>4</v>
      </c>
      <c r="B2" s="97"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98"/>
      <c r="D2" s="98"/>
      <c r="E2" s="98"/>
      <c r="F2" s="98"/>
      <c r="G2" s="98"/>
      <c r="H2" s="98"/>
      <c r="I2" s="98"/>
      <c r="J2" s="98"/>
      <c r="K2" s="98"/>
      <c r="L2" s="98"/>
      <c r="M2" s="98"/>
      <c r="N2" s="98"/>
      <c r="O2" s="98"/>
      <c r="P2" s="98"/>
      <c r="Q2" s="98"/>
      <c r="R2" s="98"/>
    </row>
    <row r="4" spans="1:18" x14ac:dyDescent="0.5">
      <c r="A4" s="45" t="s">
        <v>3307</v>
      </c>
      <c r="L4" s="45" t="str">
        <f>COUNTIF(L6:L29,"PASS")&amp;" / 5 PASS"</f>
        <v>5 / 5 PASS</v>
      </c>
    </row>
    <row r="5" spans="1:18" x14ac:dyDescent="0.5">
      <c r="A5" s="45" t="s">
        <v>7</v>
      </c>
      <c r="B5" s="45" t="s">
        <v>8</v>
      </c>
      <c r="D5" s="45" t="s">
        <v>9</v>
      </c>
      <c r="H5" s="48" t="s">
        <v>10</v>
      </c>
      <c r="J5" s="49" t="s">
        <v>11</v>
      </c>
      <c r="L5" s="50" t="s">
        <v>12</v>
      </c>
    </row>
    <row r="6" spans="1:18" x14ac:dyDescent="0.5">
      <c r="A6" s="46">
        <v>1</v>
      </c>
      <c r="B6" s="47" t="s">
        <v>3308</v>
      </c>
      <c r="D6" s="51">
        <v>1</v>
      </c>
      <c r="F6" s="51">
        <v>2</v>
      </c>
      <c r="H6" s="52">
        <v>2</v>
      </c>
      <c r="J6" s="53" cm="1">
        <f t="array" ref="J6">xcountif(D6:D9,F6)</f>
        <v>2</v>
      </c>
      <c r="L6" s="54" t="str">
        <f>IF(J6=H6,"PASS","FAIL")</f>
        <v>PASS</v>
      </c>
    </row>
    <row r="7" spans="1:18" x14ac:dyDescent="0.5">
      <c r="A7" s="55"/>
      <c r="B7" s="55"/>
      <c r="D7" s="51">
        <v>2</v>
      </c>
    </row>
    <row r="8" spans="1:18" x14ac:dyDescent="0.5">
      <c r="A8" s="55"/>
      <c r="B8" s="55"/>
      <c r="D8" s="51">
        <v>2</v>
      </c>
    </row>
    <row r="9" spans="1:18" x14ac:dyDescent="0.5">
      <c r="A9" s="55"/>
      <c r="B9" s="55"/>
      <c r="D9" s="51">
        <v>3</v>
      </c>
    </row>
    <row r="11" spans="1:18" x14ac:dyDescent="0.5">
      <c r="A11" s="46">
        <v>2</v>
      </c>
      <c r="B11" s="47" t="s">
        <v>3309</v>
      </c>
      <c r="D11" s="51" t="s">
        <v>3016</v>
      </c>
      <c r="F11" s="51" t="s">
        <v>3016</v>
      </c>
      <c r="H11" s="52">
        <v>2</v>
      </c>
      <c r="J11" s="53" cm="1">
        <f t="array" ref="J11">xcountif(D11:D13,F11)</f>
        <v>2</v>
      </c>
      <c r="L11" s="54" t="str">
        <f>IF(J11=H11,"PASS","FAIL")</f>
        <v>PASS</v>
      </c>
    </row>
    <row r="12" spans="1:18" x14ac:dyDescent="0.5">
      <c r="A12" s="55"/>
      <c r="B12" s="55"/>
      <c r="D12" s="51" t="s">
        <v>3017</v>
      </c>
    </row>
    <row r="13" spans="1:18" x14ac:dyDescent="0.5">
      <c r="A13" s="55"/>
      <c r="B13" s="55"/>
      <c r="D13" s="51" t="s">
        <v>3016</v>
      </c>
    </row>
    <row r="15" spans="1:18" x14ac:dyDescent="0.5">
      <c r="A15" s="46">
        <v>3</v>
      </c>
      <c r="B15" s="47" t="s">
        <v>3310</v>
      </c>
      <c r="D15" s="51">
        <v>1</v>
      </c>
      <c r="F15" s="51">
        <v>2</v>
      </c>
      <c r="H15" s="52">
        <v>2</v>
      </c>
      <c r="J15" s="53" cm="1">
        <f t="array" ref="J15:J16">xcountif(D15:D18,F15:F16)</f>
        <v>2</v>
      </c>
      <c r="L15" s="54" t="str" cm="1">
        <f t="array" ref="L15">IF(AND(H15:H16=J15:J16),"PASS","FAIL")</f>
        <v>PASS</v>
      </c>
    </row>
    <row r="16" spans="1:18"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3311</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3312</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96"/>
  <dimension ref="A1:R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xdec2bin(number, [places])</v>
      </c>
      <c r="C1" s="95"/>
      <c r="D1" s="95"/>
      <c r="E1" s="95"/>
      <c r="F1" s="96"/>
      <c r="H1" s="45" t="s">
        <v>2</v>
      </c>
      <c r="I1" s="94"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95"/>
      <c r="K1" s="95"/>
      <c r="L1" s="95"/>
      <c r="M1" s="95"/>
      <c r="N1" s="95"/>
      <c r="O1" s="95"/>
      <c r="P1" s="95"/>
      <c r="Q1" s="95"/>
      <c r="R1" s="96"/>
    </row>
    <row r="2" spans="1:18" ht="336" customHeight="1" x14ac:dyDescent="0.5">
      <c r="A2" s="45" t="s">
        <v>4</v>
      </c>
      <c r="B2" s="97"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98"/>
      <c r="D2" s="98"/>
      <c r="E2" s="98"/>
      <c r="F2" s="98"/>
      <c r="G2" s="98"/>
      <c r="H2" s="98"/>
      <c r="I2" s="98"/>
      <c r="J2" s="98"/>
      <c r="K2" s="98"/>
      <c r="L2" s="98"/>
      <c r="M2" s="98"/>
      <c r="N2" s="98"/>
      <c r="O2" s="98"/>
      <c r="P2" s="98"/>
      <c r="Q2" s="98"/>
      <c r="R2" s="98"/>
    </row>
    <row r="4" spans="1:18" x14ac:dyDescent="0.5">
      <c r="A4" s="45" t="s">
        <v>3313</v>
      </c>
      <c r="L4" s="45" t="str">
        <f>COUNTIF(L6:L18,"PASS")&amp;" / 6 PASS"</f>
        <v>6 / 6 PASS</v>
      </c>
    </row>
    <row r="5" spans="1:18" x14ac:dyDescent="0.5">
      <c r="A5" s="45" t="s">
        <v>7</v>
      </c>
      <c r="B5" s="45" t="s">
        <v>8</v>
      </c>
      <c r="D5" s="45" t="s">
        <v>9</v>
      </c>
      <c r="H5" s="48" t="s">
        <v>10</v>
      </c>
      <c r="J5" s="49" t="s">
        <v>11</v>
      </c>
      <c r="L5" s="50" t="s">
        <v>12</v>
      </c>
    </row>
    <row r="6" spans="1:18" x14ac:dyDescent="0.5">
      <c r="A6" s="46">
        <v>1</v>
      </c>
      <c r="B6" s="47" t="s">
        <v>3314</v>
      </c>
      <c r="D6" s="51">
        <v>5</v>
      </c>
      <c r="H6" s="52" t="s">
        <v>3315</v>
      </c>
      <c r="J6" s="53" t="str" cm="1">
        <f t="array" ref="J6">xdec2bin(D6)</f>
        <v>101</v>
      </c>
      <c r="L6" s="54" t="str">
        <f>IF(J6=H6,"PASS","FAIL")</f>
        <v>PASS</v>
      </c>
    </row>
    <row r="8" spans="1:18" x14ac:dyDescent="0.5">
      <c r="A8" s="46">
        <v>2</v>
      </c>
      <c r="B8" s="47" t="s">
        <v>3316</v>
      </c>
      <c r="D8" s="51">
        <v>5</v>
      </c>
      <c r="F8" s="51">
        <v>8</v>
      </c>
      <c r="H8" s="52" t="s">
        <v>3317</v>
      </c>
      <c r="J8" s="53" t="str" cm="1">
        <f t="array" ref="J8">xdec2bin(D8,F8)</f>
        <v>00000101</v>
      </c>
      <c r="L8" s="54" t="str">
        <f>IF(J8=H8,"PASS","FAIL")</f>
        <v>PASS</v>
      </c>
    </row>
    <row r="10" spans="1:18" x14ac:dyDescent="0.5">
      <c r="A10" s="46">
        <v>3</v>
      </c>
      <c r="B10" s="47" t="s">
        <v>3318</v>
      </c>
      <c r="D10" s="51">
        <v>0</v>
      </c>
      <c r="H10" s="52" t="s">
        <v>3319</v>
      </c>
      <c r="J10" s="53" t="str" cm="1">
        <f t="array" ref="J10">xdec2bin(D10)</f>
        <v>0</v>
      </c>
      <c r="L10" s="54" t="str">
        <f>IF(J10=H10,"PASS","FAIL")</f>
        <v>PASS</v>
      </c>
    </row>
    <row r="12" spans="1:18" x14ac:dyDescent="0.5">
      <c r="A12" s="46">
        <v>4</v>
      </c>
      <c r="B12" s="47" t="s">
        <v>3320</v>
      </c>
      <c r="D12" s="51">
        <v>0</v>
      </c>
      <c r="F12" s="51">
        <v>4</v>
      </c>
      <c r="H12" s="52" t="s">
        <v>3321</v>
      </c>
      <c r="J12" s="53" t="str" cm="1">
        <f t="array" ref="J12">xdec2bin(D12,F12)</f>
        <v>0000</v>
      </c>
      <c r="L12" s="54" t="str">
        <f>IF(J12=H12,"PASS","FAIL")</f>
        <v>PASS</v>
      </c>
    </row>
    <row r="14" spans="1:18" x14ac:dyDescent="0.5">
      <c r="A14" s="46">
        <v>5</v>
      </c>
      <c r="B14" s="47" t="s">
        <v>3322</v>
      </c>
      <c r="D14" s="51">
        <v>10</v>
      </c>
      <c r="H14" s="52" t="s">
        <v>3323</v>
      </c>
      <c r="J14" s="53" t="str" cm="1">
        <f t="array" ref="J14">xdec2bin(D14)</f>
        <v>1010</v>
      </c>
      <c r="L14" s="54" t="str">
        <f>IF(J14=H14,"PASS","FAIL")</f>
        <v>PASS</v>
      </c>
    </row>
    <row r="16" spans="1:18" x14ac:dyDescent="0.5">
      <c r="A16" s="46">
        <v>6</v>
      </c>
      <c r="B16" s="47" t="s">
        <v>3324</v>
      </c>
      <c r="D16" s="51">
        <v>-1</v>
      </c>
      <c r="F16" s="51">
        <v>4</v>
      </c>
      <c r="H16" s="52" t="s">
        <v>3325</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99" t="str" cm="1">
        <f t="array" aca="1" ref="B1" ca="1">_xlfn.LET(_xlpm.fn, CELL("filename",$A$1), _xlpm.nm, MID(_xlpm.fn, FIND("]", _xlpm.fn) + 1, 255), _xlfn.XLOOKUP(_xlpm.nm &amp; "(*", Lamb!$A$2:$A$1000, Lamb!$A$2:$A$1000, "", 2))</f>
        <v>xfilter(arr, f_1, [f_2], [f_3], [f_4], [f_5])</v>
      </c>
      <c r="C1" s="95"/>
      <c r="D1" s="95"/>
      <c r="E1" s="95"/>
      <c r="F1" s="96"/>
      <c r="H1" s="45" t="s">
        <v>2</v>
      </c>
      <c r="I1" s="94"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95"/>
      <c r="K1" s="95"/>
      <c r="L1" s="95"/>
      <c r="M1" s="95"/>
      <c r="N1" s="95"/>
      <c r="O1" s="95"/>
      <c r="P1" s="95"/>
      <c r="Q1" s="95"/>
      <c r="R1" s="96"/>
    </row>
    <row r="2" spans="1:22" ht="315" customHeight="1" x14ac:dyDescent="0.5">
      <c r="A2" s="45" t="s">
        <v>4</v>
      </c>
      <c r="B2" s="97"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98"/>
      <c r="D2" s="98"/>
      <c r="E2" s="98"/>
      <c r="F2" s="98"/>
      <c r="G2" s="98"/>
      <c r="H2" s="98"/>
      <c r="I2" s="98"/>
      <c r="J2" s="98"/>
      <c r="K2" s="98"/>
      <c r="L2" s="98"/>
      <c r="M2" s="98"/>
      <c r="N2" s="98"/>
      <c r="O2" s="98"/>
      <c r="P2" s="98"/>
      <c r="Q2" s="98"/>
      <c r="R2" s="98"/>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9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5" t="s">
        <v>0</v>
      </c>
      <c r="B1" s="99" t="str" cm="1">
        <f t="array" aca="1" ref="B1" ca="1">_xlfn.LET(_xlpm.fn, CELL("filename",$A$1), _xlpm.nm, MID(_xlpm.fn, FIND("]", _xlpm.fn) + 1, 255), _xlfn.XLOOKUP(_xlpm.nm &amp; "(*", Lamb!$A$2:$A$1000, Lamb!$A$2:$A$1000, "", 2))</f>
        <v>xmod(a, b)</v>
      </c>
      <c r="C1" s="95"/>
      <c r="D1" s="95"/>
      <c r="E1" s="95"/>
      <c r="F1" s="96"/>
      <c r="H1" s="45" t="s">
        <v>2</v>
      </c>
      <c r="I1" s="94"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95"/>
      <c r="K1" s="95"/>
      <c r="L1" s="95"/>
      <c r="M1" s="95"/>
      <c r="N1" s="95"/>
      <c r="O1" s="95"/>
      <c r="P1" s="95"/>
      <c r="Q1" s="95"/>
      <c r="R1" s="96"/>
    </row>
    <row r="2" spans="1:18" ht="21" customHeight="1" x14ac:dyDescent="0.5">
      <c r="A2" s="45" t="s">
        <v>4</v>
      </c>
      <c r="B2" s="97" t="str" cm="1">
        <f t="array" aca="1" ref="B2" ca="1">_xlfn.LET(_xlpm.fn, CELL("filename",$A$1), _xlpm.nm, MID(_xlpm.fn, FIND("]", _xlpm.fn) + 1, 255), _xlfn.XLOOKUP(_xlpm.nm &amp; "(*", Lamb!$A$2:$A$1000, Lamb!$C$2:$C$1000, "", 2))</f>
        <v>=LAMBDA(a, b, IF(MOD(a, b) = 0, b, MOD(a, b)))</v>
      </c>
      <c r="C2" s="98"/>
      <c r="D2" s="98"/>
      <c r="E2" s="98"/>
      <c r="F2" s="98"/>
      <c r="G2" s="98"/>
      <c r="H2" s="98"/>
      <c r="I2" s="98"/>
      <c r="J2" s="98"/>
      <c r="K2" s="98"/>
      <c r="L2" s="98"/>
      <c r="M2" s="98"/>
      <c r="N2" s="98"/>
      <c r="O2" s="98"/>
      <c r="P2" s="98"/>
      <c r="Q2" s="98"/>
      <c r="R2" s="98"/>
    </row>
    <row r="4" spans="1:18" x14ac:dyDescent="0.5">
      <c r="A4" s="45" t="s">
        <v>3326</v>
      </c>
      <c r="L4" s="45" t="str">
        <f>COUNTIF(L6:L18,"PASS")&amp;" / 6 PASS"</f>
        <v>6 / 6 PASS</v>
      </c>
    </row>
    <row r="5" spans="1:18" x14ac:dyDescent="0.5">
      <c r="A5" s="45" t="s">
        <v>7</v>
      </c>
      <c r="B5" s="45" t="s">
        <v>8</v>
      </c>
      <c r="D5" s="45" t="s">
        <v>9</v>
      </c>
      <c r="H5" s="48" t="s">
        <v>10</v>
      </c>
      <c r="J5" s="49" t="s">
        <v>11</v>
      </c>
      <c r="L5" s="50" t="s">
        <v>12</v>
      </c>
    </row>
    <row r="6" spans="1:18" x14ac:dyDescent="0.5">
      <c r="A6" s="46">
        <v>1</v>
      </c>
      <c r="B6" s="47" t="s">
        <v>3327</v>
      </c>
      <c r="D6" s="51">
        <v>6</v>
      </c>
      <c r="F6" s="51">
        <v>3</v>
      </c>
      <c r="H6" s="52">
        <v>3</v>
      </c>
      <c r="J6" s="53" cm="1">
        <f t="array" ref="J6">xmod(D6,F6)</f>
        <v>3</v>
      </c>
      <c r="L6" s="54" t="str">
        <f>IF(J6=H6,"PASS","FAIL")</f>
        <v>PASS</v>
      </c>
    </row>
    <row r="8" spans="1:18" x14ac:dyDescent="0.5">
      <c r="A8" s="46">
        <v>2</v>
      </c>
      <c r="B8" s="47" t="s">
        <v>3328</v>
      </c>
      <c r="D8" s="51">
        <v>7</v>
      </c>
      <c r="F8" s="51">
        <v>3</v>
      </c>
      <c r="H8" s="52">
        <v>1</v>
      </c>
      <c r="J8" s="53" cm="1">
        <f t="array" ref="J8">xmod(D8,F8)</f>
        <v>1</v>
      </c>
      <c r="L8" s="54" t="str">
        <f>IF(J8=H8,"PASS","FAIL")</f>
        <v>PASS</v>
      </c>
    </row>
    <row r="10" spans="1:18" x14ac:dyDescent="0.5">
      <c r="A10" s="46">
        <v>3</v>
      </c>
      <c r="B10" s="47" t="s">
        <v>3329</v>
      </c>
      <c r="D10" s="51">
        <v>5</v>
      </c>
      <c r="F10" s="51">
        <v>5</v>
      </c>
      <c r="H10" s="52">
        <v>5</v>
      </c>
      <c r="J10" s="53" cm="1">
        <f t="array" ref="J10">xmod(D10,F10)</f>
        <v>5</v>
      </c>
      <c r="L10" s="54" t="str">
        <f>IF(J10=H10,"PASS","FAIL")</f>
        <v>PASS</v>
      </c>
    </row>
    <row r="12" spans="1:18" x14ac:dyDescent="0.5">
      <c r="A12" s="46">
        <v>4</v>
      </c>
      <c r="B12" s="47" t="s">
        <v>3330</v>
      </c>
      <c r="D12" s="51">
        <v>10</v>
      </c>
      <c r="F12" s="51">
        <v>4</v>
      </c>
      <c r="H12" s="52">
        <v>2</v>
      </c>
      <c r="J12" s="53" cm="1">
        <f t="array" ref="J12">xmod(D12,F12)</f>
        <v>2</v>
      </c>
      <c r="L12" s="54" t="str">
        <f>IF(J12=H12,"PASS","FAIL")</f>
        <v>PASS</v>
      </c>
    </row>
    <row r="14" spans="1:18" x14ac:dyDescent="0.5">
      <c r="A14" s="46">
        <v>5</v>
      </c>
      <c r="B14" s="47" t="s">
        <v>3331</v>
      </c>
      <c r="D14" s="51">
        <v>12</v>
      </c>
      <c r="F14" s="51">
        <v>6</v>
      </c>
      <c r="H14" s="52">
        <v>6</v>
      </c>
      <c r="J14" s="53" cm="1">
        <f t="array" ref="J14">xmod(D14,F14)</f>
        <v>6</v>
      </c>
      <c r="L14" s="54" t="str">
        <f>IF(J14=H14,"PASS","FAIL")</f>
        <v>PASS</v>
      </c>
    </row>
    <row r="16" spans="1:18" x14ac:dyDescent="0.5">
      <c r="A16" s="46">
        <v>6</v>
      </c>
      <c r="B16" s="47" t="s">
        <v>3332</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99"/>
  <dimension ref="A1:R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5" t="s">
        <v>0</v>
      </c>
      <c r="B1" s="99" t="str" cm="1">
        <f t="array" aca="1" ref="B1" ca="1">_xlfn.LET(_xlpm.fn, CELL("filename",$A$1), _xlpm.nm, MID(_xlpm.fn, FIND("]", _xlpm.fn) + 1, 255), _xlfn.XLOOKUP(_xlpm.nm &amp; "(*", Lamb!$A$2:$A$1000, Lamb!$A$2:$A$1000, "", 2))</f>
        <v>xn(value_or_array)</v>
      </c>
      <c r="C1" s="95"/>
      <c r="D1" s="95"/>
      <c r="E1" s="95"/>
      <c r="F1" s="96"/>
      <c r="H1" s="45" t="s">
        <v>2</v>
      </c>
      <c r="I1" s="94"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95"/>
      <c r="K1" s="95"/>
      <c r="L1" s="95"/>
      <c r="M1" s="95"/>
      <c r="N1" s="95"/>
      <c r="O1" s="95"/>
      <c r="P1" s="95"/>
      <c r="Q1" s="95"/>
      <c r="R1" s="96"/>
    </row>
    <row r="2" spans="1:18" ht="294" customHeight="1" x14ac:dyDescent="0.5">
      <c r="A2" s="45" t="s">
        <v>4</v>
      </c>
      <c r="B2" s="97"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98"/>
      <c r="D2" s="98"/>
      <c r="E2" s="98"/>
      <c r="F2" s="98"/>
      <c r="G2" s="98"/>
      <c r="H2" s="98"/>
      <c r="I2" s="98"/>
      <c r="J2" s="98"/>
      <c r="K2" s="98"/>
      <c r="L2" s="98"/>
      <c r="M2" s="98"/>
      <c r="N2" s="98"/>
      <c r="O2" s="98"/>
      <c r="P2" s="98"/>
      <c r="Q2" s="98"/>
      <c r="R2" s="98"/>
    </row>
    <row r="4" spans="1:18" x14ac:dyDescent="0.5">
      <c r="A4" s="45" t="s">
        <v>3333</v>
      </c>
      <c r="J4" s="45" t="str">
        <f>COUNTIF(J6:J18,"PASS")&amp;" / 5 PASS"</f>
        <v>5 / 5 PASS</v>
      </c>
    </row>
    <row r="5" spans="1:18" x14ac:dyDescent="0.5">
      <c r="A5" s="45" t="s">
        <v>7</v>
      </c>
      <c r="B5" s="45" t="s">
        <v>8</v>
      </c>
      <c r="D5" s="45" t="s">
        <v>9</v>
      </c>
      <c r="F5" s="48" t="s">
        <v>10</v>
      </c>
      <c r="H5" s="49" t="s">
        <v>11</v>
      </c>
      <c r="J5" s="50" t="s">
        <v>12</v>
      </c>
    </row>
    <row r="6" spans="1:18" x14ac:dyDescent="0.5">
      <c r="A6" s="46">
        <v>1</v>
      </c>
      <c r="B6" s="47" t="s">
        <v>3334</v>
      </c>
      <c r="D6" s="51" t="s">
        <v>3335</v>
      </c>
      <c r="F6" s="52">
        <v>42</v>
      </c>
      <c r="H6" s="53" cm="1">
        <f t="array" ref="H6">xn(D6)</f>
        <v>42</v>
      </c>
      <c r="J6" s="54" t="str">
        <f>IF(H6=F6,"PASS","FAIL")</f>
        <v>PASS</v>
      </c>
    </row>
    <row r="8" spans="1:18" x14ac:dyDescent="0.5">
      <c r="A8" s="46">
        <v>2</v>
      </c>
      <c r="B8" s="47" t="s">
        <v>3336</v>
      </c>
      <c r="D8" s="51" t="b">
        <v>1</v>
      </c>
      <c r="F8" s="52">
        <v>1</v>
      </c>
      <c r="H8" s="53" cm="1">
        <f t="array" ref="H8">xn(D8)</f>
        <v>1</v>
      </c>
      <c r="J8" s="54" t="str">
        <f>IF(H8=F8,"PASS","FAIL")</f>
        <v>PASS</v>
      </c>
    </row>
    <row r="10" spans="1:18" x14ac:dyDescent="0.5">
      <c r="A10" s="46">
        <v>3</v>
      </c>
      <c r="B10" s="47" t="s">
        <v>3337</v>
      </c>
      <c r="D10" s="51" t="s">
        <v>3154</v>
      </c>
      <c r="F10" s="52" t="s">
        <v>3154</v>
      </c>
      <c r="H10" s="53" t="str" cm="1">
        <f t="array" ref="H10">xn(D10)</f>
        <v>abc</v>
      </c>
      <c r="J10" s="54" t="str">
        <f>IF(H10=F10,"PASS","FAIL")</f>
        <v>PASS</v>
      </c>
    </row>
    <row r="12" spans="1:18" x14ac:dyDescent="0.5">
      <c r="A12" s="46">
        <v>4</v>
      </c>
      <c r="B12" s="47" t="s">
        <v>3338</v>
      </c>
      <c r="D12" s="51"/>
      <c r="F12" s="52"/>
      <c r="H12" s="53" t="str" cm="1">
        <f t="array" ref="H12">xn(D12)</f>
        <v/>
      </c>
      <c r="J12" s="54" t="str">
        <f>IF(H12=F12,"PASS","FAIL")</f>
        <v>PASS</v>
      </c>
    </row>
    <row r="14" spans="1:18" x14ac:dyDescent="0.5">
      <c r="A14" s="46">
        <v>5</v>
      </c>
      <c r="B14" s="47" t="s">
        <v>3339</v>
      </c>
      <c r="D14" s="51" t="s">
        <v>577</v>
      </c>
      <c r="F14" s="52">
        <v>1</v>
      </c>
      <c r="H14" s="53" cm="1">
        <f t="array" ref="H14:H16">xn(D14:D16)</f>
        <v>1</v>
      </c>
      <c r="J14" s="54" t="str" cm="1">
        <f t="array" ref="J14">IF(AND(F14:F16=H14:H16),"PASS","FAIL")</f>
        <v>PASS</v>
      </c>
    </row>
    <row r="15" spans="1:18" x14ac:dyDescent="0.5">
      <c r="A15" s="55"/>
      <c r="B15" s="55"/>
      <c r="D15" s="51" t="s">
        <v>136</v>
      </c>
      <c r="F15" s="52">
        <v>2</v>
      </c>
      <c r="H15" s="53">
        <v>2</v>
      </c>
    </row>
    <row r="16" spans="1:18" x14ac:dyDescent="0.5">
      <c r="A16" s="55"/>
      <c r="B16" s="55"/>
      <c r="D16" s="51" t="s">
        <v>3036</v>
      </c>
      <c r="F16" s="52" t="s">
        <v>3036</v>
      </c>
      <c r="H16" s="53" t="str">
        <v>x</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00"/>
  <dimension ref="A1:R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5" t="s">
        <v>0</v>
      </c>
      <c r="B1" s="99" t="str" cm="1">
        <f t="array" aca="1" ref="B1" ca="1">_xlfn.LET(_xlpm.fn, CELL("filename",$A$1), _xlpm.nm, MID(_xlpm.fn, FIND("]", _xlpm.fn) + 1, 255), _xlfn.XLOOKUP(_xlpm.nm &amp; "(*", Lamb!$A$2:$A$1000, Lamb!$A$2:$A$1000, "", 2))</f>
        <v>xrank(value, array, [order])</v>
      </c>
      <c r="C1" s="95"/>
      <c r="D1" s="95"/>
      <c r="E1" s="95"/>
      <c r="F1" s="96"/>
      <c r="H1" s="45" t="s">
        <v>2</v>
      </c>
      <c r="I1" s="94"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95"/>
      <c r="K1" s="95"/>
      <c r="L1" s="95"/>
      <c r="M1" s="95"/>
      <c r="N1" s="95"/>
      <c r="O1" s="95"/>
      <c r="P1" s="95"/>
      <c r="Q1" s="95"/>
      <c r="R1" s="96"/>
    </row>
    <row r="2" spans="1:18" ht="105" customHeight="1" x14ac:dyDescent="0.5">
      <c r="A2" s="45" t="s">
        <v>4</v>
      </c>
      <c r="B2" s="97"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98"/>
      <c r="D2" s="98"/>
      <c r="E2" s="98"/>
      <c r="F2" s="98"/>
      <c r="G2" s="98"/>
      <c r="H2" s="98"/>
      <c r="I2" s="98"/>
      <c r="J2" s="98"/>
      <c r="K2" s="98"/>
      <c r="L2" s="98"/>
      <c r="M2" s="98"/>
      <c r="N2" s="98"/>
      <c r="O2" s="98"/>
      <c r="P2" s="98"/>
      <c r="Q2" s="98"/>
      <c r="R2" s="98"/>
    </row>
    <row r="4" spans="1:18" x14ac:dyDescent="0.5">
      <c r="A4" s="45" t="s">
        <v>3340</v>
      </c>
      <c r="N4" s="45" t="str">
        <f>COUNTIF(N6:N25,"PASS")&amp;" / 6 PASS"</f>
        <v>6 / 6 PASS</v>
      </c>
    </row>
    <row r="5" spans="1:18" x14ac:dyDescent="0.5">
      <c r="A5" s="45" t="s">
        <v>7</v>
      </c>
      <c r="B5" s="45" t="s">
        <v>8</v>
      </c>
      <c r="D5" s="45" t="s">
        <v>9</v>
      </c>
      <c r="J5" s="48" t="s">
        <v>10</v>
      </c>
      <c r="L5" s="49" t="s">
        <v>11</v>
      </c>
      <c r="N5" s="50" t="s">
        <v>12</v>
      </c>
    </row>
    <row r="6" spans="1:18" x14ac:dyDescent="0.5">
      <c r="A6" s="46">
        <v>1</v>
      </c>
      <c r="B6" s="47" t="s">
        <v>3341</v>
      </c>
      <c r="D6" s="51">
        <v>50</v>
      </c>
      <c r="F6" s="51">
        <v>10</v>
      </c>
      <c r="J6" s="52">
        <v>1</v>
      </c>
      <c r="L6" s="53" cm="1">
        <f t="array" ref="L6">xrank(D6,F6:F8)</f>
        <v>1</v>
      </c>
      <c r="N6" s="54" t="str">
        <f>IF(L6=J6,"PASS","FAIL")</f>
        <v>PASS</v>
      </c>
    </row>
    <row r="7" spans="1:18" x14ac:dyDescent="0.5">
      <c r="A7" s="55"/>
      <c r="B7" s="55"/>
      <c r="F7" s="51">
        <v>50</v>
      </c>
    </row>
    <row r="8" spans="1:18" x14ac:dyDescent="0.5">
      <c r="A8" s="55"/>
      <c r="B8" s="55"/>
      <c r="F8" s="51">
        <v>30</v>
      </c>
    </row>
    <row r="10" spans="1:18" x14ac:dyDescent="0.5">
      <c r="A10" s="46">
        <v>2</v>
      </c>
      <c r="B10" s="47" t="s">
        <v>3342</v>
      </c>
      <c r="D10" s="51">
        <v>30</v>
      </c>
      <c r="F10" s="51">
        <v>10</v>
      </c>
      <c r="J10" s="52">
        <v>2</v>
      </c>
      <c r="L10" s="53" cm="1">
        <f t="array" ref="L10">xrank(D10,F10:F12)</f>
        <v>2</v>
      </c>
      <c r="N10" s="54" t="str">
        <f>IF(L10=J10,"PASS","FAIL")</f>
        <v>PASS</v>
      </c>
    </row>
    <row r="11" spans="1:18" x14ac:dyDescent="0.5">
      <c r="A11" s="55"/>
      <c r="B11" s="55"/>
      <c r="F11" s="51">
        <v>50</v>
      </c>
    </row>
    <row r="12" spans="1:18" x14ac:dyDescent="0.5">
      <c r="A12" s="55"/>
      <c r="B12" s="55"/>
      <c r="F12" s="51">
        <v>30</v>
      </c>
    </row>
    <row r="14" spans="1:18" x14ac:dyDescent="0.5">
      <c r="A14" s="46">
        <v>3</v>
      </c>
      <c r="B14" s="47" t="s">
        <v>3343</v>
      </c>
      <c r="D14" s="51">
        <v>10</v>
      </c>
      <c r="F14" s="51">
        <v>10</v>
      </c>
      <c r="H14" s="51">
        <v>1</v>
      </c>
      <c r="J14" s="52">
        <v>1</v>
      </c>
      <c r="L14" s="53" cm="1">
        <f t="array" ref="L14">xrank(D14,F14:F16,H14)</f>
        <v>1</v>
      </c>
      <c r="N14" s="54" t="str">
        <f>IF(L14=J14,"PASS","FAIL")</f>
        <v>PASS</v>
      </c>
    </row>
    <row r="15" spans="1:18" x14ac:dyDescent="0.5">
      <c r="A15" s="55"/>
      <c r="B15" s="55"/>
      <c r="F15" s="51">
        <v>50</v>
      </c>
    </row>
    <row r="16" spans="1:18" x14ac:dyDescent="0.5">
      <c r="A16" s="55"/>
      <c r="B16" s="55"/>
      <c r="F16" s="51">
        <v>30</v>
      </c>
    </row>
    <row r="18" spans="1:14" x14ac:dyDescent="0.5">
      <c r="A18" s="46">
        <v>4</v>
      </c>
      <c r="B18" s="47" t="s">
        <v>3344</v>
      </c>
      <c r="D18" s="51">
        <v>50</v>
      </c>
      <c r="F18" s="51">
        <v>10</v>
      </c>
      <c r="G18" s="51">
        <v>50</v>
      </c>
      <c r="H18" s="51">
        <v>30</v>
      </c>
      <c r="J18" s="52">
        <v>1</v>
      </c>
      <c r="L18" s="53" cm="1">
        <f t="array" ref="L18">xrank(D18,F18:H18)</f>
        <v>1</v>
      </c>
      <c r="N18" s="54" t="str">
        <f>IF(L18=J18,"PASS","FAIL")</f>
        <v>PASS</v>
      </c>
    </row>
    <row r="20" spans="1:14" x14ac:dyDescent="0.5">
      <c r="A20" s="46">
        <v>5</v>
      </c>
      <c r="B20" s="47" t="s">
        <v>3345</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3382</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01"/>
  <dimension ref="A1:R36"/>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8" ht="294" customHeight="1" x14ac:dyDescent="0.5">
      <c r="A1" s="45" t="s">
        <v>0</v>
      </c>
      <c r="B1" s="99" t="str" cm="1">
        <f t="array" aca="1" ref="B1" ca="1">_xlfn.LET(_xlpm.fn, CELL("filename",$A$1), _xlpm.nm, MID(_xlpm.fn, FIND("]", _xlpm.fn) + 1, 255), _xlfn.XLOOKUP(_xlpm.nm &amp; "(*", Lamb!$A$2:$A$1000, Lamb!$A$2:$A$1000, "", 2))</f>
        <v>xsequence(start, stop, [step], [repeat_element], [repeat_array])</v>
      </c>
      <c r="C1" s="95"/>
      <c r="D1" s="95"/>
      <c r="E1" s="95"/>
      <c r="F1" s="96"/>
      <c r="H1" s="45" t="s">
        <v>2</v>
      </c>
      <c r="I1" s="94"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v>
      </c>
      <c r="J1" s="95"/>
      <c r="K1" s="95"/>
      <c r="L1" s="95"/>
      <c r="M1" s="95"/>
      <c r="N1" s="95"/>
      <c r="O1" s="95"/>
      <c r="P1" s="95"/>
      <c r="Q1" s="95"/>
      <c r="R1" s="96"/>
    </row>
    <row r="2" spans="1:18" ht="315" customHeight="1" x14ac:dyDescent="0.5">
      <c r="A2" s="45" t="s">
        <v>4</v>
      </c>
      <c r="B2" s="97"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v>
      </c>
      <c r="C2" s="98"/>
      <c r="D2" s="98"/>
      <c r="E2" s="98"/>
      <c r="F2" s="98"/>
      <c r="G2" s="98"/>
      <c r="H2" s="98"/>
      <c r="I2" s="98"/>
      <c r="J2" s="98"/>
      <c r="K2" s="98"/>
      <c r="L2" s="98"/>
      <c r="M2" s="98"/>
      <c r="N2" s="98"/>
      <c r="O2" s="98"/>
      <c r="P2" s="98"/>
      <c r="Q2" s="98"/>
      <c r="R2" s="98"/>
    </row>
    <row r="4" spans="1:18" x14ac:dyDescent="0.5">
      <c r="A4" s="45" t="s">
        <v>3346</v>
      </c>
      <c r="R4" s="45" t="str">
        <f>COUNTIF(R6:R36,"PASS")&amp;" / 6 PASS"</f>
        <v>6 / 6 PASS</v>
      </c>
    </row>
    <row r="5" spans="1:18" x14ac:dyDescent="0.5">
      <c r="A5" s="45" t="s">
        <v>7</v>
      </c>
      <c r="B5" s="45" t="s">
        <v>8</v>
      </c>
      <c r="D5" s="45" t="s">
        <v>9</v>
      </c>
      <c r="N5" s="48" t="s">
        <v>10</v>
      </c>
      <c r="P5" s="49" t="s">
        <v>11</v>
      </c>
      <c r="R5" s="50" t="s">
        <v>12</v>
      </c>
    </row>
    <row r="6" spans="1:18" x14ac:dyDescent="0.5">
      <c r="A6" s="46">
        <v>1</v>
      </c>
      <c r="B6" s="47" t="s">
        <v>3347</v>
      </c>
      <c r="D6" s="51">
        <v>1</v>
      </c>
      <c r="F6" s="51">
        <v>5</v>
      </c>
      <c r="N6" s="52">
        <v>1</v>
      </c>
      <c r="P6" s="53" cm="1">
        <f t="array" ref="P6:P10">xsequence(D6,F6)</f>
        <v>1</v>
      </c>
      <c r="R6" s="54" t="str" cm="1">
        <f t="array" ref="R6">IF(AND(N6:N10=P6:P10),"PASS","FAIL")</f>
        <v>PASS</v>
      </c>
    </row>
    <row r="7" spans="1:18" x14ac:dyDescent="0.5">
      <c r="A7" s="55"/>
      <c r="B7" s="55"/>
      <c r="N7" s="52">
        <v>2</v>
      </c>
      <c r="P7" s="53">
        <v>2</v>
      </c>
    </row>
    <row r="8" spans="1:18" x14ac:dyDescent="0.5">
      <c r="A8" s="55"/>
      <c r="B8" s="55"/>
      <c r="N8" s="52">
        <v>3</v>
      </c>
      <c r="P8" s="53">
        <v>3</v>
      </c>
    </row>
    <row r="9" spans="1:18" x14ac:dyDescent="0.5">
      <c r="A9" s="55"/>
      <c r="B9" s="55"/>
      <c r="N9" s="52">
        <v>4</v>
      </c>
      <c r="P9" s="53">
        <v>4</v>
      </c>
    </row>
    <row r="10" spans="1:18" x14ac:dyDescent="0.5">
      <c r="A10" s="55"/>
      <c r="B10" s="55"/>
      <c r="N10" s="52">
        <v>5</v>
      </c>
      <c r="P10" s="53">
        <v>5</v>
      </c>
    </row>
    <row r="12" spans="1:18" x14ac:dyDescent="0.5">
      <c r="A12" s="46">
        <v>2</v>
      </c>
      <c r="B12" s="47" t="s">
        <v>3348</v>
      </c>
      <c r="D12" s="51">
        <v>2</v>
      </c>
      <c r="F12" s="51">
        <v>6</v>
      </c>
      <c r="H12" s="51">
        <v>2</v>
      </c>
      <c r="N12" s="52">
        <v>2</v>
      </c>
      <c r="P12" s="53" cm="1">
        <f t="array" ref="P12:P14">xsequence(D12,F12,H12)</f>
        <v>2</v>
      </c>
      <c r="R12" s="54" t="str" cm="1">
        <f t="array" ref="R12">IF(AND(N12:N14=P12:P14),"PASS","FAIL")</f>
        <v>PASS</v>
      </c>
    </row>
    <row r="13" spans="1:18" x14ac:dyDescent="0.5">
      <c r="A13" s="55"/>
      <c r="B13" s="55"/>
      <c r="N13" s="52">
        <v>4</v>
      </c>
      <c r="P13" s="53">
        <v>4</v>
      </c>
    </row>
    <row r="14" spans="1:18" x14ac:dyDescent="0.5">
      <c r="A14" s="55"/>
      <c r="B14" s="55"/>
      <c r="N14" s="52">
        <v>6</v>
      </c>
      <c r="P14" s="53">
        <v>6</v>
      </c>
    </row>
    <row r="16" spans="1:18" x14ac:dyDescent="0.5">
      <c r="A16" s="46">
        <v>3</v>
      </c>
      <c r="B16" s="47" t="s">
        <v>3349</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3350</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3351</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3383</v>
      </c>
      <c r="D36" s="51">
        <v>1</v>
      </c>
      <c r="F36" s="51">
        <v>5</v>
      </c>
      <c r="N36" s="52" t="s">
        <v>3381</v>
      </c>
      <c r="P36" s="53" t="e" cm="1">
        <f t="array" ref="P36">xsequence(D36,F36,-1)</f>
        <v>#VALUE!</v>
      </c>
      <c r="R36" s="54" t="str">
        <f>IF(ERROR.TYPE(P36)=3,"PASS","FAIL")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02"/>
  <dimension ref="A1:R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5" t="s">
        <v>0</v>
      </c>
      <c r="B1" s="99" t="str" cm="1">
        <f t="array" aca="1" ref="B1" ca="1">_xlfn.LET(_xlpm.fn, CELL("filename",$A$1), _xlpm.nm, MID(_xlpm.fn, FIND("]", _xlpm.fn) + 1, 255), _xlfn.XLOOKUP(_xlpm.nm &amp; "(*", Lamb!$A$2:$A$1000, Lamb!$A$2:$A$1000, "", 2))</f>
        <v>xtextsplit(str,[delim],[as_row])</v>
      </c>
      <c r="C1" s="95"/>
      <c r="D1" s="95"/>
      <c r="E1" s="95"/>
      <c r="F1" s="96"/>
      <c r="H1" s="45" t="s">
        <v>2</v>
      </c>
      <c r="I1" s="94"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95"/>
      <c r="K1" s="95"/>
      <c r="L1" s="95"/>
      <c r="M1" s="95"/>
      <c r="N1" s="95"/>
      <c r="O1" s="95"/>
      <c r="P1" s="95"/>
      <c r="Q1" s="95"/>
      <c r="R1" s="96"/>
    </row>
    <row r="2" spans="1:18" ht="357" customHeight="1" x14ac:dyDescent="0.5">
      <c r="A2" s="45" t="s">
        <v>4</v>
      </c>
      <c r="B2" s="97"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98"/>
      <c r="D2" s="98"/>
      <c r="E2" s="98"/>
      <c r="F2" s="98"/>
      <c r="G2" s="98"/>
      <c r="H2" s="98"/>
      <c r="I2" s="98"/>
      <c r="J2" s="98"/>
      <c r="K2" s="98"/>
      <c r="L2" s="98"/>
      <c r="M2" s="98"/>
      <c r="N2" s="98"/>
      <c r="O2" s="98"/>
      <c r="P2" s="98"/>
      <c r="Q2" s="98"/>
      <c r="R2" s="98"/>
    </row>
    <row r="4" spans="1:18" x14ac:dyDescent="0.5">
      <c r="A4" s="45" t="s">
        <v>3352</v>
      </c>
      <c r="R4" s="45" t="str">
        <f>COUNTIF(R6:R22,"PASS")&amp;" / 5 PASS"</f>
        <v>5 / 5 PASS</v>
      </c>
    </row>
    <row r="5" spans="1:18" x14ac:dyDescent="0.5">
      <c r="A5" s="45" t="s">
        <v>7</v>
      </c>
      <c r="B5" s="45" t="s">
        <v>8</v>
      </c>
      <c r="D5" s="45" t="s">
        <v>9</v>
      </c>
      <c r="J5" s="48" t="s">
        <v>10</v>
      </c>
      <c r="N5" s="49" t="s">
        <v>11</v>
      </c>
      <c r="R5" s="50" t="s">
        <v>12</v>
      </c>
    </row>
    <row r="6" spans="1:18" x14ac:dyDescent="0.5">
      <c r="A6" s="46">
        <v>1</v>
      </c>
      <c r="B6" s="47" t="s">
        <v>3353</v>
      </c>
      <c r="D6" s="51" t="s">
        <v>3354</v>
      </c>
      <c r="J6" s="52" t="s">
        <v>3016</v>
      </c>
      <c r="N6" s="53" t="str" cm="1">
        <f t="array" ref="N6:N8">xtextsplit(D6)</f>
        <v>a</v>
      </c>
      <c r="R6" s="54" t="str" cm="1">
        <f t="array" ref="R6">IF(AND(J6:J8=N6:N8),"PASS","FAIL")</f>
        <v>PASS</v>
      </c>
    </row>
    <row r="7" spans="1:18" x14ac:dyDescent="0.5">
      <c r="A7" s="55"/>
      <c r="B7" s="55"/>
      <c r="J7" s="52" t="s">
        <v>3017</v>
      </c>
      <c r="N7" s="53" t="str">
        <v>b</v>
      </c>
    </row>
    <row r="8" spans="1:18" x14ac:dyDescent="0.5">
      <c r="A8" s="55"/>
      <c r="B8" s="55"/>
      <c r="J8" s="52" t="s">
        <v>3025</v>
      </c>
      <c r="N8" s="53" t="str">
        <v>c</v>
      </c>
    </row>
    <row r="10" spans="1:18" x14ac:dyDescent="0.5">
      <c r="A10" s="46">
        <v>2</v>
      </c>
      <c r="B10" s="47" t="s">
        <v>3355</v>
      </c>
      <c r="D10" s="51" t="s">
        <v>3356</v>
      </c>
      <c r="J10" s="52">
        <v>1</v>
      </c>
      <c r="N10" s="53" cm="1">
        <f t="array" ref="N10:N12">xtextsplit(D10)</f>
        <v>1</v>
      </c>
      <c r="R10" s="54" t="str" cm="1">
        <f t="array" ref="R10">IF(AND(J10:J12=N10:N12),"PASS","FAIL")</f>
        <v>PASS</v>
      </c>
    </row>
    <row r="11" spans="1:18" x14ac:dyDescent="0.5">
      <c r="A11" s="55"/>
      <c r="B11" s="55"/>
      <c r="J11" s="52">
        <v>2</v>
      </c>
      <c r="N11" s="53">
        <v>2</v>
      </c>
    </row>
    <row r="12" spans="1:18" x14ac:dyDescent="0.5">
      <c r="A12" s="55"/>
      <c r="B12" s="55"/>
      <c r="J12" s="52">
        <v>3</v>
      </c>
      <c r="N12" s="53">
        <v>3</v>
      </c>
    </row>
    <row r="14" spans="1:18" x14ac:dyDescent="0.5">
      <c r="A14" s="46">
        <v>3</v>
      </c>
      <c r="B14" s="47" t="s">
        <v>3357</v>
      </c>
      <c r="D14" s="51" t="s">
        <v>3358</v>
      </c>
      <c r="F14" s="51" t="s">
        <v>3359</v>
      </c>
      <c r="J14" s="52" t="s">
        <v>3016</v>
      </c>
      <c r="N14" s="53" t="str" cm="1">
        <f t="array" ref="N14:N16">xtextsplit(D14,F14)</f>
        <v>a</v>
      </c>
      <c r="R14" s="54" t="str" cm="1">
        <f t="array" ref="R14">IF(AND(J14:J16=N14:N16),"PASS","FAIL")</f>
        <v>PASS</v>
      </c>
    </row>
    <row r="15" spans="1:18" x14ac:dyDescent="0.5">
      <c r="A15" s="55"/>
      <c r="B15" s="55"/>
      <c r="J15" s="52" t="s">
        <v>3017</v>
      </c>
      <c r="N15" s="53" t="str">
        <v>b</v>
      </c>
    </row>
    <row r="16" spans="1:18" x14ac:dyDescent="0.5">
      <c r="A16" s="55"/>
      <c r="B16" s="55"/>
      <c r="J16" s="52" t="s">
        <v>3025</v>
      </c>
      <c r="N16" s="53" t="str">
        <v>c</v>
      </c>
    </row>
    <row r="18" spans="1:18" x14ac:dyDescent="0.5">
      <c r="A18" s="46">
        <v>4</v>
      </c>
      <c r="B18" s="47" t="s">
        <v>3360</v>
      </c>
      <c r="D18" s="51" t="s">
        <v>3354</v>
      </c>
      <c r="F18" s="51"/>
      <c r="H18" s="51">
        <v>1</v>
      </c>
      <c r="J18" s="52" t="s">
        <v>3016</v>
      </c>
      <c r="K18" s="52" t="s">
        <v>3017</v>
      </c>
      <c r="L18" s="52" t="s">
        <v>3025</v>
      </c>
      <c r="N18" s="53" t="str" cm="1">
        <f t="array" ref="N18:P18">xtextsplit(D18,,H18)</f>
        <v>a</v>
      </c>
      <c r="O18" s="53" t="str">
        <v>b</v>
      </c>
      <c r="P18" s="53" t="str">
        <v>c</v>
      </c>
      <c r="R18" s="54" t="str" cm="1">
        <f t="array" ref="R18">IF(AND(J18:L18=N18:P18),"PASS","FAIL")</f>
        <v>PASS</v>
      </c>
    </row>
    <row r="20" spans="1:18" x14ac:dyDescent="0.5">
      <c r="A20" s="46">
        <v>5</v>
      </c>
      <c r="B20" s="47" t="s">
        <v>3361</v>
      </c>
      <c r="D20" s="51" t="s">
        <v>3154</v>
      </c>
      <c r="J20" s="52" t="s">
        <v>3154</v>
      </c>
      <c r="N20" s="53" t="str" cm="1">
        <f t="array" ref="N20">xtextsplit(D20)</f>
        <v>abc</v>
      </c>
      <c r="R20" s="54" t="str">
        <f>IF(N20=J20,"PASS","FAIL")</f>
        <v>PASS</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03"/>
  <dimension ref="A1:R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5" t="s">
        <v>0</v>
      </c>
      <c r="B1" s="99" t="str" cm="1">
        <f t="array" aca="1" ref="B1" ca="1">_xlfn.LET(_xlpm.fn, CELL("filename",$A$1), _xlpm.nm, MID(_xlpm.fn, FIND("]", _xlpm.fn) + 1, 255), _xlfn.XLOOKUP(_xlpm.nm &amp; "(*", Lamb!$A$2:$A$1000, Lamb!$A$2:$A$1000, "", 2))</f>
        <v>xtocol(rng, [show_addr], [clean], [dir], [snake])</v>
      </c>
      <c r="C1" s="95"/>
      <c r="D1" s="95"/>
      <c r="E1" s="95"/>
      <c r="F1" s="96"/>
      <c r="H1" s="45" t="s">
        <v>2</v>
      </c>
      <c r="I1" s="94"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98"/>
      <c r="D2" s="98"/>
      <c r="E2" s="98"/>
      <c r="F2" s="98"/>
      <c r="G2" s="98"/>
      <c r="H2" s="98"/>
      <c r="I2" s="98"/>
      <c r="J2" s="98"/>
      <c r="K2" s="98"/>
      <c r="L2" s="98"/>
      <c r="M2" s="98"/>
      <c r="N2" s="98"/>
      <c r="O2" s="98"/>
      <c r="P2" s="98"/>
      <c r="Q2" s="98"/>
      <c r="R2" s="98"/>
    </row>
    <row r="4" spans="1:18" x14ac:dyDescent="0.5">
      <c r="A4" s="45" t="s">
        <v>3362</v>
      </c>
      <c r="L4" s="45" t="str">
        <f>COUNTIF(L6:L24,"PASS")&amp;" / 5 PASS"</f>
        <v>5 / 5 PASS</v>
      </c>
    </row>
    <row r="5" spans="1:18" x14ac:dyDescent="0.5">
      <c r="A5" s="45" t="s">
        <v>7</v>
      </c>
      <c r="B5" s="45" t="s">
        <v>8</v>
      </c>
      <c r="D5" s="45" t="s">
        <v>9</v>
      </c>
      <c r="H5" s="48" t="s">
        <v>10</v>
      </c>
      <c r="J5" s="49" t="s">
        <v>11</v>
      </c>
      <c r="L5" s="50" t="s">
        <v>12</v>
      </c>
    </row>
    <row r="6" spans="1:18" x14ac:dyDescent="0.5">
      <c r="A6" s="46">
        <v>1</v>
      </c>
      <c r="B6" s="47" t="s">
        <v>3363</v>
      </c>
      <c r="D6" s="51">
        <v>1</v>
      </c>
      <c r="E6" s="51">
        <v>2</v>
      </c>
      <c r="H6" s="52">
        <v>1</v>
      </c>
      <c r="J6" s="53" cm="1">
        <f t="array" ref="J6:J9">xtocol(D6:E7,0)</f>
        <v>1</v>
      </c>
      <c r="L6" s="54" t="str" cm="1">
        <f t="array" ref="L6">IF(AND(H6:H9=J6:J9),"PASS","FAIL")</f>
        <v>PASS</v>
      </c>
    </row>
    <row r="7" spans="1:18" x14ac:dyDescent="0.5">
      <c r="A7" s="55"/>
      <c r="B7" s="55"/>
      <c r="D7" s="51">
        <v>3</v>
      </c>
      <c r="E7" s="51">
        <v>4</v>
      </c>
      <c r="H7" s="52">
        <v>2</v>
      </c>
      <c r="J7" s="53">
        <v>2</v>
      </c>
    </row>
    <row r="8" spans="1:18" x14ac:dyDescent="0.5">
      <c r="A8" s="55"/>
      <c r="B8" s="55"/>
      <c r="H8" s="52">
        <v>3</v>
      </c>
      <c r="J8" s="53">
        <v>3</v>
      </c>
    </row>
    <row r="9" spans="1:18" x14ac:dyDescent="0.5">
      <c r="A9" s="55"/>
      <c r="B9" s="55"/>
      <c r="H9" s="52">
        <v>4</v>
      </c>
      <c r="J9" s="53">
        <v>4</v>
      </c>
    </row>
    <row r="11" spans="1:18" x14ac:dyDescent="0.5">
      <c r="A11" s="46">
        <v>2</v>
      </c>
      <c r="B11" s="47" t="s">
        <v>3364</v>
      </c>
      <c r="D11" s="51">
        <v>1</v>
      </c>
      <c r="E11" s="51">
        <v>2</v>
      </c>
      <c r="H11" s="52">
        <v>1</v>
      </c>
      <c r="J11" s="53" cm="1">
        <f t="array" ref="J11:J14">xtocol(D11:E12,0,,"↓→")</f>
        <v>1</v>
      </c>
      <c r="L11" s="54" t="str" cm="1">
        <f t="array" ref="L11">IF(AND(H11:H14=J11:J14),"PASS","FAIL")</f>
        <v>PASS</v>
      </c>
    </row>
    <row r="12" spans="1:18" x14ac:dyDescent="0.5">
      <c r="A12" s="55"/>
      <c r="B12" s="55"/>
      <c r="D12" s="51">
        <v>3</v>
      </c>
      <c r="E12" s="51">
        <v>4</v>
      </c>
      <c r="H12" s="52">
        <v>3</v>
      </c>
      <c r="J12" s="53">
        <v>3</v>
      </c>
    </row>
    <row r="13" spans="1:18" x14ac:dyDescent="0.5">
      <c r="A13" s="55"/>
      <c r="B13" s="55"/>
      <c r="H13" s="52">
        <v>2</v>
      </c>
      <c r="J13" s="53">
        <v>2</v>
      </c>
    </row>
    <row r="14" spans="1:18" x14ac:dyDescent="0.5">
      <c r="A14" s="55"/>
      <c r="B14" s="55"/>
      <c r="H14" s="52">
        <v>4</v>
      </c>
      <c r="J14" s="53">
        <v>4</v>
      </c>
    </row>
    <row r="16" spans="1:18" x14ac:dyDescent="0.5">
      <c r="A16" s="46">
        <v>3</v>
      </c>
      <c r="B16" s="47" t="s">
        <v>3365</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3366</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3384</v>
      </c>
      <c r="H24" s="52" t="s">
        <v>3381</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2BDBC-B9F7-4FFB-80F2-5EBF2ECB730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3422</v>
      </c>
      <c r="C1" t="s">
        <v>3447</v>
      </c>
      <c r="E1" s="15" t="s">
        <v>3480</v>
      </c>
      <c r="H1" s="15" t="s">
        <v>3553</v>
      </c>
    </row>
    <row r="2" spans="1:8" x14ac:dyDescent="0.5">
      <c r="A2" s="60" t="s">
        <v>3426</v>
      </c>
      <c r="E2" s="15" t="s">
        <v>8</v>
      </c>
      <c r="F2" s="57" t="s">
        <v>10</v>
      </c>
      <c r="G2" s="57" t="s">
        <v>11</v>
      </c>
      <c r="H2" s="15" t="s">
        <v>3411</v>
      </c>
    </row>
    <row r="3" spans="1:8" x14ac:dyDescent="0.5">
      <c r="E3" t="s">
        <v>3481</v>
      </c>
      <c r="F3" s="56" t="s">
        <v>3422</v>
      </c>
      <c r="G3" s="56" t="s">
        <v>3422</v>
      </c>
      <c r="H3" s="58" t="s">
        <v>3415</v>
      </c>
    </row>
    <row r="4" spans="1:8" x14ac:dyDescent="0.5">
      <c r="E4" t="s">
        <v>3482</v>
      </c>
      <c r="F4" s="56" t="s">
        <v>3426</v>
      </c>
      <c r="G4" s="56" t="s">
        <v>3426</v>
      </c>
      <c r="H4" s="58" t="s">
        <v>3415</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7761-776F-4880-A29B-65B8B469139E}">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3517</v>
      </c>
      <c r="F1" s="15" t="s">
        <v>3555</v>
      </c>
    </row>
    <row r="2" spans="3:6" x14ac:dyDescent="0.5">
      <c r="C2" s="15" t="s">
        <v>8</v>
      </c>
      <c r="D2" s="57" t="s">
        <v>10</v>
      </c>
      <c r="E2" s="57" t="s">
        <v>11</v>
      </c>
      <c r="F2" s="15" t="s">
        <v>3411</v>
      </c>
    </row>
    <row r="3" spans="3:6" x14ac:dyDescent="0.5">
      <c r="C3" t="s">
        <v>3518</v>
      </c>
      <c r="D3" s="56" t="s">
        <v>137</v>
      </c>
      <c r="E3" s="56" t="s">
        <v>137</v>
      </c>
      <c r="F3" s="58" t="s">
        <v>3415</v>
      </c>
    </row>
    <row r="4" spans="3:6" x14ac:dyDescent="0.5">
      <c r="C4" t="s">
        <v>3519</v>
      </c>
      <c r="D4" s="56" t="s">
        <v>2633</v>
      </c>
      <c r="E4" s="56" t="s">
        <v>2633</v>
      </c>
      <c r="F4" s="58" t="s">
        <v>3415</v>
      </c>
    </row>
    <row r="5" spans="3:6" x14ac:dyDescent="0.5">
      <c r="C5" t="s">
        <v>3520</v>
      </c>
      <c r="D5" s="56" t="s">
        <v>3521</v>
      </c>
      <c r="E5" s="56" t="s">
        <v>3521</v>
      </c>
      <c r="F5" s="58" t="s">
        <v>3415</v>
      </c>
    </row>
    <row r="6" spans="3:6" x14ac:dyDescent="0.5">
      <c r="C6" t="s">
        <v>3522</v>
      </c>
      <c r="D6" s="56" t="s">
        <v>3523</v>
      </c>
      <c r="E6" s="56" t="s">
        <v>3523</v>
      </c>
      <c r="F6" s="58" t="s">
        <v>3415</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BCF92-F957-41B6-8188-4AE444AC858B}">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3439</v>
      </c>
      <c r="E1" s="15" t="s">
        <v>3420</v>
      </c>
      <c r="H1" s="15" t="s">
        <v>3552</v>
      </c>
    </row>
    <row r="2" spans="1:8" x14ac:dyDescent="0.5">
      <c r="A2" s="101"/>
      <c r="E2" s="15" t="s">
        <v>8</v>
      </c>
      <c r="F2" s="57" t="s">
        <v>10</v>
      </c>
      <c r="G2" s="57" t="s">
        <v>11</v>
      </c>
      <c r="H2" s="15" t="s">
        <v>3411</v>
      </c>
    </row>
    <row r="3" spans="1:8" x14ac:dyDescent="0.5">
      <c r="A3" s="60"/>
      <c r="E3" t="s">
        <v>3421</v>
      </c>
      <c r="F3" s="56" t="s">
        <v>3422</v>
      </c>
      <c r="G3" s="56" t="s">
        <v>3422</v>
      </c>
      <c r="H3" s="58" t="s">
        <v>3415</v>
      </c>
    </row>
    <row r="4" spans="1:8" x14ac:dyDescent="0.5">
      <c r="E4" t="s">
        <v>3423</v>
      </c>
      <c r="F4" s="56" t="s">
        <v>3424</v>
      </c>
      <c r="G4" s="56" t="s">
        <v>3424</v>
      </c>
      <c r="H4" s="58" t="s">
        <v>3415</v>
      </c>
    </row>
    <row r="5" spans="1:8" x14ac:dyDescent="0.5">
      <c r="E5" t="s">
        <v>3425</v>
      </c>
      <c r="F5" s="56" t="s">
        <v>3426</v>
      </c>
      <c r="G5" s="56" t="s">
        <v>3426</v>
      </c>
      <c r="H5" s="58" t="s">
        <v>3415</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94CDB-09AE-4EA3-9D34-045E88871920}">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3440</v>
      </c>
      <c r="B1">
        <v>100</v>
      </c>
      <c r="C1" t="s">
        <v>3441</v>
      </c>
      <c r="E1" s="15" t="s">
        <v>3461</v>
      </c>
      <c r="H1" s="15" t="s">
        <v>3554</v>
      </c>
    </row>
    <row r="2" spans="1:8" x14ac:dyDescent="0.5">
      <c r="A2" t="s">
        <v>3442</v>
      </c>
      <c r="B2">
        <v>1000</v>
      </c>
      <c r="C2" t="s">
        <v>3440</v>
      </c>
      <c r="E2" s="15" t="s">
        <v>8</v>
      </c>
      <c r="F2" s="57" t="s">
        <v>10</v>
      </c>
      <c r="G2" s="57" t="s">
        <v>11</v>
      </c>
      <c r="H2" s="15" t="s">
        <v>3411</v>
      </c>
    </row>
    <row r="3" spans="1:8" x14ac:dyDescent="0.5">
      <c r="E3" t="s">
        <v>3462</v>
      </c>
      <c r="F3" s="56" t="s">
        <v>3463</v>
      </c>
      <c r="G3" s="56" t="s">
        <v>3463</v>
      </c>
      <c r="H3" s="58" t="s">
        <v>3415</v>
      </c>
    </row>
    <row r="4" spans="1:8" x14ac:dyDescent="0.5">
      <c r="A4" t="s">
        <v>3443</v>
      </c>
      <c r="E4" t="s">
        <v>3464</v>
      </c>
      <c r="F4" s="56" t="s">
        <v>136</v>
      </c>
      <c r="G4" s="56" t="s">
        <v>136</v>
      </c>
      <c r="H4" s="58" t="s">
        <v>3415</v>
      </c>
    </row>
    <row r="5" spans="1:8" x14ac:dyDescent="0.5">
      <c r="E5" t="s">
        <v>3465</v>
      </c>
      <c r="F5" s="56" t="s">
        <v>156</v>
      </c>
      <c r="G5" s="56" t="s">
        <v>156</v>
      </c>
      <c r="H5" s="58" t="s">
        <v>3415</v>
      </c>
    </row>
    <row r="6" spans="1:8" x14ac:dyDescent="0.5">
      <c r="E6" t="s">
        <v>3466</v>
      </c>
      <c r="F6" s="56" t="s">
        <v>3467</v>
      </c>
      <c r="G6" s="56" t="s">
        <v>3467</v>
      </c>
      <c r="H6" s="58" t="s">
        <v>3415</v>
      </c>
    </row>
    <row r="7" spans="1:8" x14ac:dyDescent="0.5">
      <c r="E7" t="s">
        <v>3468</v>
      </c>
      <c r="F7" s="56" t="s">
        <v>3429</v>
      </c>
      <c r="G7" s="56" t="s">
        <v>3429</v>
      </c>
      <c r="H7" s="58" t="s">
        <v>3415</v>
      </c>
    </row>
    <row r="8" spans="1:8" x14ac:dyDescent="0.5">
      <c r="E8" t="s">
        <v>3469</v>
      </c>
      <c r="F8" s="56" t="s">
        <v>3381</v>
      </c>
      <c r="G8" s="56" t="s">
        <v>3381</v>
      </c>
      <c r="H8" s="58" t="s">
        <v>3415</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F9EE-0B41-49B7-8358-9663AB76BB6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3454</v>
      </c>
      <c r="B1" t="e">
        <f>NA()</f>
        <v>#N/A</v>
      </c>
      <c r="D1" s="15" t="s">
        <v>3531</v>
      </c>
      <c r="G1" s="15" t="s">
        <v>3557</v>
      </c>
    </row>
    <row r="2" spans="1:7" x14ac:dyDescent="0.5">
      <c r="A2" t="e">
        <f>1/0</f>
        <v>#DIV/0!</v>
      </c>
      <c r="B2">
        <v>5</v>
      </c>
      <c r="D2" s="15" t="s">
        <v>8</v>
      </c>
      <c r="E2" s="57" t="s">
        <v>10</v>
      </c>
      <c r="F2" s="57" t="s">
        <v>11</v>
      </c>
      <c r="G2" s="15" t="s">
        <v>3411</v>
      </c>
    </row>
    <row r="3" spans="1:7" x14ac:dyDescent="0.5">
      <c r="D3" t="s">
        <v>3532</v>
      </c>
      <c r="E3" s="56" t="s">
        <v>3429</v>
      </c>
      <c r="F3" s="56" t="s">
        <v>3429</v>
      </c>
      <c r="G3" s="58" t="s">
        <v>3415</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6EF20-6F8B-4A88-B762-1299D38E6A1C}">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3524</v>
      </c>
      <c r="F1" s="15" t="s">
        <v>3553</v>
      </c>
    </row>
    <row r="2" spans="3:6" x14ac:dyDescent="0.5">
      <c r="C2" s="15" t="s">
        <v>8</v>
      </c>
      <c r="D2" s="57" t="s">
        <v>10</v>
      </c>
      <c r="E2" s="57" t="s">
        <v>11</v>
      </c>
      <c r="F2" s="15" t="s">
        <v>3411</v>
      </c>
    </row>
    <row r="3" spans="3:6" x14ac:dyDescent="0.5">
      <c r="C3" t="s">
        <v>3525</v>
      </c>
      <c r="D3" s="56" t="s">
        <v>3429</v>
      </c>
      <c r="E3" s="56" t="s">
        <v>3429</v>
      </c>
      <c r="F3" s="58" t="s">
        <v>3415</v>
      </c>
    </row>
    <row r="4" spans="3:6" x14ac:dyDescent="0.5">
      <c r="C4" t="s">
        <v>3526</v>
      </c>
      <c r="D4" s="56" t="s">
        <v>3429</v>
      </c>
      <c r="E4" s="56" t="s">
        <v>3429</v>
      </c>
      <c r="F4" s="58" t="s">
        <v>3415</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09182-96BF-41E6-9F76-69F6D1BA37D8}">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3448</v>
      </c>
      <c r="F1" s="15" t="s">
        <v>3483</v>
      </c>
      <c r="I1" s="15" t="s">
        <v>3552</v>
      </c>
    </row>
    <row r="2" spans="1:9" x14ac:dyDescent="0.5">
      <c r="A2" s="59" t="s">
        <v>2631</v>
      </c>
      <c r="F2" s="15" t="s">
        <v>8</v>
      </c>
      <c r="G2" s="57" t="s">
        <v>10</v>
      </c>
      <c r="H2" s="57" t="s">
        <v>11</v>
      </c>
      <c r="I2" s="15" t="s">
        <v>3411</v>
      </c>
    </row>
    <row r="3" spans="1:9" x14ac:dyDescent="0.5">
      <c r="A3" s="62"/>
      <c r="F3" t="s">
        <v>3484</v>
      </c>
      <c r="G3" s="56" t="s">
        <v>2631</v>
      </c>
      <c r="H3" s="56" t="s">
        <v>2631</v>
      </c>
      <c r="I3" s="58" t="s">
        <v>3415</v>
      </c>
    </row>
    <row r="4" spans="1:9" x14ac:dyDescent="0.5">
      <c r="F4" t="s">
        <v>3485</v>
      </c>
      <c r="G4" s="56" t="s">
        <v>3486</v>
      </c>
      <c r="H4" s="56" t="s">
        <v>3486</v>
      </c>
      <c r="I4" s="58" t="s">
        <v>3415</v>
      </c>
    </row>
    <row r="5" spans="1:9" x14ac:dyDescent="0.5">
      <c r="F5" t="s">
        <v>3487</v>
      </c>
      <c r="G5" s="56" t="s">
        <v>3429</v>
      </c>
      <c r="H5" s="56" t="s">
        <v>3429</v>
      </c>
      <c r="I5" s="58" t="s">
        <v>3415</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92D86-BEA7-4C97-AA1A-CFCD87BC61B7}">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3449</v>
      </c>
      <c r="H1" s="15" t="s">
        <v>3488</v>
      </c>
      <c r="K1" s="15" t="s">
        <v>3555</v>
      </c>
    </row>
    <row r="2" spans="1:11" x14ac:dyDescent="0.5">
      <c r="A2" s="59" t="s">
        <v>2631</v>
      </c>
      <c r="B2" s="62"/>
      <c r="D2" s="63"/>
      <c r="H2" s="15" t="s">
        <v>8</v>
      </c>
      <c r="I2" s="57" t="s">
        <v>10</v>
      </c>
      <c r="J2" s="57" t="s">
        <v>11</v>
      </c>
      <c r="K2" s="15" t="s">
        <v>3411</v>
      </c>
    </row>
    <row r="3" spans="1:11" x14ac:dyDescent="0.5">
      <c r="A3" s="59" t="s">
        <v>2631</v>
      </c>
      <c r="B3" s="62"/>
      <c r="H3" t="s">
        <v>3489</v>
      </c>
      <c r="I3" s="56" t="s">
        <v>2631</v>
      </c>
      <c r="J3" s="56" t="s">
        <v>2631</v>
      </c>
      <c r="K3" s="58" t="s">
        <v>3415</v>
      </c>
    </row>
    <row r="4" spans="1:11" x14ac:dyDescent="0.5">
      <c r="H4" t="s">
        <v>3490</v>
      </c>
      <c r="I4" s="56" t="s">
        <v>2631</v>
      </c>
      <c r="J4" s="56" t="s">
        <v>2631</v>
      </c>
      <c r="K4" s="58" t="s">
        <v>3415</v>
      </c>
    </row>
    <row r="5" spans="1:11" x14ac:dyDescent="0.5">
      <c r="H5" t="s">
        <v>3491</v>
      </c>
      <c r="I5" s="56" t="s">
        <v>3486</v>
      </c>
      <c r="J5" s="56" t="s">
        <v>3486</v>
      </c>
      <c r="K5" s="58" t="s">
        <v>3415</v>
      </c>
    </row>
    <row r="6" spans="1:11" x14ac:dyDescent="0.5">
      <c r="H6" t="s">
        <v>3492</v>
      </c>
      <c r="I6" s="56" t="s">
        <v>3486</v>
      </c>
      <c r="J6" s="56" t="s">
        <v>3486</v>
      </c>
      <c r="K6" s="58" t="s">
        <v>3415</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5B30-9BC9-41D0-962F-BCD59CFFABD1}">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3452</v>
      </c>
      <c r="C1" s="15" t="s">
        <v>3502</v>
      </c>
      <c r="F1" s="15" t="s">
        <v>3556</v>
      </c>
    </row>
    <row r="2" spans="1:6" x14ac:dyDescent="0.5">
      <c r="C2" s="15" t="s">
        <v>8</v>
      </c>
      <c r="D2" s="57" t="s">
        <v>10</v>
      </c>
      <c r="E2" s="57" t="s">
        <v>11</v>
      </c>
      <c r="F2" s="15" t="s">
        <v>3411</v>
      </c>
    </row>
    <row r="3" spans="1:6" x14ac:dyDescent="0.5">
      <c r="C3" t="s">
        <v>3503</v>
      </c>
      <c r="D3" s="56" t="s">
        <v>3429</v>
      </c>
      <c r="E3" s="56" t="s">
        <v>3429</v>
      </c>
      <c r="F3" s="58" t="s">
        <v>3415</v>
      </c>
    </row>
    <row r="4" spans="1:6" x14ac:dyDescent="0.5">
      <c r="C4" t="s">
        <v>3504</v>
      </c>
      <c r="D4" s="56" t="s">
        <v>3429</v>
      </c>
      <c r="E4" s="56" t="s">
        <v>3429</v>
      </c>
      <c r="F4" s="58" t="s">
        <v>3415</v>
      </c>
    </row>
    <row r="5" spans="1:6" x14ac:dyDescent="0.5">
      <c r="C5" t="s">
        <v>3505</v>
      </c>
      <c r="D5" s="56" t="s">
        <v>3016</v>
      </c>
      <c r="E5" s="56" t="s">
        <v>3016</v>
      </c>
      <c r="F5" s="58" t="s">
        <v>3415</v>
      </c>
    </row>
    <row r="6" spans="1:6" x14ac:dyDescent="0.5">
      <c r="C6" t="s">
        <v>3499</v>
      </c>
      <c r="D6" s="56" t="s">
        <v>136</v>
      </c>
      <c r="E6" s="56" t="s">
        <v>136</v>
      </c>
      <c r="F6" s="58" t="s">
        <v>3415</v>
      </c>
    </row>
    <row r="7" spans="1:6" x14ac:dyDescent="0.5">
      <c r="C7" t="s">
        <v>3506</v>
      </c>
      <c r="D7" s="56" t="s">
        <v>3507</v>
      </c>
      <c r="E7" s="56" t="s">
        <v>3507</v>
      </c>
      <c r="F7" s="58" t="s">
        <v>3415</v>
      </c>
    </row>
    <row r="8" spans="1:6" x14ac:dyDescent="0.5">
      <c r="C8" t="s">
        <v>3508</v>
      </c>
      <c r="D8" s="56" t="s">
        <v>3017</v>
      </c>
      <c r="E8" s="56" t="s">
        <v>3017</v>
      </c>
      <c r="F8" s="58" t="s">
        <v>3415</v>
      </c>
    </row>
    <row r="9" spans="1:6" x14ac:dyDescent="0.5">
      <c r="C9" t="s">
        <v>3501</v>
      </c>
      <c r="D9" s="56" t="s">
        <v>577</v>
      </c>
      <c r="E9" s="56" t="s">
        <v>577</v>
      </c>
      <c r="F9" s="58" t="s">
        <v>3415</v>
      </c>
    </row>
    <row r="10" spans="1:6" x14ac:dyDescent="0.5">
      <c r="C10" t="s">
        <v>3509</v>
      </c>
      <c r="D10" s="56" t="s">
        <v>3510</v>
      </c>
      <c r="E10" s="56" t="s">
        <v>3510</v>
      </c>
      <c r="F10" s="58" t="s">
        <v>3415</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A09BE-5CB0-4460-BE1A-FABDD7BB6820}">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3016</v>
      </c>
      <c r="C1" s="15" t="s">
        <v>3493</v>
      </c>
      <c r="F1" s="15" t="s">
        <v>3556</v>
      </c>
    </row>
    <row r="2" spans="1:6" x14ac:dyDescent="0.5">
      <c r="A2" t="s">
        <v>3016</v>
      </c>
      <c r="C2" s="15" t="s">
        <v>8</v>
      </c>
      <c r="D2" s="57" t="s">
        <v>10</v>
      </c>
      <c r="E2" s="57" t="s">
        <v>11</v>
      </c>
      <c r="F2" s="15" t="s">
        <v>3411</v>
      </c>
    </row>
    <row r="3" spans="1:6" x14ac:dyDescent="0.5">
      <c r="A3" t="s">
        <v>3017</v>
      </c>
      <c r="C3" t="s">
        <v>3494</v>
      </c>
      <c r="D3" s="56" t="s">
        <v>3429</v>
      </c>
      <c r="E3" s="56" t="s">
        <v>3429</v>
      </c>
      <c r="F3" s="58" t="s">
        <v>3415</v>
      </c>
    </row>
    <row r="4" spans="1:6" x14ac:dyDescent="0.5">
      <c r="C4" t="s">
        <v>3495</v>
      </c>
      <c r="D4" s="56" t="s">
        <v>3429</v>
      </c>
      <c r="E4" s="56" t="s">
        <v>3429</v>
      </c>
      <c r="F4" s="58" t="s">
        <v>3415</v>
      </c>
    </row>
    <row r="5" spans="1:6" x14ac:dyDescent="0.5">
      <c r="C5" t="s">
        <v>3496</v>
      </c>
      <c r="D5" s="56" t="s">
        <v>3450</v>
      </c>
      <c r="E5" s="56" t="s">
        <v>3450</v>
      </c>
      <c r="F5" s="58" t="s">
        <v>3415</v>
      </c>
    </row>
    <row r="6" spans="1:6" x14ac:dyDescent="0.5">
      <c r="C6" t="s">
        <v>3497</v>
      </c>
      <c r="D6" s="56" t="s">
        <v>3451</v>
      </c>
      <c r="E6" s="56" t="s">
        <v>3451</v>
      </c>
      <c r="F6" s="58" t="s">
        <v>3415</v>
      </c>
    </row>
    <row r="7" spans="1:6" x14ac:dyDescent="0.5">
      <c r="C7" t="s">
        <v>3498</v>
      </c>
      <c r="D7" s="56" t="s">
        <v>3016</v>
      </c>
      <c r="E7" s="56" t="s">
        <v>3016</v>
      </c>
      <c r="F7" s="58" t="s">
        <v>3415</v>
      </c>
    </row>
    <row r="8" spans="1:6" x14ac:dyDescent="0.5">
      <c r="C8" t="s">
        <v>3499</v>
      </c>
      <c r="D8" s="56" t="s">
        <v>136</v>
      </c>
      <c r="E8" s="56" t="s">
        <v>136</v>
      </c>
      <c r="F8" s="58" t="s">
        <v>3415</v>
      </c>
    </row>
    <row r="9" spans="1:6" x14ac:dyDescent="0.5">
      <c r="C9" t="s">
        <v>3500</v>
      </c>
      <c r="D9" s="56" t="s">
        <v>3017</v>
      </c>
      <c r="E9" s="56" t="s">
        <v>3017</v>
      </c>
      <c r="F9" s="58" t="s">
        <v>3415</v>
      </c>
    </row>
    <row r="10" spans="1:6" x14ac:dyDescent="0.5">
      <c r="C10" t="s">
        <v>3501</v>
      </c>
      <c r="D10" s="56" t="s">
        <v>577</v>
      </c>
      <c r="E10" s="56" t="s">
        <v>577</v>
      </c>
      <c r="F10" s="58" t="s">
        <v>3415</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4C4B0-A497-47FB-B84C-57EAA1748FAC}">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3432</v>
      </c>
      <c r="H1" s="15" t="s">
        <v>3553</v>
      </c>
    </row>
    <row r="2" spans="2:8" x14ac:dyDescent="0.5">
      <c r="B2">
        <v>1</v>
      </c>
      <c r="C2">
        <v>2</v>
      </c>
      <c r="E2" s="15" t="s">
        <v>8</v>
      </c>
      <c r="F2" s="57" t="s">
        <v>10</v>
      </c>
      <c r="G2" s="57" t="s">
        <v>11</v>
      </c>
      <c r="H2" s="15" t="s">
        <v>3411</v>
      </c>
    </row>
    <row r="3" spans="2:8" x14ac:dyDescent="0.5">
      <c r="B3">
        <v>3</v>
      </c>
      <c r="C3">
        <v>4</v>
      </c>
      <c r="E3" t="s">
        <v>3433</v>
      </c>
      <c r="F3" s="56" t="s">
        <v>3434</v>
      </c>
      <c r="G3" s="56" t="s">
        <v>3434</v>
      </c>
      <c r="H3" s="58" t="s">
        <v>3415</v>
      </c>
    </row>
    <row r="4" spans="2:8" x14ac:dyDescent="0.5">
      <c r="E4" t="s">
        <v>3435</v>
      </c>
      <c r="F4" s="56" t="s">
        <v>3429</v>
      </c>
      <c r="G4" s="56" t="s">
        <v>3429</v>
      </c>
      <c r="H4" s="58" t="s">
        <v>3415</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3FC9E-DD77-4017-99EA-89D1A9836549}">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02924-F185-4A61-84E6-F55CC6701025}">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3533</v>
      </c>
      <c r="I1" s="15" t="s">
        <v>3554</v>
      </c>
    </row>
    <row r="2" spans="2:9" x14ac:dyDescent="0.5">
      <c r="B2" t="s">
        <v>3036</v>
      </c>
      <c r="F2" s="15" t="s">
        <v>8</v>
      </c>
      <c r="G2" s="57" t="s">
        <v>10</v>
      </c>
      <c r="H2" s="57" t="s">
        <v>11</v>
      </c>
      <c r="I2" s="15" t="s">
        <v>3411</v>
      </c>
    </row>
    <row r="3" spans="2:9" x14ac:dyDescent="0.5">
      <c r="F3" t="s">
        <v>3534</v>
      </c>
      <c r="G3" s="56" t="s">
        <v>3429</v>
      </c>
      <c r="H3" s="56" t="s">
        <v>3429</v>
      </c>
      <c r="I3" s="58" t="s">
        <v>3415</v>
      </c>
    </row>
    <row r="4" spans="2:9" x14ac:dyDescent="0.5">
      <c r="F4" t="s">
        <v>3535</v>
      </c>
      <c r="G4" s="56" t="s">
        <v>3429</v>
      </c>
      <c r="H4" s="56" t="s">
        <v>3429</v>
      </c>
      <c r="I4" s="58" t="s">
        <v>3415</v>
      </c>
    </row>
    <row r="5" spans="2:9" x14ac:dyDescent="0.5">
      <c r="D5" t="s">
        <v>3251</v>
      </c>
      <c r="F5" t="s">
        <v>3586</v>
      </c>
      <c r="G5" s="56" t="s">
        <v>3429</v>
      </c>
      <c r="H5" s="56" t="s">
        <v>3429</v>
      </c>
      <c r="I5" s="58" t="s">
        <v>3415</v>
      </c>
    </row>
    <row r="6" spans="2:9" x14ac:dyDescent="0.5">
      <c r="F6" t="s">
        <v>3587</v>
      </c>
      <c r="G6" s="56" t="s">
        <v>3429</v>
      </c>
      <c r="H6" s="56" t="s">
        <v>3429</v>
      </c>
      <c r="I6" s="58" t="s">
        <v>3415</v>
      </c>
    </row>
    <row r="7" spans="2:9" x14ac:dyDescent="0.5">
      <c r="F7" t="s">
        <v>3588</v>
      </c>
      <c r="G7" s="56" t="s">
        <v>3429</v>
      </c>
      <c r="H7" s="56" t="s">
        <v>3429</v>
      </c>
      <c r="I7" s="58" t="s">
        <v>3415</v>
      </c>
    </row>
    <row r="8" spans="2:9" x14ac:dyDescent="0.5">
      <c r="F8" t="s">
        <v>3589</v>
      </c>
      <c r="G8" s="56" t="s">
        <v>3429</v>
      </c>
      <c r="H8" s="56" t="s">
        <v>3429</v>
      </c>
      <c r="I8" s="58" t="s">
        <v>3415</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B6949-134E-4DEF-B595-D9CEE8C8C44C}">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76893-53EB-4AAF-97BA-0736211B5815}">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3444</v>
      </c>
      <c r="E1" t="s">
        <v>3445</v>
      </c>
      <c r="I1" s="15" t="s">
        <v>3470</v>
      </c>
      <c r="L1" s="15" t="s">
        <v>3552</v>
      </c>
    </row>
    <row r="2" spans="1:12" x14ac:dyDescent="0.5">
      <c r="A2" s="61">
        <v>0</v>
      </c>
      <c r="B2" s="61">
        <v>1</v>
      </c>
      <c r="C2" s="61">
        <v>2</v>
      </c>
      <c r="E2" s="61">
        <v>0</v>
      </c>
      <c r="F2" s="61">
        <v>1</v>
      </c>
      <c r="G2" s="61">
        <v>2</v>
      </c>
      <c r="I2" s="15" t="s">
        <v>8</v>
      </c>
      <c r="J2" s="57" t="s">
        <v>10</v>
      </c>
      <c r="K2" s="57" t="s">
        <v>11</v>
      </c>
      <c r="L2" s="15" t="s">
        <v>3411</v>
      </c>
    </row>
    <row r="3" spans="1:12" x14ac:dyDescent="0.5">
      <c r="A3" s="61">
        <v>1</v>
      </c>
      <c r="B3" s="61">
        <v>2</v>
      </c>
      <c r="C3" s="61">
        <v>3</v>
      </c>
      <c r="E3" s="61">
        <v>1</v>
      </c>
      <c r="F3" s="61">
        <v>1</v>
      </c>
      <c r="G3" s="61">
        <v>2</v>
      </c>
      <c r="I3" t="s">
        <v>3471</v>
      </c>
      <c r="J3" s="56" t="s">
        <v>3472</v>
      </c>
      <c r="K3" s="56" t="s">
        <v>3472</v>
      </c>
      <c r="L3" s="58" t="s">
        <v>3415</v>
      </c>
    </row>
    <row r="4" spans="1:12" x14ac:dyDescent="0.5">
      <c r="A4" s="61">
        <v>2</v>
      </c>
      <c r="B4" s="61">
        <v>3</v>
      </c>
      <c r="C4" s="61">
        <v>4</v>
      </c>
      <c r="E4" s="61">
        <v>2</v>
      </c>
      <c r="F4" s="61">
        <v>2</v>
      </c>
      <c r="G4" s="61">
        <v>2</v>
      </c>
      <c r="I4" t="s">
        <v>3473</v>
      </c>
      <c r="J4" s="56" t="s">
        <v>3474</v>
      </c>
      <c r="K4" s="56" t="s">
        <v>3474</v>
      </c>
      <c r="L4" s="58" t="s">
        <v>3415</v>
      </c>
    </row>
    <row r="5" spans="1:12" x14ac:dyDescent="0.5">
      <c r="I5" t="s">
        <v>3475</v>
      </c>
      <c r="J5" s="56" t="s">
        <v>3476</v>
      </c>
      <c r="K5" s="56" t="s">
        <v>3476</v>
      </c>
      <c r="L5" s="58" t="s">
        <v>3415</v>
      </c>
    </row>
    <row r="6" spans="1:12" x14ac:dyDescent="0.5">
      <c r="A6" t="s">
        <v>3446</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281E0-BD72-426C-A018-D76BFB7DA3C6}">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3455</v>
      </c>
      <c r="E1" t="s">
        <v>3457</v>
      </c>
      <c r="G1" s="15" t="s">
        <v>3538</v>
      </c>
      <c r="J1" s="15" t="s">
        <v>3553</v>
      </c>
    </row>
    <row r="2" spans="3:10" x14ac:dyDescent="0.5">
      <c r="C2" s="56" t="s">
        <v>3456</v>
      </c>
      <c r="G2" s="15" t="s">
        <v>8</v>
      </c>
      <c r="H2" s="57" t="s">
        <v>10</v>
      </c>
      <c r="I2" s="57" t="s">
        <v>11</v>
      </c>
      <c r="J2" s="15" t="s">
        <v>3411</v>
      </c>
    </row>
    <row r="3" spans="3:10" x14ac:dyDescent="0.5">
      <c r="G3" t="s">
        <v>3539</v>
      </c>
      <c r="H3" s="56" t="s">
        <v>161</v>
      </c>
      <c r="I3" s="56" t="s">
        <v>161</v>
      </c>
      <c r="J3" s="58" t="s">
        <v>3415</v>
      </c>
    </row>
    <row r="4" spans="3:10" x14ac:dyDescent="0.5">
      <c r="G4" t="s">
        <v>3540</v>
      </c>
      <c r="H4" s="56" t="s">
        <v>3319</v>
      </c>
      <c r="I4" s="56" t="s">
        <v>3319</v>
      </c>
      <c r="J4" s="58" t="s">
        <v>3415</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944C3-A541-4ED2-A26A-BB0E98355CF0}">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3527</v>
      </c>
      <c r="F1" s="15" t="s">
        <v>3553</v>
      </c>
    </row>
    <row r="2" spans="3:6" x14ac:dyDescent="0.5">
      <c r="C2" s="15" t="s">
        <v>8</v>
      </c>
      <c r="D2" s="57" t="s">
        <v>10</v>
      </c>
      <c r="E2" s="57" t="s">
        <v>11</v>
      </c>
      <c r="F2" s="15" t="s">
        <v>3411</v>
      </c>
    </row>
    <row r="3" spans="3:6" x14ac:dyDescent="0.5">
      <c r="C3" t="s">
        <v>3528</v>
      </c>
      <c r="D3" s="56" t="s">
        <v>3529</v>
      </c>
      <c r="E3" s="56" t="s">
        <v>3529</v>
      </c>
      <c r="F3" s="58" t="s">
        <v>3415</v>
      </c>
    </row>
    <row r="4" spans="3:6" x14ac:dyDescent="0.5">
      <c r="C4" t="s">
        <v>3530</v>
      </c>
      <c r="D4" s="56" t="s">
        <v>3419</v>
      </c>
      <c r="E4" s="56" t="s">
        <v>3419</v>
      </c>
      <c r="F4" s="58" t="s">
        <v>3415</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E3A4-4288-4CAA-943E-6D36B944A10B}">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3477</v>
      </c>
      <c r="F1" s="15" t="s">
        <v>3553</v>
      </c>
    </row>
    <row r="2" spans="3:6" x14ac:dyDescent="0.5">
      <c r="C2" s="15" t="s">
        <v>8</v>
      </c>
      <c r="D2" s="57" t="s">
        <v>10</v>
      </c>
      <c r="E2" s="57" t="s">
        <v>11</v>
      </c>
      <c r="F2" s="15" t="s">
        <v>3411</v>
      </c>
    </row>
    <row r="3" spans="3:6" x14ac:dyDescent="0.5">
      <c r="C3" t="s">
        <v>3478</v>
      </c>
      <c r="D3" s="56" t="s">
        <v>3429</v>
      </c>
      <c r="E3" s="56" t="s">
        <v>3429</v>
      </c>
      <c r="F3" s="58" t="s">
        <v>3415</v>
      </c>
    </row>
    <row r="4" spans="3:6" x14ac:dyDescent="0.5">
      <c r="C4" t="s">
        <v>3479</v>
      </c>
      <c r="D4" s="56" t="s">
        <v>3429</v>
      </c>
      <c r="E4" s="56" t="s">
        <v>3429</v>
      </c>
      <c r="F4" s="58" t="s">
        <v>3415</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C98C8-10F9-4DDD-BDF6-0F84F0DEFF8F}">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3427</v>
      </c>
      <c r="F1" s="15" t="s">
        <v>3552</v>
      </c>
    </row>
    <row r="2" spans="3:6" x14ac:dyDescent="0.5">
      <c r="C2" s="15" t="s">
        <v>8</v>
      </c>
      <c r="D2" s="57" t="s">
        <v>10</v>
      </c>
      <c r="E2" s="57" t="s">
        <v>11</v>
      </c>
      <c r="F2" s="15" t="s">
        <v>3411</v>
      </c>
    </row>
    <row r="3" spans="3:6" x14ac:dyDescent="0.5">
      <c r="C3" t="s">
        <v>3428</v>
      </c>
      <c r="D3" s="56" t="s">
        <v>3429</v>
      </c>
      <c r="E3" s="56" t="s">
        <v>3429</v>
      </c>
      <c r="F3" s="58" t="s">
        <v>3415</v>
      </c>
    </row>
    <row r="4" spans="3:6" x14ac:dyDescent="0.5">
      <c r="C4" t="s">
        <v>3430</v>
      </c>
      <c r="D4" s="56" t="s">
        <v>3429</v>
      </c>
      <c r="E4" s="56" t="s">
        <v>3429</v>
      </c>
      <c r="F4" s="58" t="s">
        <v>3415</v>
      </c>
    </row>
    <row r="5" spans="3:6" x14ac:dyDescent="0.5">
      <c r="C5" t="s">
        <v>3431</v>
      </c>
      <c r="D5" s="56" t="s">
        <v>3429</v>
      </c>
      <c r="E5" s="56" t="s">
        <v>3429</v>
      </c>
      <c r="F5" s="58" t="s">
        <v>3415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E8149-724C-4549-80F0-923F4F04DA6A}">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3143</v>
      </c>
      <c r="C1" s="15" t="s">
        <v>3511</v>
      </c>
      <c r="F1" s="15" t="s">
        <v>3554</v>
      </c>
    </row>
    <row r="2" spans="1:6" x14ac:dyDescent="0.5">
      <c r="C2" s="15" t="s">
        <v>8</v>
      </c>
      <c r="D2" s="57" t="s">
        <v>10</v>
      </c>
      <c r="E2" s="57" t="s">
        <v>11</v>
      </c>
      <c r="F2" s="15" t="s">
        <v>3411</v>
      </c>
    </row>
    <row r="3" spans="1:6" x14ac:dyDescent="0.5">
      <c r="C3" t="s">
        <v>3512</v>
      </c>
      <c r="D3" s="56" t="s">
        <v>3429</v>
      </c>
      <c r="E3" s="56" t="s">
        <v>3429</v>
      </c>
      <c r="F3" s="58" t="s">
        <v>3415</v>
      </c>
    </row>
    <row r="4" spans="1:6" x14ac:dyDescent="0.5">
      <c r="C4" t="s">
        <v>3513</v>
      </c>
      <c r="D4" s="56" t="s">
        <v>3429</v>
      </c>
      <c r="E4" s="56" t="s">
        <v>3429</v>
      </c>
      <c r="F4" s="58" t="s">
        <v>3415</v>
      </c>
    </row>
    <row r="5" spans="1:6" x14ac:dyDescent="0.5">
      <c r="C5" t="s">
        <v>3496</v>
      </c>
      <c r="D5" s="56" t="s">
        <v>3453</v>
      </c>
      <c r="E5" s="56" t="s">
        <v>3453</v>
      </c>
      <c r="F5" s="58" t="s">
        <v>3415</v>
      </c>
    </row>
    <row r="6" spans="1:6" x14ac:dyDescent="0.5">
      <c r="C6" t="s">
        <v>3514</v>
      </c>
      <c r="D6" s="56" t="s">
        <v>3004</v>
      </c>
      <c r="E6" s="56" t="s">
        <v>3004</v>
      </c>
      <c r="F6" s="58" t="s">
        <v>3415</v>
      </c>
    </row>
    <row r="7" spans="1:6" x14ac:dyDescent="0.5">
      <c r="C7" t="s">
        <v>3515</v>
      </c>
      <c r="D7" s="56" t="s">
        <v>3143</v>
      </c>
      <c r="E7" s="56" t="s">
        <v>3143</v>
      </c>
      <c r="F7" s="58" t="s">
        <v>3415</v>
      </c>
    </row>
    <row r="8" spans="1:6" x14ac:dyDescent="0.5">
      <c r="C8" t="s">
        <v>3516</v>
      </c>
      <c r="D8" s="56" t="s">
        <v>3422</v>
      </c>
      <c r="E8" s="56" t="s">
        <v>3422</v>
      </c>
      <c r="F8" s="58" t="s">
        <v>3415</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2C633-D1AA-4EC7-BD1F-FB8733CA6FC5}">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3458</v>
      </c>
      <c r="B1" t="s">
        <v>3459</v>
      </c>
      <c r="D1" s="15" t="s">
        <v>3541</v>
      </c>
      <c r="G1" s="15" t="s">
        <v>3556</v>
      </c>
    </row>
    <row r="2" spans="1:7" x14ac:dyDescent="0.5">
      <c r="A2">
        <v>101</v>
      </c>
      <c r="B2" t="s">
        <v>3460</v>
      </c>
      <c r="D2" s="15" t="s">
        <v>8</v>
      </c>
      <c r="E2" s="57" t="s">
        <v>10</v>
      </c>
      <c r="F2" s="57" t="s">
        <v>11</v>
      </c>
      <c r="G2" s="15" t="s">
        <v>3411</v>
      </c>
    </row>
    <row r="3" spans="1:7" x14ac:dyDescent="0.5">
      <c r="D3" t="s">
        <v>3542</v>
      </c>
      <c r="E3" s="56" t="s">
        <v>3429</v>
      </c>
      <c r="F3" s="56" t="s">
        <v>3429</v>
      </c>
      <c r="G3" s="58" t="s">
        <v>3415</v>
      </c>
    </row>
    <row r="4" spans="1:7" x14ac:dyDescent="0.5">
      <c r="D4" t="s">
        <v>3543</v>
      </c>
      <c r="E4" s="56" t="s">
        <v>3429</v>
      </c>
      <c r="F4" s="56" t="s">
        <v>3429</v>
      </c>
      <c r="G4" s="58" t="s">
        <v>3415</v>
      </c>
    </row>
    <row r="5" spans="1:7" x14ac:dyDescent="0.5">
      <c r="D5" t="s">
        <v>3544</v>
      </c>
      <c r="E5" s="56" t="s">
        <v>3458</v>
      </c>
      <c r="F5" s="56" t="s">
        <v>3458</v>
      </c>
      <c r="G5" s="58" t="s">
        <v>3415</v>
      </c>
    </row>
    <row r="6" spans="1:7" x14ac:dyDescent="0.5">
      <c r="D6" t="s">
        <v>3545</v>
      </c>
      <c r="E6" s="56" t="s">
        <v>3459</v>
      </c>
      <c r="F6" s="56" t="s">
        <v>3459</v>
      </c>
      <c r="G6" s="58" t="s">
        <v>3415</v>
      </c>
    </row>
    <row r="7" spans="1:7" x14ac:dyDescent="0.5">
      <c r="D7" t="s">
        <v>3546</v>
      </c>
      <c r="E7" s="56" t="s">
        <v>3315</v>
      </c>
      <c r="F7" s="56" t="s">
        <v>3315</v>
      </c>
      <c r="G7" s="58" t="s">
        <v>3415</v>
      </c>
    </row>
    <row r="8" spans="1:7" x14ac:dyDescent="0.5">
      <c r="D8" t="s">
        <v>3547</v>
      </c>
      <c r="E8" s="56" t="s">
        <v>3548</v>
      </c>
      <c r="F8" s="56" t="s">
        <v>3548</v>
      </c>
      <c r="G8" s="58" t="s">
        <v>3415</v>
      </c>
    </row>
    <row r="9" spans="1:7" x14ac:dyDescent="0.5">
      <c r="D9" t="s">
        <v>3549</v>
      </c>
      <c r="E9" s="56" t="s">
        <v>3315</v>
      </c>
      <c r="F9" s="56" t="s">
        <v>3315</v>
      </c>
      <c r="G9" s="58" t="s">
        <v>3415</v>
      </c>
    </row>
    <row r="10" spans="1:7" x14ac:dyDescent="0.5">
      <c r="D10" t="s">
        <v>3550</v>
      </c>
      <c r="E10" s="56" t="s">
        <v>3551</v>
      </c>
      <c r="F10" s="56" t="s">
        <v>3551</v>
      </c>
      <c r="G10" s="58" t="s">
        <v>3415</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87F86-5389-4F16-A100-6F2826C935D6}">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3412</v>
      </c>
      <c r="F1" s="15" t="s">
        <v>3552</v>
      </c>
    </row>
    <row r="2" spans="3:6" x14ac:dyDescent="0.5">
      <c r="C2" s="15" t="s">
        <v>8</v>
      </c>
      <c r="D2" s="57" t="s">
        <v>10</v>
      </c>
      <c r="E2" s="57" t="s">
        <v>11</v>
      </c>
      <c r="F2" s="15" t="s">
        <v>3411</v>
      </c>
    </row>
    <row r="3" spans="3:6" x14ac:dyDescent="0.5">
      <c r="C3" t="s">
        <v>3413</v>
      </c>
      <c r="D3" s="56" t="s">
        <v>3414</v>
      </c>
      <c r="E3" s="56" t="s">
        <v>3414</v>
      </c>
      <c r="F3" s="58" t="s">
        <v>3415</v>
      </c>
    </row>
    <row r="4" spans="3:6" x14ac:dyDescent="0.5">
      <c r="C4" t="s">
        <v>3416</v>
      </c>
      <c r="D4" s="56" t="s">
        <v>3417</v>
      </c>
      <c r="E4" s="56" t="s">
        <v>3417</v>
      </c>
      <c r="F4" s="58" t="s">
        <v>3415</v>
      </c>
    </row>
    <row r="5" spans="3:6" x14ac:dyDescent="0.5">
      <c r="C5" t="s">
        <v>3418</v>
      </c>
      <c r="D5" s="56" t="s">
        <v>3419</v>
      </c>
      <c r="E5" s="56" t="s">
        <v>3419</v>
      </c>
      <c r="F5" s="58" t="s">
        <v>3415</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36DBC-2C89-40E4-8C0C-1F4608E6BE5E}">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3536</v>
      </c>
      <c r="G1" s="15" t="s">
        <v>3557</v>
      </c>
    </row>
    <row r="2" spans="2:7" x14ac:dyDescent="0.5">
      <c r="D2" s="15" t="s">
        <v>8</v>
      </c>
      <c r="E2" s="57" t="s">
        <v>10</v>
      </c>
      <c r="F2" s="57" t="s">
        <v>11</v>
      </c>
      <c r="G2" s="15" t="s">
        <v>3411</v>
      </c>
    </row>
    <row r="3" spans="2:7" x14ac:dyDescent="0.5">
      <c r="D3" t="s">
        <v>3537</v>
      </c>
      <c r="E3" s="56" t="s">
        <v>3429</v>
      </c>
      <c r="F3" s="56" t="s">
        <v>3429</v>
      </c>
      <c r="G3" s="58" t="s">
        <v>3415</v>
      </c>
    </row>
    <row r="5" spans="2:7" x14ac:dyDescent="0.5">
      <c r="B5" s="65" t="s">
        <v>3036</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FB84B-FDCB-4A01-90E2-2E7255B9B1C0}">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3613</v>
      </c>
      <c r="F1" s="15" t="s">
        <v>3556</v>
      </c>
    </row>
    <row r="2" spans="3:6" x14ac:dyDescent="0.5">
      <c r="C2" s="15" t="s">
        <v>8</v>
      </c>
      <c r="D2" s="57" t="s">
        <v>10</v>
      </c>
      <c r="E2" s="57" t="s">
        <v>11</v>
      </c>
      <c r="F2" s="15" t="s">
        <v>3411</v>
      </c>
    </row>
    <row r="3" spans="3:6" x14ac:dyDescent="0.5">
      <c r="C3" t="s">
        <v>3614</v>
      </c>
      <c r="D3" s="56" t="s">
        <v>3429</v>
      </c>
      <c r="E3" s="56" t="s">
        <v>3429</v>
      </c>
      <c r="F3" s="58" t="s">
        <v>3415</v>
      </c>
    </row>
    <row r="4" spans="3:6" x14ac:dyDescent="0.5">
      <c r="C4" t="s">
        <v>3615</v>
      </c>
      <c r="D4" s="56" t="s">
        <v>3429</v>
      </c>
      <c r="E4" s="56" t="s">
        <v>3429</v>
      </c>
      <c r="F4" s="58" t="s">
        <v>3415</v>
      </c>
    </row>
    <row r="5" spans="3:6" x14ac:dyDescent="0.5">
      <c r="C5" t="s">
        <v>3616</v>
      </c>
      <c r="D5" s="56" t="s">
        <v>3429</v>
      </c>
      <c r="E5" s="56" t="s">
        <v>3429</v>
      </c>
      <c r="F5" s="58" t="s">
        <v>3415</v>
      </c>
    </row>
    <row r="6" spans="3:6" x14ac:dyDescent="0.5">
      <c r="C6" t="s">
        <v>3617</v>
      </c>
      <c r="D6" s="56" t="s">
        <v>3429</v>
      </c>
      <c r="E6" s="56" t="s">
        <v>3429</v>
      </c>
      <c r="F6" s="58" t="s">
        <v>3415</v>
      </c>
    </row>
    <row r="7" spans="3:6" x14ac:dyDescent="0.5">
      <c r="C7" t="s">
        <v>3618</v>
      </c>
      <c r="D7" s="56" t="s">
        <v>3429</v>
      </c>
      <c r="E7" s="56" t="s">
        <v>3429</v>
      </c>
      <c r="F7" s="58" t="s">
        <v>3415</v>
      </c>
    </row>
    <row r="8" spans="3:6" x14ac:dyDescent="0.5">
      <c r="C8" t="s">
        <v>3619</v>
      </c>
      <c r="D8" s="56" t="s">
        <v>3429</v>
      </c>
      <c r="E8" s="56" t="s">
        <v>3429</v>
      </c>
      <c r="F8" s="58" t="s">
        <v>3415</v>
      </c>
    </row>
    <row r="9" spans="3:6" x14ac:dyDescent="0.5">
      <c r="C9" t="s">
        <v>3620</v>
      </c>
      <c r="D9" s="56" t="s">
        <v>3429</v>
      </c>
      <c r="E9" s="56" t="s">
        <v>3429</v>
      </c>
      <c r="F9" s="58" t="s">
        <v>3415</v>
      </c>
    </row>
    <row r="10" spans="3:6" x14ac:dyDescent="0.5">
      <c r="C10" t="s">
        <v>3621</v>
      </c>
      <c r="D10" s="56" t="s">
        <v>3429</v>
      </c>
      <c r="E10" s="56" t="s">
        <v>3429</v>
      </c>
      <c r="F10" s="58" t="s">
        <v>3415</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2"/>
  <dimension ref="A1:R17"/>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5" t="s">
        <v>0</v>
      </c>
      <c r="B1" s="99" t="str" cm="1">
        <f t="array" aca="1" ref="B1" ca="1">_xlfn.LET(_xlpm.fn, CELL("filename",$A$1), _xlpm.nm, MID(_xlpm.fn, FIND("]", _xlpm.fn) + 1, 255), _xlfn.XLOOKUP(_xlpm.nm &amp; "(*", Lamb!$A$2:$A$1000, Lamb!$A$2:$A$1000, "", 2))</f>
        <v>num_ad(arr)</v>
      </c>
      <c r="C1" s="95"/>
      <c r="D1" s="95"/>
      <c r="E1" s="95"/>
      <c r="F1" s="96"/>
      <c r="H1" s="45" t="s">
        <v>2</v>
      </c>
      <c r="I1" s="94" t="str" cm="1">
        <f t="array" aca="1" ref="I1" ca="1">_xlfn.LET(_xlpm.fn, CELL("filename",$A$1), _xlpm.nm, MID(_xlpm.fn, FIND("]", _xlpm.fn) + 1, 255), _xlfn.XLOOKUP(_xlpm.nm &amp; "(*", Lamb!$A$2:$A$1000, Lamb!$D$2:$D$1000, "", 2))</f>
        <v>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v>
      </c>
      <c r="J1" s="95"/>
      <c r="K1" s="95"/>
      <c r="L1" s="95"/>
      <c r="M1" s="95"/>
      <c r="N1" s="95"/>
      <c r="O1" s="95"/>
      <c r="P1" s="95"/>
      <c r="Q1" s="95"/>
      <c r="R1" s="96"/>
    </row>
    <row r="2" spans="1:18" ht="409" customHeight="1" x14ac:dyDescent="0.5">
      <c r="A2" s="45" t="s">
        <v>4</v>
      </c>
      <c r="B2" s="97" t="str" cm="1">
        <f t="array" aca="1" ref="B2" ca="1">_xlfn.LET(_xlpm.fn, CELL("filename",$A$1), _xlpm.nm, MID(_xlpm.fn, FIND("]", _xlpm.fn) + 1, 255), _xlfn.XLOOKUP(_xlpm.nm &amp; "(*", Lamb!$A$2:$A$1000, Lamb!$C$2:$C$1000, "", 2))</f>
        <v>=LAMBDA(arr,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v>
      </c>
      <c r="C2" s="98"/>
      <c r="D2" s="98"/>
      <c r="E2" s="98"/>
      <c r="F2" s="98"/>
      <c r="G2" s="98"/>
      <c r="H2" s="98"/>
      <c r="I2" s="98"/>
      <c r="J2" s="98"/>
      <c r="K2" s="98"/>
      <c r="L2" s="98"/>
      <c r="M2" s="98"/>
      <c r="N2" s="98"/>
      <c r="O2" s="98"/>
      <c r="P2" s="98"/>
      <c r="Q2" s="98"/>
      <c r="R2" s="98"/>
    </row>
    <row r="4" spans="1:18" x14ac:dyDescent="0.5">
      <c r="A4" s="45" t="inlineStr">
        <is>
          <t xml:space="preserve">cont2ad(cont, arr, [str]) - reverse lookup: value -&gt; address. Numeric by default, A1 when str=1; multiple matches joined by ";" in row-major order; not found returns "". Fixture: D7:F8.</t>
        </is>
      </c>
      <c r="J4" s="45">
        <f>COUNTIF(J11:J40,"PASS")&amp;" / 5 PASS"</f>
      </c>
    </row>
    <row r="5" spans="1:18" x14ac:dyDescent="0.5">
      <c r="A5" s="45" t="s">
        <v>7</v>
      </c>
      <c r="B5" s="45" t="s">
        <v>8</v>
      </c>
      <c r="D5" s="45" t="s">
        <v>9</v>
      </c>
      <c r="F5" s="48" t="s">
        <v>10</v>
      </c>
      <c r="H5" s="49" t="s">
        <v>11</v>
      </c>
      <c r="J5" s="50" t="s">
        <v>12</v>
      </c>
    </row>
    <row r="6" spans="1:18" x14ac:dyDescent="0.5">
      <c r="A6" s="46"/>
      <c r="B6" s="47"/>
      <c r="C6"/>
      <c r="D6" s="51"/>
      <c r="E6"/>
      <c r="F6" s="52"/>
      <c r="G6"/>
      <c r="H6" s="53"/>
      <c r="I6"/>
      <c r="J6" s="54"/>
    </row>
    <row r="7">
      <c r="A7"/>
      <c r="B7" s="47"/>
      <c r="C7"/>
      <c r="D7" s="51">
        <v>5</v>
      </c>
      <c r="E7">
        <v>7</v>
      </c>
      <c r="F7" s="52">
        <v>9</v>
      </c>
      <c r="G7"/>
      <c r="H7" s="53"/>
      <c r="I7"/>
      <c r="J7" s="54"/>
    </row>
    <row r="8" spans="1:18" x14ac:dyDescent="0.5">
      <c r="A8" s="46"/>
      <c r="B8" s="47"/>
      <c r="C8"/>
      <c r="D8" s="51">
        <v>7</v>
      </c>
      <c r="E8">
        <v>5</v>
      </c>
      <c r="F8" s="52">
        <v>1</v>
      </c>
      <c r="G8"/>
      <c r="H8" s="53"/>
      <c r="I8"/>
      <c r="J8" s="54"/>
    </row>
    <row r="9">
      <c r="A9"/>
      <c r="B9" s="47"/>
      <c r="C9"/>
      <c r="D9" s="51"/>
      <c r="E9"/>
      <c r="F9" s="52"/>
      <c r="G9"/>
      <c r="H9" s="53"/>
      <c r="I9"/>
      <c r="J9" s="54"/>
    </row>
    <row r="10" spans="1:18" x14ac:dyDescent="0.5">
      <c r="A10" s="46" t="inlineStr">
        <is>
          <t xml:space="preserve">#</t>
        </is>
      </c>
      <c r="B10" s="47" t="inlineStr">
        <is>
          <t xml:space="preserve">Case</t>
        </is>
      </c>
      <c r="C10"/>
      <c r="D10" s="51" t="inlineStr">
        <is>
          <t xml:space="preserve">Inputs</t>
        </is>
      </c>
      <c r="E10"/>
      <c r="F10" s="52" t="inlineStr">
        <is>
          <t xml:space="preserve">Expected</t>
        </is>
      </c>
      <c r="G10"/>
      <c r="H10" s="53" t="inlineStr">
        <is>
          <t xml:space="preserve">Actual</t>
        </is>
      </c>
      <c r="I10"/>
      <c r="J10" s="54" t="inlineStr">
        <is>
          <t xml:space="preserve">Match</t>
        </is>
      </c>
    </row>
    <row r="11">
      <c r="A11">
        <v>1</v>
      </c>
      <c r="B11" s="47" t="inlineStr">
        <is>
          <t xml:space="preserve">single match 9 -&gt; 6000007 (F7)</t>
        </is>
      </c>
      <c r="C11"/>
      <c r="D11" s="51"/>
      <c r="E11"/>
      <c r="F11" s="52">
        <v>6000007</v>
      </c>
      <c r="G11"/>
      <c r="H11" s="53">
        <f>cont2ad(9,D7:F8)</f>
      </c>
      <c r="I11"/>
      <c r="J11" s="54">
        <f>IF(H11=F11,"PASS","FAIL")</f>
      </c>
    </row>
    <row r="12" spans="1:18" x14ac:dyDescent="0.5">
      <c r="A12" s="46"/>
      <c r="B12" s="47"/>
      <c r="C12"/>
      <c r="D12" s="51"/>
      <c r="E12"/>
      <c r="F12" s="52"/>
      <c r="G12"/>
      <c r="H12" s="53"/>
      <c r="I12"/>
      <c r="J12" s="54"/>
    </row>
    <row r="13">
      <c r="A13">
        <v>2</v>
      </c>
      <c r="B13" s="47" t="inlineStr">
        <is>
          <t xml:space="preserve">multi 7 -&gt; "5000007;4000008"</t>
        </is>
      </c>
      <c r="C13"/>
      <c r="D13" s="51"/>
      <c r="E13"/>
      <c r="F13" s="52" t="inlineStr">
        <is>
          <t xml:space="preserve">5000007;4000008</t>
        </is>
      </c>
      <c r="G13"/>
      <c r="H13" s="53">
        <f>cont2ad(7,D7:F8)</f>
      </c>
      <c r="I13"/>
      <c r="J13" s="54">
        <f>IF(H13=F13,"PASS","FAIL")</f>
      </c>
    </row>
    <row r="14" spans="1:18" x14ac:dyDescent="0.5">
      <c r="A14" s="46"/>
      <c r="B14" s="47"/>
      <c r="C14"/>
      <c r="D14" s="51"/>
      <c r="E14"/>
      <c r="F14" s="52"/>
      <c r="G14"/>
      <c r="H14" s="53"/>
      <c r="I14"/>
      <c r="J14" s="54"/>
    </row>
    <row r="15">
      <c r="A15">
        <v>3</v>
      </c>
      <c r="B15" s="47" t="inlineStr">
        <is>
          <t xml:space="preserve">str form: 9 -&gt; "F7"</t>
        </is>
      </c>
      <c r="C15"/>
      <c r="D15" s="51"/>
      <c r="E15"/>
      <c r="F15" s="52" t="inlineStr">
        <is>
          <t xml:space="preserve">F7</t>
        </is>
      </c>
      <c r="G15"/>
      <c r="H15" s="53">
        <f>cont2ad(9,D7:F8,1)</f>
      </c>
      <c r="I15"/>
      <c r="J15" s="54">
        <f>IF(H15=F15,"PASS","FAIL")</f>
      </c>
    </row>
    <row r="16" spans="1:18" x14ac:dyDescent="0.5">
      <c r="A16" s="46"/>
      <c r="B16" s="47"/>
      <c r="C16"/>
      <c r="D16" s="51"/>
      <c r="E16"/>
      <c r="F16" s="52"/>
      <c r="G16"/>
      <c r="H16" s="53"/>
      <c r="I16"/>
      <c r="J16" s="54"/>
    </row>
    <row r="17" spans="1:8" x14ac:dyDescent="0.5">
      <c r="A17" s="55">
        <v>4</v>
      </c>
      <c r="B17" s="47" t="inlineStr">
        <is>
          <t xml:space="preserve">not found 100 -&gt; ""</t>
        </is>
      </c>
      <c r="C17"/>
      <c r="D17" s="51"/>
      <c r="E17"/>
      <c r="F17" s="52"/>
      <c r="G17"/>
      <c r="H17" s="53">
        <f>cont2ad(100,D7:F8)</f>
      </c>
      <c r="I17"/>
      <c r="J17" s="54">
        <f>IF(H17=F17,"PASS","FAIL")</f>
      </c>
    </row>
    <row r="18">
      <c r="A18"/>
      <c r="B18" s="47"/>
      <c r="C18"/>
      <c r="D18" s="51"/>
      <c r="E18"/>
      <c r="F18" s="52"/>
      <c r="G18"/>
      <c r="H18" s="53"/>
      <c r="I18"/>
      <c r="J18" s="54"/>
    </row>
    <row r="19">
      <c r="A19">
        <v>5</v>
      </c>
      <c r="B19" s="47" t="inlineStr">
        <is>
          <t xml:space="preserve">array {9;1} -&gt; {6000007;6000008}</t>
        </is>
      </c>
      <c r="C19"/>
      <c r="D19" s="51"/>
      <c r="E19"/>
      <c r="F19" s="52">
        <v>6000007</v>
      </c>
      <c r="G19"/>
      <c r="H19" s="53">
        <f>cont2ad(VSTACK(9,1),D7:F8)</f>
      </c>
      <c r="I19"/>
      <c r="J19" s="54">
        <f>IF(AND(F19:F20=H19:H20),"PASS","FAIL")</f>
      </c>
    </row>
    <row r="20">
      <c r="A20"/>
      <c r="B20" s="47"/>
      <c r="C20"/>
      <c r="D20" s="51"/>
      <c r="E20"/>
      <c r="F20" s="52">
        <v>6000008</v>
      </c>
      <c r="G20"/>
      <c r="H20" s="53"/>
      <c r="I20"/>
      <c r="J20" s="54"/>
    </row>
    <row r="21">
      <c r="A21"/>
      <c r="B21" s="47"/>
      <c r="C21"/>
      <c r="D21" s="51"/>
      <c r="E21"/>
      <c r="F21" s="52"/>
      <c r="G21"/>
      <c r="H21" s="53"/>
      <c r="I21"/>
      <c r="J21" s="54"/>
    </row>
    <row r="22">
      <c r="A22"/>
      <c r="B22" s="47"/>
      <c r="C22"/>
      <c r="D22" s="51"/>
      <c r="E22"/>
      <c r="F22" s="52"/>
      <c r="G22"/>
      <c r="H22" s="53"/>
      <c r="I22"/>
      <c r="J22" s="54"/>
    </row>
    <row r="23">
      <c r="A23"/>
      <c r="B23" s="47"/>
      <c r="C23"/>
      <c r="D23" s="51"/>
      <c r="E23"/>
      <c r="F23" s="52"/>
      <c r="G23"/>
      <c r="H23" s="53"/>
      <c r="I23"/>
      <c r="J23" s="54"/>
    </row>
    <row r="24">
      <c r="A24"/>
      <c r="B24" s="47"/>
      <c r="C24"/>
      <c r="D24" s="51"/>
      <c r="E24"/>
      <c r="F24" s="52"/>
      <c r="G24"/>
      <c r="H24" s="53"/>
      <c r="I24"/>
      <c r="J24" s="54"/>
    </row>
    <row r="25">
      <c r="A25"/>
      <c r="B25" s="47"/>
      <c r="C25"/>
      <c r="D25" s="51"/>
      <c r="E25"/>
      <c r="F25" s="52"/>
      <c r="G25"/>
      <c r="H25" s="53"/>
      <c r="I25"/>
      <c r="J25" s="54"/>
    </row>
    <row r="26">
      <c r="A26"/>
      <c r="B26" s="47"/>
      <c r="C26"/>
      <c r="D26" s="51"/>
      <c r="E26"/>
      <c r="F26" s="52"/>
      <c r="G26"/>
      <c r="H26" s="53"/>
      <c r="I26"/>
      <c r="J26" s="54"/>
    </row>
    <row r="27">
      <c r="A27"/>
      <c r="B27" s="47"/>
      <c r="C27"/>
      <c r="D27" s="51"/>
      <c r="E27"/>
      <c r="F27" s="52"/>
      <c r="G27"/>
      <c r="H27" s="53"/>
      <c r="I27"/>
      <c r="J27" s="54"/>
    </row>
    <row r="28">
      <c r="A28"/>
      <c r="B28" s="47"/>
      <c r="C28"/>
      <c r="D28" s="51"/>
      <c r="E28"/>
      <c r="F28" s="52"/>
      <c r="G28"/>
      <c r="H28" s="53"/>
      <c r="I28"/>
      <c r="J28" s="54"/>
    </row>
    <row r="29">
      <c r="A29"/>
      <c r="B29" s="47"/>
      <c r="C29"/>
      <c r="D29" s="51"/>
      <c r="E29"/>
      <c r="F29" s="52"/>
      <c r="G29"/>
      <c r="H29" s="53"/>
      <c r="I29"/>
      <c r="J29" s="54"/>
    </row>
    <row r="30">
      <c r="A30"/>
      <c r="B30" s="47"/>
      <c r="C30"/>
      <c r="D30" s="51"/>
      <c r="E30"/>
      <c r="F30" s="52"/>
      <c r="G30"/>
      <c r="H30" s="53"/>
      <c r="I30"/>
      <c r="J30" s="54"/>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81</vt:i4>
      </vt:variant>
    </vt:vector>
  </HeadingPairs>
  <TitlesOfParts>
    <vt:vector size="81" baseType="lpstr">
      <vt:lpstr>Prep</vt:lpstr>
      <vt:lpstr>Lamb</vt:lpstr>
      <vt:lpstr>lambda_tests</vt:lpstr>
      <vt:lpstr>vba_tests</vt:lpstr>
      <vt:lpstr>addr_lookup</vt:lpstr>
      <vt:lpstr>arrow</vt:lpstr>
      <vt:lpstr>arrow_move</vt:lpstr>
      <vt:lpstr>arrow_trip</vt:lpstr>
      <vt:lpstr>biggest</vt:lpstr>
      <vt:lpstr>clamp</vt:lpstr>
      <vt:lpstr>count_substring</vt:lpstr>
      <vt:lpstr>ctotal</vt:lpstr>
      <vt:lpstr>cycles</vt:lpstr>
      <vt:lpstr>die_pips</vt:lpstr>
      <vt:lpstr>dist</vt:lpstr>
      <vt:lpstr>exists</vt:lpstr>
      <vt:lpstr>freq_table</vt:lpstr>
      <vt:lpstr>is_unique</vt:lpstr>
      <vt:lpstr>knight_moves</vt:lpstr>
      <vt:lpstr>label_lookup</vt:lpstr>
      <vt:lpstr>load_array</vt:lpstr>
      <vt:lpstr>neighbors_count</vt:lpstr>
      <vt:lpstr>neighbors_list</vt:lpstr>
      <vt:lpstr>num_ad</vt:lpstr>
      <vt:lpstr>offset_letter</vt:lpstr>
      <vt:lpstr>only_letters</vt:lpstr>
      <vt:lpstr>only_numbers</vt:lpstr>
      <vt:lpstr>range2ad</vt:lpstr>
      <vt:lpstr>rc_to_ref</vt:lpstr>
      <vt:lpstr>ref_to_rc</vt:lpstr>
      <vt:lpstr>rev</vt:lpstr>
      <vt:lpstr>rotate_arrow</vt:lpstr>
      <vt:lpstr>route_cost</vt:lpstr>
      <vt:lpstr>save_array</vt:lpstr>
      <vt:lpstr>selections</vt:lpstr>
      <vt:lpstr>set</vt:lpstr>
      <vt:lpstr>set_d</vt:lpstr>
      <vt:lpstr>set_i</vt:lpstr>
      <vt:lpstr>set_u</vt:lpstr>
      <vt:lpstr>shift_arr</vt:lpstr>
      <vt:lpstr>smallest</vt:lpstr>
      <vt:lpstr>str2arr</vt:lpstr>
      <vt:lpstr>str_ad</vt:lpstr>
      <vt:lpstr>str_rev</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lpstr>zz_is_lambda_test_sheet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2026-07-20T17:01:54Z</dcterms:modified>
</cp:coreProperties>
</file>