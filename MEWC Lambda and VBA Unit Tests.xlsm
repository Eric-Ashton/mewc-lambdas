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let" sheetId="107" r:id="rId102"/>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lookup" sheetId="109" r:id="rId104"/>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move_rng" sheetId="110" r:id="rId105"/>
    <sheet name="neighbors_count" sheetId="21" r:id="rId27"/>
    <sheet name="neighbors_list" sheetId="22" r:id="rId28"/>
    <sheet name="num_ad" sheetId="23" r:id="rId29"/>
    <sheet name="offset_letter" sheetId="24" r:id="rId30"/>
    <sheet name="only_letters" sheetId="25" r:id="rId31"/>
    <sheet name="only_numbers" sheetId="26" r:id="rId32"/>
    <sheet name="prng" sheetId="108" r:id="rId103"/>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<sst xmlns="http://schemas.openxmlformats.org/spreadsheetml/2006/main" count="5826" uniqueCount="3671">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</sst>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 Id="rId102" Type="http://schemas.openxmlformats.org/officeDocument/2006/relationships/worksheet" Target="worksheets/sheet93.xml"/><Relationship Id="rId103" Type="http://schemas.openxmlformats.org/officeDocument/2006/relationships/worksheet" Target="worksheets/sheet94.xml"/><Relationship Id="rId104" Type="http://schemas.openxmlformats.org/officeDocument/2006/relationships/worksheet" Target="worksheets/sheet95.xml"/><Relationship Id="rId105" Type="http://schemas.openxmlformats.org/officeDocument/2006/relationships/worksheet" Target="worksheets/sheet9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inlineStr">
        <is>
          <t xml:space="preserve">Non-volatile INDIRECT: the contents of arr at an address or range. A single address gives one value; a range gives the array of contents where it overlaps arr; an array of addresses gives their contents element-wise. Empty cells return "" (never 0). A valid address or range lying entirely outside arr returns "oob". An invalid input returns "inv" - a non-address, or a range used as an element inside an array (a range is fine as a scalar input, but a range-within-an-array is not).</t>
        </is>
      </c>
      <c r="C2" s="73" t="inlineStr">
        <is>
          <t xml:space="preserve">'=LAMBDA(ad_or_rng, arr,
  LET(
    s_row, ROW(INDEX(arr, 1, 1)),
    s_col, COLUMN(INDEX(arr, 1, 1)),
    a_rows, ROWS(arr),
    a_cols, COLUMNS(arr),
    cell_at, LAMBDA(one,
      LET(box, IFERROR(z_ad_box(one), 0),
        IF(COUNT(box) &lt;&gt; 4, "inv",
        IF(OR(INDEX(box, 1) &lt;&gt; INDEX(box, 3), INDEX(box, 2) &lt;&gt; INDEX(box, 4)), "inv",
          LET(rel_r, INDEX(box, 1) - s_row + 1, rel_c, INDEX(box, 2) - s_col + 1,
            IF(OR(rel_r &lt; 1, rel_r &gt; a_rows, rel_c &lt; 1, rel_c &gt; a_cols), "oob",
              LET(cval, INDEX(arr, rel_r, rel_c), IF(cval = "", "", cval)))))))),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"oob",
              LET(block, TAKE(DROP(arr, i_top - s_row, i_lft - s_col), i_bot - i_top + 1, i_rgt - i_lft + 1),
                  IF(block = "", "", block)))),
        cell_at(ad_or_rng)))
  )
)</t>
        </is>
      </c>
      <c r="D2" s="74" t="inlineStr">
        <is>
          <t xml:space="preserve">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 if that cell is empty)
  range overlapping arr            -&gt; an array of the overlapping contents (clipped to arr)
  address or range fully outside arr -&gt; "oob"
  any non-address single value     -&gt; "inv"
  an array of addresses            -&gt; element-wise contents; an out-of-bounds address -&gt; "oob"; an empty in-bounds cell -&gt; ""; anything that is not a single address (a range element, or junk) -&gt; "inv"
Empty cells come back as "" rather than 0 - fake coerced zeros corrupt later aggregates. The three string sentinels are distinct: "" = an in-bounds cell that is blank; "oob" = a valid address/range that landed entirely outside arr; "inv" = the input was not a usable single address (a non-address, or a range used as an array element). A range is a valid scalar input (clipped to its overlap), but a range inside an array is invalid because it would nest an array within the array. Address parsing is shared with the library via z_ad_box.
Arguments:
  ad_or_rng - a numeric address, A1 string, A1 range, numeric range, or an array of single addresses.
  arr       - the source range to read from.
Returns:
  A single value, a rectangle of values, or an element-wise array of values; "oob" for a valid address/range that lands entirely outside arr; "inv" for a non-address or a range used as an array element; and "" only for an in-bounds empty cell.
Example:
  ad_to_cont("C3", B2:Z10)      -&gt;  the value at C3
  ad_to_cont("C3:D4", B2:Z10)   -&gt;  the 2x2 block C3:D4
  ad_to_cont(3000004, grid)     -&gt;  the value at C3... (numeric form)</t>
        </is>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inlineStr">
        <is>
          <t xml:space="preserve">Moves a start address (numeric or A1) 'steps' (default 1) in an arrow direction (arrow glyph, its numeric equivalent, or a letter code like "R"/"UL"), bounded by board_rng (default whole sheet). Returns a NUMERIC address. Out of bounds, push_mode: 0 = report "oob;&lt;row&gt;;&lt;col&gt;" with the intended (possibly zero/negative) coordinates (default), 1 = stop at edge, -1 = stay at start.</t>
        </is>
      </c>
      <c r="C5" s="73" t="inlineStr">
        <is>
          <t xml:space="preserve">'=LAMBDA(start_ad, arrow, [steps], [board_rng], [push_mode],
  LET(
    step_n, IF(ISOMITTED(steps), 1, steps),
    mode, IF(ISOMITTED(push_mode), 0,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"oob;" &amp; try_row &amp; ";" &amp; try_col,
        -1, 1000000 * start_row + start_col,
        "oob;" &amp; try_row &amp; ";" &amp; try_col),
      1000000 * try_row + try_col)
  )
)</t>
        </is>
      </c>
      <c r="D5" s="74" t="inlineStr">
        <is>
          <t xml:space="preserve">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0 = report "oob" (default) - returns the string "oob;&lt;row&gt;;&lt;col&gt;"
                      where row/col are the INTENDED coordinates, kept even when
                      zero or negative so you can see where the move pointed.
                  1 = stop at edge - clamp to the nearest in-bounds cell.
                 -1 = stay at start - return the starting address unchanged.
Returns:
  The destination as a numeric address (mode 1 clamps to the edge, mode -1 stays
  put), or the string "oob;&lt;row&gt;;&lt;col&gt;" under the default mode 0. In the oob
  string, row and col are the intended landing coordinates (which may be 0 or
  negative), reported on both axes even if only one is out of bounds.
Example:
  arrow_move("A1", "→", 3)       -&gt; 1000004     (in bounds; str_ad -&gt; "D1")
  arrow_move("B1", "↖", 2)       -&gt; "oob;-1;0"  (row 1-2=-1, col 2-2=0, both off)
  arrow_move("B1", "↖", 2, , 1)  -&gt; 1000001     (stop at edge -&gt; A1)
  arrow_move("B1", "↖", 2, , -1) -&gt; 1000002     (stay at start -&gt; B1)</t>
        </is>
      </c>
    </row>
    <row r="6" spans="1:19" s="75" customFormat="1" ht="19.25" customHeight="1" x14ac:dyDescent="0.5">
      <c r="A6" s="71" t="s">
        <v>2751</v>
      </c>
      <c r="B6" s="72" t="s">
        <v>3619</v>
      </c>
      <c r="C6" s="73" t="inlineStr">
        <is>
          <t xml:space="preserve">'=LAMBDA(rng,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LET(_r, 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IF(ISNA(_r), "", _r))
  )
)</t>
        </is>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inlineStr">
        <is>
          <t xml:space="preserve">'=LAMBDA(array, [min_freq], LET(
   mf, IF(ISOMITTED(min_freq), 1, min_freq),
   vec0, TOCOL(array, 1),
   vec, LET(_v, FILTER(vec0, vec0 &lt;&gt; ""), IF(ISERROR(_v), NA(), _v)),
   u, LET(_u, UNIQUE(vec), IF(ISERROR(_u), NA(), _u)),
   cnt, IFERROR(MAP(u, LAMBDA(x, SUM(--(vec = x)))), NA()),
   tab, LET(_t, FILTER(HSTACK(u, cnt), cnt &gt;= mf), IF(ISERROR(_t), NA(), _t)),
   LET(_s, SORT(tab, {2, 1}, {-1, 1}), IF(ISERROR(_s), NA(), _s))
))</t>
        </is>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inlineStr">
        <is>
          <t xml:space="preserve">'=LAMBDA(arr,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LET(_sel,
       MAP(UNICODE(MID(built_, seq_, 1)) - 20000, LAMBDA(pos_, INDEX(flat_, pos_))),
       IF(ISERROR(_sel), NA(), _sel))
     )
    )
   ),
   pad_, LAMBDA(x_, EXPAND(x_, ROWS(x_), n, "")),
   IF(
    cd_ = 0,
    pad_(one_k_(n)),
    LET(
     max_k_, IF(rep_ = 1, n, MIN(n, m_)),
     seed_, pad_(one_k_(max_k_)),
     IF(
      max_k_ = 1,
      seed_,
      REDUCE(
       seed_,
       SEQUENCE(max_k_ - 1, 1, max_k_ - 1, -1),
       LAMBDA(acc_, k_, VSTACK(acc_, pad_(one_k_(k_))))
      )
     )
    )
   )
  )
 )
)</t>
        </is>
      </c>
      <c r="D37" s="74" t="s">
        <v>2828</v>
      </c>
    </row>
    <row r="38" spans="1:4" s="75" customFormat="1" ht="19.25" customHeight="1" x14ac:dyDescent="0.5">
      <c r="A38" s="71" t="s">
        <v>2829</v>
      </c>
      <c r="B38" s="72" t="s">
        <v>2830</v>
      </c>
      <c r="C38" s="73" t="inlineStr">
        <is>
          <t xml:space="preserve">'=LAMBDA(data_rng, [as_row],
   LET(_r,
      LET(
         _flat, TOCOL(data_rng, 3),
         _clean, FILTER(_flat, _flat &lt;&gt; ""),
         _res, SORT(UNIQUE(_clean)),
         IF(IF(ISOMITTED(as_row), 0, as_row), TOROW(_res), _res)
      ),
      IF(ISERROR(_r), "", _r)
   )
)</t>
        </is>
      </c>
      <c r="D38" s="74" t="s">
        <v>2832</v>
      </c>
    </row>
    <row r="39" spans="1:4" s="75" customFormat="1" ht="19.25" customHeight="1" x14ac:dyDescent="0.5">
      <c r="A39" s="71" t="s">
        <v>2833</v>
      </c>
      <c r="B39" s="72" t="s">
        <v>2834</v>
      </c>
      <c r="C39" s="73" t="inlineStr">
        <is>
          <t xml:space="preserve">'=LAMBDA(val_a, val_b, [as_row],
   LET(_r,
      LET(
         list_a, set(val_a),
         list_b, set(val_b),
         res, FILTER(list_a, ISNA(XMATCH(list_a, list_b))),
         IF(IF(ISOMITTED(as_row), 0, as_row), TOROW(res), res)
      ),
      IF(ISERROR(_r), "", _r)
   )
)</t>
        </is>
      </c>
      <c r="D39" s="74" t="s">
        <v>2836</v>
      </c>
    </row>
    <row r="40" spans="1:4" s="75" customFormat="1" ht="19.25" customHeight="1" x14ac:dyDescent="0.5">
      <c r="A40" s="71" t="s">
        <v>2837</v>
      </c>
      <c r="B40" s="72" t="s">
        <v>2838</v>
      </c>
      <c r="C40" s="73" t="inlineStr">
        <is>
          <t xml:space="preserve">'=LAMBDA(val_a, val_b, [as_row],
   LET(_r,
      LET(
         list_a, set(val_a),
         list_b, set(val_b),
         res, FILTER(list_a, ISNUMBER(XMATCH(list_a, list_b))),
         IF(IF(ISOMITTED(as_row), 0, as_row), TOROW(res), res)
      ),
      IF(ISERROR(_r), "", _r)
   )
)</t>
        </is>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inlineStr">
        <is>
          <t xml:space="preserve">'=LAMBDA(arr,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IF(ISNA(result), "", result)
))</t>
        </is>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inlineStr">
        <is>
          <t xml:space="preserve">'=LAMBDA(arr, function,
  LET(_r, z_xbyrow_ix(arr, function, 1, ROWS(arr)), IF(ISNA(_r), "", _r))
)</t>
        </is>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inlineStr">
        <is>
          <t xml:space="preserve">'=LAMBDA(arr, f_1, [f_2], [f_3], [f_4], [f_5], LET(
   nr, ROWS(arr),
   nc, COLUMNS(arr),
   filt2, IF(ISOMITTED(f_2), 1, f_2),
   filt3, IF(ISOMITTED(f_3), 1, f_3),
   filt4, IF(ISOMITTED(f_4), 1, f_4),
   filt5, IF(ISOMITTED(f_5), 1, f_5),
   as_row_mask, LAMBDA(g, IF(AND(ROWS(g) = nr, COLUMNS(g) =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LET(_r, FILTER(FILTER(arr, row_mask), col_mask), IF(ISERROR(_r), "", _r))
))</t>
        </is>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IF(ISERROR(one_row &amp; ""), "", one_row &amp;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LET(_r, z_xbycol_ix(arr, function, 1, COLUMNS(arr)), IF(ISNA(_r), "", _r))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letters_to_col, LAMBDA(one, IFERROR(MOD(z_a1n(one &amp; "1"), 1000000), one)),
    col_of_1, LAMBDA(one,
      LET(box, IFERROR(z_ad_box(one), 0),
        IF(COUNT(box) = 4,
          LET(top, SUM(INDEX(box, 1)), lft, SUM(INDEX(box, 2)),
              bot, SUM(INDEX(box, 3)), rgt, SUM(INDEX(box, 4)),
            IF(AND(top = bot, lft = rgt, top &gt;= 1, lft &gt;= 1), lft, one)),
          letters_to_col(one)))),
    IF(ROWS(ad_or_rng) * COLUMNS(ad_or_rng) &gt; 1,
      MAP(ad_or_rng, col_of_1),
      LET(box, IFERROR(z_ad_box(ad_or_rng), 0),
        IF(COUNT(box) = 4,
          LET(top, SUM(INDEX(box, 1)), lft, SUM(INDEX(box, 2)), rgt, SUM(INDEX(box, 4)),
            IF(AND(top &gt;= 1, lft &gt;= 1),
               IF(lft = rgt, lft, SEQUENCE(rgt - lft + 1, 1, lft)),
               ad_or_rng)),
          letters_to_col(ad_or_rng))))
  )
)</t>
        </is>
      </c>
      <c r="D75" s="74" t="inlineStr">
        <is>
          <t xml:space="preserve">Column number(s) from an address, range, or bare column letter. The column-wise twin of ad_row_n. Uses the shared z_ad_box parser, so it accepts a numeric address (1e6*row+col, e.g. 66000045), an A1 string ("AA99"), an A1 range ("B8:D11") or a numeric range - plus a bare column-letter string.
Behaviour depends on the input:
  scalar single address        -&gt; its column number         (66000045 -&gt; 45, "AA99" -&gt; 27)
  scalar column letter A..XFD  -&gt; its column number         ("BDS" -&gt; 1475)
  scalar range                 -&gt; a VERTICAL array of the columns it spans   ("B8:D11" -&gt; {2;3;4})
  scalar non-address           -&gt; returned unchanged
  array of values (element-wise):
    each single address        -&gt; its column number
    each column letter A..XFD  -&gt; its column number
    a range, or any non-address-&gt; returned unchanged (a range is never expanded inside an array)
An address only counts when z_ad_box parses it AND its row and column are both &gt;= 1; a column letter counts when z_a1n accepts letter&amp;"1" (1-3 letters, column &lt;= 16384). Anything else passes straight through.
Arguments:
  ad_or_rng - a single address/range/column letter, or an array of them.
Returns:
  A column number, a vertical array of column numbers (scalar range only), the array of per-element results, or the input unchanged where it is not a single address or column letter.
See also ad_row_n (rows), ad_col_let (number -&gt; letters), ad_to_rc,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row r="77">
      <c r="A77" t="inlineStr">
        <is>
          <t xml:space="preserve">ad_col_let(col_n_or_ad)</t>
        </is>
      </c>
      <c r="B77" s="72" t="inlineStr">
        <is>
          <t xml:space="preserve">Column letters from a column number OR an address. A scalar integer 1..16384 becomes its column-letter string (1475 -&gt; "BDS"); a valid numeric address (66000045) or A1 string address ("AA99") becomes its column's letters (-&gt; "AS", "AA"); anything else is returned unchanged. Over an array, each cell is converted the same way.</t>
        </is>
      </c>
      <c r="C77" s="73" t="inlineStr">
        <is>
          <t xml:space="preserve">=LAMBDA(col_n_or_ad,
  LET(
    col_to_let, LAMBDA(col, LET(a, ADDRESS(1, col, 4), LEFT(a, LEN(a) - 1))),
    addr_col, LAMBDA(one,
      LET(box, IFERROR(z_ad_box(one), 0),
        IF(COUNT(box) = 4,
          LET(top, SUM(INDEX(box, 1)), lft, SUM(INDEX(box, 2)),
              bot, SUM(INDEX(box, 3)), rgt, SUM(INDEX(box, 4)),
            IF(AND(top = bot, lft = rgt, top &gt;= 1, lft &gt;= 1), col_to_let(lft), one)),
          one))),
    to_let, LAMBDA(one,
      IF(ISNUMBER(one),
         IF(AND(one = INT(one), one &gt;= 1, one &lt;= 16384),
            col_to_let(one),
            addr_col(one)),
         addr_col(one))),
    IF(ROWS(col_n_or_ad) * COLUMNS(col_n_or_ad) &gt; 1,
       MAP(col_n_or_ad, to_let),
       to_let(col_n_or_ad))
  )
)</t>
        </is>
      </c>
      <c r="D77" s="74" t="inlineStr">
        <is>
          <t xml:space="preserve">Column-letter string(s) from either a column number or an address. Companion to ad_row_n / ad_col_n, and the inverse of ad_col_n.
Behaviour (element-wise over an array):
  integer 1..16384          -&gt; its column letters              (1 -&gt; "A", 27 -&gt; "AA", 1475 -&gt; "BDS", 16384 -&gt; "XFD")
  numeric address 1e6*r+c   -&gt; its COLUMN's letters            (66000045 -&gt; "AS", 1000001 -&gt; "A")
  A1 string address         -&gt; its COLUMN's letters            ("AA99" -&gt; "AA", "$D$3" -&gt; "D")
  anything else             -&gt; returned unchanged              (0, 16385, 1.5, a range, plain text, a bare column letter)
Precedence: a whole number in 1..16384 is read as a column index first (that is the common case and what a column number looks like); only larger numbers are tried as numeric addresses, so 66000045 reads as row 66 / column 45, not as a column index. Addresses are parsed with the shared z_ad_box, and letters are built from ADDRESS(1, col, 4) with the trailing row digit dropped - no lookup table. A range is not a single address, so it passes through unchanged.
Arguments:
  col_n_or_ad - a column number, a single address (numeric or A1), or an array of such values.
Returns:
  A column-letter string, the array of per-element results, or the input unchanged where it is neither a 1..16384 integer nor a single address.
See also ad_col_n (address/letter -&gt; column number), ad_row_n, rc_to_ad.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HYPERLINK("#'ad_col_let'!A1","ad_col_let")</f>
      </c>
      <c r="B5" s="48">
        <f>COUNTIF(ad_col_let!$A:$BZ,"PASS")</f>
      </c>
      <c r="C5" s="50">
        <f>COUNTIF(ad_col_let!$A:$BZ,"FAIL")</f>
      </c>
      <c r="D5" s="45">
        <f>B5+C5</f>
      </c>
      <c r="E5" s="45">
        <f>IF(C5&gt;0,"FAIL ("&amp;C5&amp;")",IF(D5=0,"-","all pass"))</f>
      </c>
    </row>
    <row r="6" spans="1:5" x14ac:dyDescent="0.5">
      <c r="A6" s="77">
        <f>HYPERLINK("#'ad_col_n'!A1","ad_col_n")</f>
      </c>
      <c r="B6" s="48">
        <f>COUNTIF(ad_col_n!$A:$BZ,"PASS")</f>
      </c>
      <c r="C6" s="50">
        <f>COUNTIF(ad_col_n!$A:$BZ,"FAIL")</f>
      </c>
      <c r="D6" s="45">
        <f>B6+C6</f>
      </c>
      <c r="E6" s="45">
        <f>IF(C6&gt;0,"FAIL ("&amp;C6&amp;")",IF(D6=0,"-","all pass"))</f>
      </c>
    </row>
    <row r="7" spans="1:5" x14ac:dyDescent="0.5">
      <c r="A7" s="77">
        <f>HYPERLINK("#'ad_row_n'!A1","ad_row_n")</f>
      </c>
      <c r="B7" s="48">
        <f>COUNTIF(ad_row_n!$A:$BZ,"PASS")</f>
      </c>
      <c r="C7" s="50">
        <f>COUNTIF(ad_row_n!$A:$BZ,"FAIL")</f>
      </c>
      <c r="D7" s="45">
        <f>B7+C7</f>
      </c>
      <c r="E7" s="45">
        <f>IF(C7&gt;0,"FAIL ("&amp;C7&amp;")",IF(D7=0,"-","all pass"))</f>
      </c>
    </row>
    <row r="8" spans="1:5" x14ac:dyDescent="0.5">
      <c r="A8" s="77">
        <f>HYPERLINK("#'ad_to_cont'!A1","ad_to_cont")</f>
      </c>
      <c r="B8" s="48">
        <f>COUNTIF(ad_to_cont!$A:$BZ,"PASS")</f>
      </c>
      <c r="C8" s="50">
        <f>COUNTIF(ad_to_cont!$A:$BZ,"FAIL")</f>
      </c>
      <c r="D8" s="45">
        <f>B8+C8</f>
      </c>
      <c r="E8" s="45">
        <f>IF(C8&gt;0,"FAIL ("&amp;C8&amp;")",IF(D8=0,"-","all pass"))</f>
      </c>
    </row>
    <row r="9" spans="1:5" x14ac:dyDescent="0.5">
      <c r="A9" s="77">
        <f>HYPERLINK("#'ad_to_rc'!A1","ad_to_rc")</f>
      </c>
      <c r="B9" s="48">
        <f>COUNTIF(ad_to_rc!$A:$BZ,"PASS")</f>
      </c>
      <c r="C9" s="50">
        <f>COUNTIF(ad_to_rc!$A:$BZ,"FAIL")</f>
      </c>
      <c r="D9" s="45">
        <f>B9+C9</f>
      </c>
      <c r="E9" s="45">
        <f>IF(C9&gt;0,"FAIL ("&amp;C9&amp;")",IF(D9=0,"-","all pass"))</f>
      </c>
    </row>
    <row r="10" spans="1:5" x14ac:dyDescent="0.5">
      <c r="A10" s="77">
        <f>HYPERLINK("#'arrow'!A1","arrow")</f>
      </c>
      <c r="B10" s="48">
        <f>COUNTIF(arrow!$A:$BZ,"PASS")</f>
      </c>
      <c r="C10" s="50">
        <f>COUNTIF(arrow!$A:$BZ,"FAIL")</f>
      </c>
      <c r="D10" s="45">
        <f>B10+C10</f>
      </c>
      <c r="E10" s="45">
        <f>IF(C10&gt;0,"FAIL ("&amp;C10&amp;")",IF(D10=0,"-","all pass"))</f>
      </c>
    </row>
    <row r="11" spans="1:5" x14ac:dyDescent="0.5">
      <c r="A11" s="77">
        <f>HYPERLINK("#'arrow_move'!A1","arrow_move")</f>
      </c>
      <c r="B11" s="48">
        <f>COUNTIF(arrow_move!$A:$BZ,"PASS")</f>
      </c>
      <c r="C11" s="50">
        <f>COUNTIF(arrow_move!$A:$BZ,"FAIL")</f>
      </c>
      <c r="D11" s="45">
        <f>B11+C11</f>
      </c>
      <c r="E11" s="45">
        <f>IF(C11&gt;0,"FAIL ("&amp;C11&amp;")",IF(D11=0,"-","all pass"))</f>
      </c>
    </row>
    <row r="12" spans="1:5" x14ac:dyDescent="0.5">
      <c r="A12" s="77">
        <f>HYPERLINK("#'arrow_trip'!A1","arrow_trip")</f>
      </c>
      <c r="B12" s="48">
        <f>COUNTIF(arrow_trip!$A:$BZ,"PASS")</f>
      </c>
      <c r="C12" s="50">
        <f>COUNTIF(arrow_trip!$A:$BZ,"FAIL")</f>
      </c>
      <c r="D12" s="45">
        <f>B12+C12</f>
      </c>
      <c r="E12" s="45">
        <f>IF(C12&gt;0,"FAIL ("&amp;C12&amp;")",IF(D12=0,"-","all pass"))</f>
      </c>
    </row>
    <row r="13" spans="1:5" x14ac:dyDescent="0.5">
      <c r="A13" s="77">
        <f>HYPERLINK("#'biggest'!A1","biggest")</f>
      </c>
      <c r="B13" s="48">
        <f>COUNTIF(biggest!$A:$BZ,"PASS")</f>
      </c>
      <c r="C13" s="50">
        <f>COUNTIF(biggest!$A:$BZ,"FAIL")</f>
      </c>
      <c r="D13" s="45">
        <f>B13+C13</f>
      </c>
      <c r="E13" s="45">
        <f>IF(C13&gt;0,"FAIL ("&amp;C13&amp;")",IF(D13=0,"-","all pass"))</f>
      </c>
    </row>
    <row r="14" spans="1:5" x14ac:dyDescent="0.5">
      <c r="A14" s="77">
        <f>HYPERLINK("#'clamp'!A1","clamp")</f>
      </c>
      <c r="B14" s="48">
        <f>COUNTIF(clamp!$A:$BZ,"PASS")</f>
      </c>
      <c r="C14" s="50">
        <f>COUNTIF(clamp!$A:$BZ,"FAIL")</f>
      </c>
      <c r="D14" s="45">
        <f>B14+C14</f>
      </c>
      <c r="E14" s="45">
        <f>IF(C14&gt;0,"FAIL ("&amp;C14&amp;")",IF(D14=0,"-","all pass"))</f>
      </c>
    </row>
    <row r="15" spans="1:5" x14ac:dyDescent="0.5">
      <c r="A15" s="77">
        <f>HYPERLINK("#'cont_to_ad'!A1","cont_to_ad")</f>
      </c>
      <c r="B15" s="48">
        <f>COUNTIF(cont_to_ad!$A:$BZ,"PASS")</f>
      </c>
      <c r="C15" s="50">
        <f>COUNTIF(cont_to_ad!$A:$BZ,"FAIL")</f>
      </c>
      <c r="D15" s="45">
        <f>B15+C15</f>
      </c>
      <c r="E15" s="45">
        <f>IF(C15&gt;0,"FAIL ("&amp;C15&amp;")",IF(D15=0,"-","all pass"))</f>
      </c>
    </row>
    <row r="16" spans="1:5" x14ac:dyDescent="0.5">
      <c r="A16" s="77">
        <f>HYPERLINK("#'count_substring'!A1","count_substring")</f>
      </c>
      <c r="B16" s="48">
        <f>COUNTIF(count_substring!$A:$BZ,"PASS")</f>
      </c>
      <c r="C16" s="50">
        <f>COUNTIF(count_substring!$A:$BZ,"FAIL")</f>
      </c>
      <c r="D16" s="45">
        <f>B16+C16</f>
      </c>
      <c r="E16" s="45">
        <f>IF(C16&gt;0,"FAIL ("&amp;C16&amp;")",IF(D16=0,"-","all pass"))</f>
      </c>
    </row>
    <row r="17" spans="1:5" x14ac:dyDescent="0.5">
      <c r="A17" s="77">
        <f>HYPERLINK("#'ctotal'!A1","ctotal")</f>
      </c>
      <c r="B17" s="48">
        <f>COUNTIF(ctotal!$A:$BZ,"PASS")</f>
      </c>
      <c r="C17" s="50">
        <f>COUNTIF(ctotal!$A:$BZ,"FAIL")</f>
      </c>
      <c r="D17" s="45">
        <f>B17+C17</f>
      </c>
      <c r="E17" s="45">
        <f>IF(C17&gt;0,"FAIL ("&amp;C17&amp;")",IF(D17=0,"-","all pass"))</f>
      </c>
    </row>
    <row r="18" spans="1:5" x14ac:dyDescent="0.5">
      <c r="A18" s="77">
        <f>HYPERLINK("#'cycles'!A1","cycles")</f>
      </c>
      <c r="B18" s="48">
        <f>COUNTIF(cycles!$A:$BZ,"PASS")</f>
      </c>
      <c r="C18" s="50">
        <f>COUNTIF(cycles!$A:$BZ,"FAIL")</f>
      </c>
      <c r="D18" s="45">
        <f>B18+C18</f>
      </c>
      <c r="E18" s="45">
        <f>IF(C18&gt;0,"FAIL ("&amp;C18&amp;")",IF(D18=0,"-","all pass"))</f>
      </c>
    </row>
    <row r="19" spans="1:5" x14ac:dyDescent="0.5">
      <c r="A19" s="77">
        <f>HYPERLINK("#'die_pips'!A1","die_pips")</f>
      </c>
      <c r="B19" s="48">
        <f>COUNTIF(die_pips!$A:$BZ,"PASS")</f>
      </c>
      <c r="C19" s="50">
        <f>COUNTIF(die_pips!$A:$BZ,"FAIL")</f>
      </c>
      <c r="D19" s="45">
        <f>B19+C19</f>
      </c>
      <c r="E19" s="45">
        <f>IF(C19&gt;0,"FAIL ("&amp;C19&amp;")",IF(D19=0,"-","all pass"))</f>
      </c>
    </row>
    <row r="20" spans="1:5" x14ac:dyDescent="0.5">
      <c r="A20" s="77">
        <f>HYPERLINK("#'dist'!A1","dist")</f>
      </c>
      <c r="B20" s="48">
        <f>COUNTIF(dist!$A:$BZ,"PASS")</f>
      </c>
      <c r="C20" s="50">
        <f>COUNTIF(dist!$A:$BZ,"FAIL")</f>
      </c>
      <c r="D20" s="45">
        <f>B20+C20</f>
      </c>
      <c r="E20" s="45">
        <f>IF(C20&gt;0,"FAIL ("&amp;C20&amp;")",IF(D20=0,"-","all pass"))</f>
      </c>
    </row>
    <row r="21" spans="1:5" x14ac:dyDescent="0.5">
      <c r="A21" s="77">
        <f>HYPERLINK("#'exists'!A1","exists")</f>
      </c>
      <c r="B21" s="48">
        <f>COUNTIF(exists!$A:$BZ,"PASS")</f>
      </c>
      <c r="C21" s="50">
        <f>COUNTIF(exists!$A:$BZ,"FAIL")</f>
      </c>
      <c r="D21" s="45">
        <f>B21+C21</f>
      </c>
      <c r="E21" s="45">
        <f>IF(C21&gt;0,"FAIL ("&amp;C21&amp;")",IF(D21=0,"-","all pass"))</f>
      </c>
    </row>
    <row r="22" spans="1:5" x14ac:dyDescent="0.5">
      <c r="A22" s="77">
        <f>HYPERLINK("#'exlookup'!A1","exlookup")</f>
      </c>
      <c r="B22" s="48">
        <f>COUNTIF(exlookup!$A:$BZ,"PASS")</f>
      </c>
      <c r="C22" s="50">
        <f>COUNTIF(exlookup!$A:$BZ,"FAIL")</f>
      </c>
      <c r="D22" s="45">
        <f>B22+C22</f>
      </c>
      <c r="E22" s="45">
        <f>IF(C22&gt;0,"FAIL ("&amp;C22&amp;")",IF(D22=0,"-","all pass"))</f>
      </c>
    </row>
    <row r="23" spans="1:5" x14ac:dyDescent="0.5">
      <c r="A23" s="77">
        <f>HYPERLINK("#'expand_rng'!A1","expand_rng")</f>
      </c>
      <c r="B23" s="48">
        <f>COUNTIF(expand_rng!$A:$BZ,"PASS")</f>
      </c>
      <c r="C23" s="50">
        <f>COUNTIF(expand_rng!$A:$BZ,"FAIL")</f>
      </c>
      <c r="D23" s="45">
        <f>B23+C23</f>
      </c>
      <c r="E23" s="45">
        <f>IF(C23&gt;0,"FAIL ("&amp;C23&amp;")",IF(D23=0,"-","all pass"))</f>
      </c>
    </row>
    <row r="24" spans="1:5" x14ac:dyDescent="0.5">
      <c r="A24" s="77">
        <f>HYPERLINK("#'first_time'!A1","first_time")</f>
      </c>
      <c r="B24" s="48">
        <f>COUNTIF(first_time!$A:$BZ,"PASS")</f>
      </c>
      <c r="C24" s="50">
        <f>COUNTIF(first_time!$A:$BZ,"FAIL")</f>
      </c>
      <c r="D24" s="45">
        <f>B24+C24</f>
      </c>
      <c r="E24" s="45">
        <f>IF(C24&gt;0,"FAIL ("&amp;C24&amp;")",IF(D24=0,"-","all pass"))</f>
      </c>
    </row>
    <row r="25" spans="1:5" x14ac:dyDescent="0.5">
      <c r="A25" s="77">
        <f>HYPERLINK("#'freq_table'!A1","freq_table")</f>
      </c>
      <c r="B25" s="48">
        <f>COUNTIF(freq_table!$A:$BZ,"PASS")</f>
      </c>
      <c r="C25" s="50">
        <f>COUNTIF(freq_table!$A:$BZ,"FAIL")</f>
      </c>
      <c r="D25" s="45">
        <f>B25+C25</f>
      </c>
      <c r="E25" s="45">
        <f>IF(C25&gt;0,"FAIL ("&amp;C25&amp;")",IF(D25=0,"-","all pass"))</f>
      </c>
    </row>
    <row r="26" spans="1:5" x14ac:dyDescent="0.5">
      <c r="A26" s="77">
        <f>HYPERLINK("#'ftd_maze_cost'!A1","ftd_maze_cost")</f>
      </c>
      <c r="B26" s="48">
        <f>COUNTIF(ftd_maze_cost!$A:$BZ,"PASS")</f>
      </c>
      <c r="C26" s="50">
        <f>COUNTIF(ftd_maze_cost!$A:$BZ,"FAIL")</f>
      </c>
      <c r="D26" s="45">
        <f>B26+C26</f>
      </c>
      <c r="E26" s="45">
        <f>IF(C26&gt;0,"FAIL ("&amp;C26&amp;")",IF(D26=0,"-","all pass"))</f>
      </c>
    </row>
    <row r="27" spans="1:5" x14ac:dyDescent="0.5">
      <c r="A27" s="77">
        <f>HYPERLINK("#'is_unique'!A1","is_unique")</f>
      </c>
      <c r="B27" s="48">
        <f>COUNTIF(is_unique!$A:$BZ,"PASS")</f>
      </c>
      <c r="C27" s="50">
        <f>COUNTIF(is_unique!$A:$BZ,"FAIL")</f>
      </c>
      <c r="D27" s="45">
        <f>B27+C27</f>
      </c>
      <c r="E27" s="45">
        <f>IF(C27&gt;0,"FAIL ("&amp;C27&amp;")",IF(D27=0,"-","all pass"))</f>
      </c>
    </row>
    <row r="28" spans="1:5" x14ac:dyDescent="0.5">
      <c r="A28" s="77">
        <f>HYPERLINK("#'knight_moves'!A1","knight_moves")</f>
      </c>
      <c r="B28" s="48">
        <f>COUNTIF(knight_moves!$A:$BZ,"PASS")</f>
      </c>
      <c r="C28" s="50">
        <f>COUNTIF(knight_moves!$A:$BZ,"FAIL")</f>
      </c>
      <c r="D28" s="45">
        <f>B28+C28</f>
      </c>
      <c r="E28" s="45">
        <f>IF(C28&gt;0,"FAIL ("&amp;C28&amp;")",IF(D28=0,"-","all pass"))</f>
      </c>
    </row>
    <row r="29" spans="1:5" x14ac:dyDescent="0.5">
      <c r="A29" s="77">
        <f>HYPERLINK("#'label_lookup'!A1","label_lookup")</f>
      </c>
      <c r="B29" s="48">
        <f>COUNTIF(label_lookup!$A:$BZ,"PASS")</f>
      </c>
      <c r="C29" s="50">
        <f>COUNTIF(label_lookup!$A:$BZ,"FAIL")</f>
      </c>
      <c r="D29" s="45">
        <f>B29+C29</f>
      </c>
      <c r="E29" s="45">
        <f>IF(C29&gt;0,"FAIL ("&amp;C29&amp;")",IF(D29=0,"-","all pass"))</f>
      </c>
    </row>
    <row r="30" spans="1:5" x14ac:dyDescent="0.5">
      <c r="A30" s="77">
        <f>HYPERLINK("#'load_array'!A1","load_array")</f>
      </c>
      <c r="B30" s="48">
        <f>COUNTIF(load_array!$A:$BZ,"PASS")</f>
      </c>
      <c r="C30" s="50">
        <f>COUNTIF(load_array!$A:$BZ,"FAIL")</f>
      </c>
      <c r="D30" s="45">
        <f>B30+C30</f>
      </c>
      <c r="E30" s="45">
        <f>IF(C30&gt;0,"FAIL ("&amp;C30&amp;")",IF(D30=0,"-","all pass"))</f>
      </c>
    </row>
    <row r="31" spans="1:5" x14ac:dyDescent="0.5">
      <c r="A31" s="77">
        <f>HYPERLINK("#'make_change'!A1","make_change")</f>
      </c>
      <c r="B31" s="48">
        <f>COUNTIF(make_change!$A:$BZ,"PASS")</f>
      </c>
      <c r="C31" s="50">
        <f>COUNTIF(make_change!$A:$BZ,"FAIL")</f>
      </c>
      <c r="D31" s="45">
        <f>B31+C31</f>
      </c>
      <c r="E31" s="45">
        <f>IF(C31&gt;0,"FAIL ("&amp;C31&amp;")",IF(D31=0,"-","all pass"))</f>
      </c>
    </row>
    <row r="32" spans="1:5" x14ac:dyDescent="0.5">
      <c r="A32" s="77">
        <f>HYPERLINK("#'move_rng'!A1","move_rng")</f>
      </c>
      <c r="B32" s="48">
        <f>COUNTIF(move_rng!$A:$BZ,"PASS")</f>
      </c>
      <c r="C32" s="50">
        <f>COUNTIF(move_rng!$A:$BZ,"FAIL")</f>
      </c>
      <c r="D32" s="45">
        <f>B32+C32</f>
      </c>
      <c r="E32" s="45">
        <f>IF(C32&gt;0,"FAIL ("&amp;C32&amp;")",IF(D32=0,"-","all pass"))</f>
      </c>
    </row>
    <row r="33" spans="1:5" x14ac:dyDescent="0.5">
      <c r="A33" s="77">
        <f>HYPERLINK("#'neighbors_count'!A1","neighbors_count")</f>
      </c>
      <c r="B33" s="48">
        <f>COUNTIF(neighbors_count!$A:$BZ,"PASS")</f>
      </c>
      <c r="C33" s="50">
        <f>COUNTIF(neighbors_count!$A:$BZ,"FAIL")</f>
      </c>
      <c r="D33" s="45">
        <f>B33+C33</f>
      </c>
      <c r="E33" s="45">
        <f>IF(C33&gt;0,"FAIL ("&amp;C33&amp;")",IF(D33=0,"-","all pass"))</f>
      </c>
    </row>
    <row r="34" spans="1:5" x14ac:dyDescent="0.5">
      <c r="A34" s="77">
        <f>HYPERLINK("#'neighbors_list'!A1","neighbors_list")</f>
      </c>
      <c r="B34" s="48">
        <f>COUNTIF(neighbors_list!$A:$BZ,"PASS")</f>
      </c>
      <c r="C34" s="50">
        <f>COUNTIF(neighbors_list!$A:$BZ,"FAIL")</f>
      </c>
      <c r="D34" s="45">
        <f>B34+C34</f>
      </c>
      <c r="E34" s="45">
        <f>IF(C34&gt;0,"FAIL ("&amp;C34&amp;")",IF(D34=0,"-","all pass"))</f>
      </c>
    </row>
    <row r="35" spans="1:5" x14ac:dyDescent="0.5">
      <c r="A35" s="77">
        <f>HYPERLINK("#'num_ad'!A1","num_ad")</f>
      </c>
      <c r="B35" s="48">
        <f>COUNTIF(num_ad!$A:$BZ,"PASS")</f>
      </c>
      <c r="C35" s="50">
        <f>COUNTIF(num_ad!$A:$BZ,"FAIL")</f>
      </c>
      <c r="D35" s="45">
        <f>B35+C35</f>
      </c>
      <c r="E35" s="45">
        <f>IF(C35&gt;0,"FAIL ("&amp;C35&amp;")",IF(D35=0,"-","all pass"))</f>
      </c>
    </row>
    <row r="36" spans="1:5" x14ac:dyDescent="0.5">
      <c r="A36" s="77">
        <f>HYPERLINK("#'offset_letter'!A1","offset_letter")</f>
      </c>
      <c r="B36" s="48">
        <f>COUNTIF(offset_letter!$A:$BZ,"PASS")</f>
      </c>
      <c r="C36" s="50">
        <f>COUNTIF(offset_letter!$A:$BZ,"FAIL")</f>
      </c>
      <c r="D36" s="45">
        <f>B36+C36</f>
      </c>
      <c r="E36" s="45">
        <f>IF(C36&gt;0,"FAIL ("&amp;C36&amp;")",IF(D36=0,"-","all pass"))</f>
      </c>
    </row>
    <row r="37" spans="1:5" x14ac:dyDescent="0.5">
      <c r="A37" s="77">
        <f>HYPERLINK("#'only_letters'!A1","only_letters")</f>
      </c>
      <c r="B37" s="48">
        <f>COUNTIF(only_letters!$A:$BZ,"PASS")</f>
      </c>
      <c r="C37" s="50">
        <f>COUNTIF(only_letters!$A:$BZ,"FAIL")</f>
      </c>
      <c r="D37" s="45">
        <f>B37+C37</f>
      </c>
      <c r="E37" s="45">
        <f>IF(C37&gt;0,"FAIL ("&amp;C37&amp;")",IF(D37=0,"-","all pass"))</f>
      </c>
    </row>
    <row r="38" spans="1:5" x14ac:dyDescent="0.5">
      <c r="A38" s="77">
        <f>HYPERLINK("#'only_numbers'!A1","only_numbers")</f>
      </c>
      <c r="B38" s="48">
        <f>COUNTIF(only_numbers!$A:$BZ,"PASS")</f>
      </c>
      <c r="C38" s="50">
        <f>COUNTIF(only_numbers!$A:$BZ,"FAIL")</f>
      </c>
      <c r="D38" s="45">
        <f>B38+C38</f>
      </c>
      <c r="E38" s="45">
        <f>IF(C38&gt;0,"FAIL ("&amp;C38&amp;")",IF(D38=0,"-","all pass"))</f>
      </c>
    </row>
    <row r="39" spans="1:5" x14ac:dyDescent="0.5">
      <c r="A39" s="77">
        <f>HYPERLINK("#'prng'!A1","prng")</f>
      </c>
      <c r="B39" s="48">
        <f>COUNTIF(prng!$A:$BZ,"PASS")</f>
      </c>
      <c r="C39" s="50">
        <f>COUNTIF(prng!$A:$BZ,"FAIL")</f>
      </c>
      <c r="D39" s="45">
        <f>B39+C39</f>
      </c>
      <c r="E39" s="45">
        <f>IF(C39&gt;0,"FAIL ("&amp;C39&amp;")",IF(D39=0,"-","all pass"))</f>
      </c>
    </row>
    <row r="40" spans="1:5" x14ac:dyDescent="0.5">
      <c r="A40" s="77">
        <f>HYPERLINK("#'rc_to_ad'!A1","rc_to_ad")</f>
      </c>
      <c r="B40" s="48">
        <f>COUNTIF(rc_to_ad!$A:$BZ,"PASS")</f>
      </c>
      <c r="C40" s="50">
        <f>COUNTIF(rc_to_ad!$A:$BZ,"FAIL")</f>
      </c>
      <c r="D40" s="45">
        <f>B40+C40</f>
      </c>
      <c r="E40" s="45">
        <f>IF(C40&gt;0,"FAIL ("&amp;C40&amp;")",IF(D40=0,"-","all pass"))</f>
      </c>
    </row>
    <row r="41" spans="1:5" x14ac:dyDescent="0.5">
      <c r="A41" s="77">
        <f>HYPERLINK("#'rev'!A1","rev")</f>
      </c>
      <c r="B41" s="48">
        <f>COUNTIF(rev!$A:$BZ,"PASS")</f>
      </c>
      <c r="C41" s="50">
        <f>COUNTIF(rev!$A:$BZ,"FAIL")</f>
      </c>
      <c r="D41" s="45">
        <f>B41+C41</f>
      </c>
      <c r="E41" s="45">
        <f>IF(C41&gt;0,"FAIL ("&amp;C41&amp;")",IF(D41=0,"-","all pass"))</f>
      </c>
    </row>
    <row r="42" spans="1:5" x14ac:dyDescent="0.5">
      <c r="A42" s="77">
        <f>HYPERLINK("#'rotate_arrow'!A1","rotate_arrow")</f>
      </c>
      <c r="B42" s="48">
        <f>COUNTIF(rotate_arrow!$A:$BZ,"PASS")</f>
      </c>
      <c r="C42" s="50">
        <f>COUNTIF(rotate_arrow!$A:$BZ,"FAIL")</f>
      </c>
      <c r="D42" s="45">
        <f>B42+C42</f>
      </c>
      <c r="E42" s="45">
        <f>IF(C42&gt;0,"FAIL ("&amp;C42&amp;")",IF(D42=0,"-","all pass"))</f>
      </c>
    </row>
    <row r="43" spans="1:5" x14ac:dyDescent="0.5">
      <c r="A43" s="77">
        <f>HYPERLINK("#'route_cost'!A1","route_cost")</f>
      </c>
      <c r="B43" s="48">
        <f>COUNTIF(route_cost!$A:$BZ,"PASS")</f>
      </c>
      <c r="C43" s="50">
        <f>COUNTIF(route_cost!$A:$BZ,"FAIL")</f>
      </c>
      <c r="D43" s="45">
        <f>B43+C43</f>
      </c>
      <c r="E43" s="45">
        <f>IF(C43&gt;0,"FAIL ("&amp;C43&amp;")",IF(D43=0,"-","all pass"))</f>
      </c>
    </row>
    <row r="44" spans="1:5" x14ac:dyDescent="0.5">
      <c r="A44" s="77">
        <f>HYPERLINK("#'save_array'!A1","save_array")</f>
      </c>
      <c r="B44" s="48">
        <f>COUNTIF(save_array!$A:$BZ,"PASS")</f>
      </c>
      <c r="C44" s="50">
        <f>COUNTIF(save_array!$A:$BZ,"FAIL")</f>
      </c>
      <c r="D44" s="45">
        <f>B44+C44</f>
      </c>
      <c r="E44" s="45">
        <f>IF(C44&gt;0,"FAIL ("&amp;C44&amp;")",IF(D44=0,"-","all pass"))</f>
      </c>
    </row>
    <row r="45" spans="1:5" x14ac:dyDescent="0.5">
      <c r="A45" s="77">
        <f>HYPERLINK("#'scan2'!A1","scan2")</f>
      </c>
      <c r="B45" s="48">
        <f>COUNTIF(scan2!$A:$BZ,"PASS")</f>
      </c>
      <c r="C45" s="50">
        <f>COUNTIF(scan2!$A:$BZ,"FAIL")</f>
      </c>
      <c r="D45" s="45">
        <f>B45+C45</f>
      </c>
      <c r="E45" s="45">
        <f>IF(C45&gt;0,"FAIL ("&amp;C45&amp;")",IF(D45=0,"-","all pass"))</f>
      </c>
    </row>
    <row r="46" spans="1:5" x14ac:dyDescent="0.5">
      <c r="A46" s="77">
        <f>HYPERLINK("#'scan3'!A1","scan3")</f>
      </c>
      <c r="B46" s="48">
        <f>COUNTIF(scan3!$A:$BZ,"PASS")</f>
      </c>
      <c r="C46" s="50">
        <f>COUNTIF(scan3!$A:$BZ,"FAIL")</f>
      </c>
      <c r="D46" s="45">
        <f>B46+C46</f>
      </c>
      <c r="E46" s="45">
        <f>IF(C46&gt;0,"FAIL ("&amp;C46&amp;")",IF(D46=0,"-","all pass"))</f>
      </c>
    </row>
    <row r="47" spans="1:5" x14ac:dyDescent="0.5">
      <c r="A47" s="77">
        <f>HYPERLINK("#'selections'!A1","selections")</f>
      </c>
      <c r="B47" s="48">
        <f>COUNTIF(selections!$A:$BZ,"PASS")</f>
      </c>
      <c r="C47" s="50">
        <f>COUNTIF(selections!$A:$BZ,"FAIL")</f>
      </c>
      <c r="D47" s="45">
        <f>B47+C47</f>
      </c>
      <c r="E47" s="45">
        <f>IF(C47&gt;0,"FAIL ("&amp;C47&amp;")",IF(D47=0,"-","all pass"))</f>
      </c>
    </row>
    <row r="48" spans="1:5" x14ac:dyDescent="0.5">
      <c r="A48" s="77">
        <f>HYPERLINK("#'set'!A1","set")</f>
      </c>
      <c r="B48" s="48">
        <f>COUNTIF(set!$A:$BZ,"PASS")</f>
      </c>
      <c r="C48" s="50">
        <f>COUNTIF(set!$A:$BZ,"FAIL")</f>
      </c>
      <c r="D48" s="45">
        <f>B48+C48</f>
      </c>
      <c r="E48" s="45">
        <f>IF(C48&gt;0,"FAIL ("&amp;C48&amp;")",IF(D48=0,"-","all pass"))</f>
      </c>
    </row>
    <row r="49" spans="1:5" x14ac:dyDescent="0.5">
      <c r="A49" s="77">
        <f>HYPERLINK("#'set_d'!A1","set_d")</f>
      </c>
      <c r="B49" s="48">
        <f>COUNTIF(set_d!$A:$BZ,"PASS")</f>
      </c>
      <c r="C49" s="50">
        <f>COUNTIF(set_d!$A:$BZ,"FAIL")</f>
      </c>
      <c r="D49" s="45">
        <f>B49+C49</f>
      </c>
      <c r="E49" s="45">
        <f>IF(C49&gt;0,"FAIL ("&amp;C49&amp;")",IF(D49=0,"-","all pass"))</f>
      </c>
    </row>
    <row r="50" spans="1:5" x14ac:dyDescent="0.5">
      <c r="A50" s="77">
        <f>HYPERLINK("#'set_i'!A1","set_i")</f>
      </c>
      <c r="B50" s="48">
        <f>COUNTIF(set_i!$A:$BZ,"PASS")</f>
      </c>
      <c r="C50" s="50">
        <f>COUNTIF(set_i!$A:$BZ,"FAIL")</f>
      </c>
      <c r="D50" s="45">
        <f>B50+C50</f>
      </c>
      <c r="E50" s="45">
        <f>IF(C50&gt;0,"FAIL ("&amp;C50&amp;")",IF(D50=0,"-","all pass"))</f>
      </c>
    </row>
    <row r="51" spans="1:5" x14ac:dyDescent="0.5">
      <c r="A51" s="77">
        <f>HYPERLINK("#'set_u'!A1","set_u")</f>
      </c>
      <c r="B51" s="48">
        <f>COUNTIF(set_u!$A:$BZ,"PASS")</f>
      </c>
      <c r="C51" s="50">
        <f>COUNTIF(set_u!$A:$BZ,"FAIL")</f>
      </c>
      <c r="D51" s="45">
        <f>B51+C51</f>
      </c>
      <c r="E51" s="45">
        <f>IF(C51&gt;0,"FAIL ("&amp;C51&amp;")",IF(D51=0,"-","all pass"))</f>
      </c>
    </row>
    <row r="52" spans="1:5" x14ac:dyDescent="0.5">
      <c r="A52" s="77">
        <f>HYPERLINK("#'shift_arr'!A1","shift_arr")</f>
      </c>
      <c r="B52" s="48">
        <f>COUNTIF(shift_arr!$A:$BZ,"PASS")</f>
      </c>
      <c r="C52" s="50">
        <f>COUNTIF(shift_arr!$A:$BZ,"FAIL")</f>
      </c>
      <c r="D52" s="45">
        <f>B52+C52</f>
      </c>
      <c r="E52" s="45">
        <f>IF(C52&gt;0,"FAIL ("&amp;C52&amp;")",IF(D52=0,"-","all pass"))</f>
      </c>
    </row>
    <row r="53" spans="1:5" x14ac:dyDescent="0.5">
      <c r="A53" s="77">
        <f>HYPERLINK("#'smallest'!A1","smallest")</f>
      </c>
      <c r="B53" s="48">
        <f>COUNTIF(smallest!$A:$BZ,"PASS")</f>
      </c>
      <c r="C53" s="50">
        <f>COUNTIF(smallest!$A:$BZ,"FAIL")</f>
      </c>
      <c r="D53" s="45">
        <f>B53+C53</f>
      </c>
      <c r="E53" s="45">
        <f>IF(C53&gt;0,"FAIL ("&amp;C53&amp;")",IF(D53=0,"-","all pass"))</f>
      </c>
    </row>
    <row r="54" spans="1:5" x14ac:dyDescent="0.5">
      <c r="A54" s="77">
        <f>HYPERLINK("#'str_ad'!A1","str_ad")</f>
      </c>
      <c r="B54" s="48">
        <f>COUNTIF(str_ad!$A:$BZ,"PASS")</f>
      </c>
      <c r="C54" s="50">
        <f>COUNTIF(str_ad!$A:$BZ,"FAIL")</f>
      </c>
      <c r="D54" s="45">
        <f>B54+C54</f>
      </c>
      <c r="E54" s="45">
        <f>IF(C54&gt;0,"FAIL ("&amp;C54&amp;")",IF(D54=0,"-","all pass"))</f>
      </c>
    </row>
    <row r="55" spans="1:5" x14ac:dyDescent="0.5">
      <c r="A55" s="77">
        <f>HYPERLINK("#'str_rev'!A1","str_rev")</f>
      </c>
      <c r="B55" s="48">
        <f>COUNTIF(str_rev!$A:$BZ,"PASS")</f>
      </c>
      <c r="C55" s="50">
        <f>COUNTIF(str_rev!$A:$BZ,"FAIL")</f>
      </c>
      <c r="D55" s="45">
        <f>B55+C55</f>
      </c>
      <c r="E55" s="45">
        <f>IF(C55&gt;0,"FAIL ("&amp;C55&amp;")",IF(D55=0,"-","all pass"))</f>
      </c>
    </row>
    <row r="56" spans="1:5" x14ac:dyDescent="0.5">
      <c r="A56" s="77">
        <f>HYPERLINK("#'str_to_arr'!A1","str_to_arr")</f>
      </c>
      <c r="B56" s="48">
        <f>COUNTIF(str_to_arr!$A:$BZ,"PASS")</f>
      </c>
      <c r="C56" s="50">
        <f>COUNTIF(str_to_arr!$A:$BZ,"FAIL")</f>
      </c>
      <c r="D56" s="45">
        <f>B56+C56</f>
      </c>
      <c r="E56" s="45">
        <f>IF(C56&gt;0,"FAIL ("&amp;C56&amp;")",IF(D56=0,"-","all pass"))</f>
      </c>
    </row>
    <row r="57" spans="1:5" x14ac:dyDescent="0.5">
      <c r="A57" s="77">
        <f>HYPERLINK("#'streak'!A1","streak")</f>
      </c>
      <c r="B57" s="48">
        <f>COUNTIF(streak!$A:$BZ,"PASS")</f>
      </c>
      <c r="C57" s="50">
        <f>COUNTIF(streak!$A:$BZ,"FAIL")</f>
      </c>
      <c r="D57" s="45">
        <f>B57+C57</f>
      </c>
      <c r="E57" s="45">
        <f>IF(C57&gt;0,"FAIL ("&amp;C57&amp;")",IF(D57=0,"-","all pass"))</f>
      </c>
    </row>
    <row r="58" spans="1:5" x14ac:dyDescent="0.5">
      <c r="A58" s="77">
        <f>HYPERLINK("#'textbetween'!A1","textbetween")</f>
      </c>
      <c r="B58" s="48">
        <f>COUNTIF(textbetween!$A:$BZ,"PASS")</f>
      </c>
      <c r="C58" s="50">
        <f>COUNTIF(textbetween!$A:$BZ,"FAIL")</f>
      </c>
      <c r="D58" s="45">
        <f>B58+C58</f>
      </c>
      <c r="E58" s="45">
        <f>IF(C58&gt;0,"FAIL ("&amp;C58&amp;")",IF(D58=0,"-","all pass"))</f>
      </c>
    </row>
    <row r="59" spans="1:5" x14ac:dyDescent="0.5">
      <c r="A59" s="77">
        <f>HYPERLINK("#'transform_array'!A1","transform_array")</f>
      </c>
      <c r="B59" s="48">
        <f>COUNTIF(transform_array!$A:$BZ,"PASS")</f>
      </c>
      <c r="C59" s="50">
        <f>COUNTIF(transform_array!$A:$BZ,"FAIL")</f>
      </c>
      <c r="D59" s="45">
        <f>B59+C59</f>
      </c>
      <c r="E59" s="45">
        <f>IF(C59&gt;0,"FAIL ("&amp;C59&amp;")",IF(D59=0,"-","all pass"))</f>
      </c>
    </row>
    <row r="60" spans="1:5" x14ac:dyDescent="0.5">
      <c r="A60" s="77">
        <f>HYPERLINK("#'update_arr'!A1","update_arr")</f>
      </c>
      <c r="B60" s="48">
        <f>COUNTIF(update_arr!$A:$BZ,"PASS")</f>
      </c>
      <c r="C60" s="50">
        <f>COUNTIF(update_arr!$A:$BZ,"FAIL")</f>
      </c>
      <c r="D60" s="45">
        <f>B60+C60</f>
      </c>
      <c r="E60" s="45">
        <f>IF(C60&gt;0,"FAIL ("&amp;C60&amp;")",IF(D60=0,"-","all pass"))</f>
      </c>
    </row>
    <row r="61" spans="1:5" x14ac:dyDescent="0.5">
      <c r="A61" s="77">
        <f>HYPERLINK("#'xbycol'!A1","xbycol")</f>
      </c>
      <c r="B61" s="48">
        <f>COUNTIF(xbycol!$A:$BZ,"PASS")</f>
      </c>
      <c r="C61" s="50">
        <f>COUNTIF(xbycol!$A:$BZ,"FAIL")</f>
      </c>
      <c r="D61" s="45">
        <f>B61+C61</f>
      </c>
      <c r="E61" s="45">
        <f>IF(C61&gt;0,"FAIL ("&amp;C61&amp;")",IF(D61=0,"-","all pass"))</f>
      </c>
    </row>
    <row r="62" spans="1:5" x14ac:dyDescent="0.5">
      <c r="A62" s="77">
        <f>HYPERLINK("#'xbyrow'!A1","xbyrow")</f>
      </c>
      <c r="B62" s="48">
        <f>COUNTIF(xbyrow!$A:$BZ,"PASS")</f>
      </c>
      <c r="C62" s="50">
        <f>COUNTIF(xbyrow!$A:$BZ,"FAIL")</f>
      </c>
      <c r="D62" s="45">
        <f>B62+C62</f>
      </c>
      <c r="E62" s="45">
        <f>IF(C62&gt;0,"FAIL ("&amp;C62&amp;")",IF(D62=0,"-","all pass"))</f>
      </c>
    </row>
    <row r="63" spans="1:5" x14ac:dyDescent="0.5">
      <c r="A63" s="77">
        <f>HYPERLINK("#'xcountif'!A1","xcountif")</f>
      </c>
      <c r="B63" s="48">
        <f>COUNTIF(xcountif!$A:$BZ,"PASS")</f>
      </c>
      <c r="C63" s="50">
        <f>COUNTIF(xcountif!$A:$BZ,"FAIL")</f>
      </c>
      <c r="D63" s="45">
        <f>B63+C63</f>
      </c>
      <c r="E63" s="45">
        <f>IF(C63&gt;0,"FAIL ("&amp;C63&amp;")",IF(D63=0,"-","all pass"))</f>
      </c>
    </row>
    <row r="64" spans="1:5" x14ac:dyDescent="0.5">
      <c r="A64" s="77">
        <f>HYPERLINK("#'xdec2bin'!A1","xdec2bin")</f>
      </c>
      <c r="B64" s="48">
        <f>COUNTIF(xdec2bin!$A:$BZ,"PASS")</f>
      </c>
      <c r="C64" s="50">
        <f>COUNTIF(xdec2bin!$A:$BZ,"FAIL")</f>
      </c>
      <c r="D64" s="45">
        <f>B64+C64</f>
      </c>
      <c r="E64" s="45">
        <f>IF(C64&gt;0,"FAIL ("&amp;C64&amp;")",IF(D64=0,"-","all pass"))</f>
      </c>
    </row>
    <row r="65" spans="2:5" x14ac:dyDescent="0.5">
      <c r="A65" s="77">
        <f>HYPERLINK("#'xfilter'!A1","xfilter")</f>
      </c>
      <c r="B65" s="48">
        <f>COUNTIF(xfilter!$A:$BZ,"PASS")</f>
      </c>
      <c r="C65" s="50">
        <f>COUNTIF(xfilter!$A:$BZ,"FAIL")</f>
      </c>
      <c r="D65" s="45">
        <f>B65+C65</f>
      </c>
      <c r="E65" s="45">
        <f>IF(C65&gt;0,"FAIL ("&amp;C65&amp;")",IF(D65=0,"-","all pass"))</f>
      </c>
    </row>
    <row r="66" spans="2:5" x14ac:dyDescent="0.5">
      <c r="A66" s="77">
        <f>HYPERLINK("#'xmod'!A1","xmod")</f>
      </c>
      <c r="B66" s="48">
        <f>COUNTIF(xmod!$A:$BZ,"PASS")</f>
      </c>
      <c r="C66" s="50">
        <f>COUNTIF(xmod!$A:$BZ,"FAIL")</f>
      </c>
      <c r="D66" s="45">
        <f>B66+C66</f>
      </c>
      <c r="E66" s="45">
        <f>IF(C66&gt;0,"FAIL ("&amp;C66&amp;")",IF(D66=0,"-","all pass"))</f>
      </c>
    </row>
    <row r="67">
      <c r="A67" s="77">
        <f>HYPERLINK("#'xn'!A1","xn")</f>
      </c>
      <c r="B67" s="48">
        <f>COUNTIF(xn!$A:$BZ,"PASS")</f>
      </c>
      <c r="C67" s="50">
        <f>COUNTIF(xn!$A:$BZ,"FAIL")</f>
      </c>
      <c r="D67" s="45">
        <f>B67+C67</f>
      </c>
      <c r="E67" s="45">
        <f>IF(C67&gt;0,"FAIL ("&amp;C67&amp;")",IF(D67=0,"-","all pass"))</f>
      </c>
    </row>
    <row r="68">
      <c r="A68" s="77">
        <f>HYPERLINK("#'xrank'!A1","xrank")</f>
      </c>
      <c r="B68" s="48">
        <f>COUNTIF(xrank!$A:$BZ,"PASS")</f>
      </c>
      <c r="C68" s="50">
        <f>COUNTIF(xrank!$A:$BZ,"FAIL")</f>
      </c>
      <c r="D68" s="45">
        <f>B68+C68</f>
      </c>
      <c r="E68" s="45">
        <f>IF(C68&gt;0,"FAIL ("&amp;C68&amp;")",IF(D68=0,"-","all pass"))</f>
      </c>
    </row>
    <row r="69">
      <c r="A69" s="77">
        <f>HYPERLINK("#'xsequence'!A1","xsequence")</f>
      </c>
      <c r="B69" s="48">
        <f>COUNTIF(xsequence!$A:$BZ,"PASS")</f>
      </c>
      <c r="C69" s="50">
        <f>COUNTIF(xsequence!$A:$BZ,"FAIL")</f>
      </c>
      <c r="D69" s="45">
        <f>B69+C69</f>
      </c>
      <c r="E69" s="45">
        <f>IF(C69&gt;0,"FAIL ("&amp;C69&amp;")",IF(D69=0,"-","all pass"))</f>
      </c>
    </row>
    <row r="70">
      <c r="A70" s="77">
        <f>HYPERLINK("#'xtextjoin'!A1","xtextjoin")</f>
      </c>
      <c r="B70" s="48">
        <f>COUNTIF(xtextjoin!$A:$BZ,"PASS")</f>
      </c>
      <c r="C70" s="50">
        <f>COUNTIF(xtextjoin!$A:$BZ,"FAIL")</f>
      </c>
      <c r="D70" s="45">
        <f>B70+C70</f>
      </c>
      <c r="E70" s="45">
        <f>IF(C70&gt;0,"FAIL ("&amp;C70&amp;")",IF(D70=0,"-","all pass"))</f>
      </c>
    </row>
    <row r="71">
      <c r="A71" s="77">
        <f>HYPERLINK("#'xtocol'!A1","xtocol")</f>
      </c>
      <c r="B71" s="48">
        <f>COUNTIF(xtocol!$A:$BZ,"PASS")</f>
      </c>
      <c r="C71" s="50">
        <f>COUNTIF(xtocol!$A:$BZ,"FAIL")</f>
      </c>
      <c r="D71" s="45">
        <f>B71+C71</f>
      </c>
      <c r="E71" s="45">
        <f>IF(C71&gt;0,"FAIL ("&amp;C71&amp;")",IF(D71=0,"-","all pass"))</f>
      </c>
    </row>
    <row r="72">
      <c r="A72" s="101" t="inlineStr">
        <is>
          <t xml:space="preserve">TOTAL</t>
        </is>
      </c>
      <c r="B72" s="48">
        <f>SUM(B5:B71)</f>
      </c>
      <c r="C72" s="50">
        <f>SUM(C5:C71)</f>
      </c>
      <c r="D72" s="45">
        <f>SUM(D5:D71)</f>
      </c>
      <c r="E72" s="45">
        <f>IF(C72&gt;0,C72&amp;" FAILING","ALL PASS")</f>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inlineStr">
        <is>
          <t xml:space="preserve">ad_to_cont(ad_or_rng, arr) - non-volatile INDIRECT: contents of arr at an address or range. In-bounds empty cell -&gt; ""; a valid address/range fully outside arr -&gt; "oob"; a non-address, or a range used as an array element -&gt; "inv". Fixture: D7:F9 holds 10..90.</t>
        </is>
      </c>
      <c r="S4" s="45">
        <f>COUNTIF(S11:S60,"PASS")&amp;" / 14 PASS"</f>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K11" t="inlineStr">
        <is>
          <t xml:space="preserve">D7</t>
        </is>
      </c>
      <c r="M11" s="52">
        <v>50</v>
      </c>
      <c r="N11" s="52"/>
      <c r="P11" s="53" cm="1">
        <f t="array" ref="P11">ad_to_cont("E8",D7:F9)</f>
        <v>50</v>
      </c>
      <c r="Q11" s="53"/>
      <c r="S11" s="54" t="str">
        <f>IF(P11=M11,"PASS","FAIL")</f>
        <v>PASS</v>
      </c>
    </row>
    <row r="12" spans="1:19" x14ac:dyDescent="0.5">
      <c r="B12" s="47"/>
      <c r="E12" s="51"/>
      <c r="K12" t="inlineStr">
        <is>
          <t xml:space="preserve">Z99</t>
        </is>
      </c>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K14" t="inlineStr">
        <is>
          <t xml:space="preserve">D7</t>
        </is>
      </c>
      <c r="M14" s="52"/>
      <c r="N14" s="52"/>
      <c r="P14" s="53"/>
      <c r="Q14" s="53"/>
      <c r="S14" s="54"/>
    </row>
    <row r="15" spans="1:19" x14ac:dyDescent="0.5">
      <c r="B15" s="47" t="s">
        <v>3492</v>
      </c>
      <c r="E15" s="51"/>
      <c r="K15" t="inlineStr">
        <is>
          <t xml:space="preserve">D7:E8</t>
        </is>
      </c>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K17">
        <f>REPT("z",300)</f>
      </c>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inlineStr">
        <is>
          <t xml:space="preserve">out of bounds "Z99" -&gt; "oob"</t>
        </is>
      </c>
      <c r="E24" s="51"/>
      <c r="M24" s="52" t="inlineStr">
        <is>
          <t xml:space="preserve">oob</t>
        </is>
      </c>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t="inlineStr">
        <is>
          <t xml:space="preserve">range no overlap "A1:B2" -&gt; "oob"</t>
        </is>
      </c>
      <c r="E31" s="51"/>
      <c r="M31" s="52" t="inlineStr">
        <is>
          <t xml:space="preserve">oob</t>
        </is>
      </c>
      <c r="N31" s="52"/>
      <c r="P31" s="53" cm="1">
        <f t="array" ref="P31">ad_to_cont("A1:B2",D7:F9)</f>
        <v>0</v>
      </c>
      <c r="Q31" s="53"/>
      <c r="S31" s="54">
        <f>IF(P31=M31,"PASS","FAIL")</f>
      </c>
    </row>
    <row r="32" spans="2:19" x14ac:dyDescent="0.5">
      <c r="B32" s="47"/>
      <c r="E32" s="51"/>
      <c r="M32" s="52"/>
      <c r="N32" s="52"/>
      <c r="P32" s="53"/>
      <c r="Q32" s="53"/>
      <c r="S32" s="54"/>
    </row>
    <row r="33" spans="2:19" x14ac:dyDescent="0.5">
      <c r="B33" s="47" t="inlineStr">
        <is>
          <t xml:space="preserve">addr array {D7;Z99} -&gt; {10;"oob"}</t>
        </is>
      </c>
      <c r="E33" s="51"/>
      <c r="M33" s="52">
        <v>10</v>
      </c>
      <c r="N33" s="52"/>
      <c r="P33" s="53" cm="1">
        <f t="array" ref="P33:P34">ad_to_cont(K11:K12,D7:F9)</f>
        <v>0</v>
      </c>
      <c r="Q33" s="53"/>
      <c r="S33" s="54" cm="1">
        <f t="array" ref="S33">IF(AND(M33:M34=P33:P34),"PASS","FAIL")</f>
        <v>0</v>
      </c>
    </row>
    <row r="34" spans="2:19" x14ac:dyDescent="0.5">
      <c r="B34" s="47"/>
      <c r="E34" s="51"/>
      <c r="M34" s="52" t="inlineStr">
        <is>
          <t xml:space="preserve">oob</t>
        </is>
      </c>
      <c r="N34" s="52"/>
      <c r="P34" s="53"/>
      <c r="Q34" s="53"/>
      <c r="S34" s="54"/>
    </row>
    <row r="35" spans="2:19" ht="21.5" customHeight="1" x14ac:dyDescent="0.5">
      <c r="B35" s="47" t="inlineStr">
        <is>
          <t xml:space="preserve">non-address "hello" -&gt; "inv"</t>
        </is>
      </c>
      <c r="M35" s="52" t="inlineStr">
        <is>
          <t xml:space="preserve">inv</t>
        </is>
      </c>
      <c r="P35" s="53" cm="1">
        <f t="array" ref="P35">ad_to_cont("hello",D7:F9)</f>
        <v>0</v>
      </c>
      <c r="S35" s="54">
        <f>IF(P35=M35,"PASS","FAIL")</f>
      </c>
    </row>
    <row r="37">
      <c r="B37" t="inlineStr">
        <is>
          <t xml:space="preserve">array w/ range elt {D7;D7:E8} -&gt; {10;"inv"}</t>
        </is>
      </c>
      <c r="M37" s="52">
        <v>10</v>
      </c>
      <c r="P37" s="53" cm="1">
        <f t="array" ref="P37:P38">ad_to_cont(K14:K15,D7:F9)</f>
        <v>0</v>
      </c>
      <c r="S37" s="54" cm="1">
        <f t="array" ref="S37">IF(AND(M37:M38=P37:P38),"PASS","FAIL")</f>
        <v>0</v>
      </c>
    </row>
    <row r="38" spans="2:19" x14ac:dyDescent="0.5">
      <c r="B38" s="47"/>
      <c r="M38" s="52" t="inlineStr">
        <is>
          <t xml:space="preserve">inv</t>
        </is>
      </c>
      <c r="N38" s="52"/>
      <c r="Q38" s="53"/>
    </row>
    <row r="39" spans="2:19" x14ac:dyDescent="0.5">
      <c r="B39" s="47" t="inlineStr">
        <is>
          <t xml:space="preserve">&gt;255-char value survives (IFERROR would blank it)</t>
        </is>
      </c>
      <c r="M39" s="52">
        <f>REPT("z",300)</f>
      </c>
      <c r="N39" s="52"/>
      <c r="P39" cm="1">
        <f t="array" ref="P39">ad_to_cont("K17",K17)</f>
        <v>0</v>
      </c>
      <c r="Q39" s="53"/>
      <c r="S39" cm="1">
        <f t="array" ref="S39">IF(AND(M39=P39),"PASS","FAIL")</f>
        <v>0</v>
      </c>
    </row>
    <row r="40" spans="2:19" x14ac:dyDescent="0.5">
      <c r="B40" s="47"/>
      <c r="M40" s="52"/>
      <c r="N40" s="52"/>
      <c r="Q40" s="53"/>
    </row>
    <row r="41" spans="2:19" x14ac:dyDescent="0.5">
      <c r="B41" s="47" t="inlineStr">
        <is>
          <t xml:space="preserve">TOCOL(str_ad("F9")) - a 1x1 array address - reads F9 like "F9" does (was Z-column mis-read)</t>
        </is>
      </c>
      <c r="M41" s="52">
        <v>90</v>
      </c>
      <c r="N41" s="52"/>
      <c r="P41" cm="1">
        <f t="array" ref="P41">ad_to_cont(_xlfn.TOCOL(str_ad("F9")),D7:F9)</f>
        <v>0</v>
      </c>
      <c r="Q41" s="53"/>
      <c r="S41">
        <f>IF(P41=M41,"PASS","FAIL")</f>
      </c>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inlineStr">
        <is>
          <t xml:space="preserve">arrow_move(start_ad,arrow,[steps],[board_rng],[push_mode]) - returns NUMERIC address. push_mode: 0 report "oob;&lt;row&gt;;&lt;col&gt;" with intended coords (default), 1 stop-at-edge, -1 stay-at-start</t>
        </is>
      </c>
      <c r="P4" s="45">
        <f>COUNTIF(P6:P60,"PASS")&amp;" / 18 PASS"</f>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J10">
        <v>1</v>
      </c>
      <c r="L10" s="52">
        <v>1000001</v>
      </c>
      <c r="N10" s="53" cm="1">
        <f t="array" ref="N10">arrow_move(D10,F10,H10,,J10)</f>
        <v>0</v>
      </c>
      <c r="P10" s="54" t="str">
        <f>IF(N10=L10,"PASS","FAIL")</f>
        <v>PASS</v>
      </c>
    </row>
    <row r="12" spans="1:19" x14ac:dyDescent="0.5">
      <c r="A12" s="46">
        <v>4</v>
      </c>
      <c r="B12" s="47" t="inlineStr">
        <is>
          <t xml:space="preserve">A3 up 5, push=0 -&gt; oob;-2;1</t>
        </is>
      </c>
      <c r="D12" s="51" t="s">
        <v>2928</v>
      </c>
      <c r="F12" s="51" t="s">
        <v>160</v>
      </c>
      <c r="H12" s="51">
        <v>5</v>
      </c>
      <c r="J12" s="51">
        <v>0</v>
      </c>
      <c r="L12" s="52" t="inlineStr">
        <is>
          <t xml:space="preserve">oob;-2;1</t>
        </is>
      </c>
      <c r="N12" s="53" cm="1">
        <f t="array" ref="N12">arrow_move(D12,F12,H12,,J12)</f>
        <v>3000001</v>
      </c>
      <c r="P12" s="54" t="str">
        <f>IF(N12=L12,"PASS","FAIL")</f>
        <v>PASS</v>
      </c>
    </row>
    <row r="14" spans="1:19" x14ac:dyDescent="0.5">
      <c r="A14" s="46">
        <v>5</v>
      </c>
      <c r="B14" s="47" t="inlineStr">
        <is>
          <t xml:space="preserve">A3 up 5, push=-1 stay@start</t>
        </is>
      </c>
      <c r="D14" s="51" t="s">
        <v>2928</v>
      </c>
      <c r="F14" s="51" t="s">
        <v>160</v>
      </c>
      <c r="H14" s="51">
        <v>5</v>
      </c>
      <c r="J14" s="51">
        <v>-1</v>
      </c>
      <c r="L14" s="52">
        <v>3000001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row r="22">
      <c r="A22">
        <v>9</v>
      </c>
      <c r="B22" s="47" t="inlineStr">
        <is>
          <t xml:space="preserve">B1 UL 2 (default -&gt; oob)</t>
        </is>
      </c>
      <c r="D22" s="51" t="inlineStr">
        <is>
          <t xml:space="preserve">B1</t>
        </is>
      </c>
      <c r="F22" s="51" t="inlineStr">
        <is>
          <t xml:space="preserve">UL</t>
        </is>
      </c>
      <c r="H22" s="51">
        <v>2</v>
      </c>
      <c r="L22" s="52" t="inlineStr">
        <is>
          <t xml:space="preserve">oob;-1;0</t>
        </is>
      </c>
      <c r="N22" s="53" cm="1">
        <f t="array" ref="N22">arrow_move(D22,F22,H22)</f>
        <v>0</v>
      </c>
      <c r="P22" s="54">
        <f>IF(N22=L22,"PASS","FAIL")</f>
      </c>
    </row>
    <row r="24">
      <c r="A24">
        <v>10</v>
      </c>
      <c r="B24" s="47" t="inlineStr">
        <is>
          <t xml:space="preserve">B2 up 5 in A1:D4 board (default oob)</t>
        </is>
      </c>
      <c r="D24" s="51" t="inlineStr">
        <is>
          <t xml:space="preserve">B2</t>
        </is>
      </c>
      <c r="F24" s="51" t="inlineStr">
        <is>
          <t xml:space="preserve">U</t>
        </is>
      </c>
      <c r="H24" s="51">
        <v>5</v>
      </c>
      <c r="L24" s="52" t="inlineStr">
        <is>
          <t xml:space="preserve">oob;-3;2</t>
        </is>
      </c>
      <c r="N24" s="53" cm="1">
        <f t="array" ref="N24">arrow_move(D24,F24,H24,A1:D4)</f>
        <v>0</v>
      </c>
      <c r="P24" s="54">
        <f>IF(N24=L24,"PASS","FAIL")</f>
      </c>
    </row>
    <row r="26">
      <c r="A26">
        <v>11</v>
      </c>
      <c r="B26" s="47" t="inlineStr">
        <is>
          <t xml:space="preserve">B2 up 5, board "A1:D4" as text in a cell (default oob)</t>
        </is>
      </c>
      <c r="D26" s="51" t="inlineStr">
        <is>
          <t xml:space="preserve">B2</t>
        </is>
      </c>
      <c r="F26" s="51" t="inlineStr">
        <is>
          <t xml:space="preserve">U</t>
        </is>
      </c>
      <c r="H26" s="51">
        <v>5</v>
      </c>
      <c r="J26" t="inlineStr">
        <is>
          <t xml:space="preserve">A1:D4</t>
        </is>
      </c>
      <c r="L26" s="52" t="inlineStr">
        <is>
          <t xml:space="preserve">oob;-3;2</t>
        </is>
      </c>
      <c r="N26" s="53" cm="1">
        <f t="array" ref="N26">arrow_move(D26,F26,H26,J26)</f>
        <v>0</v>
      </c>
      <c r="P26" s="54">
        <f>IF(N26=L26,"PASS","FAIL")</f>
      </c>
    </row>
    <row r="28">
      <c r="A28">
        <v>12</v>
      </c>
      <c r="B28" s="47" t="inlineStr">
        <is>
          <t xml:space="preserve">B2 right 5, literal "A1:D4", push 1 -&gt; D2</t>
        </is>
      </c>
      <c r="D28" s="51" t="inlineStr">
        <is>
          <t xml:space="preserve">B2</t>
        </is>
      </c>
      <c r="F28" s="51" t="inlineStr">
        <is>
          <t xml:space="preserve">R</t>
        </is>
      </c>
      <c r="H28" s="51">
        <v>5</v>
      </c>
      <c r="J28">
        <v>1</v>
      </c>
      <c r="L28" s="52">
        <v>2000004</v>
      </c>
      <c r="N28" s="53" cm="1">
        <f t="array" ref="N28">arrow_move(D28,F28,H28,"A1:D4",J28)</f>
        <v>0</v>
      </c>
      <c r="P28" s="54">
        <f>IF(N28=L28,"PASS","FAIL")</f>
      </c>
    </row>
    <row r="30">
      <c r="A30">
        <v>13</v>
      </c>
      <c r="B30" s="47" t="inlineStr">
        <is>
          <t xml:space="preserve">board "$D$4:$A$1" in a cell (reversed, $), push 1</t>
        </is>
      </c>
      <c r="D30" s="51" t="inlineStr">
        <is>
          <t xml:space="preserve">B2</t>
        </is>
      </c>
      <c r="F30" s="51" t="inlineStr">
        <is>
          <t xml:space="preserve">R</t>
        </is>
      </c>
      <c r="H30" s="51">
        <v>5</v>
      </c>
      <c r="J30" t="inlineStr">
        <is>
          <t xml:space="preserve">$D$4:$A$1</t>
        </is>
      </c>
      <c r="L30" s="52">
        <v>2000004</v>
      </c>
      <c r="N30" s="53" cm="1">
        <f t="array" ref="N30">arrow_move(D30,F30,H30,J30,1)</f>
        <v>0</v>
      </c>
      <c r="P30" s="54">
        <f>IF(N30=L30,"PASS","FAIL")</f>
      </c>
    </row>
    <row r="32">
      <c r="A32">
        <v>14</v>
      </c>
      <c r="B32" s="47" t="inlineStr">
        <is>
          <t xml:space="preserve">numeric range string "1000001:4000004", push 1</t>
        </is>
      </c>
      <c r="D32" s="51" t="inlineStr">
        <is>
          <t xml:space="preserve">B2</t>
        </is>
      </c>
      <c r="F32" s="51" t="inlineStr">
        <is>
          <t xml:space="preserve">R</t>
        </is>
      </c>
      <c r="H32" s="51">
        <v>5</v>
      </c>
      <c r="J32" t="inlineStr">
        <is>
          <t xml:space="preserve">1000001:4000004</t>
        </is>
      </c>
      <c r="L32" s="52">
        <v>2000004</v>
      </c>
      <c r="N32" s="53" cm="1">
        <f t="array" ref="N32">arrow_move(D32,F32,H32,J32,1)</f>
        <v>0</v>
      </c>
      <c r="P32" s="54">
        <f>IF(N32=L32,"PASS","FAIL")</f>
      </c>
    </row>
    <row r="34">
      <c r="A34">
        <v>15</v>
      </c>
      <c r="B34" s="47" t="inlineStr">
        <is>
          <t xml:space="preserve">range vs its string give the same result</t>
        </is>
      </c>
      <c r="D34" s="51" t="inlineStr">
        <is>
          <t xml:space="preserve">B2</t>
        </is>
      </c>
      <c r="F34" s="51" t="inlineStr">
        <is>
          <t xml:space="preserve">R</t>
        </is>
      </c>
      <c r="H34" s="51">
        <v>5</v>
      </c>
      <c r="L34" s="52" t="b">
        <v>1</v>
      </c>
      <c r="N34" s="53" cm="1">
        <f t="array" ref="N34">arrow_move(D34,F34,H34,$A$1:$D$4,1)=arrow_move(D34,F34,H34,"A1:D4",1)</f>
        <v>0</v>
      </c>
      <c r="P34" s="54">
        <f>IF(N34=L34,"PASS","FAIL")</f>
      </c>
    </row>
    <row r="36">
      <c r="A36">
        <v>16</v>
      </c>
      <c r="B36" s="47" t="inlineStr">
        <is>
          <t xml:space="preserve">literal text that is not a range ("hi") -&gt; #VALUE!</t>
        </is>
      </c>
      <c r="D36" s="51" t="inlineStr">
        <is>
          <t xml:space="preserve">B2</t>
        </is>
      </c>
      <c r="F36" s="51" t="inlineStr">
        <is>
          <t xml:space="preserve">R</t>
        </is>
      </c>
      <c r="H36" s="51">
        <v>5</v>
      </c>
      <c r="J36" t="inlineStr">
        <is>
          <t xml:space="preserve">"hi" (literal)</t>
        </is>
      </c>
      <c r="L36" s="52" t="inlineStr">
        <is>
          <t xml:space="preserve">#VALUE!</t>
        </is>
      </c>
      <c r="N36" s="53" cm="1">
        <f t="array" ref="N36">arrow_move(D36,F36,H36,"hi")</f>
        <v>0</v>
      </c>
      <c r="P36" s="54">
        <f>IF(ERROR.TYPE(N36)=3,"PASS","FAIL")</f>
      </c>
    </row>
    <row r="38">
      <c r="A38">
        <v>17</v>
      </c>
      <c r="B38" s="47" t="inlineStr">
        <is>
          <t xml:space="preserve">1-cell REFERENCE holding non-address text = that cell is the board (S1 right 1, push 1 stays)</t>
        </is>
      </c>
      <c r="D38" s="51" t="inlineStr">
        <is>
          <t xml:space="preserve">S1</t>
        </is>
      </c>
      <c r="F38" s="51" t="inlineStr">
        <is>
          <t xml:space="preserve">R</t>
        </is>
      </c>
      <c r="H38" s="51">
        <v>1</v>
      </c>
      <c r="L38" s="52">
        <v>1000019</v>
      </c>
      <c r="N38" s="53" cm="1">
        <f t="array" ref="N38">arrow_move(D38,F38,H38,$S$1,1)</f>
        <v>0</v>
      </c>
      <c r="P38" s="54">
        <f>IF(N38=L38,"PASS","FAIL")</f>
      </c>
    </row>
    <row r="40">
      <c r="A40">
        <v>18</v>
      </c>
      <c r="B40" s="47" t="inlineStr">
        <is>
          <t xml:space="preserve">TOCOL(steps) 1x1 array -&gt; same as 3</t>
        </is>
      </c>
      <c r="D40" s="51" t="inlineStr">
        <is>
          <t xml:space="preserve">A1</t>
        </is>
      </c>
      <c r="F40" s="51" t="inlineStr">
        <is>
          <t xml:space="preserve">→</t>
        </is>
      </c>
      <c r="H40" s="51">
        <v>3</v>
      </c>
      <c r="L40" s="52">
        <v>1000004</v>
      </c>
      <c r="N40" s="53" cm="1">
        <f t="array" ref="N40">arrow_move(D40,F40,_xlfn.TOCOL(H40))</f>
        <v>0</v>
      </c>
      <c r="P40" s="54">
        <f>IF(N40=L40,"PASS","FAIL")</f>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f>COUNTIF(P9:P60,"PASS")&amp;" / 8 PASS"</f>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row r="41">
      <c r="D41" t="inlineStr">
        <is>
          <t xml:space="preserve">a</t>
        </is>
      </c>
      <c r="E41">
        <f>REPT("z",300)</f>
      </c>
    </row>
    <row r="44">
      <c r="B44" t="inlineStr">
        <is>
          <t xml:space="preserve">&gt;255-char value survives (IFERROR/IFNA would blank it)</t>
        </is>
      </c>
      <c r="J44">
        <v>41000004</v>
      </c>
      <c r="K44" t="inlineStr">
        <is>
          <t xml:space="preserve">a</t>
        </is>
      </c>
      <c r="M44" cm="1">
        <f t="array" ref="M44:N45">arrow_trip(D41:E41,"D41","R")</f>
        <v>0</v>
      </c>
      <c r="P44" cm="1">
        <f t="array" ref="P44">IF(AND(J44:K45=M44:N45),"PASS","FAIL")</f>
        <v>0</v>
      </c>
    </row>
    <row r="45">
      <c r="J45">
        <v>41000005</v>
      </c>
      <c r="K45">
        <f>REPT("z",300)</f>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f>COUNTIF(N6:N25,"PASS")&amp;" / 3 PASS"</f>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row r="20">
      <c r="A20">
        <v>3</v>
      </c>
      <c r="B20" s="55" t="inlineStr">
        <is>
          <t xml:space="preserve">TOCOL(outer_n) 1x1 array -&gt; all 4 rows (was 1)</t>
        </is>
      </c>
      <c r="D20">
        <v>2</v>
      </c>
      <c r="F20">
        <v>2</v>
      </c>
      <c r="H20" s="52">
        <v>1</v>
      </c>
      <c r="I20" s="52">
        <v>1</v>
      </c>
      <c r="K20" s="53" cm="1">
        <f t="array" ref="K20:L23">cycles(_xlfn.TOCOL(D20),F20)</f>
        <v>0</v>
      </c>
      <c r="N20" cm="1">
        <f t="array" ref="N20">IF(AND(H20:I23=K20:L23),"PASS","FAIL")</f>
        <v>0</v>
      </c>
    </row>
    <row r="21">
      <c r="H21">
        <v>1</v>
      </c>
      <c r="I21" s="52">
        <v>2</v>
      </c>
    </row>
    <row r="22">
      <c r="H22">
        <v>2</v>
      </c>
      <c r="I22" s="52">
        <v>1</v>
      </c>
    </row>
    <row r="23">
      <c r="H23">
        <v>2</v>
      </c>
      <c r="I23" s="52">
        <v>2</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f>COUNTIF(J6:J20,"PASS")&amp;" / 6 PASS"</f>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row r="18">
      <c r="A18">
        <v>6</v>
      </c>
      <c r="B18" s="47" t="inlineStr">
        <is>
          <t xml:space="preserve">TOCOL(x) 1x1 array input -&gt; both dice (was first only)</t>
        </is>
      </c>
      <c r="D18" s="51" t="inlineStr">
        <is>
          <t xml:space="preserve">⚄⚅</t>
        </is>
      </c>
      <c r="F18" s="52">
        <v>5</v>
      </c>
      <c r="H18" s="53" cm="1">
        <f t="array" ref="H18:H19">die_pips(_xlfn.TOCOL(D18))</f>
        <v>0</v>
      </c>
      <c r="J18" s="54" cm="1">
        <f t="array" ref="J18">IF(AND(F18:F19=H18:H19),"PASS","FAIL")</f>
        <v>0</v>
      </c>
    </row>
    <row r="19">
      <c r="F19">
        <v>6</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inlineStr">
        <is>
          <t xml:space="preserve">expand_rng(ad_or_rng,[r_down],[c_right],[r_up],[c_left]) - grow (positive) or shrink (negative) an address/range; range string in the input's format, a single address when 1x1. Clamps at row 1 / col 1. Array input, non-integer, or 0 rows/cols -&gt; #VALUE!.</t>
        </is>
      </c>
      <c r="J4">
        <f>COUNTIF(J6:J40,"PASS")&amp;" / 15 PASS"</f>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inlineStr">
        <is>
          <t xml:space="preserve">single numeric, no grow -&gt; 3000004 (1x1 -&gt; single address, numeric form)</t>
        </is>
      </c>
      <c r="D14" s="51" t="s">
        <v>3520</v>
      </c>
      <c r="F14" s="52">
        <v>3000004</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inlineStr">
        <is>
          <t xml:space="preserve">shrink "B3" down 1 -&gt; 0 rows -&gt; #VALUE!</t>
        </is>
      </c>
      <c r="D18" s="51" t="inlineStr">
        <is>
          <t xml:space="preserve">shrink "B3" down 1</t>
        </is>
      </c>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A20">
        <v>8</v>
      </c>
      <c r="B20" s="47" t="inlineStr">
        <is>
          <t xml:space="preserve">shrink "B2:D6" bottom 2 -&gt; "B2:D4"</t>
        </is>
      </c>
      <c r="D20" s="51" t="inlineStr">
        <is>
          <t xml:space="preserve">shrink "B2:D6" -2 down</t>
        </is>
      </c>
      <c r="F20" s="51" t="inlineStr">
        <is>
          <t xml:space="preserve">B2:D4</t>
        </is>
      </c>
      <c r="H20" s="52" cm="1">
        <f t="array" ref="H20">expand_rng("B2:D6",-2)</f>
        <v>0</v>
      </c>
      <c r="I20" s="52"/>
      <c r="J20" s="52">
        <f>IF(H20=F20,"PASS","FAIL")</f>
      </c>
      <c r="L20" s="53"/>
      <c r="M20" s="53"/>
      <c r="N20" s="53"/>
      <c r="P20" s="54"/>
    </row>
    <row r="21" spans="1:16" x14ac:dyDescent="0.5">
      <c r="B21" s="47"/>
      <c r="D21" s="51"/>
      <c r="F21" s="51"/>
      <c r="H21" s="52"/>
      <c r="I21" s="52"/>
      <c r="J21" s="52"/>
      <c r="L21" s="53"/>
      <c r="M21" s="53"/>
      <c r="N21" s="53"/>
      <c r="P21" s="54"/>
    </row>
    <row r="22" spans="1:16" x14ac:dyDescent="0.5">
      <c r="A22">
        <v>9</v>
      </c>
      <c r="B22" s="47" t="inlineStr">
        <is>
          <t xml:space="preserve">shrink "B2:D6" top 1 + right 1 -&gt; "B3:C6"</t>
        </is>
      </c>
      <c r="D22" s="51" t="inlineStr">
        <is>
          <t xml:space="preserve">shrink 0,-1,-1,0</t>
        </is>
      </c>
      <c r="F22" s="51" t="inlineStr">
        <is>
          <t xml:space="preserve">B3:C6</t>
        </is>
      </c>
      <c r="H22" s="52" cm="1">
        <f t="array" ref="H22">expand_rng("B2:D6",0,-1,-1,0)</f>
        <v>0</v>
      </c>
      <c r="I22" s="52"/>
      <c r="J22" s="52">
        <f>IF(H22=F22,"PASS","FAIL")</f>
      </c>
      <c r="L22" s="53"/>
      <c r="M22" s="53"/>
      <c r="N22" s="53"/>
      <c r="P22" s="54"/>
    </row>
    <row r="23" spans="1:16" x14ac:dyDescent="0.5">
      <c r="B23" s="47"/>
      <c r="D23" s="51"/>
      <c r="F23" s="51"/>
      <c r="H23" s="52"/>
      <c r="I23" s="52"/>
      <c r="J23" s="52"/>
      <c r="L23" s="53"/>
      <c r="M23" s="53"/>
      <c r="N23" s="53"/>
      <c r="P23" s="54"/>
    </row>
    <row r="24" spans="1:16" x14ac:dyDescent="0.5">
      <c r="A24">
        <v>10</v>
      </c>
      <c r="B24" s="47" t="inlineStr">
        <is>
          <t xml:space="preserve">shrink "B2:B3" bottom 1 -&gt; single address "B2" (no colon)</t>
        </is>
      </c>
      <c r="D24" s="51" t="inlineStr">
        <is>
          <t xml:space="preserve">shrink "B2:B3" -1 down</t>
        </is>
      </c>
      <c r="F24" s="51" t="inlineStr">
        <is>
          <t xml:space="preserve">B2</t>
        </is>
      </c>
      <c r="H24" s="52" cm="1">
        <f t="array" ref="H24">expand_rng("B2:B3",-1)</f>
        <v>0</v>
      </c>
      <c r="I24" s="52"/>
      <c r="J24" s="52">
        <f>IF(H24=F24,"PASS","FAIL")</f>
      </c>
      <c r="L24" s="53"/>
      <c r="M24" s="53"/>
      <c r="N24" s="53"/>
      <c r="P24" s="54"/>
    </row>
    <row r="25" spans="1:16" x14ac:dyDescent="0.5">
      <c r="B25" s="47"/>
      <c r="D25" s="51"/>
      <c r="F25" s="51"/>
      <c r="H25" s="52"/>
      <c r="I25" s="52"/>
      <c r="J25" s="52"/>
      <c r="L25" s="53"/>
      <c r="M25" s="53"/>
      <c r="N25" s="53"/>
      <c r="P25" s="54"/>
    </row>
    <row r="26" spans="1:16" x14ac:dyDescent="0.5">
      <c r="A26">
        <v>11</v>
      </c>
      <c r="B26" s="47" t="inlineStr">
        <is>
          <t xml:space="preserve">numeric "3000004:4000004" shrink bottom 1 -&gt; 3000004 (number)</t>
        </is>
      </c>
      <c r="D26" s="51" t="inlineStr">
        <is>
          <t xml:space="preserve">numeric shrink -1 down</t>
        </is>
      </c>
      <c r="F26" s="51">
        <v>3000004</v>
      </c>
      <c r="H26" s="52" cm="1">
        <f t="array" ref="H26">expand_rng("3000004:4000004",-1)</f>
        <v>0</v>
      </c>
      <c r="I26" s="52"/>
      <c r="J26" s="52">
        <f>IF(H26=F26,"PASS","FAIL")</f>
      </c>
      <c r="L26" s="53"/>
      <c r="M26" s="53"/>
      <c r="N26" s="53"/>
      <c r="P26" s="54"/>
    </row>
    <row r="27" spans="1:16" x14ac:dyDescent="0.5">
      <c r="B27" s="47"/>
      <c r="D27" s="51"/>
      <c r="F27" s="51"/>
      <c r="H27" s="52"/>
      <c r="I27" s="52"/>
      <c r="J27" s="52"/>
      <c r="L27" s="53"/>
      <c r="M27" s="53"/>
      <c r="N27" s="53"/>
      <c r="P27" s="54"/>
    </row>
    <row r="28" spans="1:16" x14ac:dyDescent="0.5">
      <c r="A28">
        <v>12</v>
      </c>
      <c r="B28" s="47" t="inlineStr">
        <is>
          <t xml:space="preserve">shrink "B2:D6" bottom 5 -&gt; 0 rows -&gt; #VALUE!</t>
        </is>
      </c>
      <c r="D28" s="51" t="inlineStr">
        <is>
          <t xml:space="preserve">shrink -5 down</t>
        </is>
      </c>
      <c r="F28" s="51">
        <v>3</v>
      </c>
      <c r="H28" s="52" cm="1">
        <f t="array" ref="H28">ERROR.TYPE(expand_rng("B2:D6",-5))</f>
        <v>0</v>
      </c>
      <c r="I28" s="52"/>
      <c r="J28" s="52">
        <f>IF(H28=F28,"PASS","FAIL")</f>
      </c>
      <c r="L28" s="53"/>
      <c r="M28" s="53"/>
      <c r="N28" s="53"/>
      <c r="P28" s="54"/>
    </row>
    <row r="29" spans="1:16" x14ac:dyDescent="0.5">
      <c r="B29" s="47"/>
      <c r="D29" s="51"/>
      <c r="F29" s="51"/>
      <c r="H29" s="52"/>
      <c r="I29" s="52"/>
      <c r="J29" s="52"/>
      <c r="L29" s="53"/>
      <c r="M29" s="53"/>
      <c r="N29" s="53"/>
      <c r="P29" s="54"/>
    </row>
    <row r="30" spans="1:16" x14ac:dyDescent="0.5">
      <c r="A30">
        <v>13</v>
      </c>
      <c r="B30" s="47" t="inlineStr">
        <is>
          <t xml:space="preserve">shrink "B2:D6" left 3 -&gt; 0 cols -&gt; #VALUE!</t>
        </is>
      </c>
      <c r="D30" s="51" t="inlineStr">
        <is>
          <t xml:space="preserve">shrink 0,0,0,-3</t>
        </is>
      </c>
      <c r="F30" s="51">
        <v>3</v>
      </c>
      <c r="H30" s="52" cm="1">
        <f t="array" ref="H30">ERROR.TYPE(expand_rng("B2:D6",0,0,0,-3))</f>
        <v>0</v>
      </c>
      <c r="I30" s="52"/>
      <c r="J30" s="52">
        <f>IF(H30=F30,"PASS","FAIL")</f>
      </c>
      <c r="L30" s="53"/>
      <c r="M30" s="53"/>
      <c r="N30" s="53"/>
      <c r="P30" s="54"/>
    </row>
    <row r="32">
      <c r="A32">
        <v>14</v>
      </c>
      <c r="B32" s="47" t="inlineStr">
        <is>
          <t xml:space="preserve">mixed grow/shrink "B2:D6" 1,-1,-1,1 -&gt; "A3:C7"</t>
        </is>
      </c>
      <c r="D32" s="51" t="inlineStr">
        <is>
          <t xml:space="preserve">mixed 1,-1,-1,1</t>
        </is>
      </c>
      <c r="F32" s="51" t="inlineStr">
        <is>
          <t xml:space="preserve">A3:C7</t>
        </is>
      </c>
      <c r="H32" s="52" cm="1">
        <f t="array" ref="H32">expand_rng("B2:D6",1,-1,-1,1)</f>
        <v>0</v>
      </c>
      <c r="J32" s="52">
        <f>IF(H32=F32,"PASS","FAIL")</f>
      </c>
    </row>
    <row r="34">
      <c r="A34">
        <v>15</v>
      </c>
      <c r="B34" s="47" t="inlineStr">
        <is>
          <t xml:space="preserve">non-integer arg 0.5 -&gt; #VALUE!</t>
        </is>
      </c>
      <c r="D34" s="51" t="inlineStr">
        <is>
          <t xml:space="preserve">grow "B3" 0.5</t>
        </is>
      </c>
      <c r="F34" s="51">
        <v>3</v>
      </c>
      <c r="H34" s="52" cm="1">
        <f t="array" ref="H34">ERROR.TYPE(expand_rng("B3",0.5))</f>
        <v>0</v>
      </c>
      <c r="J34" s="52">
        <f>IF(H34=F34,"PASS","FAIL")</f>
      </c>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f>COUNTIF(N6:N60,"PASS")&amp;" / 6 PASS"</f>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row r="33">
      <c r="A33">
        <v>6</v>
      </c>
      <c r="B33" s="55" t="inlineStr">
        <is>
          <t xml:space="preserve">&gt;255-char value survives (IFERROR/IFNA would blank it)</t>
        </is>
      </c>
      <c r="D33" s="51">
        <f>REPT("z",300)</f>
      </c>
      <c r="H33">
        <f>REPT("z",300)</f>
      </c>
      <c r="I33">
        <v>2</v>
      </c>
      <c r="K33" cm="1">
        <f t="array" ref="K33:L34">freq_table(D33:D35)</f>
        <v>0</v>
      </c>
      <c r="N33" cm="1">
        <f t="array" ref="N33">IF(AND(H33:I34=K33:L34),"PASS","FAIL")</f>
        <v>0</v>
      </c>
    </row>
    <row r="34">
      <c r="D34">
        <f>REPT("z",300)</f>
      </c>
      <c r="H34" t="inlineStr">
        <is>
          <t xml:space="preserve">b</t>
        </is>
      </c>
      <c r="I34">
        <v>1</v>
      </c>
    </row>
    <row r="35">
      <c r="D35" t="inlineStr">
        <is>
          <t xml:space="preserve">b</t>
        </is>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f>COUNTIF(L6:L80,"PASS")&amp;" / 14 PASS"</f>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row r="43">
      <c r="A43">
        <v>6</v>
      </c>
      <c r="B43" s="55" t="inlineStr">
        <is>
          <t xml:space="preserve">boundary as a RANGE reference $A$1:$B$2 (centre A1, size 1)</t>
        </is>
      </c>
      <c r="D43" t="inlineStr">
        <is>
          <t xml:space="preserve">A1</t>
        </is>
      </c>
      <c r="F43" t="inlineStr">
        <is>
          <t xml:space="preserve">(range)</t>
        </is>
      </c>
      <c r="H43" s="52" t="inlineStr">
        <is>
          <t xml:space="preserve">B1</t>
        </is>
      </c>
      <c r="J43" s="53" cm="1">
        <f t="array" ref="J43:J45">neighbors_list(D43,1,$A$1:$B$2)</f>
        <v>0</v>
      </c>
      <c r="L43" cm="1">
        <f t="array" ref="L43">IF(AND(H43:H45=J43:J45),"PASS","FAIL")</f>
        <v>0</v>
      </c>
    </row>
    <row r="44">
      <c r="H44" t="inlineStr">
        <is>
          <t xml:space="preserve">A2</t>
        </is>
      </c>
    </row>
    <row r="45">
      <c r="H45" t="inlineStr">
        <is>
          <t xml:space="preserve">B2</t>
        </is>
      </c>
    </row>
    <row r="47">
      <c r="A47">
        <v>7</v>
      </c>
      <c r="B47" t="inlineStr">
        <is>
          <t xml:space="preserve">same boundary as a literal STRING "A1:B2"</t>
        </is>
      </c>
      <c r="D47" t="inlineStr">
        <is>
          <t xml:space="preserve">A1</t>
        </is>
      </c>
      <c r="F47" t="inlineStr">
        <is>
          <t xml:space="preserve">"A1:B2" (literal)</t>
        </is>
      </c>
      <c r="H47" t="inlineStr">
        <is>
          <t xml:space="preserve">B1</t>
        </is>
      </c>
      <c r="J47" cm="1">
        <f t="array" ref="J47:J49">neighbors_list(D47,1,"A1:B2")</f>
        <v>0</v>
      </c>
      <c r="L47" cm="1">
        <f t="array" ref="L47">IF(AND(H47:H49=J47:J49),"PASS","FAIL")</f>
        <v>0</v>
      </c>
    </row>
    <row r="48">
      <c r="H48" t="inlineStr">
        <is>
          <t xml:space="preserve">A2</t>
        </is>
      </c>
    </row>
    <row r="49">
      <c r="H49" t="inlineStr">
        <is>
          <t xml:space="preserve">B2</t>
        </is>
      </c>
    </row>
    <row r="51">
      <c r="A51">
        <v>8</v>
      </c>
      <c r="B51" t="inlineStr">
        <is>
          <t xml:space="preserve">range string in a CELL, with $ and reversed</t>
        </is>
      </c>
      <c r="D51" t="inlineStr">
        <is>
          <t xml:space="preserve">A1</t>
        </is>
      </c>
      <c r="F51" t="inlineStr">
        <is>
          <t xml:space="preserve">$B$2:$A$1</t>
        </is>
      </c>
      <c r="H51" t="inlineStr">
        <is>
          <t xml:space="preserve">B1</t>
        </is>
      </c>
      <c r="J51" cm="1">
        <f t="array" ref="J51:J53">neighbors_list(D51,1,F51)</f>
        <v>0</v>
      </c>
      <c r="L51" cm="1">
        <f t="array" ref="L51">IF(AND(H51:H53=J51:J53),"PASS","FAIL")</f>
        <v>0</v>
      </c>
    </row>
    <row r="52">
      <c r="H52" t="inlineStr">
        <is>
          <t xml:space="preserve">A2</t>
        </is>
      </c>
    </row>
    <row r="53">
      <c r="H53" t="inlineStr">
        <is>
          <t xml:space="preserve">B2</t>
        </is>
      </c>
    </row>
    <row r="55">
      <c r="A55">
        <v>9</v>
      </c>
      <c r="B55" t="inlineStr">
        <is>
          <t xml:space="preserve">numeric range string in a cell</t>
        </is>
      </c>
      <c r="D55" t="inlineStr">
        <is>
          <t xml:space="preserve">A1</t>
        </is>
      </c>
      <c r="F55" t="inlineStr">
        <is>
          <t xml:space="preserve">1000001:2000002</t>
        </is>
      </c>
      <c r="H55" t="inlineStr">
        <is>
          <t xml:space="preserve">B1</t>
        </is>
      </c>
      <c r="J55" cm="1">
        <f t="array" ref="J55:J57">neighbors_list(D55,1,F55)</f>
        <v>0</v>
      </c>
      <c r="L55" cm="1">
        <f t="array" ref="L55">IF(AND(H55:H57=J55:J57),"PASS","FAIL")</f>
        <v>0</v>
      </c>
    </row>
    <row r="56">
      <c r="H56" t="inlineStr">
        <is>
          <t xml:space="preserve">A2</t>
        </is>
      </c>
    </row>
    <row r="57">
      <c r="H57" t="inlineStr">
        <is>
          <t xml:space="preserve">B2</t>
        </is>
      </c>
    </row>
    <row r="59">
      <c r="A59">
        <v>10</v>
      </c>
      <c r="B59" t="inlineStr">
        <is>
          <t xml:space="preserve">range vs its string give identical lists (B2 in A1:C3)</t>
        </is>
      </c>
      <c r="D59" t="inlineStr">
        <is>
          <t xml:space="preserve">B2</t>
        </is>
      </c>
      <c r="F59" t="inlineStr">
        <is>
          <t xml:space="preserve">A1:C3</t>
        </is>
      </c>
      <c r="H59" t="b">
        <v>1</v>
      </c>
      <c r="J59" cm="1">
        <f t="array" ref="J59">AND(neighbors_list(D59,1,$A$1:$C$3)=neighbors_list(D59,1,F59))</f>
        <v>0</v>
      </c>
      <c r="L59">
        <f>IF(J59=H59,"PASS","FAIL")</f>
      </c>
    </row>
    <row r="61">
      <c r="A61">
        <v>11</v>
      </c>
      <c r="B61" t="inlineStr">
        <is>
          <t xml:space="preserve">literal text that is not a range ("hi") -&gt; #N/A</t>
        </is>
      </c>
      <c r="D61" t="inlineStr">
        <is>
          <t xml:space="preserve">A1</t>
        </is>
      </c>
      <c r="F61" t="inlineStr">
        <is>
          <t xml:space="preserve">"hi" (literal)</t>
        </is>
      </c>
      <c r="H61" t="inlineStr">
        <is>
          <t xml:space="preserve">#N/A</t>
        </is>
      </c>
      <c r="J61" cm="1">
        <f t="array" ref="J61">neighbors_list(D61,1,"hi")</f>
        <v>0</v>
      </c>
      <c r="L61">
        <f>IF(ISNA(J61),"PASS","FAIL")</f>
      </c>
    </row>
    <row r="63">
      <c r="A63">
        <v>12</v>
      </c>
      <c r="B63" t="inlineStr">
        <is>
          <t xml:space="preserve">1-cell REFERENCE holding non-address text = that cell is the boundary (centre R1, boundary $S$1)</t>
        </is>
      </c>
      <c r="D63" t="inlineStr">
        <is>
          <t xml:space="preserve">R1</t>
        </is>
      </c>
      <c r="F63" t="inlineStr">
        <is>
          <t xml:space="preserve">(range $S$1)</t>
        </is>
      </c>
      <c r="H63" t="inlineStr">
        <is>
          <t xml:space="preserve">S1</t>
        </is>
      </c>
      <c r="J63" cm="1">
        <f t="array" ref="J63">neighbors_list(D63,1,$S$1)</f>
        <v>0</v>
      </c>
      <c r="L63">
        <f>IF(J63=H63,"PASS","FAIL")</f>
      </c>
    </row>
    <row r="65">
      <c r="A65">
        <v>13</v>
      </c>
      <c r="B65" t="inlineStr">
        <is>
          <t xml:space="preserve">boundary that excludes every neighbour (A1 in D4:E5) -&gt; #N/A (was #CALC!)</t>
        </is>
      </c>
      <c r="D65" t="inlineStr">
        <is>
          <t xml:space="preserve">A1</t>
        </is>
      </c>
      <c r="F65" t="inlineStr">
        <is>
          <t xml:space="preserve">D4:E5</t>
        </is>
      </c>
      <c r="H65" t="inlineStr">
        <is>
          <t xml:space="preserve">#N/A</t>
        </is>
      </c>
      <c r="J65" cm="1">
        <f t="array" ref="J65">neighbors_list(D65,1,F65)</f>
        <v>0</v>
      </c>
      <c r="L65">
        <f>IF(ISNA(J65),"PASS","FAIL")</f>
      </c>
    </row>
    <row r="67">
      <c r="A67">
        <v>14</v>
      </c>
      <c r="B67" t="inlineStr">
        <is>
          <t xml:space="preserve">TOCOL(size) 1x1 array -&gt; full 8-cell neighbourhood</t>
        </is>
      </c>
      <c r="D67" t="inlineStr">
        <is>
          <t xml:space="preserve">B2</t>
        </is>
      </c>
      <c r="F67">
        <v>1</v>
      </c>
      <c r="H67" t="inlineStr">
        <is>
          <t xml:space="preserve">A1</t>
        </is>
      </c>
      <c r="J67" cm="1">
        <f t="array" ref="J67:J74">neighbors_list(D67,_xlfn.TOCOL(F67))</f>
        <v>0</v>
      </c>
      <c r="L67" cm="1">
        <f t="array" ref="L67">IF(AND(H67:H74=J67:J74),"PASS","FAIL")</f>
        <v>0</v>
      </c>
    </row>
    <row r="68">
      <c r="H68" t="inlineStr">
        <is>
          <t xml:space="preserve">B1</t>
        </is>
      </c>
    </row>
    <row r="69">
      <c r="H69" t="inlineStr">
        <is>
          <t xml:space="preserve">C1</t>
        </is>
      </c>
    </row>
    <row r="70">
      <c r="H70" t="inlineStr">
        <is>
          <t xml:space="preserve">A2</t>
        </is>
      </c>
    </row>
    <row r="71">
      <c r="H71" t="inlineStr">
        <is>
          <t xml:space="preserve">C2</t>
        </is>
      </c>
    </row>
    <row r="72">
      <c r="H72" t="inlineStr">
        <is>
          <t xml:space="preserve">A3</t>
        </is>
      </c>
    </row>
    <row r="73">
      <c r="H73" t="inlineStr">
        <is>
          <t xml:space="preserve">B3</t>
        </is>
      </c>
    </row>
    <row r="74">
      <c r="H74" t="inlineStr">
        <is>
          <t xml:space="preserve">C3</t>
        </is>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f>COUNTIF(J6:J60,"PASS")&amp;" / 11 PASS"</f>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row r="28">
      <c r="A28">
        <v>11</v>
      </c>
      <c r="B28" t="inlineStr">
        <is>
          <t xml:space="preserve">TOCOL("AM17") (1x1 array) -&gt; 17000039 (was 17000026: column Z)</t>
        </is>
      </c>
      <c r="D28" s="51" t="inlineStr">
        <is>
          <t xml:space="preserve">AM17</t>
        </is>
      </c>
      <c r="F28" s="52">
        <v>17000039</v>
      </c>
      <c r="H28" cm="1">
        <f t="array" ref="H28">num_ad(_xlfn.TOCOL(D28))</f>
        <v>0</v>
      </c>
      <c r="J28">
        <f>IF(H28=F28,"PASS","FAIL")</f>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f>COUNTIF(J6:J20,"PASS")&amp;" / 6 PASS"</f>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row r="17">
      <c r="A17">
        <v>6</v>
      </c>
      <c r="B17" s="55" t="inlineStr">
        <is>
          <t xml:space="preserve">TOCOL(x) 1x1 array input -&gt; all letters (was first only)</t>
        </is>
      </c>
      <c r="D17" s="51" t="inlineStr">
        <is>
          <t xml:space="preserve">a1b2c</t>
        </is>
      </c>
      <c r="F17" s="52" t="inlineStr">
        <is>
          <t xml:space="preserve">abc</t>
        </is>
      </c>
      <c r="H17" s="53" cm="1">
        <f t="array" ref="H17">only_letters(_xlfn.TOCOL(D17))</f>
        <v>0</v>
      </c>
      <c r="J17">
        <f>IF(H17=F17,"PASS","FAIL")</f>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f>COUNTIF(J6:J25,"PASS")&amp;" / 6 PASS"</f>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row r="19">
      <c r="A19">
        <v>6</v>
      </c>
      <c r="B19" s="55" t="inlineStr">
        <is>
          <t xml:space="preserve">TOCOL(x) 1x1 array input -&gt; both numbers (was first only)</t>
        </is>
      </c>
      <c r="D19" t="inlineStr">
        <is>
          <t xml:space="preserve">a12b3</t>
        </is>
      </c>
      <c r="F19" s="52">
        <v>12</v>
      </c>
      <c r="H19" s="53" cm="1">
        <f t="array" ref="H19:H20">_xlfn.TOCOL(only_numbers(_xlfn.TOCOL(D19)))</f>
        <v>0</v>
      </c>
      <c r="J19" cm="1">
        <f t="array" ref="J19">IF(AND(F19:F20=H19:H20),"PASS","FAIL")</f>
        <v>0</v>
      </c>
    </row>
    <row r="20">
      <c r="F20">
        <v>3</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f>COUNTIF(R6:R60,"PASS")&amp;" / 6 PASS"</f>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row r="33">
      <c r="A33">
        <v>6</v>
      </c>
      <c r="B33" t="inlineStr">
        <is>
          <t xml:space="preserve">&gt;255-char value survives (IFERROR/IFNA would blank it)</t>
        </is>
      </c>
      <c r="D33" s="51">
        <f>REPT("z",300)</f>
      </c>
      <c r="L33">
        <f>REPT("z",300)</f>
      </c>
      <c r="O33" cm="1">
        <f t="array" ref="O33">selections(D33,1)</f>
        <v>0</v>
      </c>
      <c r="R33" cm="1">
        <f t="array" ref="R33">IF(AND(L33=O33),"PASS","FAIL")</f>
        <v>0</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f>COUNTIF(P6:P60,"PASS")&amp;" / 5 PASS"</f>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row r="25">
      <c r="A25">
        <v>5</v>
      </c>
      <c r="B25" s="55" t="inlineStr">
        <is>
          <t xml:space="preserve">&gt;255-char value survives (IFERROR/IFNA would blank it)</t>
        </is>
      </c>
      <c r="D25" s="51" t="inlineStr">
        <is>
          <t xml:space="preserve">a</t>
        </is>
      </c>
      <c r="H25" t="inlineStr">
        <is>
          <t xml:space="preserve">a</t>
        </is>
      </c>
      <c r="L25" cm="1">
        <f t="array" ref="L25:L26">set(D25:D26)</f>
        <v>0</v>
      </c>
      <c r="P25" cm="1">
        <f t="array" ref="P25">IF(AND(H25:H26=L25:L26),"PASS","FAIL")</f>
        <v>0</v>
      </c>
    </row>
    <row r="26">
      <c r="D26">
        <f>REPT("z",300)</f>
      </c>
      <c r="H26">
        <f>REPT("z",300)</f>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f>COUNTIF(L6:L60,"PASS")&amp;" / 3 PASS"</f>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row r="15">
      <c r="A15">
        <v>3</v>
      </c>
      <c r="B15" s="55" t="inlineStr">
        <is>
          <t xml:space="preserve">&gt;255-char value survives (IFERROR/IFNA would blank it)</t>
        </is>
      </c>
      <c r="D15" s="51">
        <f>REPT("z",300)</f>
      </c>
      <c r="F15" t="inlineStr">
        <is>
          <t xml:space="preserve">b</t>
        </is>
      </c>
      <c r="H15">
        <f>REPT("z",300)</f>
      </c>
      <c r="J15" cm="1">
        <f t="array" ref="J15">set_d(D15:D16,F15)</f>
        <v>0</v>
      </c>
      <c r="L15" cm="1">
        <f t="array" ref="L15">IF(AND(H15=J15),"PASS","FAIL")</f>
        <v>0</v>
      </c>
    </row>
    <row r="16">
      <c r="D16" t="inlineStr">
        <is>
          <t xml:space="preserve">b</t>
        </is>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f>COUNTIF(L6:L60,"PASS")&amp;" / 4 PASS"</f>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row r="17">
      <c r="A17">
        <v>4</v>
      </c>
      <c r="B17" s="55" t="inlineStr">
        <is>
          <t xml:space="preserve">&gt;255-char value survives (IFERROR/IFNA would blank it)</t>
        </is>
      </c>
      <c r="D17" s="51">
        <f>REPT("z",300)</f>
      </c>
      <c r="F17" s="51">
        <f>REPT("z",300)</f>
      </c>
      <c r="H17">
        <f>REPT("z",300)</f>
      </c>
      <c r="J17" cm="1">
        <f t="array" ref="J17">set_i(D17:D18,F17)</f>
        <v>0</v>
      </c>
      <c r="L17" cm="1">
        <f t="array" ref="L17">IF(AND(H17=J17),"PASS","FAIL")</f>
        <v>0</v>
      </c>
    </row>
    <row r="18">
      <c r="D18" t="inlineStr">
        <is>
          <t xml:space="preserve">b</t>
        </is>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f>COUNTIF(R6:R60,"PASS")&amp;" / 8 PASS"</f>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row r="32">
      <c r="A32">
        <v>8</v>
      </c>
      <c r="B32" t="inlineStr">
        <is>
          <t xml:space="preserve">&gt;255-char value survives (IFERROR/IFNA would blank it)</t>
        </is>
      </c>
      <c r="D32" s="51" t="inlineStr">
        <is>
          <t xml:space="preserve">a</t>
        </is>
      </c>
      <c r="F32" t="inlineStr">
        <is>
          <t xml:space="preserve">D</t>
        </is>
      </c>
      <c r="L32" s="52">
        <f>REPT("z",300)</f>
      </c>
      <c r="O32" cm="1">
        <f t="array" ref="O32:O33">shift_arr(D32:D33,F32)</f>
        <v>0</v>
      </c>
      <c r="R32" cm="1">
        <f t="array" ref="R32">IF(AND(L32:L33=O32:O33),"PASS","FAIL")</f>
        <v>0</v>
      </c>
    </row>
    <row r="33">
      <c r="D33">
        <f>REPT("z",300)</f>
      </c>
      <c r="L33" s="52" t="inlineStr">
        <is>
          <t xml:space="preserve">a</t>
        </is>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f>COUNTIF(J6:J20,"PASS")&amp;" / 5 PASS"</f>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row r="15">
      <c r="A15">
        <v>5</v>
      </c>
      <c r="B15" s="55" t="inlineStr">
        <is>
          <t xml:space="preserve">TOCOL(x) 1x1 array input -&gt; full reversal (was last char only)</t>
        </is>
      </c>
      <c r="D15" s="51" t="inlineStr">
        <is>
          <t xml:space="preserve">hello</t>
        </is>
      </c>
      <c r="F15" s="52" t="inlineStr">
        <is>
          <t xml:space="preserve">olleh</t>
        </is>
      </c>
      <c r="H15" s="53" cm="1">
        <f t="array" ref="H15">str_rev(_xlfn.TOCOL(D15))</f>
        <v>0</v>
      </c>
      <c r="J15">
        <f>IF(H15=F15,"PASS","FAIL")</f>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f>COUNTIF(P6:P20,"PASS")&amp;" / 4 PASS"</f>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row r="16">
      <c r="A16">
        <v>4</v>
      </c>
      <c r="B16" s="47" t="inlineStr">
        <is>
          <t xml:space="preserve">TOCOL(x) 1x1 array input -&gt; every character (was first only)</t>
        </is>
      </c>
      <c r="D16" s="51" t="inlineStr">
        <is>
          <t xml:space="preserve">abc</t>
        </is>
      </c>
      <c r="H16" s="52" t="inlineStr">
        <is>
          <t xml:space="preserve">a</t>
        </is>
      </c>
      <c r="L16" s="53" cm="1">
        <f t="array" ref="L16:L18">str_to_arr(_xlfn.TOCOL(D16))</f>
        <v>0</v>
      </c>
      <c r="P16" s="54" cm="1">
        <f t="array" ref="P16">IF(AND(H16:H18=L16:L18),"PASS","FAIL")</f>
        <v>0</v>
      </c>
    </row>
    <row r="17">
      <c r="H17" t="inlineStr">
        <is>
          <t xml:space="preserve">b</t>
        </is>
      </c>
    </row>
    <row r="18">
      <c r="H18" t="inlineStr">
        <is>
          <t xml:space="preserve">c</t>
        </is>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f>COUNTIF(Y6:Y60,"PASS")&amp;" / 5 PASS"</f>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row r="22">
      <c r="A22">
        <v>5</v>
      </c>
      <c r="B22" s="55" t="inlineStr">
        <is>
          <t xml:space="preserve">&gt;255-char value survives (IFERROR/IFNA would blank it)</t>
        </is>
      </c>
      <c r="D22" s="51" t="inlineStr">
        <is>
          <t xml:space="preserve">a</t>
        </is>
      </c>
      <c r="G22" s="52" t="inlineStr">
        <is>
          <t xml:space="preserve">a</t>
        </is>
      </c>
      <c r="P22" s="53" cm="1">
        <f t="array" ref="P22:P23">xbyrow(D22:D23,_xlfn.LAMBDA(_xlpm.x,_xlpm.x))</f>
        <v>0</v>
      </c>
      <c r="Y22" cm="1">
        <f t="array" ref="Y22">IF(AND(G22:G23=P22:P23),"PASS","FAIL")</f>
        <v>0</v>
      </c>
    </row>
    <row r="23">
      <c r="D23">
        <f>REPT("z",300)</f>
      </c>
      <c r="G23" s="52">
        <f>REPT("z",300)</f>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f>COUNTIF(V6:V60,"PASS")&amp;" / 9 PASS"</f>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row r="36">
      <c r="A36">
        <v>7</v>
      </c>
      <c r="B36" s="55" t="inlineStr">
        <is>
          <t xml:space="preserve">&gt;255-char value survives (IFERROR/IFNA would blank it)</t>
        </is>
      </c>
      <c r="D36" s="51" t="inlineStr">
        <is>
          <t xml:space="preserve">a</t>
        </is>
      </c>
      <c r="H36" s="51">
        <v>0</v>
      </c>
      <c r="N36">
        <f>REPT("z",300)</f>
      </c>
      <c r="R36" cm="1">
        <f t="array" ref="R36">xfilter(D36:D37,H36:H37)</f>
        <v>0</v>
      </c>
      <c r="V36" cm="1">
        <f t="array" ref="V36">IF(AND(N36=R36),"PASS","FAIL")</f>
        <v>0</v>
      </c>
    </row>
    <row r="37">
      <c r="D37">
        <f>REPT("z",300)</f>
      </c>
      <c r="H37" s="51">
        <v>1</v>
      </c>
    </row>
    <row r="41">
      <c r="A41">
        <v>8</v>
      </c>
      <c r="B41" t="inlineStr">
        <is>
          <t xml:space="preserve">1-row array: 1x1 FALSE mask drops it (was returned unfiltered)</t>
        </is>
      </c>
      <c r="D41">
        <v>5</v>
      </c>
      <c r="H41" s="51">
        <v>0</v>
      </c>
      <c r="R41" cm="1">
        <f t="array" ref="R41">xfilter(D41,H41)</f>
        <v>0</v>
      </c>
      <c r="V41">
        <f>IF(R41="","PASS","FAIL")</f>
      </c>
    </row>
    <row r="43">
      <c r="A43">
        <v>9</v>
      </c>
      <c r="B43" t="inlineStr">
        <is>
          <t xml:space="preserve">1-row array: 1x1 TRUE mask keeps it</t>
        </is>
      </c>
      <c r="D43">
        <v>5</v>
      </c>
      <c r="H43" s="51">
        <v>1</v>
      </c>
      <c r="N43">
        <v>5</v>
      </c>
      <c r="R43" cm="1">
        <f t="array" ref="R43">xfilter(D43,H43)</f>
        <v>0</v>
      </c>
      <c r="V43">
        <f>IF(R43=N43,"PASS","FAIL")</f>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f>COUNTIF(R6:R50,"PASS")&amp;" / 8 PASS"</f>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row r="40">
      <c r="A40">
        <v>8</v>
      </c>
      <c r="B40" s="47" t="inlineStr">
        <is>
          <t xml:space="preserve">TOCOL(start) 1x1 array -&gt; full 1..3 (was 1 only)</t>
        </is>
      </c>
      <c r="D40" s="51">
        <v>1</v>
      </c>
      <c r="F40" s="51">
        <v>3</v>
      </c>
      <c r="N40" s="52">
        <v>1</v>
      </c>
      <c r="P40" s="53" cm="1">
        <f t="array" ref="P40:P42">xsequence(_xlfn.TOCOL(D40),F40)</f>
        <v>0</v>
      </c>
      <c r="R40" s="54" cm="1">
        <f t="array" ref="R40">IF(AND(N40:N42=P40:P42),"PASS","FAIL")</f>
        <v>0</v>
      </c>
    </row>
    <row r="41">
      <c r="N41">
        <v>2</v>
      </c>
    </row>
    <row r="42">
      <c r="N42">
        <v>3</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COUNTIF(R6:R60,"PASS")&amp;" / 8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row r="33">
      <c r="A33">
        <v>8</v>
      </c>
      <c r="B33" t="inlineStr">
        <is>
          <t xml:space="preserve">&gt;255-char value survives (IFERROR/IFNA would blank it)</t>
        </is>
      </c>
      <c r="D33" s="51" t="inlineStr">
        <is>
          <t xml:space="preserve">a</t>
        </is>
      </c>
      <c r="E33">
        <f>REPT("z",300)</f>
      </c>
      <c r="J33">
        <f>"a;"&amp;REPT("z",300)</f>
      </c>
      <c r="N33" cm="1">
        <f t="array" ref="N33">xtextjoin(D33:E33)</f>
        <v>0</v>
      </c>
      <c r="R33">
        <f>IF(N33=J33,"PASS","FAIL")</f>
      </c>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COUNTIF(Y6:Y60,"PASS")&amp;" / 5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row r="22">
      <c r="A22">
        <v>5</v>
      </c>
      <c r="B22" t="inlineStr">
        <is>
          <t xml:space="preserve">&gt;255-char value survives (IFERROR/IFNA would blank it)</t>
        </is>
      </c>
      <c r="D22" t="inlineStr">
        <is>
          <t xml:space="preserve">a</t>
        </is>
      </c>
      <c r="E22">
        <f>REPT("z",300)</f>
      </c>
      <c r="G22" s="52" t="inlineStr">
        <is>
          <t xml:space="preserve">a</t>
        </is>
      </c>
      <c r="H22" s="52">
        <f>REPT("z",300)</f>
      </c>
      <c r="P22" cm="1">
        <f t="array" ref="P22:Q22">xbycol(D22:E22,_xlfn.LAMBDA(_xlpm.c,_xlpm.c))</f>
        <v>0</v>
      </c>
      <c r="Y22" cm="1">
        <f t="array" ref="Y22">IF(AND(G22:H22=P22:Q22),"PASS","FAIL")</f>
        <v>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7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row r="23">
      <c r="A23" s="83">
        <v>6</v>
      </c>
      <c r="B23" s="78" t="inlineStr">
        <is>
          <t xml:space="preserve">column letter 'BDS' -&gt; 1475</t>
        </is>
      </c>
      <c r="D23" s="51" t="inlineStr">
        <is>
          <t xml:space="preserve">BDS</t>
        </is>
      </c>
      <c r="H23" s="52">
        <v>1475</v>
      </c>
      <c r="L23" s="53" cm="1">
        <f t="array" ref="L23">ad_col_n(D23)</f>
        <v>0</v>
      </c>
      <c r="P23" s="54">
        <f>IF(L23=H23,"PASS","FAIL")</f>
      </c>
    </row>
    <row r="26">
      <c r="A26" s="83">
        <v>7</v>
      </c>
      <c r="B26" s="78" t="inlineStr">
        <is>
          <t xml:space="preserve">array: column letters -&gt; nums, range unchanged</t>
        </is>
      </c>
      <c r="D26" s="51" t="inlineStr">
        <is>
          <t xml:space="preserve">BDS</t>
        </is>
      </c>
      <c r="H26" s="52">
        <v>1475</v>
      </c>
      <c r="L26" s="53" cm="1">
        <f t="array" ref="L26:L28">ad_col_n(D26:D28)</f>
        <v>0</v>
      </c>
      <c r="P26" s="54" cm="1">
        <f t="array" ref="P26">IF(AND(H26:H28=L26:L28),"PASS","FAIL")</f>
        <v>0</v>
      </c>
    </row>
    <row r="27">
      <c r="D27" s="51" t="inlineStr">
        <is>
          <t xml:space="preserve">XFD</t>
        </is>
      </c>
      <c r="H27" s="52">
        <v>16384</v>
      </c>
    </row>
    <row r="28">
      <c r="D28" s="51" t="inlineStr">
        <is>
          <t xml:space="preserve">B8:D9</t>
        </is>
      </c>
      <c r="H28" s="52" t="inlineStr">
        <is>
          <t xml:space="preserve">B8:D9</t>
        </is>
      </c>
    </row>
  </sheetData>
  <mergeCells count="3">
    <mergeCell ref="I1:R1"/>
    <mergeCell ref="B2:R2"/>
    <mergeCell ref="B1:F1"/>
  </mergeCells>
  <pageMargins left="0.75" right="0.75" top="1" bottom="1" header="0.5" footer="0.5"/>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2"/>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ad_col_let(col_n_or_ad) - column number 1..16384 OR an address -&gt; column letters (1475 -&gt; 'BDS', 66000045 -&gt; 'AS', 'AA99' -&gt; 'AA'); anything else unchanged; element-wise over an array</t>
        </is>
      </c>
      <c r="P4" s="45">
        <f>COUNTIF(P6:P40,"PASS")&amp;" / 8 PASS"</f>
      </c>
    </row>
    <row r="5" spans="1:19" x14ac:dyDescent="0.5">
      <c r="A5" s="45" t="s">
        <v>7</v>
      </c>
      <c r="B5" s="45" t="s">
        <v>8</v>
      </c>
      <c r="D5" s="45" t="s">
        <v>9</v>
      </c>
      <c r="H5" s="48" t="s">
        <v>10</v>
      </c>
      <c r="L5" s="49" t="s">
        <v>11</v>
      </c>
      <c r="P5" s="50" t="s">
        <v>12</v>
      </c>
    </row>
    <row r="6" spans="1:19" x14ac:dyDescent="0.5">
      <c r="A6" s="83">
        <v>1</v>
      </c>
      <c r="B6" s="78" t="inlineStr">
        <is>
          <t xml:space="preserve">1475 -&gt; 'BDS'</t>
        </is>
      </c>
      <c r="D6" s="51">
        <v>1475</v>
      </c>
      <c r="H6" s="52" t="inlineStr">
        <is>
          <t xml:space="preserve">BDS</t>
        </is>
      </c>
      <c r="L6" s="53" cm="1">
        <f t="array" ref="L6">ad_col_let(D6)</f>
        <v>0</v>
      </c>
      <c r="P6" s="54">
        <f>IF(L6=H6,"PASS","FAIL")</f>
      </c>
    </row>
    <row r="7" spans="1:19" x14ac:dyDescent="0.5">
      <c r="A7" s="55"/>
      <c r="B7" s="55"/>
      <c r="H7" s="52"/>
      <c r="L7" s="53"/>
    </row>
    <row r="8" spans="1:19" x14ac:dyDescent="0.5">
      <c r="A8" s="55"/>
      <c r="B8" s="55"/>
      <c r="H8" s="52"/>
      <c r="L8" s="53"/>
    </row>
    <row r="9">
      <c r="A9" s="83">
        <v>2</v>
      </c>
      <c r="B9" s="78" t="inlineStr">
        <is>
          <t xml:space="preserve">1 -&gt; 'A'</t>
        </is>
      </c>
      <c r="D9" s="51">
        <v>1</v>
      </c>
      <c r="H9" s="52" t="inlineStr">
        <is>
          <t xml:space="preserve">A</t>
        </is>
      </c>
      <c r="L9" s="53" cm="1">
        <f t="array" ref="L9">ad_col_let(D9)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16384 -&gt; 'XFD'</t>
        </is>
      </c>
      <c r="D12" s="51">
        <v>16384</v>
      </c>
      <c r="H12" s="52" t="inlineStr">
        <is>
          <t xml:space="preserve">XFD</t>
        </is>
      </c>
      <c r="L12" s="53" cm="1">
        <f t="array" ref="L12">ad_col_let(D12)</f>
        <v>0</v>
      </c>
      <c r="P12" s="54">
        <f>IF(L12=H12,"PASS","FAIL")</f>
      </c>
    </row>
    <row r="14" spans="1:19" x14ac:dyDescent="0.5">
      <c r="A14" s="46"/>
      <c r="B14" s="47"/>
      <c r="D14" s="51"/>
      <c r="F14" s="51"/>
      <c r="H14" s="52"/>
      <c r="I14" s="52"/>
      <c r="J14" s="52"/>
      <c r="L14" s="53"/>
      <c r="M14" s="53"/>
      <c r="N14" s="53"/>
      <c r="P14" s="54"/>
    </row>
    <row r="15">
      <c r="A15" s="83">
        <v>4</v>
      </c>
      <c r="B15" s="78" t="inlineStr">
        <is>
          <t xml:space="preserve">16385 (out of range) -&gt; unchanged</t>
        </is>
      </c>
      <c r="D15" s="51">
        <v>16385</v>
      </c>
      <c r="H15" s="52">
        <v>16385</v>
      </c>
      <c r="L15" s="53" cm="1">
        <f t="array" ref="L15">ad_col_let(D15)</f>
        <v>0</v>
      </c>
      <c r="P15" s="54">
        <f>IF(L15=H15,"PASS","FAIL")</f>
      </c>
    </row>
    <row r="18">
      <c r="A18" s="83">
        <v>5</v>
      </c>
      <c r="B18" s="78" t="inlineStr">
        <is>
          <t xml:space="preserve">array; text &amp; out-of-range pass through</t>
        </is>
      </c>
      <c r="D18" s="51">
        <v>1475</v>
      </c>
      <c r="H18" s="52" t="inlineStr">
        <is>
          <t xml:space="preserve">BDS</t>
        </is>
      </c>
      <c r="L18" s="53" cm="1">
        <f t="array" ref="L18:L21">ad_col_let(D18:D21)</f>
        <v>0</v>
      </c>
      <c r="P18" s="54" cm="1">
        <f t="array" ref="P18">IF(AND(H18:H21=L18:L21),"PASS","FAIL")</f>
        <v>0</v>
      </c>
    </row>
    <row r="19">
      <c r="D19" s="51">
        <v>1</v>
      </c>
      <c r="H19" s="52" t="inlineStr">
        <is>
          <t xml:space="preserve">A</t>
        </is>
      </c>
    </row>
    <row r="20">
      <c r="D20" s="51">
        <v>16385</v>
      </c>
      <c r="H20" s="52">
        <v>16385</v>
      </c>
    </row>
    <row r="21">
      <c r="D21" s="51" t="inlineStr">
        <is>
          <t xml:space="preserve">x</t>
        </is>
      </c>
      <c r="H21" s="52" t="inlineStr">
        <is>
          <t xml:space="preserve">x</t>
        </is>
      </c>
    </row>
    <row r="24">
      <c r="A24" s="83">
        <v>6</v>
      </c>
      <c r="B24" s="78" t="inlineStr">
        <is>
          <t xml:space="preserve">numeric address 66000045 -&gt; 'AS' (col 45)</t>
        </is>
      </c>
      <c r="D24" s="51">
        <v>66000045</v>
      </c>
      <c r="H24" s="52" t="inlineStr">
        <is>
          <t xml:space="preserve">AS</t>
        </is>
      </c>
      <c r="L24" s="53" cm="1">
        <f t="array" ref="L24">ad_col_let(D24)</f>
        <v>0</v>
      </c>
      <c r="P24" s="54">
        <f>IF(L24=H24,"PASS","FAIL")</f>
      </c>
    </row>
    <row r="27">
      <c r="A27" s="83">
        <v>7</v>
      </c>
      <c r="B27" s="78" t="inlineStr">
        <is>
          <t xml:space="preserve">A1 address 'AA99' -&gt; 'AA' (col 27)</t>
        </is>
      </c>
      <c r="D27" s="51" t="inlineStr">
        <is>
          <t xml:space="preserve">AA99</t>
        </is>
      </c>
      <c r="H27" s="52" t="inlineStr">
        <is>
          <t xml:space="preserve">AA</t>
        </is>
      </c>
      <c r="L27" s="53" cm="1">
        <f t="array" ref="L27">ad_col_let(D27)</f>
        <v>0</v>
      </c>
      <c r="P27" s="54">
        <f>IF(L27=H27,"PASS","FAIL")</f>
      </c>
    </row>
    <row r="30">
      <c r="A30" s="83">
        <v>8</v>
      </c>
      <c r="B30" s="78" t="inlineStr">
        <is>
          <t xml:space="preserve">array of addresses; range passes through</t>
        </is>
      </c>
      <c r="D30" s="51">
        <v>66000045</v>
      </c>
      <c r="H30" s="52" t="inlineStr">
        <is>
          <t xml:space="preserve">AS</t>
        </is>
      </c>
      <c r="L30" s="53" cm="1">
        <f t="array" ref="L30:L32">ad_col_let(D30:D32)</f>
        <v>0</v>
      </c>
      <c r="P30" s="54" cm="1">
        <f t="array" ref="P30">IF(AND(H30:H32=L30:L32),"PASS","FAIL")</f>
        <v>0</v>
      </c>
    </row>
    <row r="31">
      <c r="D31" s="51" t="inlineStr">
        <is>
          <t xml:space="preserve">AA99</t>
        </is>
      </c>
      <c r="H31" s="52" t="inlineStr">
        <is>
          <t xml:space="preserve">AA</t>
        </is>
      </c>
    </row>
    <row r="32">
      <c r="D32" s="51" t="inlineStr">
        <is>
          <t xml:space="preserve">B8:D9</t>
        </is>
      </c>
      <c r="H32" s="52" t="inlineStr">
        <is>
          <t xml:space="preserve">B8:D9</t>
        </is>
      </c>
    </row>
  </sheetData>
  <mergeCells count="3">
    <mergeCell ref="I1:R1"/>
    <mergeCell ref="B2:R2"/>
    <mergeCell ref="B1:F1"/>
  </mergeCells>
  <pageMargins left="0.75" right="0.75" top="1" bottom="1" header="0.5" footer="0.5"/>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43"/>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inlineStr">
        <is>
          <t xml:space="preserve">prng(seed, [lo], [hi], [n]) - deterministic, non-volatile pseudorandom integers lo..hi (vectorised splitmix/lowbias32 hash)</t>
        </is>
      </c>
      <c r="R4" s="45">
        <f>COUNTIF(R6:R60,"PASS")&amp;" / 13 PASS"</f>
      </c>
    </row>
    <row r="5" spans="1:19" x14ac:dyDescent="0.5">
      <c r="A5" s="45" t="inlineStr">
        <is>
          <t xml:space="preserve">#</t>
        </is>
      </c>
      <c r="B5" s="45" t="inlineStr">
        <is>
          <t xml:space="preserve">Case</t>
        </is>
      </c>
      <c r="D5" s="45" t="inlineStr">
        <is>
          <t xml:space="preserve">Inputs (seed, lo, hi, n)</t>
        </is>
      </c>
      <c r="N5" s="48" t="inlineStr">
        <is>
          <t xml:space="preserve">Expected</t>
        </is>
      </c>
      <c r="P5" s="49" t="inlineStr">
        <is>
          <t xml:space="preserve">Actual</t>
        </is>
      </c>
      <c r="R5" s="50" t="inlineStr">
        <is>
          <t xml:space="preserve">Match</t>
        </is>
      </c>
    </row>
    <row r="6" spans="1:19" x14ac:dyDescent="0.5">
      <c r="A6" s="46">
        <v>1</v>
      </c>
      <c r="B6" s="47" t="inlineStr">
        <is>
          <t xml:space="preserve">seed 7: ten dice (bit-exact reference values)</t>
        </is>
      </c>
      <c r="D6" s="51">
        <v>7</v>
      </c>
      <c r="F6" s="51">
        <v>1</v>
      </c>
      <c r="H6">
        <v>6</v>
      </c>
      <c r="J6">
        <v>10</v>
      </c>
      <c r="N6" s="52">
        <v>2</v>
      </c>
      <c r="P6" s="53" cm="1">
        <f t="array" ref="P6:P15">prng(D6,F6,H6,J6)</f>
        <v>0</v>
      </c>
      <c r="R6" s="54" cm="1">
        <f t="array" ref="R6">IF(AND(N6:N15=P6:P15),"PASS","FAIL")</f>
        <v>0</v>
      </c>
    </row>
    <row r="7" spans="1:19" x14ac:dyDescent="0.5">
      <c r="A7" s="55"/>
      <c r="B7" s="55"/>
      <c r="N7" s="52">
        <v>2</v>
      </c>
      <c r="P7" s="53"/>
    </row>
    <row r="8" spans="1:19" x14ac:dyDescent="0.5">
      <c r="A8" s="55"/>
      <c r="B8" s="55"/>
      <c r="N8" s="52">
        <v>5</v>
      </c>
      <c r="P8" s="53"/>
    </row>
    <row r="9" spans="1:19" x14ac:dyDescent="0.5">
      <c r="A9" s="55"/>
      <c r="B9" s="55"/>
      <c r="N9" s="52">
        <v>4</v>
      </c>
      <c r="P9" s="53"/>
    </row>
    <row r="10" spans="1:19" x14ac:dyDescent="0.5">
      <c r="A10" s="55"/>
      <c r="B10" s="55"/>
      <c r="N10" s="52">
        <v>1</v>
      </c>
      <c r="P10" s="53"/>
    </row>
    <row r="11">
      <c r="N11">
        <v>3</v>
      </c>
    </row>
    <row r="12" spans="1:19" x14ac:dyDescent="0.5">
      <c r="A12" s="46"/>
      <c r="B12" s="47"/>
      <c r="D12" s="51"/>
      <c r="F12" s="51"/>
      <c r="H12" s="51"/>
      <c r="N12" s="52">
        <v>2</v>
      </c>
      <c r="P12" s="53"/>
      <c r="R12" s="54"/>
    </row>
    <row r="13" spans="1:19" x14ac:dyDescent="0.5">
      <c r="A13" s="55"/>
      <c r="B13" s="55"/>
      <c r="N13" s="52">
        <v>1</v>
      </c>
      <c r="P13" s="53"/>
    </row>
    <row r="14" spans="1:19" x14ac:dyDescent="0.5">
      <c r="A14" s="55"/>
      <c r="B14" s="55"/>
      <c r="N14" s="52">
        <v>2</v>
      </c>
      <c r="P14" s="53"/>
    </row>
    <row r="15">
      <c r="N15">
        <v>1</v>
      </c>
    </row>
    <row r="16" spans="1:19" x14ac:dyDescent="0.5">
      <c r="A16" s="46"/>
      <c r="B16" s="47"/>
      <c r="D16" s="51"/>
      <c r="F16" s="51"/>
      <c r="H16" s="51"/>
      <c r="J16" s="51"/>
      <c r="N16" s="52"/>
      <c r="P16" s="53"/>
      <c r="R16" s="54"/>
    </row>
    <row r="17" spans="1:18" x14ac:dyDescent="0.5">
      <c r="A17" s="55">
        <v>2</v>
      </c>
      <c r="B17" s="55" t="inlineStr">
        <is>
          <t xml:space="preserve">defaults: prng(seed) -&gt; one value in 0..100</t>
        </is>
      </c>
      <c r="D17" s="51">
        <v>7</v>
      </c>
      <c r="N17" s="52">
        <v>75</v>
      </c>
      <c r="P17" s="53" cm="1">
        <f t="array" ref="P17">prng(D17)</f>
        <v>0</v>
      </c>
      <c r="R17" s="54">
        <f>IF(P17=N17,"PASS","FAIL")</f>
      </c>
    </row>
    <row r="18" spans="1:18" x14ac:dyDescent="0.5">
      <c r="A18" s="55"/>
      <c r="B18" s="55"/>
      <c r="N18" s="52"/>
      <c r="P18" s="53"/>
    </row>
    <row r="19" spans="1:18" x14ac:dyDescent="0.5">
      <c r="A19" s="55">
        <v>3</v>
      </c>
      <c r="B19" s="55" t="inlineStr">
        <is>
          <t xml:space="preserve">negative seed</t>
        </is>
      </c>
      <c r="D19">
        <v>-3</v>
      </c>
      <c r="F19">
        <v>0</v>
      </c>
      <c r="H19">
        <v>100</v>
      </c>
      <c r="J19">
        <v>5</v>
      </c>
      <c r="N19" s="52">
        <v>73</v>
      </c>
      <c r="P19" s="53" cm="1">
        <f t="array" ref="P19:P23">prng(D19,F19,H19,J19)</f>
        <v>0</v>
      </c>
      <c r="R19" cm="1">
        <f t="array" ref="R19">IF(AND(N19:N23=P19:P23),"PASS","FAIL")</f>
        <v>0</v>
      </c>
    </row>
    <row r="20" spans="1:18" x14ac:dyDescent="0.5">
      <c r="A20" s="55"/>
      <c r="B20" s="55"/>
      <c r="N20" s="52">
        <v>61</v>
      </c>
      <c r="P20" s="53"/>
    </row>
    <row r="21" spans="1:18" x14ac:dyDescent="0.5">
      <c r="A21" s="55"/>
      <c r="B21" s="55"/>
      <c r="N21" s="52">
        <v>65</v>
      </c>
      <c r="P21" s="53"/>
    </row>
    <row r="22">
      <c r="N22">
        <v>91</v>
      </c>
    </row>
    <row r="23" spans="1:18" x14ac:dyDescent="0.5">
      <c r="A23" s="46"/>
      <c r="B23" s="47"/>
      <c r="D23" s="51"/>
      <c r="F23" s="51"/>
      <c r="H23" s="51"/>
      <c r="J23" s="51"/>
      <c r="L23" s="51"/>
      <c r="N23" s="52">
        <v>63</v>
      </c>
      <c r="P23" s="53"/>
      <c r="R23" s="54"/>
    </row>
    <row r="24" spans="1:18" x14ac:dyDescent="0.5">
      <c r="A24" s="55"/>
      <c r="B24" s="55"/>
      <c r="N24" s="52"/>
      <c r="P24" s="53"/>
    </row>
    <row r="25" spans="1:18" x14ac:dyDescent="0.5">
      <c r="A25" s="55">
        <v>4</v>
      </c>
      <c r="B25" s="55" t="inlineStr">
        <is>
          <t xml:space="preserve">lo &gt; hi are swapped; 11-digit seed</t>
        </is>
      </c>
      <c r="D25">
        <v>12345678901</v>
      </c>
      <c r="F25">
        <v>10</v>
      </c>
      <c r="H25">
        <v>1</v>
      </c>
      <c r="J25">
        <v>4</v>
      </c>
      <c r="N25" s="52">
        <v>4</v>
      </c>
      <c r="P25" s="53" cm="1">
        <f t="array" ref="P25:P28">prng(D25,F25,H25,J25)</f>
        <v>0</v>
      </c>
      <c r="R25" cm="1">
        <f t="array" ref="R25">IF(AND(N25:N28=P25:P28),"PASS","FAIL")</f>
        <v>0</v>
      </c>
    </row>
    <row r="26" spans="1:18" x14ac:dyDescent="0.5">
      <c r="A26" s="55"/>
      <c r="B26" s="55"/>
      <c r="N26" s="52">
        <v>3</v>
      </c>
      <c r="P26" s="53"/>
    </row>
    <row r="27" spans="1:18" x14ac:dyDescent="0.5">
      <c r="A27" s="55"/>
      <c r="B27" s="55"/>
      <c r="N27" s="52">
        <v>6</v>
      </c>
      <c r="P27" s="53"/>
    </row>
    <row r="28" spans="1:18" x14ac:dyDescent="0.5">
      <c r="A28" s="55"/>
      <c r="B28" s="55"/>
      <c r="N28" s="52">
        <v>4</v>
      </c>
      <c r="P28" s="53"/>
    </row>
    <row r="30" spans="1:18" x14ac:dyDescent="0.5">
      <c r="A30" s="46">
        <v>5</v>
      </c>
      <c r="B30" s="47" t="inlineStr">
        <is>
          <t xml:space="preserve">non-integer arguments are truncated (INT)</t>
        </is>
      </c>
      <c r="D30" s="51">
        <v>7.9</v>
      </c>
      <c r="F30" s="51">
        <v>1.2</v>
      </c>
      <c r="H30">
        <v>6.7</v>
      </c>
      <c r="J30">
        <v>2.5</v>
      </c>
      <c r="N30" s="52">
        <v>2</v>
      </c>
      <c r="P30" s="53" cm="1">
        <f t="array" ref="P30:P31">prng(D30,F30,H30,J30)</f>
        <v>0</v>
      </c>
      <c r="R30" s="54" cm="1">
        <f t="array" ref="R30">IF(AND(N30:N31=P30:P31),"PASS","FAIL")</f>
        <v>0</v>
      </c>
    </row>
    <row r="31" spans="1:18" x14ac:dyDescent="0.5">
      <c r="A31" s="55"/>
      <c r="B31" s="55"/>
      <c r="N31" s="52">
        <v>2</v>
      </c>
      <c r="P31" s="53"/>
    </row>
    <row r="32" spans="1:18" x14ac:dyDescent="0.5">
      <c r="A32" s="55"/>
      <c r="B32" s="55"/>
      <c r="N32" s="52"/>
      <c r="P32" s="53"/>
    </row>
    <row r="33" spans="1:18" x14ac:dyDescent="0.5">
      <c r="A33" s="55">
        <v>6</v>
      </c>
      <c r="B33" s="55" t="inlineStr">
        <is>
          <t xml:space="preserve">n rows x 1 col; every value an integer within lo..hi</t>
        </is>
      </c>
      <c r="D33">
        <v>3</v>
      </c>
      <c r="F33">
        <v>10</v>
      </c>
      <c r="H33">
        <v>20</v>
      </c>
      <c r="J33">
        <v>1000</v>
      </c>
      <c r="N33" s="52" t="b">
        <v>1</v>
      </c>
      <c r="P33" s="53" cm="1">
        <f t="array" ref="P33">AND(ROWS(prng(D33,F33,H33,J33))=J33,COLUMNS(prng(D33,F33,H33,J33))=1,MIN(prng(D33,F33,H33,J33))=F33,MAX(prng(D33,F33,H33,J33))=H33,SUM(--(INT(prng(D33,F33,H33,J33))&lt;&gt;prng(D33,F33,H33,J33)))=0)</f>
        <v>0</v>
      </c>
      <c r="R33">
        <f>IF(P33=N33,"PASS","FAIL")</f>
      </c>
    </row>
    <row r="34" spans="1:18" x14ac:dyDescent="0.5">
      <c r="A34" s="55"/>
      <c r="B34" s="55"/>
      <c r="N34" s="52"/>
      <c r="P34" s="53"/>
    </row>
    <row r="35">
      <c r="A35">
        <v>7</v>
      </c>
      <c r="B35" s="55" t="inlineStr">
        <is>
          <t xml:space="preserve">uniform: 60,000 dice, count per face (~10,000 each; exact = regression anchor)</t>
        </is>
      </c>
      <c r="D35">
        <v>42</v>
      </c>
      <c r="F35">
        <v>1</v>
      </c>
      <c r="H35">
        <v>6</v>
      </c>
      <c r="J35">
        <v>60000</v>
      </c>
      <c r="L35">
        <v>1</v>
      </c>
      <c r="N35" s="52">
        <v>10118</v>
      </c>
      <c r="P35" s="53" cm="1">
        <f t="array" ref="P35">SUM(--(prng($D$35,$F$35,$H$35,$J$35)=L35))</f>
        <v>0</v>
      </c>
      <c r="R35" cm="1">
        <f t="array" ref="R35">IF(AND(N35:N40=P35:P40),"PASS","FAIL")</f>
        <v>0</v>
      </c>
    </row>
    <row r="36" spans="1:18" x14ac:dyDescent="0.5">
      <c r="A36" s="46"/>
      <c r="B36" s="47"/>
      <c r="D36" s="51"/>
      <c r="F36" s="51"/>
      <c r="L36">
        <v>2</v>
      </c>
      <c r="N36" s="52">
        <v>10120</v>
      </c>
      <c r="P36" s="53" cm="1">
        <f t="array" ref="P36">SUM(--(prng($D$35,$F$35,$H$35,$J$35)=L36))</f>
        <v>0</v>
      </c>
      <c r="R36" s="54"/>
    </row>
    <row r="37">
      <c r="L37">
        <v>3</v>
      </c>
      <c r="N37" s="52">
        <v>9854</v>
      </c>
      <c r="P37" s="53" cm="1">
        <f t="array" ref="P37">SUM(--(prng($D$35,$F$35,$H$35,$J$35)=L37))</f>
        <v>0</v>
      </c>
    </row>
    <row r="38" spans="1:18" x14ac:dyDescent="0.5">
      <c r="A38" s="46"/>
      <c r="B38" s="47"/>
      <c r="D38" s="51"/>
      <c r="F38" s="51"/>
      <c r="L38">
        <v>4</v>
      </c>
      <c r="N38" s="52">
        <v>9994</v>
      </c>
      <c r="P38" s="53" cm="1">
        <f t="array" ref="P38">SUM(--(prng($D$35,$F$35,$H$35,$J$35)=L38))</f>
        <v>0</v>
      </c>
      <c r="R38" s="54"/>
    </row>
    <row r="39">
      <c r="L39">
        <v>5</v>
      </c>
      <c r="N39" s="52">
        <v>10010</v>
      </c>
      <c r="P39" s="53" cm="1">
        <f t="array" ref="P39">SUM(--(prng($D$35,$F$35,$H$35,$J$35)=L39))</f>
        <v>0</v>
      </c>
    </row>
    <row r="40">
      <c r="L40">
        <v>6</v>
      </c>
      <c r="N40" s="52">
        <v>9904</v>
      </c>
      <c r="P40" s="53" cm="1">
        <f t="array" ref="P40">SUM(--(prng($D$35,$F$35,$H$35,$J$35)=L40))</f>
        <v>0</v>
      </c>
    </row>
    <row r="42">
      <c r="A42">
        <v>8</v>
      </c>
      <c r="B42" t="inlineStr">
        <is>
          <t xml:space="preserve">mean of 100,000 dice rounds to 3.5</t>
        </is>
      </c>
      <c r="D42">
        <v>1</v>
      </c>
      <c r="F42">
        <v>1</v>
      </c>
      <c r="H42">
        <v>6</v>
      </c>
      <c r="J42">
        <v>100000</v>
      </c>
      <c r="N42" s="52">
        <v>3.5</v>
      </c>
      <c r="P42" s="53" cm="1">
        <f t="array" ref="P42">ROUND(AVERAGE(prng(D42,F42,H42,J42)),1)</f>
        <v>0</v>
      </c>
      <c r="R42">
        <f>IF(P42=N42,"PASS","FAIL")</f>
      </c>
    </row>
    <row r="44">
      <c r="A44">
        <v>9</v>
      </c>
      <c r="B44" t="inlineStr">
        <is>
          <t xml:space="preserve">seeds 1 vs 2: 100 draws in 1..100 agree in ~1 position (unrelated lists)</t>
        </is>
      </c>
      <c r="D44">
        <v>1</v>
      </c>
      <c r="F44">
        <v>1</v>
      </c>
      <c r="H44">
        <v>100</v>
      </c>
      <c r="J44">
        <v>100</v>
      </c>
      <c r="N44" s="52">
        <v>1</v>
      </c>
      <c r="P44" s="53" cm="1">
        <f t="array" ref="P44">SUM(--(prng(D44,F44,H44,J44)=prng(D44+1,F44,H44,J44)))</f>
        <v>0</v>
      </c>
      <c r="R44">
        <f>IF(P44=N44,"PASS","FAIL")</f>
      </c>
    </row>
    <row r="46">
      <c r="A46">
        <v>10</v>
      </c>
      <c r="B46" t="inlineStr">
        <is>
          <t xml:space="preserve">n=1 result is a true scalar (SEQUENCE sees 3, not 1x1)</t>
        </is>
      </c>
      <c r="D46">
        <v>7</v>
      </c>
      <c r="F46">
        <v>3</v>
      </c>
      <c r="H46">
        <v>3</v>
      </c>
      <c r="N46" s="52">
        <v>3</v>
      </c>
      <c r="P46" s="53" cm="1">
        <f t="array" ref="P46">ROWS(_xlfn.SEQUENCE(prng(D46,F46,H46)))</f>
        <v>0</v>
      </c>
      <c r="R46">
        <f>IF(P46=N46,"PASS","FAIL")</f>
      </c>
    </row>
    <row r="48">
      <c r="A48">
        <v>11</v>
      </c>
      <c r="B48" t="inlineStr">
        <is>
          <t xml:space="preserve">n = 0 -&gt; #CALC!</t>
        </is>
      </c>
      <c r="D48">
        <v>1</v>
      </c>
      <c r="F48">
        <v>1</v>
      </c>
      <c r="H48">
        <v>6</v>
      </c>
      <c r="J48">
        <v>0</v>
      </c>
      <c r="N48" s="52" t="inlineStr">
        <is>
          <t xml:space="preserve">#CALC!</t>
        </is>
      </c>
      <c r="P48" s="53" cm="1">
        <f t="array" ref="P48">prng(D48,F48,H48,J48)</f>
        <v>0</v>
      </c>
      <c r="R48">
        <f>IF(ERROR.TYPE(P48)=14,"PASS","FAIL")</f>
      </c>
    </row>
    <row r="50">
      <c r="A50">
        <v>12</v>
      </c>
      <c r="B50" t="inlineStr">
        <is>
          <t xml:space="preserve">same arguments twice -&gt; identical list (deterministic, non-volatile)</t>
        </is>
      </c>
      <c r="D50">
        <v>5</v>
      </c>
      <c r="F50">
        <v>1</v>
      </c>
      <c r="H50">
        <v>100</v>
      </c>
      <c r="J50">
        <v>50</v>
      </c>
      <c r="N50" s="52" t="b">
        <v>1</v>
      </c>
      <c r="P50" s="53" cm="1">
        <f t="array" ref="P50">AND(prng(D50,F50,H50,J50)=prng(D50,F50,H50,J50))</f>
        <v>0</v>
      </c>
      <c r="R50">
        <f>IF(P50=N50,"PASS","FAIL")</f>
      </c>
    </row>
    <row r="52">
      <c r="A52">
        <v>13</v>
      </c>
      <c r="B52" t="inlineStr">
        <is>
          <t xml:space="preserve">TOCOL(n) 1x1 array -&gt; all 3 draws (was 1)</t>
        </is>
      </c>
      <c r="D52">
        <v>7</v>
      </c>
      <c r="F52">
        <v>1</v>
      </c>
      <c r="H52">
        <v>6</v>
      </c>
      <c r="J52">
        <v>3</v>
      </c>
      <c r="N52" s="52">
        <v>2</v>
      </c>
      <c r="P52" s="53" cm="1">
        <f t="array" ref="P52:P54">prng(D52,F52,H52,_xlfn.TOCOL(J52))</f>
        <v>0</v>
      </c>
      <c r="R52" cm="1">
        <f t="array" ref="R52">IF(AND(N52:N54=P52:P54),"PASS","FAIL")</f>
        <v>0</v>
      </c>
    </row>
    <row r="53">
      <c r="N53">
        <v>2</v>
      </c>
    </row>
    <row r="54">
      <c r="N54">
        <v>5</v>
      </c>
    </row>
  </sheetData>
  <mergeCells count="3">
    <mergeCell ref="I1:R1"/>
    <mergeCell ref="B2:R2"/>
    <mergeCell ref="B1:F1"/>
  </mergeCells>
  <pageMargins left="0.75" right="0.75" top="1" bottom="1" header="0.5" footer="0.5"/>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144"/>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inlineStr">
        <is>
          <t xml:space="preserve">exlookup(lookup_value, lookup_array, return_array, [if_not_found], [match_mode], [search_mode]) - case-sensitive XLOOKUP (EXACT). match_mode 2 = case-sensitive wildcard; -1/1 = exact case hit first, else XLOOKUP's next smaller/larger</t>
        </is>
      </c>
      <c r="N4" s="45">
        <f>COUNTIF(N6:N60,"PASS")&amp;" / 14 PASS"</f>
      </c>
    </row>
    <row r="5" spans="1:19" x14ac:dyDescent="0.5">
      <c r="A5" s="45" t="inlineStr">
        <is>
          <t xml:space="preserve">#</t>
        </is>
      </c>
      <c r="B5" s="45" t="inlineStr">
        <is>
          <t xml:space="preserve">Case</t>
        </is>
      </c>
      <c r="D5" s="45" t="inlineStr">
        <is>
          <t xml:space="preserve">Inputs</t>
        </is>
      </c>
      <c r="J5" s="48" t="inlineStr">
        <is>
          <t xml:space="preserve">Expected</t>
        </is>
      </c>
      <c r="L5" s="49" t="inlineStr">
        <is>
          <t xml:space="preserve">Actual</t>
        </is>
      </c>
      <c r="N5" s="50" t="inlineStr">
        <is>
          <t xml:space="preserve">Match</t>
        </is>
      </c>
    </row>
    <row r="6" spans="1:19" x14ac:dyDescent="0.5">
      <c r="A6" s="46">
        <v>1</v>
      </c>
      <c r="B6" s="47" t="inlineStr">
        <is>
          <t xml:space="preserve">case-sensitive hit: "b" in {A;B;b;C} -&gt; 3 (XLOOKUP would give 2)</t>
        </is>
      </c>
      <c r="D6" s="51" t="inlineStr">
        <is>
          <t xml:space="preserve">"b" / {A;B;b;C} / {1;2;3;4}</t>
        </is>
      </c>
      <c r="F6" s="51"/>
      <c r="J6" s="52">
        <v>3</v>
      </c>
      <c r="L6" s="53" cm="1">
        <f t="array" ref="L6">exlookup("b",{"A";"B";"b";"C"},{1;2;3;4})</f>
        <v>0</v>
      </c>
      <c r="N6" s="54">
        <f>IF(L6=J6,"PASS","FAIL")</f>
      </c>
    </row>
    <row r="8" spans="1:19" x14ac:dyDescent="0.5">
      <c r="A8" s="46">
        <v>2</v>
      </c>
      <c r="B8" s="47" t="inlineStr">
        <is>
          <t xml:space="preserve">no case-exact match -&gt; #N/A</t>
        </is>
      </c>
      <c r="D8" s="51" t="inlineStr">
        <is>
          <t xml:space="preserve">"c" / {A;B;C}</t>
        </is>
      </c>
      <c r="F8" s="51"/>
      <c r="J8" s="52">
        <v>7</v>
      </c>
      <c r="L8" s="53" cm="1">
        <f t="array" ref="L8">ERROR.TYPE(exlookup("c",{"A";"B";"C"},{1;2;3}))</f>
        <v>0</v>
      </c>
      <c r="N8" s="54">
        <f>IF(L8=J8,"PASS","FAIL")</f>
      </c>
    </row>
    <row r="10" spans="1:19" x14ac:dyDescent="0.5">
      <c r="A10" s="46">
        <v>3</v>
      </c>
      <c r="B10" s="47" t="inlineStr">
        <is>
          <t xml:space="preserve">if_not_found returned</t>
        </is>
      </c>
      <c r="D10" s="51" t="inlineStr">
        <is>
          <t xml:space="preserve">"c" / {A;B;C} / "none"</t>
        </is>
      </c>
      <c r="F10" s="51"/>
      <c r="H10" s="51"/>
      <c r="J10" s="52" t="inlineStr">
        <is>
          <t xml:space="preserve">none</t>
        </is>
      </c>
      <c r="L10" s="53" cm="1">
        <f t="array" ref="L10">exlookup("c",{"A";"B";"C"},{1;2;3},"none")</f>
        <v>0</v>
      </c>
      <c r="N10" s="54">
        <f>IF(L10=J10,"PASS","FAIL")</f>
      </c>
    </row>
    <row r="12" spans="1:19" x14ac:dyDescent="0.5">
      <c r="A12" s="46">
        <v>4</v>
      </c>
      <c r="B12" s="47" t="inlineStr">
        <is>
          <t xml:space="preserve">search_mode -1 (last to first)</t>
        </is>
      </c>
      <c r="D12" s="51" t="inlineStr">
        <is>
          <t xml:space="preserve">"b" / {b;B;b} / -1</t>
        </is>
      </c>
      <c r="F12" s="51"/>
      <c r="J12" s="52">
        <v>3</v>
      </c>
      <c r="L12" s="53" cm="1">
        <f t="array" ref="L12">exlookup("b",{"b";"B";"b"},{1;2;3},,,-1)</f>
        <v>0</v>
      </c>
      <c r="N12" s="54">
        <f>IF(L12=J12,"PASS","FAIL")</f>
      </c>
    </row>
    <row r="14" spans="1:19" x14ac:dyDescent="0.5">
      <c r="A14" s="46">
        <v>5</v>
      </c>
      <c r="B14" s="47" t="inlineStr">
        <is>
          <t xml:space="preserve">horizontal vectors</t>
        </is>
      </c>
      <c r="D14" s="51" t="inlineStr">
        <is>
          <t xml:space="preserve">"b" / {A,b,B}</t>
        </is>
      </c>
      <c r="F14" s="51"/>
      <c r="J14" s="52">
        <v>2</v>
      </c>
      <c r="L14" s="53" cm="1">
        <f t="array" ref="L14">exlookup("b",{"A","b","B"},{1,2,3})</f>
        <v>0</v>
      </c>
      <c r="N14" s="54">
        <f>IF(L14=J14,"PASS","FAIL")</f>
      </c>
    </row>
    <row r="15" spans="1:19" x14ac:dyDescent="0.5">
      <c r="A15" s="55"/>
      <c r="B15" s="55"/>
      <c r="F15" s="51"/>
      <c r="J15" s="52"/>
      <c r="L15" s="53"/>
    </row>
    <row r="16">
      <c r="A16">
        <v>6</v>
      </c>
      <c r="B16" s="55" t="inlineStr">
        <is>
          <t xml:space="preserve">multi-column return spills</t>
        </is>
      </c>
      <c r="D16" t="inlineStr">
        <is>
          <t xml:space="preserve">"b" / {A;b} / {1,10;2,20}</t>
        </is>
      </c>
      <c r="J16" s="52">
        <v>2</v>
      </c>
      <c r="K16">
        <v>20</v>
      </c>
      <c r="L16" s="53" cm="1">
        <f t="array" ref="L16:M16">exlookup("b",{"A";"b"},{1,10;2,20})</f>
        <v>0</v>
      </c>
      <c r="N16" cm="1">
        <f t="array" ref="N16">IF(AND(J16:K16=L16:M16),"PASS","FAIL")</f>
        <v>0</v>
      </c>
    </row>
    <row r="17" spans="1:14" x14ac:dyDescent="0.5">
      <c r="A17" s="46"/>
      <c r="B17" s="47"/>
      <c r="D17" s="51"/>
      <c r="F17" s="51"/>
      <c r="J17" s="52"/>
      <c r="L17" s="53"/>
      <c r="N17" s="54"/>
    </row>
    <row r="18" spans="1:14" x14ac:dyDescent="0.5">
      <c r="A18" s="55">
        <v>7</v>
      </c>
      <c r="B18" s="55" t="inlineStr">
        <is>
          <t xml:space="preserve">array of lookup values (element-wise)</t>
        </is>
      </c>
      <c r="D18" s="51" t="inlineStr">
        <is>
          <t xml:space="preserve">{b;A} / {A;b} / {1;2}</t>
        </is>
      </c>
      <c r="J18" s="52">
        <v>2</v>
      </c>
      <c r="L18" s="53" cm="1">
        <f t="array" ref="L18:L19">exlookup({"b";"A"},{"A";"b"},{1;2})</f>
        <v>0</v>
      </c>
      <c r="N18" s="54" cm="1">
        <f t="array" ref="N18">IF(AND(J18:J19=L18:L19),"PASS","FAIL")</f>
        <v>0</v>
      </c>
    </row>
    <row r="19">
      <c r="J19">
        <v>1</v>
      </c>
    </row>
    <row r="21">
      <c r="A21">
        <v>8</v>
      </c>
      <c r="B21" t="inlineStr">
        <is>
          <t xml:space="preserve">numbers behave as in XLOOKUP</t>
        </is>
      </c>
      <c r="D21" t="inlineStr">
        <is>
          <t xml:space="preserve">2 / {1;2;3} / {x;y;z}</t>
        </is>
      </c>
      <c r="J21" t="inlineStr">
        <is>
          <t xml:space="preserve">y</t>
        </is>
      </c>
      <c r="L21" cm="1">
        <f t="array" ref="L21">exlookup(2,{1;2;3},{"x";"y";"z"})</f>
        <v>0</v>
      </c>
      <c r="N21">
        <f>IF(L21=J21,"PASS","FAIL")</f>
      </c>
    </row>
    <row r="23">
      <c r="A23">
        <v>9</v>
      </c>
      <c r="B23" t="inlineStr">
        <is>
          <t xml:space="preserve">wildcard mode 2 is case-sensitive: "b*t" -&gt; bat not Bat</t>
        </is>
      </c>
      <c r="D23" t="inlineStr">
        <is>
          <t xml:space="preserve">"b*t" / {Bat;bat;cat} / mode 2</t>
        </is>
      </c>
      <c r="J23">
        <v>2</v>
      </c>
      <c r="L23" cm="1">
        <f t="array" ref="L23">exlookup("b*t",{"Bat";"bat";"cat"},{1;2;3},,2)</f>
        <v>0</v>
      </c>
      <c r="N23">
        <f>IF(L23=J23,"PASS","FAIL")</f>
      </c>
    </row>
    <row r="25">
      <c r="A25">
        <v>10</v>
      </c>
      <c r="B25" t="inlineStr">
        <is>
          <t xml:space="preserve">wildcard: "a.c" is literal (regex dot escaped) -&gt; no match</t>
        </is>
      </c>
      <c r="D25" t="inlineStr">
        <is>
          <t xml:space="preserve">"a.c" / {abc;xyz} / "none" / mode 2</t>
        </is>
      </c>
      <c r="J25" t="inlineStr">
        <is>
          <t xml:space="preserve">none</t>
        </is>
      </c>
      <c r="L25" cm="1">
        <f t="array" ref="L25">exlookup("a.c",{"abc";"xyz"},{1;2},"none",2)</f>
        <v>0</v>
      </c>
      <c r="N25">
        <f>IF(L25=J25,"PASS","FAIL")</f>
      </c>
    </row>
    <row r="27">
      <c r="A27">
        <v>11</v>
      </c>
      <c r="B27" t="inlineStr">
        <is>
          <t xml:space="preserve">mode -1: next smaller when no exact</t>
        </is>
      </c>
      <c r="D27" t="inlineStr">
        <is>
          <t xml:space="preserve">2.5 / {1;2;3} / mode -1</t>
        </is>
      </c>
      <c r="J27" t="inlineStr">
        <is>
          <t xml:space="preserve">b</t>
        </is>
      </c>
      <c r="L27" cm="1">
        <f t="array" ref="L27">exlookup(2.5,{1;2;3},{"a";"b";"c"},,-1)</f>
        <v>0</v>
      </c>
      <c r="N27">
        <f>IF(L27=J27,"PASS","FAIL")</f>
      </c>
    </row>
    <row r="29">
      <c r="A29">
        <v>12</v>
      </c>
      <c r="B29" t="inlineStr">
        <is>
          <t xml:space="preserve">mode 1: next larger when no exact</t>
        </is>
      </c>
      <c r="D29" t="inlineStr">
        <is>
          <t xml:space="preserve">2.5 / {1;2;3} / mode 1</t>
        </is>
      </c>
      <c r="J29" t="inlineStr">
        <is>
          <t xml:space="preserve">c</t>
        </is>
      </c>
      <c r="L29" cm="1">
        <f t="array" ref="L29">exlookup(2.5,{1;2;3},{"a";"b";"c"},,1)</f>
        <v>0</v>
      </c>
      <c r="N29">
        <f>IF(L29=J29,"PASS","FAIL")</f>
      </c>
    </row>
    <row r="31">
      <c r="A31">
        <v>13</v>
      </c>
      <c r="B31" t="inlineStr">
        <is>
          <t xml:space="preserve">mode -1 still prefers the exact case-sensitive text hit</t>
        </is>
      </c>
      <c r="D31" t="inlineStr">
        <is>
          <t xml:space="preserve">"b" / {B;b} / mode -1</t>
        </is>
      </c>
      <c r="J31">
        <v>2</v>
      </c>
      <c r="L31" cm="1">
        <f t="array" ref="L31">exlookup("b",{"B";"b"},{1;2},,-1)</f>
        <v>0</v>
      </c>
      <c r="N31">
        <f>IF(L31=J31,"PASS","FAIL")</f>
      </c>
    </row>
    <row r="33">
      <c r="A33">
        <v>14</v>
      </c>
      <c r="B33" t="inlineStr">
        <is>
          <t xml:space="preserve">tilde-escaped "~*x" matches the literal "*x"</t>
        </is>
      </c>
      <c r="D33" t="inlineStr">
        <is>
          <t xml:space="preserve">"~*x" / {ax;*x} / mode 2</t>
        </is>
      </c>
      <c r="J33">
        <v>2</v>
      </c>
      <c r="L33" cm="1">
        <f t="array" ref="L33">exlookup("~*x",{"ax";"*x"},{1;2},,2)</f>
        <v>0</v>
      </c>
      <c r="N33">
        <f>IF(L33=J33,"PASS","FAIL")</f>
      </c>
    </row>
  </sheetData>
  <mergeCells count="3">
    <mergeCell ref="I1:R1"/>
    <mergeCell ref="B2:R2"/>
    <mergeCell ref="B1:F1"/>
  </mergeCells>
  <pageMargins left="0.75" right="0.75" top="1" bottom="1" header="0.5" footer="0.5"/>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145"/>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inlineStr">
        <is>
          <t xml:space="preserve">move_rng(ad_or_rng, arrow, [distance]) - slide an address/range in an arrow direction; text in -&gt; moved range as text (same format), real range in -&gt; destination CONTENTS; clipped to the sheet, nothing left -&gt; "oob"</t>
        </is>
      </c>
      <c r="J4">
        <f>COUNTIF(J6:J60,"PASS")&amp;" / 15 PASS"</f>
      </c>
      <c r="P4" s="45"/>
    </row>
    <row r="5" spans="1:19" x14ac:dyDescent="0.5">
      <c r="A5" s="45" t="inlineStr">
        <is>
          <t xml:space="preserve">#</t>
        </is>
      </c>
      <c r="B5" s="45" t="inlineStr">
        <is>
          <t xml:space="preserve">Case</t>
        </is>
      </c>
      <c r="D5" s="45" t="inlineStr">
        <is>
          <t xml:space="preserve">Inputs</t>
        </is>
      </c>
      <c r="F5" t="inlineStr">
        <is>
          <t xml:space="preserve">Expected</t>
        </is>
      </c>
      <c r="H5" s="48" t="inlineStr">
        <is>
          <t xml:space="preserve">Actual</t>
        </is>
      </c>
      <c r="J5" t="inlineStr">
        <is>
          <t xml:space="preserve">Match</t>
        </is>
      </c>
      <c r="L5" s="49"/>
      <c r="P5" s="50"/>
    </row>
    <row r="6" spans="1:19" x14ac:dyDescent="0.5">
      <c r="A6" s="46">
        <v>1</v>
      </c>
      <c r="B6" s="47" t="inlineStr">
        <is>
          <t xml:space="preserve">"B2:C10" up-left 1 -&gt; "A1:B9"</t>
        </is>
      </c>
      <c r="D6" s="51" t="inlineStr">
        <is>
          <t xml:space="preserve">"B2:C10" ↖</t>
        </is>
      </c>
      <c r="F6" s="52" t="inlineStr">
        <is>
          <t xml:space="preserve">A1:B9</t>
        </is>
      </c>
      <c r="H6" s="53" cm="1">
        <f t="array" ref="H6">move_rng("B2:C10","↖")</f>
        <v>0</v>
      </c>
      <c r="I6" s="52"/>
      <c r="J6" s="54">
        <f>IF(H6=F6,"PASS","FAIL")</f>
      </c>
      <c r="L6" s="53"/>
      <c r="M6" s="53"/>
      <c r="P6" s="54"/>
    </row>
    <row r="7" spans="1:19" x14ac:dyDescent="0.5">
      <c r="A7" s="55"/>
      <c r="B7" s="47"/>
      <c r="D7" s="51"/>
      <c r="F7" s="52"/>
      <c r="H7" s="53"/>
      <c r="I7" s="52"/>
      <c r="J7" s="54"/>
      <c r="L7" s="53"/>
      <c r="M7" s="53"/>
      <c r="P7" s="54"/>
    </row>
    <row r="8" spans="1:19" x14ac:dyDescent="0.5">
      <c r="A8">
        <v>2</v>
      </c>
      <c r="B8" s="47" t="inlineStr">
        <is>
          <t xml:space="preserve">"B2:C10" up-left 2 -&gt; "A1:A8" (row 0 / col 0 fall off)</t>
        </is>
      </c>
      <c r="D8" s="51" t="inlineStr">
        <is>
          <t xml:space="preserve">"B2:C10" ↖ 2</t>
        </is>
      </c>
      <c r="F8" s="52" t="inlineStr">
        <is>
          <t xml:space="preserve">A1:A8</t>
        </is>
      </c>
      <c r="H8" s="53" cm="1">
        <f t="array" ref="H8">move_rng("B2:C10","↖",2)</f>
        <v>0</v>
      </c>
      <c r="I8" s="52"/>
      <c r="J8" s="54">
        <f>IF(H8=F8,"PASS","FAIL")</f>
      </c>
      <c r="L8" s="53"/>
      <c r="M8" s="53"/>
      <c r="P8" s="54"/>
    </row>
    <row r="9" spans="1:19" x14ac:dyDescent="0.5">
      <c r="A9" s="46"/>
      <c r="B9" s="47"/>
      <c r="D9" s="51"/>
      <c r="F9" s="52"/>
      <c r="H9" s="53"/>
      <c r="I9" s="52"/>
      <c r="J9" s="54"/>
      <c r="L9" s="53"/>
      <c r="M9" s="53"/>
      <c r="P9" s="54"/>
    </row>
    <row r="10" spans="1:19" x14ac:dyDescent="0.5">
      <c r="A10" s="55">
        <v>3</v>
      </c>
      <c r="B10" s="47" t="inlineStr">
        <is>
          <t xml:space="preserve">"B2" right 3 -&gt; "E2" (single address, no colon)</t>
        </is>
      </c>
      <c r="D10" s="51" t="inlineStr">
        <is>
          <t xml:space="preserve">"B2" → 3</t>
        </is>
      </c>
      <c r="F10" s="52" t="inlineStr">
        <is>
          <t xml:space="preserve">E2</t>
        </is>
      </c>
      <c r="H10" s="53" cm="1">
        <f t="array" ref="H10">move_rng("B2","→",3)</f>
        <v>0</v>
      </c>
      <c r="I10" s="52"/>
      <c r="J10" s="54">
        <f>IF(H10=F10,"PASS","FAIL")</f>
      </c>
      <c r="L10" s="53"/>
      <c r="M10" s="53"/>
      <c r="P10" s="54"/>
    </row>
    <row r="11" spans="1:19" x14ac:dyDescent="0.5">
      <c r="B11" s="47"/>
      <c r="D11" s="51"/>
      <c r="F11" s="52"/>
      <c r="H11" s="53"/>
      <c r="I11" s="52"/>
      <c r="J11" s="54"/>
      <c r="L11" s="53"/>
      <c r="M11" s="53"/>
      <c r="P11" s="54"/>
    </row>
    <row r="12" spans="1:19" ht="32" x14ac:dyDescent="0.5">
      <c r="A12" s="46">
        <v>4</v>
      </c>
      <c r="B12" s="47" t="inlineStr">
        <is>
          <t xml:space="preserve">"A1:B2" left 1 -&gt; partial overlap "A1:A2"</t>
        </is>
      </c>
      <c r="D12" s="51" t="inlineStr">
        <is>
          <t xml:space="preserve">"A1:B2" ←</t>
        </is>
      </c>
      <c r="F12" s="52" t="inlineStr">
        <is>
          <t xml:space="preserve">A1:A2</t>
        </is>
      </c>
      <c r="H12" s="53" cm="1">
        <f t="array" ref="H12">move_rng("A1:B2","←")</f>
        <v>0</v>
      </c>
      <c r="I12" s="52"/>
      <c r="J12" s="54">
        <f>IF(H12=F12,"PASS","FAIL")</f>
      </c>
      <c r="L12" s="53"/>
      <c r="M12" s="53"/>
      <c r="P12" s="54"/>
    </row>
    <row r="13" spans="1:19" x14ac:dyDescent="0.5">
      <c r="A13" s="55"/>
      <c r="B13" s="47"/>
      <c r="D13" s="51"/>
      <c r="F13" s="52"/>
      <c r="H13" s="53"/>
      <c r="I13" s="52"/>
      <c r="J13" s="54"/>
      <c r="L13" s="53"/>
      <c r="M13" s="53"/>
      <c r="P13" s="54"/>
    </row>
    <row r="14" spans="1:19" ht="32" x14ac:dyDescent="0.5">
      <c r="A14" s="55">
        <v>5</v>
      </c>
      <c r="B14" s="47" t="inlineStr">
        <is>
          <t xml:space="preserve">"A1" up 1 -&gt; entirely off the sheet -&gt; "oob"</t>
        </is>
      </c>
      <c r="D14" s="51" t="inlineStr">
        <is>
          <t xml:space="preserve">"A1" ↑</t>
        </is>
      </c>
      <c r="F14" s="52" t="inlineStr">
        <is>
          <t xml:space="preserve">oob</t>
        </is>
      </c>
      <c r="H14" s="53" cm="1">
        <f t="array" ref="H14">move_rng("A1","↑")</f>
        <v>0</v>
      </c>
      <c r="I14" s="52"/>
      <c r="J14" s="54">
        <f>IF(H14=F14,"PASS","FAIL")</f>
      </c>
      <c r="L14" s="53"/>
      <c r="M14" s="53"/>
      <c r="P14" s="54"/>
    </row>
    <row r="15" spans="1:19" x14ac:dyDescent="0.5">
      <c r="B15" s="47"/>
      <c r="D15" s="51"/>
      <c r="F15" s="52"/>
      <c r="H15" s="53"/>
      <c r="I15" s="52"/>
      <c r="J15" s="54"/>
      <c r="L15" s="53"/>
      <c r="M15" s="53"/>
      <c r="P15" s="54"/>
    </row>
    <row r="16" spans="1:19" x14ac:dyDescent="0.5">
      <c r="A16" s="46">
        <v>6</v>
      </c>
      <c r="B16" s="47" t="inlineStr">
        <is>
          <t xml:space="preserve">clipped at the bottom of the sheet</t>
        </is>
      </c>
      <c r="D16" s="51" t="inlineStr">
        <is>
          <t xml:space="preserve">"B2:C10" ↓ 1048570</t>
        </is>
      </c>
      <c r="F16" s="52" t="inlineStr">
        <is>
          <t xml:space="preserve">B1048572:C1048576</t>
        </is>
      </c>
      <c r="H16" s="53" cm="1">
        <f t="array" ref="H16">move_rng("B2:C10","↓",1048570)</f>
        <v>0</v>
      </c>
      <c r="I16" s="52"/>
      <c r="J16" s="54">
        <f>IF(H16=F16,"PASS","FAIL")</f>
      </c>
      <c r="L16" s="53"/>
      <c r="M16" s="53"/>
      <c r="N16" s="53"/>
      <c r="P16" s="54"/>
    </row>
    <row r="17" spans="1:16" x14ac:dyDescent="0.5">
      <c r="B17" s="47"/>
      <c r="D17" s="51"/>
      <c r="F17" s="52"/>
      <c r="H17" s="53"/>
      <c r="I17" s="52"/>
      <c r="J17" s="54"/>
      <c r="L17" s="53"/>
      <c r="M17" s="53"/>
      <c r="N17" s="53"/>
      <c r="P17" s="54"/>
    </row>
    <row r="18" spans="1:16" x14ac:dyDescent="0.5">
      <c r="A18" s="46">
        <v>7</v>
      </c>
      <c r="B18" s="47" t="inlineStr">
        <is>
          <t xml:space="preserve">numeric range stays numeric</t>
        </is>
      </c>
      <c r="D18" s="51" t="inlineStr">
        <is>
          <t xml:space="preserve">"2000002:10000003" ↖</t>
        </is>
      </c>
      <c r="F18" s="52" t="inlineStr">
        <is>
          <t xml:space="preserve">1000001:9000002</t>
        </is>
      </c>
      <c r="H18" s="53" cm="1">
        <f t="array" ref="H18">move_rng("2000002:10000003","↖")</f>
        <v>0</v>
      </c>
      <c r="I18" s="52"/>
      <c r="J18" s="54">
        <f>IF(H18=F18,"PASS","FAIL")</f>
      </c>
      <c r="L18" s="53"/>
      <c r="M18" s="53"/>
      <c r="N18" s="53"/>
      <c r="P18" s="54"/>
    </row>
    <row r="19" spans="1:16" x14ac:dyDescent="0.5">
      <c r="B19" s="47"/>
      <c r="D19" s="51"/>
      <c r="F19" s="51"/>
      <c r="H19" s="52"/>
      <c r="I19" s="52"/>
      <c r="J19" s="52"/>
      <c r="L19" s="53"/>
      <c r="M19" s="53"/>
      <c r="N19" s="53"/>
      <c r="P19" s="54"/>
    </row>
    <row r="20" spans="1:16" x14ac:dyDescent="0.5">
      <c r="A20">
        <v>8</v>
      </c>
      <c r="B20" s="47" t="inlineStr">
        <is>
          <t xml:space="preserve">numeric single address -&gt; number</t>
        </is>
      </c>
      <c r="D20" s="51" t="inlineStr">
        <is>
          <t xml:space="preserve">2000002 ↘</t>
        </is>
      </c>
      <c r="F20" s="51">
        <v>3000003</v>
      </c>
      <c r="H20" s="52" cm="1">
        <f t="array" ref="H20">move_rng(2000002,"↘")</f>
        <v>0</v>
      </c>
      <c r="I20" s="52"/>
      <c r="J20" s="52">
        <f>IF(H20=F20,"PASS","FAIL")</f>
      </c>
      <c r="L20" s="53"/>
      <c r="M20" s="53"/>
      <c r="N20" s="53"/>
      <c r="P20" s="54"/>
    </row>
    <row r="21" spans="1:16" x14ac:dyDescent="0.5">
      <c r="B21" s="47"/>
      <c r="D21" s="51"/>
      <c r="F21" s="51"/>
      <c r="H21" s="52"/>
      <c r="I21" s="52"/>
      <c r="J21" s="52"/>
      <c r="L21" s="53"/>
      <c r="M21" s="53"/>
      <c r="N21" s="53"/>
      <c r="P21" s="54"/>
    </row>
    <row r="22" spans="1:16" x14ac:dyDescent="0.5">
      <c r="A22">
        <v>9</v>
      </c>
      <c r="B22" s="47" t="inlineStr">
        <is>
          <t xml:space="preserve">letter code UL, distance 2</t>
        </is>
      </c>
      <c r="D22" s="51" t="inlineStr">
        <is>
          <t xml:space="preserve">"D4" UL 2</t>
        </is>
      </c>
      <c r="F22" s="51" t="inlineStr">
        <is>
          <t xml:space="preserve">B2</t>
        </is>
      </c>
      <c r="H22" s="52" cm="1">
        <f t="array" ref="H22">move_rng("D4","UL",2)</f>
        <v>0</v>
      </c>
      <c r="I22" s="52"/>
      <c r="J22" s="52">
        <f>IF(H22=F22,"PASS","FAIL")</f>
      </c>
      <c r="L22" s="53"/>
      <c r="M22" s="53"/>
      <c r="N22" s="53"/>
      <c r="P22" s="54"/>
    </row>
    <row r="23" spans="1:16" x14ac:dyDescent="0.5">
      <c r="B23" s="47"/>
      <c r="D23" s="51"/>
      <c r="F23" s="51"/>
      <c r="H23" s="52"/>
      <c r="I23" s="52"/>
      <c r="J23" s="52"/>
      <c r="L23" s="53"/>
      <c r="M23" s="53"/>
      <c r="N23" s="53"/>
      <c r="P23" s="54"/>
    </row>
    <row r="24" spans="1:16" x14ac:dyDescent="0.5">
      <c r="A24">
        <v>10</v>
      </c>
      <c r="B24" s="47" t="inlineStr">
        <is>
          <t xml:space="preserve">negative distance moves the opposite way</t>
        </is>
      </c>
      <c r="D24" s="51" t="inlineStr">
        <is>
          <t xml:space="preserve">"B2" → -1</t>
        </is>
      </c>
      <c r="F24" s="51" t="inlineStr">
        <is>
          <t xml:space="preserve">A2</t>
        </is>
      </c>
      <c r="H24" s="52" cm="1">
        <f t="array" ref="H24">move_rng("B2","→",-1)</f>
        <v>0</v>
      </c>
      <c r="I24" s="52"/>
      <c r="J24" s="52">
        <f>IF(H24=F24,"PASS","FAIL")</f>
      </c>
      <c r="L24" s="53"/>
      <c r="M24" s="53"/>
      <c r="N24" s="53"/>
      <c r="P24" s="54"/>
    </row>
    <row r="25" spans="1:16" x14ac:dyDescent="0.5">
      <c r="B25" s="47"/>
      <c r="D25" s="51"/>
      <c r="F25" s="51"/>
      <c r="H25" s="52"/>
      <c r="I25" s="52"/>
      <c r="J25" s="52"/>
      <c r="L25" s="53"/>
      <c r="M25" s="53"/>
      <c r="N25" s="53"/>
      <c r="P25" s="54"/>
    </row>
    <row r="26" spans="1:16" x14ac:dyDescent="0.5">
      <c r="A26">
        <v>11</v>
      </c>
      <c r="B26" s="47" t="inlineStr">
        <is>
          <t xml:space="preserve">range text held in a cell (D26)</t>
        </is>
      </c>
      <c r="D26" s="51" t="inlineStr">
        <is>
          <t xml:space="preserve">B2:C10</t>
        </is>
      </c>
      <c r="F26" s="51" t="inlineStr">
        <is>
          <t xml:space="preserve">A1:B9</t>
        </is>
      </c>
      <c r="H26" s="52" cm="1">
        <f t="array" ref="H26">move_rng(D26,"↖")</f>
        <v>0</v>
      </c>
      <c r="I26" s="52"/>
      <c r="J26" s="52">
        <f>IF(H26=F26,"PASS","FAIL")</f>
      </c>
      <c r="L26" s="53"/>
      <c r="M26" s="53"/>
      <c r="N26" s="53"/>
      <c r="P26" s="54"/>
    </row>
    <row r="27" spans="1:16" x14ac:dyDescent="0.5">
      <c r="B27" s="47"/>
      <c r="D27" s="51"/>
      <c r="F27" s="51"/>
      <c r="H27" s="52"/>
      <c r="I27" s="52"/>
      <c r="J27" s="52"/>
      <c r="L27" s="53"/>
      <c r="M27" s="53"/>
      <c r="N27" s="53"/>
      <c r="P27" s="54"/>
    </row>
    <row r="28" spans="1:16" x14ac:dyDescent="0.5">
      <c r="A28">
        <v>12</v>
      </c>
      <c r="B28" s="47" t="inlineStr">
        <is>
          <t xml:space="preserve">unrecognised arrow -&gt; #VALUE!</t>
        </is>
      </c>
      <c r="D28" s="51" t="inlineStr">
        <is>
          <t xml:space="preserve">"B2" "x"</t>
        </is>
      </c>
      <c r="F28" s="51">
        <v>3</v>
      </c>
      <c r="H28" s="52" cm="1">
        <f t="array" ref="H28">ERROR.TYPE(move_rng("B2","x"))</f>
        <v>0</v>
      </c>
      <c r="I28" s="52"/>
      <c r="J28" s="52">
        <f>IF(H28=F28,"PASS","FAIL")</f>
      </c>
      <c r="L28" s="53"/>
      <c r="M28" s="53"/>
      <c r="N28" s="53"/>
      <c r="P28" s="54"/>
    </row>
    <row r="29" spans="1:16" x14ac:dyDescent="0.5">
      <c r="B29" s="47"/>
      <c r="D29" s="51"/>
      <c r="F29" s="51"/>
      <c r="H29" s="52"/>
      <c r="I29" s="52"/>
      <c r="J29" s="52"/>
      <c r="L29" s="53"/>
      <c r="M29" s="53"/>
      <c r="N29" s="53"/>
      <c r="P29" s="54"/>
    </row>
    <row r="30" spans="1:16" x14ac:dyDescent="0.5">
      <c r="A30">
        <v>13</v>
      </c>
      <c r="B30" s="47" t="inlineStr">
        <is>
          <t xml:space="preserve">non-integer distance -&gt; #VALUE!</t>
        </is>
      </c>
      <c r="D30" s="51" t="inlineStr">
        <is>
          <t xml:space="preserve">"B2" → 1.5</t>
        </is>
      </c>
      <c r="F30" s="51">
        <v>3</v>
      </c>
      <c r="H30" s="52" cm="1">
        <f t="array" ref="H30">ERROR.TYPE(move_rng("B2","→",1.5))</f>
        <v>0</v>
      </c>
      <c r="I30" s="52"/>
      <c r="J30" s="52">
        <f>IF(H30=F30,"PASS","FAIL")</f>
      </c>
      <c r="L30" s="53"/>
      <c r="M30" s="53"/>
      <c r="N30" s="53"/>
      <c r="P30" s="54"/>
    </row>
    <row r="32">
      <c r="A32">
        <v>14</v>
      </c>
      <c r="B32" s="47" t="inlineStr">
        <is>
          <t xml:space="preserve">real range Q33:R34 up-left 1 -&gt; the CONTENTS of P32:Q33 (data block in P32:Q33)</t>
        </is>
      </c>
      <c r="D32" s="51" t="inlineStr">
        <is>
          <t xml:space="preserve">Q33:R34 ↖ (reference)</t>
        </is>
      </c>
      <c r="F32" s="51">
        <v>1</v>
      </c>
      <c r="G32">
        <v>2</v>
      </c>
      <c r="H32" s="52" cm="1">
        <f t="array" ref="H32:I33">move_rng(Q33:R34,"↖")</f>
        <v>0</v>
      </c>
      <c r="J32" s="52" cm="1">
        <f t="array" ref="J32">IF(AND(F32:G33=H32:I33),"PASS","FAIL")</f>
        <v>0</v>
      </c>
      <c r="P32" s="54">
        <v>1</v>
      </c>
      <c r="Q32">
        <v>2</v>
      </c>
    </row>
    <row r="33">
      <c r="F33" s="51">
        <v>3</v>
      </c>
      <c r="G33">
        <v>4</v>
      </c>
      <c r="P33">
        <v>3</v>
      </c>
      <c r="Q33">
        <v>4</v>
      </c>
    </row>
    <row r="34">
      <c r="A34"/>
      <c r="B34" s="47"/>
      <c r="D34" s="51"/>
      <c r="F34" s="51"/>
      <c r="H34" s="52"/>
      <c r="J34" s="52"/>
    </row>
    <row r="35">
      <c r="A35">
        <v>15</v>
      </c>
      <c r="B35" s="47" t="inlineStr">
        <is>
          <t xml:space="preserve">real one-cell range A1 up 1 -&gt; "oob"</t>
        </is>
      </c>
      <c r="D35" s="51" t="inlineStr">
        <is>
          <t xml:space="preserve">A1 ↑ (reference)</t>
        </is>
      </c>
      <c r="F35" s="51" t="inlineStr">
        <is>
          <t xml:space="preserve">oob</t>
        </is>
      </c>
      <c r="H35" s="52" cm="1">
        <f t="array" ref="H35">move_rng(A1,"↑")</f>
        <v>0</v>
      </c>
      <c r="J35" s="52">
        <f>IF(H35=F35,"PASS","FAIL")</f>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