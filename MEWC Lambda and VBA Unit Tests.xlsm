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16A3A6E1-D17B-4C73-8FD6-B43FECFC7C65}" xr6:coauthVersionLast="47" xr6:coauthVersionMax="47" xr10:uidLastSave="{00000000-0000-0000-0000-000000000000}"/>
  <bookViews>
    <workbookView xWindow="28702" yWindow="-98" windowWidth="28995" windowHeight="16395" activeTab="2" xr2:uid="{00000000-000D-0000-FFFF-FFFF00000000}"/>
  </bookViews>
  <sheets>
    <sheet name="Prep" sheetId="1" r:id="rId1"/>
    <sheet name="Lamb" sheetId="2" r:id="rId2"/>
    <sheet name="test_summary" sheetId="3" r:id="rId3"/>
    <sheet name="vba_tests" sheetId="58" r:id="rId4"/>
    <sheet name="addr_lookup" sheetId="4" r:id="rId5"/>
    <sheet name="arrow" sheetId="5" r:id="rId6"/>
    <sheet name="arrow_move" sheetId="6" r:id="rId7"/>
    <sheet name="arrow_trip" sheetId="7" r:id="rId8"/>
    <sheet name="biggest" sheetId="8" r:id="rId9"/>
    <sheet name="clamp" sheetId="9" r:id="rId10"/>
    <sheet name="count_substring" sheetId="10" r:id="rId11"/>
    <sheet name="ctotal" sheetId="11" r:id="rId12"/>
    <sheet name="cycles" sheetId="12" r:id="rId13"/>
    <sheet name="die_pips" sheetId="13" r:id="rId14"/>
    <sheet name="dist" sheetId="14" r:id="rId15"/>
    <sheet name="exists" sheetId="15" r:id="rId16"/>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ange2ad" sheetId="27" r:id="rId28"/>
    <sheet name="rev" sheetId="28" r:id="rId29"/>
    <sheet name="rotate_arrow" sheetId="29" r:id="rId30"/>
    <sheet name="route_cost" sheetId="30" r:id="rId31"/>
    <sheet name="save_array" sheetId="31" r:id="rId32"/>
    <sheet name="selections" sheetId="32" r:id="rId33"/>
    <sheet name="set" sheetId="33" r:id="rId34"/>
    <sheet name="set_d" sheetId="34" r:id="rId35"/>
    <sheet name="set_i" sheetId="35" r:id="rId36"/>
    <sheet name="set_u" sheetId="36" r:id="rId37"/>
    <sheet name="shift_arr" sheetId="37" r:id="rId38"/>
    <sheet name="smallest" sheetId="38" r:id="rId39"/>
    <sheet name="str2arr" sheetId="39" r:id="rId40"/>
    <sheet name="str_ad" sheetId="40" r:id="rId41"/>
    <sheet name="str_rev" sheetId="41" r:id="rId42"/>
    <sheet name="textbetween" sheetId="42" r:id="rId43"/>
    <sheet name="transform_array" sheetId="43" r:id="rId44"/>
    <sheet name="update_arr" sheetId="44" r:id="rId45"/>
    <sheet name="xbyrow" sheetId="45" r:id="rId46"/>
    <sheet name="xcountif" sheetId="46" r:id="rId47"/>
    <sheet name="xdec2bin" sheetId="47" r:id="rId48"/>
    <sheet name="xfilter" sheetId="48" r:id="rId49"/>
    <sheet name="xmod" sheetId="49" r:id="rId50"/>
    <sheet name="xn" sheetId="50" r:id="rId51"/>
    <sheet name="xrank" sheetId="51" r:id="rId52"/>
    <sheet name="xsequence" sheetId="52" r:id="rId53"/>
    <sheet name="xtextsplit" sheetId="53" r:id="rId54"/>
    <sheet name="xtocol" sheetId="54" r:id="rId5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flat"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ols"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f" hidden="1" xlm="1">#NAME?</definedName>
    <definedName name="_xlpm.s_norm"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d" hidden="1" xlm="1">#NAME?</definedName>
    <definedName name="_xlpm.weights" hidden="1" xlm="1">#NAME?</definedName>
    <definedName name="_xlpm.whole_rep"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value(s) at addr_ad within rng. addr_ad may be a numeric address, an A1 string, a range string (e.g. B2:D4), or an array of these. Out-of-bounds or no overlap returns &quot;&quot;.">_xlfn.LAMBDA(_xlpm.arr,_xlpm.address,
  _xlfn.LET(
    _xlpm.start_row, ROW(INDEX(_xlpm.arr, 1, 1)),
    _xlpm.start_col, COLUMN(INDEX(_xlpm.arr, 1, 1)),
    _xlpm.n_rows, ROWS(_xlpm.arr),
    _xlpm.n_cols, COLUMNS(_xlpm.arr),
    _xlpm.get_cell, _xlfn.LAMBDA(_xlpm.one,
      IFERROR(
        _xlfn.LET(
          _xlpm.num, num_ad(_xlpm.one),
          _xlpm.abs_row, INT(_xlpm.num / 1000000),
          _xlpm.abs_col, MOD(_xlpm.num, 1000000),
          _xlpm.rel_row, _xlpm.abs_row - _xlpm.start_row + 1,
          _xlpm.rel_col, _xlpm.abs_col - _xlpm.start_col + 1,
          IF(OR(_xlpm.rel_row &lt; 1, _xlpm.rel_row &gt; _xlpm.n_rows, _xlpm.rel_col &lt; 1, _xlpm.rel_col &gt; _xlpm.n_cols), "", INDEX(_xlpm.arr, _xlpm.rel_row, _xlpm.rel_col))
        ), "")),
    _xlpm.get_rect, _xlfn.LAMBDA(_xlpm.range_txt,
      IFERROR(
        _xlfn.LET(
          _xlpm.parts, _xlfn.TEXTSPLIT(UPPER(SUBSTITUTE(_xlpm.range_txt, "$", "")), ":"),
          _xlpm.first_num, num_ad(INDEX(_xlpm.parts, 1)),
          _xlpm.last_num, num_ad(INDEX(_xlpm.parts, 2)),
          _xlpm.f_r, INT(_xlpm.first_num / 1000000), _xlpm.f_c, MOD(_xlpm.first_num, 1000000),
          _xlpm.l_r, INT(_xlpm.last_num / 1000000), _xlpm.l_c, MOD(_xlpm.last_num, 1000000),
          _xlpm.i_top, MAX(_xlpm.start_row, MIN(_xlpm.f_r, _xlpm.l_r)),
          _xlpm.i_bot, MIN(_xlpm.start_row + _xlpm.n_rows - 1, MAX(_xlpm.f_r, _xlpm.l_r)),
          _xlpm.i_left, MAX(_xlpm.start_col, MIN(_xlpm.f_c, _xlpm.l_c)),
          _xlpm.i_right, MIN(_xlpm.start_col + _xlpm.n_cols - 1, MAX(_xlpm.f_c, _xlpm.l_c)),
          IF(OR(_xlpm.i_top &gt; _xlpm.i_bot, _xlpm.i_left &gt; _xlpm.i_right), "",
            _xlfn.TAKE(_xlfn.DROP(_xlpm.arr, _xlpm.i_top - _xlpm.start_row, _xlpm.i_left - _xlpm.start_col), _xlpm.i_bot - _xlpm.i_top + 1, _xlpm.i_right - _xlpm.i_left + 1))
        ), "")),
    IF(AND(ROWS(_xlpm.address) = 1, COLUMNS(_xlpm.address) = 1),
      IF(AND(ISTEXT(_xlpm.address), ISNUMBER(SEARCH(":", _xlpm.address))), _xlpm.get_rect(_xlpm.address), _xlpm.get_cell(_xlpm.address)),
      _xlfn.MAP(_xlpm.address, _xlpm.get_cell))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Converts row and column numbers to an A1 reference (same as ADDRESS with abs_num 4).">_xlfn.LAMBDA(_xlpm.row,_xlpm.col, ADDRESS(_xlpm.row, _xlpm.col, 4))</definedName>
    <definedName name="ref_to_rc" comment="Converts an A1 reference to row and column numbers, as a vertical array by default (horizontal if as_row = 1).">_xlfn.LAMBDA(_xlpm.a1_text,_xlop.as_row, _xlfn.LET(
   _xlpm.upper_ref, UPPER(_xlpm.a1_text),
   _xlpm.column_letters, _xlfn.REGEXEXTRACT(_xlpm.upper_ref, "[A-Z]+"),
   _xlpm.row_number, VALUE(_xlfn.REGEXEXTRACT(_xlpm.upper_ref, "\d+")),
   _xlpm.n, LEN(_xlpm.column_letters),
   _xlpm.k, _xlfn.SEQUENCE(, _xlpm.n),
   _xlpm.chars, IFERROR(CODE(MID(_xlpm.column_letters, _xlpm.k, 1)) - 64, 0),
   _xlpm.weights, 26 ^ (_xlpm.n - _xlpm.k),
   _xlpm.column_number, _xlfn.BYROW(_xlpm.chars * _xlpm.weights, _xlfn.LAMBDA(_xlpm.r, SUM(_xlpm.r))),
   _xlpm.as_row_val, IF(_xlfn.ISOMITTED(_xlpm.as_row), 0, _xlpm.as_row),
   IF(
      _xlpm.as_row_val = 1,
      _xlfn.HSTACK(_xlpm.row_number, _xlpm.column_number),
      _xlfn.VSTACK(_xlpm.row_number, _xlpm.column_number)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54" l="1" a="1"/>
  <c r="J24" i="54" s="1"/>
  <c r="L24" i="54" s="1"/>
  <c r="J19" i="54" a="1"/>
  <c r="J19" i="54" s="1"/>
  <c r="L19" i="54" s="1" a="1"/>
  <c r="L19" i="54" s="1"/>
  <c r="J16" i="54" a="1"/>
  <c r="J16" i="54" s="1"/>
  <c r="L16" i="54" s="1" a="1"/>
  <c r="L16" i="54" s="1"/>
  <c r="J11" i="54" a="1"/>
  <c r="J11" i="54" s="1"/>
  <c r="L11" i="54" s="1" a="1"/>
  <c r="L11" i="54" s="1"/>
  <c r="J6" i="54" a="1"/>
  <c r="J6" i="54" s="1"/>
  <c r="L6" i="54" s="1" a="1"/>
  <c r="L6" i="54" s="1"/>
  <c r="L4" i="54" s="1"/>
  <c r="B2" i="54" a="1"/>
  <c r="B2" i="54" s="1"/>
  <c r="I1" i="54" a="1"/>
  <c r="I1" i="54" s="1"/>
  <c r="B1" i="54" a="1"/>
  <c r="B1" i="54" s="1"/>
  <c r="N20" i="53" a="1"/>
  <c r="N20" i="53" s="1"/>
  <c r="R20" i="53" s="1"/>
  <c r="N18" i="53" a="1"/>
  <c r="N18" i="53" s="1"/>
  <c r="R18" i="53" s="1" a="1"/>
  <c r="R18" i="53" s="1"/>
  <c r="N14" i="53" a="1"/>
  <c r="N14" i="53" s="1"/>
  <c r="R14" i="53" s="1" a="1"/>
  <c r="R14" i="53" s="1"/>
  <c r="N10" i="53" a="1"/>
  <c r="N10" i="53" s="1"/>
  <c r="R10" i="53" s="1" a="1"/>
  <c r="R10" i="53" s="1"/>
  <c r="N6" i="53" a="1"/>
  <c r="N6" i="53" s="1"/>
  <c r="R6" i="53" s="1" a="1"/>
  <c r="R6" i="53" s="1"/>
  <c r="B2" i="53" a="1"/>
  <c r="B2" i="53" s="1"/>
  <c r="I1" i="53" a="1"/>
  <c r="I1" i="53" s="1"/>
  <c r="B1" i="53" a="1"/>
  <c r="B1" i="53"/>
  <c r="P36" i="52" a="1"/>
  <c r="P36" i="52" s="1"/>
  <c r="R36" i="52" s="1"/>
  <c r="P30" i="52" a="1"/>
  <c r="P30" i="52" s="1"/>
  <c r="R30" i="52" s="1" a="1"/>
  <c r="R30" i="52" s="1"/>
  <c r="P23" i="52" a="1"/>
  <c r="P23" i="52" s="1"/>
  <c r="R23" i="52" s="1" a="1"/>
  <c r="R23" i="52" s="1"/>
  <c r="P16" i="52" a="1"/>
  <c r="P16" i="52" s="1"/>
  <c r="R16" i="52" s="1" a="1"/>
  <c r="R16" i="52" s="1"/>
  <c r="P12" i="52" a="1"/>
  <c r="P12" i="52" s="1"/>
  <c r="R12" i="52" s="1" a="1"/>
  <c r="R12" i="52" s="1"/>
  <c r="P6" i="52" a="1"/>
  <c r="P6" i="52" s="1"/>
  <c r="R6" i="52" s="1" a="1"/>
  <c r="R6" i="52" s="1"/>
  <c r="R4" i="52" s="1"/>
  <c r="B2" i="52" a="1"/>
  <c r="B2" i="52"/>
  <c r="I1" i="52" a="1"/>
  <c r="I1" i="52"/>
  <c r="B1" i="52" a="1"/>
  <c r="B1" i="52"/>
  <c r="L25" i="51" a="1"/>
  <c r="L25" i="51" s="1"/>
  <c r="N25" i="51" s="1"/>
  <c r="J25" i="51"/>
  <c r="L20" i="51" a="1"/>
  <c r="L20" i="51" s="1"/>
  <c r="N20" i="51" s="1"/>
  <c r="N18" i="51"/>
  <c r="L18" i="51" a="1"/>
  <c r="L18" i="51"/>
  <c r="L14" i="51" a="1"/>
  <c r="L14" i="51" s="1"/>
  <c r="N14" i="51" s="1"/>
  <c r="L10" i="51" a="1"/>
  <c r="L10" i="51" s="1"/>
  <c r="N10" i="51" s="1"/>
  <c r="L6" i="51" a="1"/>
  <c r="L6" i="51" s="1"/>
  <c r="N6" i="51" s="1"/>
  <c r="N4" i="51" s="1"/>
  <c r="B2" i="51" a="1"/>
  <c r="B2" i="51"/>
  <c r="I1" i="51" a="1"/>
  <c r="I1" i="51"/>
  <c r="B1" i="51" a="1"/>
  <c r="B1" i="51"/>
  <c r="H14" i="50" a="1"/>
  <c r="H14" i="50" s="1"/>
  <c r="J14" i="50" s="1" a="1"/>
  <c r="J14" i="50" s="1"/>
  <c r="H12" i="50" a="1"/>
  <c r="H12" i="50" s="1"/>
  <c r="J12" i="50" s="1"/>
  <c r="H10" i="50" a="1"/>
  <c r="H10" i="50"/>
  <c r="J10" i="50" s="1"/>
  <c r="H8" i="50" a="1"/>
  <c r="H8" i="50" s="1"/>
  <c r="J8" i="50" s="1"/>
  <c r="J6" i="50"/>
  <c r="H6" i="50" a="1"/>
  <c r="H6" i="50"/>
  <c r="B2" i="50" a="1"/>
  <c r="B2" i="50" s="1"/>
  <c r="I1" i="50" a="1"/>
  <c r="I1" i="50" s="1"/>
  <c r="B1" i="50" a="1"/>
  <c r="B1" i="50" s="1"/>
  <c r="L16" i="49"/>
  <c r="J16" i="49" a="1"/>
  <c r="J16" i="49"/>
  <c r="J14" i="49" a="1"/>
  <c r="J14" i="49" s="1"/>
  <c r="L14" i="49" s="1"/>
  <c r="J12" i="49" a="1"/>
  <c r="J12" i="49" s="1"/>
  <c r="L12" i="49" s="1"/>
  <c r="J10" i="49" a="1"/>
  <c r="J10" i="49" s="1"/>
  <c r="L10" i="49" s="1"/>
  <c r="J8" i="49" a="1"/>
  <c r="J8" i="49"/>
  <c r="L8" i="49" s="1"/>
  <c r="J6" i="49" a="1"/>
  <c r="J6" i="49" s="1"/>
  <c r="L6" i="49" s="1"/>
  <c r="B2" i="49" a="1"/>
  <c r="B2" i="49"/>
  <c r="I1" i="49" a="1"/>
  <c r="I1" i="49"/>
  <c r="B1" i="49" a="1"/>
  <c r="B1" i="49"/>
  <c r="R31" i="48" a="1"/>
  <c r="R31" i="48" s="1"/>
  <c r="V31" i="48" s="1"/>
  <c r="R26" i="48" a="1"/>
  <c r="R26" i="48" s="1"/>
  <c r="V26" i="48" s="1" a="1"/>
  <c r="V26" i="48" s="1"/>
  <c r="R21" i="48" a="1"/>
  <c r="R21" i="48" s="1"/>
  <c r="V21" i="48" s="1" a="1"/>
  <c r="V21" i="48" s="1"/>
  <c r="R16" i="48" a="1"/>
  <c r="R16" i="48" s="1"/>
  <c r="V16" i="48" s="1" a="1"/>
  <c r="V16" i="48" s="1"/>
  <c r="R11" i="48" a="1"/>
  <c r="R11" i="48" s="1"/>
  <c r="V11" i="48" s="1" a="1"/>
  <c r="V11" i="48" s="1"/>
  <c r="R6" i="48" a="1"/>
  <c r="R6" i="48" s="1"/>
  <c r="V6" i="48" s="1" a="1"/>
  <c r="V6" i="48" s="1"/>
  <c r="B2" i="48" a="1"/>
  <c r="B2" i="48"/>
  <c r="I1" i="48" a="1"/>
  <c r="I1" i="48" s="1"/>
  <c r="B1" i="48" a="1"/>
  <c r="B1" i="48"/>
  <c r="J16" i="47" a="1"/>
  <c r="J16" i="47" s="1"/>
  <c r="L16" i="47" s="1"/>
  <c r="J14" i="47" a="1"/>
  <c r="J14" i="47" s="1"/>
  <c r="L14" i="47" s="1"/>
  <c r="J12" i="47" a="1"/>
  <c r="J12" i="47" s="1"/>
  <c r="L12" i="47" s="1"/>
  <c r="J10" i="47" a="1"/>
  <c r="J10" i="47"/>
  <c r="L10" i="47" s="1"/>
  <c r="J8" i="47" a="1"/>
  <c r="J8" i="47" s="1"/>
  <c r="L8" i="47" s="1"/>
  <c r="L6" i="47"/>
  <c r="L4" i="47" s="1"/>
  <c r="J6" i="47" a="1"/>
  <c r="J6" i="47"/>
  <c r="B2" i="47" a="1"/>
  <c r="B2" i="47"/>
  <c r="I1" i="47" a="1"/>
  <c r="I1" i="47" s="1"/>
  <c r="B1" i="47" a="1"/>
  <c r="B1" i="47" s="1"/>
  <c r="D27" i="46"/>
  <c r="J25" i="46" a="1"/>
  <c r="J25" i="46" s="1"/>
  <c r="L25" i="46" s="1"/>
  <c r="J20" i="46" a="1"/>
  <c r="J20" i="46"/>
  <c r="L20" i="46" s="1"/>
  <c r="J15" i="46" a="1"/>
  <c r="J15" i="46"/>
  <c r="L15" i="46" s="1" a="1"/>
  <c r="L15" i="46" s="1"/>
  <c r="J11" i="46" a="1"/>
  <c r="J11" i="46" s="1"/>
  <c r="L11" i="46" s="1"/>
  <c r="L6" i="46"/>
  <c r="J6" i="46" a="1"/>
  <c r="J6" i="46"/>
  <c r="B2" i="46" a="1"/>
  <c r="B2" i="46"/>
  <c r="I1" i="46" a="1"/>
  <c r="I1" i="46" s="1"/>
  <c r="B1" i="46" a="1"/>
  <c r="B1" i="46" s="1"/>
  <c r="P18" i="45" a="1"/>
  <c r="P18" i="45" s="1"/>
  <c r="Y18" i="45" s="1" a="1"/>
  <c r="Y18" i="45" s="1"/>
  <c r="P14" i="45" a="1"/>
  <c r="P14" i="45" s="1"/>
  <c r="Y14" i="45" s="1" a="1"/>
  <c r="Y14" i="45" s="1"/>
  <c r="P10" i="45" a="1"/>
  <c r="P10" i="45" s="1"/>
  <c r="Y10" i="45" s="1" a="1"/>
  <c r="Y10" i="45" s="1"/>
  <c r="P6" i="45" a="1"/>
  <c r="P6" i="45" s="1"/>
  <c r="Y6" i="45" s="1" a="1"/>
  <c r="Y6" i="45" s="1"/>
  <c r="B2" i="45" a="1"/>
  <c r="B2" i="45"/>
  <c r="I1" i="45" a="1"/>
  <c r="I1" i="45" s="1"/>
  <c r="B1" i="45" a="1"/>
  <c r="B1" i="45"/>
  <c r="R9" i="44" a="1"/>
  <c r="R9" i="44"/>
  <c r="V9" i="44" s="1" a="1"/>
  <c r="V9" i="44" s="1"/>
  <c r="R6" i="44" a="1"/>
  <c r="R6" i="44"/>
  <c r="V6" i="44" s="1" a="1"/>
  <c r="V6" i="44" s="1"/>
  <c r="B2" i="44" a="1"/>
  <c r="B2" i="44" s="1"/>
  <c r="I1" i="44" a="1"/>
  <c r="I1" i="44" s="1"/>
  <c r="B1" i="44" a="1"/>
  <c r="B1" i="44" s="1"/>
  <c r="M25" i="43" a="1"/>
  <c r="M25" i="43" s="1"/>
  <c r="P25" i="43" s="1"/>
  <c r="M21" i="43" a="1"/>
  <c r="M21" i="43" s="1"/>
  <c r="P21" i="43" s="1" a="1"/>
  <c r="P21" i="43" s="1"/>
  <c r="M18" i="43" a="1"/>
  <c r="M18" i="43" s="1"/>
  <c r="P18" i="43" s="1" a="1"/>
  <c r="P18" i="43" s="1"/>
  <c r="M15" i="43" a="1"/>
  <c r="M15" i="43" s="1"/>
  <c r="P15" i="43" s="1" a="1"/>
  <c r="P15" i="43" s="1"/>
  <c r="P12" i="43" a="1"/>
  <c r="P12" i="43"/>
  <c r="M12" i="43" a="1"/>
  <c r="M12" i="43"/>
  <c r="M9" i="43" a="1"/>
  <c r="M9" i="43"/>
  <c r="P9" i="43" s="1" a="1"/>
  <c r="P9" i="43" s="1"/>
  <c r="M6" i="43" a="1"/>
  <c r="M6" i="43" s="1"/>
  <c r="P6" i="43" s="1" a="1"/>
  <c r="P6" i="43" s="1"/>
  <c r="B2" i="43" a="1"/>
  <c r="B2" i="43"/>
  <c r="I1" i="43" a="1"/>
  <c r="I1" i="43" s="1"/>
  <c r="B1" i="43" a="1"/>
  <c r="B1" i="43"/>
  <c r="L14" i="42" a="1"/>
  <c r="L14" i="42" s="1"/>
  <c r="N14" i="42" s="1" a="1"/>
  <c r="N14" i="42" s="1"/>
  <c r="L12" i="42" a="1"/>
  <c r="L12" i="42"/>
  <c r="N12" i="42" s="1"/>
  <c r="L10" i="42" a="1"/>
  <c r="L10" i="42" s="1"/>
  <c r="N10" i="42" s="1"/>
  <c r="N8" i="42"/>
  <c r="L8" i="42" a="1"/>
  <c r="L8" i="42"/>
  <c r="L6" i="42" a="1"/>
  <c r="L6" i="42"/>
  <c r="N6" i="42" s="1"/>
  <c r="B2" i="42" a="1"/>
  <c r="B2" i="42"/>
  <c r="I1" i="42" a="1"/>
  <c r="I1" i="42" s="1"/>
  <c r="B1" i="42" a="1"/>
  <c r="B1" i="42"/>
  <c r="H12" i="41" a="1"/>
  <c r="H12" i="41"/>
  <c r="J12" i="41" s="1" a="1"/>
  <c r="J12" i="41" s="1"/>
  <c r="J10" i="41"/>
  <c r="H10" i="41" a="1"/>
  <c r="H10" i="41"/>
  <c r="J8" i="41"/>
  <c r="H8" i="41" a="1"/>
  <c r="H8" i="41"/>
  <c r="H6" i="41" a="1"/>
  <c r="H6" i="41" s="1"/>
  <c r="J6" i="41" s="1"/>
  <c r="J4" i="41" s="1"/>
  <c r="B2" i="41" a="1"/>
  <c r="B2" i="41"/>
  <c r="I1" i="41" a="1"/>
  <c r="I1" i="41" s="1"/>
  <c r="B1" i="41" a="1"/>
  <c r="B1" i="41"/>
  <c r="H12" i="40" a="1"/>
  <c r="H12" i="40"/>
  <c r="J12" i="40" s="1" a="1"/>
  <c r="J12" i="40" s="1"/>
  <c r="H10" i="40" a="1"/>
  <c r="H10" i="40" s="1"/>
  <c r="J10" i="40" s="1"/>
  <c r="H8" i="40" a="1"/>
  <c r="H8" i="40" s="1"/>
  <c r="J8" i="40" s="1"/>
  <c r="H6" i="40" a="1"/>
  <c r="H6" i="40" s="1"/>
  <c r="J6" i="40" s="1"/>
  <c r="B2" i="40" a="1"/>
  <c r="B2" i="40"/>
  <c r="I1" i="40" a="1"/>
  <c r="I1" i="40"/>
  <c r="B1" i="40" a="1"/>
  <c r="B1" i="40"/>
  <c r="L14" i="39" a="1"/>
  <c r="L14" i="39"/>
  <c r="P14" i="39" s="1" a="1"/>
  <c r="P14" i="39" s="1"/>
  <c r="L10" i="39" a="1"/>
  <c r="L10" i="39"/>
  <c r="P10" i="39" s="1" a="1"/>
  <c r="P10" i="39" s="1"/>
  <c r="L6" i="39" a="1"/>
  <c r="L6" i="39"/>
  <c r="P6" i="39" s="1" a="1"/>
  <c r="P6" i="39" s="1"/>
  <c r="B2" i="39" a="1"/>
  <c r="B2" i="39" s="1"/>
  <c r="I1" i="39" a="1"/>
  <c r="I1" i="39" s="1"/>
  <c r="B1" i="39" a="1"/>
  <c r="B1" i="39" s="1"/>
  <c r="L15" i="38"/>
  <c r="J15" i="38" a="1"/>
  <c r="J15" i="38"/>
  <c r="H15" i="38"/>
  <c r="J10" i="38" a="1"/>
  <c r="J10" i="38" s="1"/>
  <c r="L10" i="38" s="1"/>
  <c r="J6" i="38" a="1"/>
  <c r="J6" i="38"/>
  <c r="L6" i="38" s="1"/>
  <c r="L4" i="38" s="1"/>
  <c r="B2" i="38" a="1"/>
  <c r="B2" i="38"/>
  <c r="I1" i="38" a="1"/>
  <c r="I1" i="38" s="1"/>
  <c r="C39" i="3" s="1"/>
  <c r="B1" i="38" a="1"/>
  <c r="B1" i="38"/>
  <c r="B39" i="3" s="1"/>
  <c r="D39" i="3" s="1"/>
  <c r="O21" i="37" a="1"/>
  <c r="O21" i="37" s="1"/>
  <c r="R21" i="37" s="1"/>
  <c r="L21" i="37"/>
  <c r="O18" i="37" a="1"/>
  <c r="O18" i="37"/>
  <c r="R18" i="37" s="1" a="1"/>
  <c r="R18" i="37" s="1"/>
  <c r="O14" i="37" a="1"/>
  <c r="O14" i="37" s="1"/>
  <c r="R14" i="37" s="1" a="1"/>
  <c r="R14" i="37" s="1"/>
  <c r="O10" i="37" a="1"/>
  <c r="O10" i="37"/>
  <c r="R10" i="37" s="1" a="1"/>
  <c r="R10" i="37" s="1"/>
  <c r="R6" i="37" a="1"/>
  <c r="R6" i="37" s="1"/>
  <c r="R4" i="37" s="1"/>
  <c r="O6" i="37" a="1"/>
  <c r="O6" i="37"/>
  <c r="B2" i="37" a="1"/>
  <c r="B2" i="37"/>
  <c r="I1" i="37" a="1"/>
  <c r="I1" i="37" s="1"/>
  <c r="B1" i="37" a="1"/>
  <c r="B1" i="37" s="1"/>
  <c r="N15" i="36" a="1"/>
  <c r="N15" i="36" s="1"/>
  <c r="R15" i="36" s="1" a="1"/>
  <c r="R15" i="36" s="1"/>
  <c r="N10" i="36" a="1"/>
  <c r="N10" i="36" s="1"/>
  <c r="R10" i="36" s="1" a="1"/>
  <c r="R10" i="36" s="1"/>
  <c r="N6" i="36" a="1"/>
  <c r="N6" i="36"/>
  <c r="R6" i="36" s="1" a="1"/>
  <c r="R6" i="36" s="1"/>
  <c r="B2" i="36" a="1"/>
  <c r="B2" i="36" s="1"/>
  <c r="I1" i="36" a="1"/>
  <c r="I1" i="36"/>
  <c r="B1" i="36" a="1"/>
  <c r="B1" i="36" s="1"/>
  <c r="J14" i="35" a="1"/>
  <c r="J14" i="35" s="1"/>
  <c r="L14" i="35" s="1"/>
  <c r="J10" i="35" a="1"/>
  <c r="J10" i="35" s="1"/>
  <c r="L10" i="35" s="1" a="1"/>
  <c r="L10" i="35" s="1"/>
  <c r="J6" i="35" a="1"/>
  <c r="J6" i="35" s="1"/>
  <c r="L6" i="35" s="1" a="1"/>
  <c r="L6" i="35" s="1"/>
  <c r="L4" i="35" s="1"/>
  <c r="B2" i="35" a="1"/>
  <c r="B2" i="35" s="1"/>
  <c r="I1" i="35" a="1"/>
  <c r="I1" i="35" s="1"/>
  <c r="B1" i="35" a="1"/>
  <c r="B1" i="35"/>
  <c r="J10" i="34" a="1"/>
  <c r="J10" i="34" s="1"/>
  <c r="L10" i="34" s="1" a="1"/>
  <c r="L10" i="34" s="1"/>
  <c r="J6" i="34" a="1"/>
  <c r="J6" i="34"/>
  <c r="L6" i="34" s="1" a="1"/>
  <c r="L6" i="34" s="1"/>
  <c r="L4" i="34" s="1"/>
  <c r="B2" i="34" a="1"/>
  <c r="B2" i="34" s="1"/>
  <c r="I1" i="34" a="1"/>
  <c r="I1" i="34" s="1"/>
  <c r="B1" i="34" a="1"/>
  <c r="B1" i="34" s="1"/>
  <c r="L21" i="33" a="1"/>
  <c r="L21" i="33" s="1"/>
  <c r="P21" i="33" s="1" a="1"/>
  <c r="P21" i="33" s="1"/>
  <c r="L16" i="33" a="1"/>
  <c r="L16" i="33"/>
  <c r="P16" i="33" s="1" a="1"/>
  <c r="P16" i="33" s="1"/>
  <c r="P11" i="33" a="1"/>
  <c r="P11" i="33"/>
  <c r="L11" i="33" a="1"/>
  <c r="L11" i="33"/>
  <c r="L6" i="33" a="1"/>
  <c r="L6" i="33"/>
  <c r="P6" i="33" s="1" a="1"/>
  <c r="P6" i="33" s="1"/>
  <c r="B2" i="33" a="1"/>
  <c r="B2" i="33" s="1"/>
  <c r="I1" i="33" a="1"/>
  <c r="I1" i="33"/>
  <c r="B1" i="33" a="1"/>
  <c r="B1" i="33"/>
  <c r="O24" i="32" a="1"/>
  <c r="O24" i="32"/>
  <c r="R24" i="32" s="1" a="1"/>
  <c r="R24" i="32" s="1"/>
  <c r="O17" i="32" a="1"/>
  <c r="O17" i="32" s="1"/>
  <c r="R17" i="32" s="1" a="1"/>
  <c r="R17" i="32" s="1"/>
  <c r="O10" i="32" a="1"/>
  <c r="O10" i="32" s="1"/>
  <c r="R10" i="32" s="1" a="1"/>
  <c r="R10" i="32" s="1"/>
  <c r="O6" i="32" a="1"/>
  <c r="O6" i="32" s="1"/>
  <c r="R6" i="32" s="1" a="1"/>
  <c r="R6" i="32" s="1"/>
  <c r="B2" i="32" a="1"/>
  <c r="B2" i="32" s="1"/>
  <c r="I1" i="32" a="1"/>
  <c r="I1" i="32" s="1"/>
  <c r="B1" i="32" a="1"/>
  <c r="B1" i="32" s="1"/>
  <c r="M11" i="31" a="1"/>
  <c r="M11" i="31"/>
  <c r="O11" i="31" s="1"/>
  <c r="M9" i="31" a="1"/>
  <c r="M9" i="31" s="1"/>
  <c r="O9" i="31" s="1"/>
  <c r="M6" i="31" a="1"/>
  <c r="M6" i="31" s="1"/>
  <c r="O6" i="31" s="1"/>
  <c r="B2" i="31" a="1"/>
  <c r="B2" i="31"/>
  <c r="I1" i="31" a="1"/>
  <c r="I1" i="31"/>
  <c r="B1" i="31" a="1"/>
  <c r="B1" i="31"/>
  <c r="L23" i="30" a="1"/>
  <c r="L23" i="30"/>
  <c r="O23" i="30" s="1"/>
  <c r="L20" i="30" a="1"/>
  <c r="L20" i="30" s="1"/>
  <c r="O20" i="30" s="1" a="1"/>
  <c r="O20" i="30" s="1"/>
  <c r="L17" i="30" a="1"/>
  <c r="L17" i="30" s="1"/>
  <c r="O17" i="30" s="1" a="1"/>
  <c r="O17" i="30" s="1"/>
  <c r="L14" i="30" a="1"/>
  <c r="L14" i="30" s="1"/>
  <c r="O14" i="30" s="1" a="1"/>
  <c r="O14" i="30" s="1"/>
  <c r="L11" i="30" a="1"/>
  <c r="L11" i="30" s="1"/>
  <c r="O11" i="30" s="1" a="1"/>
  <c r="O11" i="30" s="1"/>
  <c r="O4" i="30" s="1"/>
  <c r="B2" i="30" a="1"/>
  <c r="B2" i="30"/>
  <c r="I1" i="30" a="1"/>
  <c r="I1" i="30"/>
  <c r="B1" i="30" a="1"/>
  <c r="B1" i="30"/>
  <c r="N16" i="29"/>
  <c r="L16" i="29" a="1"/>
  <c r="L16" i="29"/>
  <c r="J16" i="29"/>
  <c r="N14" i="29"/>
  <c r="L14" i="29" a="1"/>
  <c r="L14" i="29"/>
  <c r="N12" i="29"/>
  <c r="L12" i="29" a="1"/>
  <c r="L12" i="29"/>
  <c r="L10" i="29" a="1"/>
  <c r="L10" i="29" s="1"/>
  <c r="N10" i="29" s="1"/>
  <c r="L8" i="29" a="1"/>
  <c r="L8" i="29"/>
  <c r="N8" i="29" s="1"/>
  <c r="L6" i="29" a="1"/>
  <c r="L6" i="29" s="1"/>
  <c r="N6" i="29" s="1"/>
  <c r="B2" i="29" a="1"/>
  <c r="B2" i="29"/>
  <c r="I1" i="29" a="1"/>
  <c r="I1" i="29"/>
  <c r="B1" i="29" a="1"/>
  <c r="B1" i="29" s="1"/>
  <c r="H14" i="28" a="1"/>
  <c r="H14" i="28" s="1"/>
  <c r="J14" i="28" s="1" a="1"/>
  <c r="J14" i="28" s="1"/>
  <c r="H10" i="28" a="1"/>
  <c r="H10" i="28" s="1"/>
  <c r="J10" i="28" s="1" a="1"/>
  <c r="J10" i="28" s="1"/>
  <c r="H6" i="28" a="1"/>
  <c r="H6" i="28" s="1"/>
  <c r="J6" i="28" s="1" a="1"/>
  <c r="J6" i="28" s="1"/>
  <c r="J4" i="28" s="1"/>
  <c r="B2" i="28" a="1"/>
  <c r="B2" i="28" s="1"/>
  <c r="I1" i="28" a="1"/>
  <c r="I1" i="28" s="1"/>
  <c r="B1" i="28" a="1"/>
  <c r="B1" i="28" s="1"/>
  <c r="L18" i="27" a="1"/>
  <c r="L18" i="27" s="1"/>
  <c r="P18" i="27" s="1"/>
  <c r="P16" i="27" a="1"/>
  <c r="P16" i="27" s="1"/>
  <c r="L16" i="27" a="1"/>
  <c r="L16" i="27"/>
  <c r="P12" i="27" a="1"/>
  <c r="P12" i="27" s="1"/>
  <c r="L12" i="27" a="1"/>
  <c r="L12" i="27"/>
  <c r="L9" i="27" a="1"/>
  <c r="L9" i="27" s="1"/>
  <c r="P9" i="27" s="1" a="1"/>
  <c r="P9" i="27" s="1"/>
  <c r="P6" i="27" a="1"/>
  <c r="P6" i="27" s="1"/>
  <c r="L6" i="27" a="1"/>
  <c r="L6" i="27"/>
  <c r="B2" i="27" a="1"/>
  <c r="B2" i="27" s="1"/>
  <c r="I1" i="27" a="1"/>
  <c r="I1" i="27" s="1"/>
  <c r="B1" i="27" a="1"/>
  <c r="B1" i="27" s="1"/>
  <c r="H16" i="26" a="1"/>
  <c r="H16" i="26"/>
  <c r="J16" i="26" s="1" a="1"/>
  <c r="J16" i="26" s="1"/>
  <c r="J12" i="26" a="1"/>
  <c r="J12" i="26"/>
  <c r="H12" i="26" a="1"/>
  <c r="H12" i="26"/>
  <c r="H10" i="26" a="1"/>
  <c r="H10" i="26"/>
  <c r="J10" i="26" s="1" a="1"/>
  <c r="J10" i="26" s="1"/>
  <c r="H8" i="26" a="1"/>
  <c r="H8" i="26" s="1"/>
  <c r="J8" i="26" s="1"/>
  <c r="H6" i="26" a="1"/>
  <c r="H6" i="26" s="1"/>
  <c r="J6" i="26" s="1"/>
  <c r="J4" i="26" s="1"/>
  <c r="B2" i="26" a="1"/>
  <c r="B2" i="26"/>
  <c r="I1" i="26" a="1"/>
  <c r="I1" i="26"/>
  <c r="B1" i="26" a="1"/>
  <c r="B1" i="26" s="1"/>
  <c r="H14" i="25" a="1"/>
  <c r="H14" i="25" s="1"/>
  <c r="J14" i="25" s="1" a="1"/>
  <c r="J14" i="25" s="1"/>
  <c r="J12" i="25"/>
  <c r="H12" i="25" a="1"/>
  <c r="H12" i="25"/>
  <c r="H10" i="25" a="1"/>
  <c r="H10" i="25" s="1"/>
  <c r="J10" i="25" s="1"/>
  <c r="H8" i="25" a="1"/>
  <c r="H8" i="25"/>
  <c r="J8" i="25" s="1"/>
  <c r="H6" i="25" a="1"/>
  <c r="H6" i="25"/>
  <c r="J6" i="25" s="1"/>
  <c r="B2" i="25" a="1"/>
  <c r="B2" i="25" s="1"/>
  <c r="I1" i="25" a="1"/>
  <c r="I1" i="25" s="1"/>
  <c r="B1" i="25" a="1"/>
  <c r="B1" i="25" s="1"/>
  <c r="J16" i="24" a="1"/>
  <c r="J16" i="24"/>
  <c r="L16" i="24" s="1" a="1"/>
  <c r="L16" i="24" s="1"/>
  <c r="J14" i="24" a="1"/>
  <c r="J14" i="24" s="1"/>
  <c r="L14" i="24" s="1"/>
  <c r="J12" i="24" a="1"/>
  <c r="J12" i="24"/>
  <c r="L12" i="24" s="1"/>
  <c r="J10" i="24" a="1"/>
  <c r="J10" i="24" s="1"/>
  <c r="L10" i="24" s="1"/>
  <c r="J8" i="24" a="1"/>
  <c r="J8" i="24" s="1"/>
  <c r="L8" i="24" s="1"/>
  <c r="L6" i="24"/>
  <c r="J6" i="24" a="1"/>
  <c r="J6" i="24"/>
  <c r="B2" i="24" a="1"/>
  <c r="B2" i="24" s="1"/>
  <c r="I1" i="24" a="1"/>
  <c r="I1" i="24" s="1"/>
  <c r="B1" i="24" a="1"/>
  <c r="B1" i="24"/>
  <c r="H16" i="23" a="1"/>
  <c r="H16" i="23"/>
  <c r="J16" i="23" s="1" a="1"/>
  <c r="J16" i="23" s="1"/>
  <c r="H14" i="23" a="1"/>
  <c r="H14" i="23"/>
  <c r="J14" i="23" s="1"/>
  <c r="H12" i="23" a="1"/>
  <c r="H12" i="23" s="1"/>
  <c r="J12" i="23" s="1"/>
  <c r="H10" i="23" a="1"/>
  <c r="H10" i="23" s="1"/>
  <c r="J10" i="23" s="1"/>
  <c r="H8" i="23" a="1"/>
  <c r="H8" i="23" s="1"/>
  <c r="J8" i="23" s="1"/>
  <c r="J6" i="23"/>
  <c r="H6" i="23" a="1"/>
  <c r="H6" i="23"/>
  <c r="B2" i="23" a="1"/>
  <c r="B2" i="23" s="1"/>
  <c r="I1" i="23" a="1"/>
  <c r="I1" i="23"/>
  <c r="B1" i="23" a="1"/>
  <c r="B1" i="23"/>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B2" i="22" a="1"/>
  <c r="B2" i="22" s="1"/>
  <c r="I1" i="22" a="1"/>
  <c r="I1" i="22"/>
  <c r="B1" i="22" a="1"/>
  <c r="B1" i="22" s="1"/>
  <c r="M15" i="21" a="1"/>
  <c r="M15" i="21" s="1"/>
  <c r="Q15" i="21" s="1" a="1"/>
  <c r="Q15" i="21" s="1"/>
  <c r="M11" i="21" a="1"/>
  <c r="M11" i="21" s="1"/>
  <c r="Q11" i="21" s="1" a="1"/>
  <c r="Q11" i="21" s="1"/>
  <c r="M7" i="21" a="1"/>
  <c r="M7" i="21"/>
  <c r="Q7" i="21" s="1" a="1"/>
  <c r="Q7" i="21" s="1"/>
  <c r="B2" i="21" a="1"/>
  <c r="B2" i="21" s="1"/>
  <c r="I1" i="21" a="1"/>
  <c r="I1" i="21" s="1"/>
  <c r="B1" i="21" a="1"/>
  <c r="B1" i="21"/>
  <c r="M12" i="20" a="1"/>
  <c r="M12" i="20"/>
  <c r="P12" i="20" s="1" a="1"/>
  <c r="P12" i="20" s="1"/>
  <c r="M9" i="20" a="1"/>
  <c r="M9" i="20"/>
  <c r="P9" i="20" s="1" a="1"/>
  <c r="P9" i="20" s="1"/>
  <c r="P6" i="20" a="1"/>
  <c r="P6" i="20" s="1"/>
  <c r="P4" i="20" s="1"/>
  <c r="C21" i="3" s="1"/>
  <c r="M6" i="20" a="1"/>
  <c r="M6" i="20"/>
  <c r="B2" i="20" a="1"/>
  <c r="B2" i="20"/>
  <c r="I1" i="20" a="1"/>
  <c r="I1" i="20"/>
  <c r="B21" i="3" s="1"/>
  <c r="B1" i="20" a="1"/>
  <c r="B1" i="20"/>
  <c r="L17" i="19" a="1"/>
  <c r="L17" i="19" s="1"/>
  <c r="N17" i="19" s="1"/>
  <c r="J17" i="19"/>
  <c r="N15" i="19"/>
  <c r="L15" i="19" a="1"/>
  <c r="L15" i="19"/>
  <c r="L13" i="19" a="1"/>
  <c r="L13" i="19" s="1"/>
  <c r="N13" i="19" s="1"/>
  <c r="L11" i="19" a="1"/>
  <c r="L11" i="19"/>
  <c r="N11" i="19" s="1"/>
  <c r="N4" i="19" s="1"/>
  <c r="B2" i="19" a="1"/>
  <c r="B2" i="19" s="1"/>
  <c r="I1" i="19" a="1"/>
  <c r="I1" i="19" s="1"/>
  <c r="B1" i="19" a="1"/>
  <c r="B1" i="19"/>
  <c r="J18" i="18" a="1"/>
  <c r="J18" i="18" s="1"/>
  <c r="L18" i="18" s="1"/>
  <c r="J16" i="18" a="1"/>
  <c r="J16" i="18"/>
  <c r="L16" i="18" s="1"/>
  <c r="J14" i="18" a="1"/>
  <c r="J14" i="18"/>
  <c r="L14" i="18" s="1"/>
  <c r="J12" i="18" a="1"/>
  <c r="J12" i="18" s="1"/>
  <c r="L12" i="18" s="1"/>
  <c r="J10" i="18" a="1"/>
  <c r="J10" i="18" s="1"/>
  <c r="L10" i="18" s="1"/>
  <c r="J8" i="18" a="1"/>
  <c r="J8" i="18"/>
  <c r="L8" i="18" s="1"/>
  <c r="J6" i="18" a="1"/>
  <c r="J6" i="18"/>
  <c r="L6" i="18" s="1"/>
  <c r="B2" i="18" a="1"/>
  <c r="B2" i="18"/>
  <c r="I1" i="18" a="1"/>
  <c r="I1" i="18"/>
  <c r="B1" i="18" a="1"/>
  <c r="B1" i="18"/>
  <c r="H17" i="17" a="1"/>
  <c r="H17" i="17" s="1"/>
  <c r="J17" i="17" s="1"/>
  <c r="H14" i="17" a="1"/>
  <c r="H14" i="17" s="1"/>
  <c r="J14" i="17" s="1"/>
  <c r="H10" i="17" a="1"/>
  <c r="H10" i="17"/>
  <c r="J10" i="17" s="1"/>
  <c r="H6" i="17" a="1"/>
  <c r="H6" i="17"/>
  <c r="J6" i="17" s="1"/>
  <c r="B2" i="17" a="1"/>
  <c r="B2" i="17" s="1"/>
  <c r="I1" i="17" a="1"/>
  <c r="I1" i="17"/>
  <c r="B1" i="17" a="1"/>
  <c r="B1" i="17" s="1"/>
  <c r="D31" i="16"/>
  <c r="K29" i="16" a="1"/>
  <c r="K29" i="16" s="1"/>
  <c r="N29" i="16" s="1"/>
  <c r="K22" i="16" a="1"/>
  <c r="K22" i="16" s="1"/>
  <c r="N22" i="16" s="1" a="1"/>
  <c r="N22" i="16" s="1"/>
  <c r="K17" i="16" a="1"/>
  <c r="K17" i="16"/>
  <c r="N17" i="16" s="1" a="1"/>
  <c r="N17" i="16" s="1"/>
  <c r="K10" i="16" a="1"/>
  <c r="K10" i="16" s="1"/>
  <c r="N10" i="16" s="1" a="1"/>
  <c r="N10" i="16" s="1"/>
  <c r="K6" i="16" a="1"/>
  <c r="K6" i="16" s="1"/>
  <c r="N6" i="16" s="1" a="1"/>
  <c r="N6" i="16" s="1"/>
  <c r="B2" i="16" a="1"/>
  <c r="B2" i="16" s="1"/>
  <c r="I1" i="16" a="1"/>
  <c r="I1" i="16"/>
  <c r="B1" i="16" a="1"/>
  <c r="B1" i="16"/>
  <c r="J18" i="15" a="1"/>
  <c r="J18" i="15"/>
  <c r="L18" i="15" s="1" a="1"/>
  <c r="L18" i="15" s="1"/>
  <c r="J14" i="15" a="1"/>
  <c r="J14" i="15" s="1"/>
  <c r="L14" i="15" s="1" a="1"/>
  <c r="L14" i="15" s="1"/>
  <c r="J10" i="15" a="1"/>
  <c r="J10" i="15"/>
  <c r="L10" i="15" s="1"/>
  <c r="J6" i="15" a="1"/>
  <c r="J6" i="15"/>
  <c r="L6" i="15" s="1"/>
  <c r="L4" i="15" s="1"/>
  <c r="B2" i="15" a="1"/>
  <c r="B2" i="15" s="1"/>
  <c r="I1" i="15" a="1"/>
  <c r="I1" i="15"/>
  <c r="B1" i="15" a="1"/>
  <c r="B1" i="15" s="1"/>
  <c r="N28" i="14" a="1"/>
  <c r="N28" i="14" s="1"/>
  <c r="P28" i="14" s="1" a="1"/>
  <c r="P28" i="14" s="1"/>
  <c r="N21" i="14" a="1"/>
  <c r="N21" i="14" s="1"/>
  <c r="P21" i="14" s="1" a="1"/>
  <c r="P21" i="14" s="1"/>
  <c r="N14" i="14" a="1"/>
  <c r="N14" i="14"/>
  <c r="P14" i="14" s="1" a="1"/>
  <c r="P14" i="14" s="1"/>
  <c r="N12" i="14" a="1"/>
  <c r="N12" i="14" s="1"/>
  <c r="P12" i="14" s="1"/>
  <c r="N10" i="14" a="1"/>
  <c r="N10" i="14"/>
  <c r="P10" i="14" s="1"/>
  <c r="N8" i="14" a="1"/>
  <c r="N8" i="14" s="1"/>
  <c r="P8" i="14" s="1"/>
  <c r="N6" i="14" a="1"/>
  <c r="N6" i="14" s="1"/>
  <c r="P6" i="14" s="1"/>
  <c r="B2" i="14" a="1"/>
  <c r="B2" i="14"/>
  <c r="I1" i="14" a="1"/>
  <c r="I1" i="14"/>
  <c r="B1" i="14" a="1"/>
  <c r="B1" i="14"/>
  <c r="H16" i="13" a="1"/>
  <c r="H16" i="13"/>
  <c r="J16" i="13" s="1"/>
  <c r="F16" i="13"/>
  <c r="H13" i="13" a="1"/>
  <c r="H13" i="13" s="1"/>
  <c r="J13" i="13" s="1" a="1"/>
  <c r="J13" i="13" s="1"/>
  <c r="H10" i="13" a="1"/>
  <c r="H10" i="13"/>
  <c r="J10" i="13" s="1" a="1"/>
  <c r="J10" i="13" s="1"/>
  <c r="H8" i="13" a="1"/>
  <c r="H8" i="13"/>
  <c r="J8" i="13" s="1"/>
  <c r="J6" i="13"/>
  <c r="H6" i="13" a="1"/>
  <c r="H6" i="13"/>
  <c r="B2" i="13" a="1"/>
  <c r="B2" i="13" s="1"/>
  <c r="I1" i="13" a="1"/>
  <c r="I1" i="13" s="1"/>
  <c r="B1" i="13" a="1"/>
  <c r="B1" i="13" s="1"/>
  <c r="K13" i="12" a="1"/>
  <c r="K13" i="12" s="1"/>
  <c r="N13" i="12" s="1" a="1"/>
  <c r="N13" i="12" s="1"/>
  <c r="K6" i="12" a="1"/>
  <c r="K6" i="12" s="1"/>
  <c r="N6" i="12" s="1" a="1"/>
  <c r="N6" i="12" s="1"/>
  <c r="N4" i="12" s="1"/>
  <c r="B2" i="12" a="1"/>
  <c r="B2" i="12"/>
  <c r="I1" i="12" a="1"/>
  <c r="I1" i="12" s="1"/>
  <c r="B1" i="12" a="1"/>
  <c r="B1" i="12" s="1"/>
  <c r="N18" i="11" a="1"/>
  <c r="N18" i="11"/>
  <c r="S18" i="11" s="1" a="1"/>
  <c r="S18" i="11" s="1"/>
  <c r="N14" i="11" a="1"/>
  <c r="N14" i="11"/>
  <c r="S14" i="11" s="1" a="1"/>
  <c r="S14" i="11" s="1"/>
  <c r="N10" i="11" a="1"/>
  <c r="N10" i="11" s="1"/>
  <c r="S10" i="11" s="1" a="1"/>
  <c r="S10" i="11" s="1"/>
  <c r="N6" i="11" a="1"/>
  <c r="N6" i="11" s="1"/>
  <c r="S6" i="11" s="1" a="1"/>
  <c r="S6" i="11" s="1"/>
  <c r="S4" i="11" s="1"/>
  <c r="B2" i="11" a="1"/>
  <c r="B2" i="11"/>
  <c r="I1" i="11" a="1"/>
  <c r="I1" i="11" s="1"/>
  <c r="B1" i="11" a="1"/>
  <c r="B1" i="11"/>
  <c r="N17" i="10" a="1"/>
  <c r="N17" i="10" s="1"/>
  <c r="L17" i="10" a="1"/>
  <c r="L17" i="10"/>
  <c r="L14" i="10" a="1"/>
  <c r="L14" i="10" s="1"/>
  <c r="N14" i="10" s="1" a="1"/>
  <c r="N14" i="10" s="1"/>
  <c r="N12" i="10"/>
  <c r="L12" i="10" a="1"/>
  <c r="L12" i="10"/>
  <c r="L10" i="10" a="1"/>
  <c r="L10" i="10" s="1"/>
  <c r="N10" i="10" s="1"/>
  <c r="L8" i="10" a="1"/>
  <c r="L8" i="10" s="1"/>
  <c r="N8" i="10" s="1"/>
  <c r="L6" i="10" a="1"/>
  <c r="L6" i="10"/>
  <c r="N6" i="10" s="1"/>
  <c r="B2" i="10" a="1"/>
  <c r="B2" i="10" s="1"/>
  <c r="I1" i="10" a="1"/>
  <c r="I1" i="10" s="1"/>
  <c r="B1" i="10" a="1"/>
  <c r="B1" i="10"/>
  <c r="L19" i="9" a="1"/>
  <c r="L19" i="9" s="1"/>
  <c r="N19" i="9" s="1"/>
  <c r="D19" i="9"/>
  <c r="L14" i="9" a="1"/>
  <c r="L14" i="9"/>
  <c r="N14" i="9" s="1" a="1"/>
  <c r="N14" i="9" s="1"/>
  <c r="L12" i="9" a="1"/>
  <c r="L12" i="9" s="1"/>
  <c r="N12" i="9" s="1"/>
  <c r="L10" i="9" a="1"/>
  <c r="L10" i="9" s="1"/>
  <c r="N10" i="9" s="1"/>
  <c r="L6" i="9" a="1"/>
  <c r="L6" i="9" s="1"/>
  <c r="N6" i="9" s="1" a="1"/>
  <c r="N6" i="9" s="1"/>
  <c r="N4" i="9" s="1"/>
  <c r="B2" i="9" a="1"/>
  <c r="B2" i="9"/>
  <c r="I1" i="9" a="1"/>
  <c r="I1" i="9" s="1"/>
  <c r="B1" i="9" a="1"/>
  <c r="B1" i="9"/>
  <c r="L15" i="8"/>
  <c r="J15" i="8" a="1"/>
  <c r="J15" i="8"/>
  <c r="H15" i="8"/>
  <c r="L10" i="8"/>
  <c r="J10" i="8" a="1"/>
  <c r="J10" i="8"/>
  <c r="J6" i="8" a="1"/>
  <c r="J6" i="8" s="1"/>
  <c r="L6" i="8" s="1"/>
  <c r="L4" i="8" s="1"/>
  <c r="B2" i="8" a="1"/>
  <c r="B2" i="8" s="1"/>
  <c r="I1" i="8" a="1"/>
  <c r="I1" i="8"/>
  <c r="B1" i="8" a="1"/>
  <c r="B1" i="8"/>
  <c r="B9" i="3" s="1"/>
  <c r="M27" i="7" a="1"/>
  <c r="M27" i="7"/>
  <c r="P27" i="7" s="1"/>
  <c r="J27" i="7"/>
  <c r="M25" i="7" a="1"/>
  <c r="M25" i="7"/>
  <c r="P25" i="7" s="1"/>
  <c r="M19" i="7" a="1"/>
  <c r="M19" i="7" s="1"/>
  <c r="P19" i="7" s="1" a="1"/>
  <c r="P19" i="7" s="1"/>
  <c r="M15" i="7" a="1"/>
  <c r="M15" i="7"/>
  <c r="P15" i="7" s="1" a="1"/>
  <c r="P15" i="7" s="1"/>
  <c r="M9" i="7" a="1"/>
  <c r="M9" i="7"/>
  <c r="P9" i="7" s="1" a="1"/>
  <c r="P9" i="7" s="1"/>
  <c r="B2" i="7" a="1"/>
  <c r="B2" i="7"/>
  <c r="I1" i="7" a="1"/>
  <c r="I1" i="7"/>
  <c r="B1" i="7" a="1"/>
  <c r="B1" i="7" s="1"/>
  <c r="N14" i="6" a="1"/>
  <c r="N14" i="6" s="1"/>
  <c r="P14" i="6" s="1"/>
  <c r="N12" i="6" a="1"/>
  <c r="N12" i="6"/>
  <c r="P12" i="6" s="1"/>
  <c r="N10" i="6" a="1"/>
  <c r="N10" i="6" s="1"/>
  <c r="P10" i="6" s="1"/>
  <c r="P8" i="6"/>
  <c r="N8" i="6" a="1"/>
  <c r="N8" i="6"/>
  <c r="N6" i="6" a="1"/>
  <c r="N6" i="6" s="1"/>
  <c r="P6" i="6" s="1"/>
  <c r="B2" i="6" a="1"/>
  <c r="B2" i="6" s="1"/>
  <c r="I1" i="6" a="1"/>
  <c r="I1" i="6"/>
  <c r="B1" i="6" a="1"/>
  <c r="B1" i="6"/>
  <c r="H18" i="5" a="1"/>
  <c r="H18" i="5"/>
  <c r="J18" i="5" s="1"/>
  <c r="F18" i="5"/>
  <c r="H16" i="5" a="1"/>
  <c r="H16" i="5"/>
  <c r="J16" i="5" s="1"/>
  <c r="J14" i="5"/>
  <c r="H14" i="5" a="1"/>
  <c r="H14" i="5"/>
  <c r="H12" i="5" a="1"/>
  <c r="H12" i="5" s="1"/>
  <c r="J12" i="5" s="1"/>
  <c r="H10" i="5" a="1"/>
  <c r="H10" i="5" s="1"/>
  <c r="J10" i="5" s="1"/>
  <c r="H8" i="5" a="1"/>
  <c r="H8" i="5" s="1"/>
  <c r="J8" i="5" s="1"/>
  <c r="H6" i="5" a="1"/>
  <c r="H6" i="5"/>
  <c r="J6" i="5" s="1"/>
  <c r="J4" i="5" s="1"/>
  <c r="B2" i="5" a="1"/>
  <c r="B2" i="5" s="1"/>
  <c r="I1" i="5" a="1"/>
  <c r="I1" i="5" s="1"/>
  <c r="B1" i="5" a="1"/>
  <c r="B1" i="5" s="1"/>
  <c r="P21" i="4" a="1"/>
  <c r="P21" i="4"/>
  <c r="S21" i="4" s="1"/>
  <c r="P18" i="4" a="1"/>
  <c r="P18" i="4"/>
  <c r="S18" i="4" s="1" a="1"/>
  <c r="S18" i="4" s="1"/>
  <c r="P15" i="4" a="1"/>
  <c r="P15" i="4" s="1"/>
  <c r="S15" i="4" s="1" a="1"/>
  <c r="S15" i="4" s="1"/>
  <c r="P13" i="4" a="1"/>
  <c r="P13" i="4" s="1"/>
  <c r="S13" i="4" s="1"/>
  <c r="P11" i="4" a="1"/>
  <c r="P11" i="4"/>
  <c r="S11" i="4" s="1"/>
  <c r="S4" i="4" s="1"/>
  <c r="B2" i="4" a="1"/>
  <c r="B2" i="4"/>
  <c r="I1" i="4" a="1"/>
  <c r="I1" i="4" s="1"/>
  <c r="B1" i="4" a="1"/>
  <c r="B1" i="4" s="1"/>
  <c r="M67" i="1" a="1"/>
  <c r="N67" i="1" s="1"/>
  <c r="H67" i="1" a="1"/>
  <c r="J67" i="1" s="1"/>
  <c r="H66" i="1" a="1"/>
  <c r="J66" i="1" s="1"/>
  <c r="F65" i="1"/>
  <c r="M65" i="1" s="1" a="1"/>
  <c r="M65" i="1" s="1"/>
  <c r="M64" i="1" a="1"/>
  <c r="M64" i="1" s="1"/>
  <c r="H64" i="1" a="1"/>
  <c r="H64" i="1" s="1"/>
  <c r="M63" i="1" a="1"/>
  <c r="M63" i="1" s="1"/>
  <c r="H63" i="1" a="1"/>
  <c r="H63" i="1" s="1"/>
  <c r="M62" i="1" a="1"/>
  <c r="M62" i="1" s="1"/>
  <c r="H62" i="1" a="1"/>
  <c r="I62" i="1" s="1"/>
  <c r="M61" i="1" a="1"/>
  <c r="M61" i="1" s="1"/>
  <c r="H61" i="1" a="1"/>
  <c r="H61" i="1" s="1"/>
  <c r="M60" i="1" a="1"/>
  <c r="M60" i="1" s="1"/>
  <c r="H60" i="1" a="1"/>
  <c r="H60" i="1" s="1"/>
  <c r="M59" i="1" a="1"/>
  <c r="M59" i="1" s="1"/>
  <c r="H59" i="1" a="1"/>
  <c r="H59" i="1" s="1"/>
  <c r="M58" i="1" a="1"/>
  <c r="O58" i="1" s="1"/>
  <c r="H58" i="1" a="1"/>
  <c r="J58" i="1" s="1"/>
  <c r="M57" i="1" a="1"/>
  <c r="M57" i="1" s="1"/>
  <c r="H57" i="1" a="1"/>
  <c r="I57" i="1" s="1"/>
  <c r="M56" i="1" a="1"/>
  <c r="M56" i="1" s="1"/>
  <c r="H56" i="1" a="1"/>
  <c r="J56" i="1" s="1"/>
  <c r="M55" i="1" a="1"/>
  <c r="M55" i="1" s="1"/>
  <c r="H55" i="1" a="1"/>
  <c r="H55" i="1" s="1"/>
  <c r="M54" i="1" a="1"/>
  <c r="M54" i="1" s="1"/>
  <c r="H54" i="1" a="1"/>
  <c r="H54" i="1" s="1"/>
  <c r="M53" i="1" a="1"/>
  <c r="N53" i="1" s="1"/>
  <c r="H53" i="1" a="1"/>
  <c r="I53" i="1" s="1"/>
  <c r="M52" i="1" a="1"/>
  <c r="R52" i="1" s="1"/>
  <c r="H52" i="1" a="1"/>
  <c r="I52" i="1" s="1"/>
  <c r="M51" i="1" a="1"/>
  <c r="N51" i="1" s="1"/>
  <c r="H51" i="1" a="1"/>
  <c r="H51" i="1" s="1"/>
  <c r="M50" i="1" a="1"/>
  <c r="N50" i="1" s="1"/>
  <c r="H50" i="1" a="1"/>
  <c r="I50" i="1" s="1"/>
  <c r="M49" i="1" a="1"/>
  <c r="O49" i="1" s="1"/>
  <c r="H49" i="1" a="1"/>
  <c r="H49" i="1" s="1"/>
  <c r="M48" i="1" a="1"/>
  <c r="O48" i="1" s="1"/>
  <c r="H48" i="1" a="1"/>
  <c r="H48" i="1" s="1"/>
  <c r="M47" i="1" a="1"/>
  <c r="M47" i="1" s="1"/>
  <c r="H47" i="1" a="1"/>
  <c r="H47" i="1" s="1"/>
  <c r="M46" i="1" a="1"/>
  <c r="M46" i="1" s="1"/>
  <c r="H46" i="1" a="1"/>
  <c r="H46" i="1" s="1"/>
  <c r="M45" i="1" a="1"/>
  <c r="N45" i="1" s="1"/>
  <c r="H45" i="1" a="1"/>
  <c r="H45" i="1" s="1"/>
  <c r="M44" i="1" a="1"/>
  <c r="P44" i="1" s="1"/>
  <c r="H44" i="1" a="1"/>
  <c r="I44" i="1" s="1"/>
  <c r="M43" i="1" a="1"/>
  <c r="M43" i="1" s="1"/>
  <c r="H43" i="1" a="1"/>
  <c r="H43" i="1" s="1"/>
  <c r="M42" i="1" a="1"/>
  <c r="N42" i="1" s="1"/>
  <c r="H42" i="1" a="1"/>
  <c r="H42" i="1" s="1"/>
  <c r="M41" i="1" a="1"/>
  <c r="N41" i="1" s="1"/>
  <c r="H41" i="1" a="1"/>
  <c r="K41" i="1" s="1"/>
  <c r="W8" i="1" a="1"/>
  <c r="Z8" i="1" s="1"/>
  <c r="C53" i="3" l="1"/>
  <c r="B53" i="3"/>
  <c r="D53" i="3" s="1"/>
  <c r="C38" i="3"/>
  <c r="B38" i="3"/>
  <c r="D38" i="3" s="1"/>
  <c r="C42" i="3"/>
  <c r="B42" i="3"/>
  <c r="D42" i="3" s="1"/>
  <c r="C48" i="3"/>
  <c r="B48" i="3"/>
  <c r="D48" i="3" s="1"/>
  <c r="C11" i="3"/>
  <c r="B11" i="3"/>
  <c r="D11" i="3" s="1"/>
  <c r="C13" i="3"/>
  <c r="B13" i="3"/>
  <c r="D13" i="3" s="1"/>
  <c r="O4" i="31"/>
  <c r="B27" i="3"/>
  <c r="C27" i="3"/>
  <c r="C6" i="3"/>
  <c r="B6" i="3"/>
  <c r="D6" i="3" s="1"/>
  <c r="C9" i="3"/>
  <c r="P4" i="6"/>
  <c r="N4" i="10"/>
  <c r="L4" i="22"/>
  <c r="C23" i="3" s="1"/>
  <c r="C35" i="3"/>
  <c r="E35" i="3" s="1"/>
  <c r="B35" i="3"/>
  <c r="D35" i="3" s="1"/>
  <c r="P4" i="14"/>
  <c r="C15" i="3" s="1"/>
  <c r="L4" i="18"/>
  <c r="C19" i="3" s="1"/>
  <c r="N4" i="16"/>
  <c r="C17" i="3" s="1"/>
  <c r="D21" i="3"/>
  <c r="E21" i="3" s="1"/>
  <c r="C44" i="3"/>
  <c r="B44" i="3"/>
  <c r="D44" i="3" s="1"/>
  <c r="L4" i="24"/>
  <c r="B25" i="3" s="1"/>
  <c r="C33" i="3"/>
  <c r="B33" i="3"/>
  <c r="D33" i="3" s="1"/>
  <c r="P4" i="39"/>
  <c r="C40" i="3" s="1"/>
  <c r="C29" i="3"/>
  <c r="B29" i="3"/>
  <c r="D29" i="3" s="1"/>
  <c r="Y4" i="45"/>
  <c r="C46" i="3" s="1"/>
  <c r="L4" i="49"/>
  <c r="P4" i="43"/>
  <c r="R4" i="32"/>
  <c r="B52" i="3"/>
  <c r="C52" i="3"/>
  <c r="R4" i="53"/>
  <c r="C54" i="3" s="1"/>
  <c r="B47" i="3"/>
  <c r="C36" i="3"/>
  <c r="B36" i="3"/>
  <c r="C8" i="3"/>
  <c r="B8" i="3"/>
  <c r="D8" i="3" s="1"/>
  <c r="P4" i="7"/>
  <c r="J4" i="13"/>
  <c r="C14" i="3" s="1"/>
  <c r="C16" i="3"/>
  <c r="B16" i="3"/>
  <c r="D16" i="3" s="1"/>
  <c r="B24" i="3"/>
  <c r="C30" i="3"/>
  <c r="C10" i="3"/>
  <c r="B10" i="3"/>
  <c r="C31" i="3"/>
  <c r="E31" i="3" s="1"/>
  <c r="B31" i="3"/>
  <c r="D31" i="3" s="1"/>
  <c r="C12" i="3"/>
  <c r="B20" i="3"/>
  <c r="C55" i="3"/>
  <c r="B55" i="3"/>
  <c r="C5" i="3"/>
  <c r="B5" i="3"/>
  <c r="J4" i="17"/>
  <c r="C18" i="3" s="1"/>
  <c r="J4" i="23"/>
  <c r="C24" i="3" s="1"/>
  <c r="C49" i="3"/>
  <c r="E49" i="3" s="1"/>
  <c r="B49" i="3"/>
  <c r="D49" i="3" s="1"/>
  <c r="C51" i="3"/>
  <c r="C20" i="3"/>
  <c r="J4" i="25"/>
  <c r="C26" i="3" s="1"/>
  <c r="E39" i="3"/>
  <c r="L4" i="46"/>
  <c r="C47" i="3" s="1"/>
  <c r="N4" i="29"/>
  <c r="B30" i="3" s="1"/>
  <c r="D30" i="3" s="1"/>
  <c r="J4" i="40"/>
  <c r="N4" i="42"/>
  <c r="C43" i="3" s="1"/>
  <c r="P4" i="33"/>
  <c r="C34" i="3" s="1"/>
  <c r="V4" i="48"/>
  <c r="C7" i="3"/>
  <c r="Q4" i="21"/>
  <c r="B22" i="3" s="1"/>
  <c r="R4" i="36"/>
  <c r="C37" i="3" s="1"/>
  <c r="J4" i="50"/>
  <c r="B51" i="3" s="1"/>
  <c r="D51" i="3" s="1"/>
  <c r="B15" i="3"/>
  <c r="D15" i="3" s="1"/>
  <c r="P4" i="27"/>
  <c r="B28" i="3" s="1"/>
  <c r="V4" i="44"/>
  <c r="B45" i="3" s="1"/>
  <c r="B12" i="3"/>
  <c r="D12" i="3" s="1"/>
  <c r="B7" i="3"/>
  <c r="B17" i="3"/>
  <c r="H67" i="1"/>
  <c r="N44" i="1"/>
  <c r="O44" i="1"/>
  <c r="Q44" i="1"/>
  <c r="I67" i="1"/>
  <c r="K53" i="1"/>
  <c r="M44" i="1"/>
  <c r="J53" i="1"/>
  <c r="H50" i="1"/>
  <c r="H53" i="1"/>
  <c r="H41" i="1"/>
  <c r="M50" i="1"/>
  <c r="N56" i="1"/>
  <c r="M49" i="1"/>
  <c r="T52" i="1"/>
  <c r="S52" i="1"/>
  <c r="I41" i="1"/>
  <c r="J41" i="1"/>
  <c r="M41" i="1"/>
  <c r="M48" i="1"/>
  <c r="O41" i="1"/>
  <c r="P49" i="1"/>
  <c r="K50" i="1"/>
  <c r="H57" i="1"/>
  <c r="N48" i="1"/>
  <c r="H44" i="1"/>
  <c r="J50" i="1"/>
  <c r="M51" i="1"/>
  <c r="H65" i="1" a="1"/>
  <c r="H65" i="1" s="1"/>
  <c r="M45" i="1"/>
  <c r="AD8" i="1"/>
  <c r="BB8" i="1"/>
  <c r="K44" i="1"/>
  <c r="M58" i="1"/>
  <c r="W8" i="1"/>
  <c r="AT8" i="1"/>
  <c r="AF8" i="1"/>
  <c r="H52" i="1"/>
  <c r="N58" i="1"/>
  <c r="AC8" i="1"/>
  <c r="AE8" i="1"/>
  <c r="H62" i="1"/>
  <c r="Y8" i="1"/>
  <c r="J44" i="1"/>
  <c r="M67" i="1"/>
  <c r="I58" i="1"/>
  <c r="AI8" i="1"/>
  <c r="I49" i="1"/>
  <c r="M52" i="1"/>
  <c r="Q58" i="1"/>
  <c r="AA8" i="1"/>
  <c r="P58" i="1"/>
  <c r="AK8" i="1"/>
  <c r="K49" i="1"/>
  <c r="N52" i="1"/>
  <c r="H56" i="1"/>
  <c r="BA8" i="1"/>
  <c r="K58" i="1"/>
  <c r="O67" i="1"/>
  <c r="AJ8" i="1"/>
  <c r="J49" i="1"/>
  <c r="AL8" i="1"/>
  <c r="AW8" i="1"/>
  <c r="O52" i="1"/>
  <c r="AH8" i="1"/>
  <c r="P52" i="1"/>
  <c r="I56" i="1"/>
  <c r="N49" i="1"/>
  <c r="Q52" i="1"/>
  <c r="AU8" i="1"/>
  <c r="I43" i="1"/>
  <c r="X8" i="1"/>
  <c r="AV8" i="1"/>
  <c r="M53" i="1"/>
  <c r="H58" i="1"/>
  <c r="O53" i="1"/>
  <c r="AG8" i="1"/>
  <c r="AM8" i="1"/>
  <c r="AN8" i="1"/>
  <c r="AO8" i="1"/>
  <c r="AB8" i="1"/>
  <c r="AZ8" i="1"/>
  <c r="I48" i="1"/>
  <c r="AP8" i="1"/>
  <c r="M42" i="1"/>
  <c r="H66" i="1"/>
  <c r="AR8" i="1"/>
  <c r="I66" i="1"/>
  <c r="AX8" i="1"/>
  <c r="AY8" i="1"/>
  <c r="AQ8" i="1"/>
  <c r="AS8" i="1"/>
  <c r="E30" i="3" l="1"/>
  <c r="B40" i="3"/>
  <c r="D40" i="3" s="1"/>
  <c r="E40" i="3" s="1"/>
  <c r="D24" i="3"/>
  <c r="E24" i="3" s="1"/>
  <c r="E20" i="3"/>
  <c r="E29" i="3"/>
  <c r="E9" i="3"/>
  <c r="E33" i="3"/>
  <c r="D27" i="3"/>
  <c r="E27" i="3" s="1"/>
  <c r="E6" i="3"/>
  <c r="C32" i="3"/>
  <c r="B32" i="3"/>
  <c r="D32" i="3" s="1"/>
  <c r="E44" i="3"/>
  <c r="D36" i="3"/>
  <c r="E13" i="3"/>
  <c r="E7" i="3"/>
  <c r="E36" i="3"/>
  <c r="E51" i="3"/>
  <c r="B18" i="3"/>
  <c r="D18" i="3" s="1"/>
  <c r="E18" i="3" s="1"/>
  <c r="E11" i="3"/>
  <c r="E15" i="3"/>
  <c r="D5" i="3"/>
  <c r="D47" i="3"/>
  <c r="E47" i="3" s="1"/>
  <c r="E48" i="3"/>
  <c r="C45" i="3"/>
  <c r="D45" i="3" s="1"/>
  <c r="B43" i="3"/>
  <c r="D43" i="3" s="1"/>
  <c r="E43" i="3" s="1"/>
  <c r="B34" i="3"/>
  <c r="D34" i="3" s="1"/>
  <c r="E34" i="3" s="1"/>
  <c r="B14" i="3"/>
  <c r="D14" i="3" s="1"/>
  <c r="E14" i="3" s="1"/>
  <c r="C41" i="3"/>
  <c r="B41" i="3"/>
  <c r="D20" i="3"/>
  <c r="E42" i="3"/>
  <c r="E16" i="3"/>
  <c r="E12" i="3"/>
  <c r="B46" i="3"/>
  <c r="D46" i="3" s="1"/>
  <c r="E46" i="3" s="1"/>
  <c r="C22" i="3"/>
  <c r="D22" i="3" s="1"/>
  <c r="E38" i="3"/>
  <c r="D55" i="3"/>
  <c r="E55" i="3" s="1"/>
  <c r="D52" i="3"/>
  <c r="E52" i="3" s="1"/>
  <c r="C25" i="3"/>
  <c r="D25" i="3" s="1"/>
  <c r="B26" i="3"/>
  <c r="D26" i="3" s="1"/>
  <c r="E26" i="3" s="1"/>
  <c r="B23" i="3"/>
  <c r="D23" i="3" s="1"/>
  <c r="E23" i="3" s="1"/>
  <c r="E8" i="3"/>
  <c r="B54" i="3"/>
  <c r="D54" i="3" s="1"/>
  <c r="E54" i="3" s="1"/>
  <c r="E5" i="3"/>
  <c r="B37" i="3"/>
  <c r="D37" i="3" s="1"/>
  <c r="E37" i="3" s="1"/>
  <c r="D10" i="3"/>
  <c r="E10" i="3" s="1"/>
  <c r="C28" i="3"/>
  <c r="D17" i="3"/>
  <c r="E17" i="3" s="1"/>
  <c r="B19" i="3"/>
  <c r="D19" i="3" s="1"/>
  <c r="E19" i="3" s="1"/>
  <c r="E53" i="3"/>
  <c r="D7" i="3"/>
  <c r="C50" i="3"/>
  <c r="E50" i="3" s="1"/>
  <c r="B50" i="3"/>
  <c r="D50" i="3" s="1"/>
  <c r="D9" i="3"/>
  <c r="B56" i="3" l="1"/>
  <c r="E25" i="3"/>
  <c r="E32" i="3"/>
  <c r="C56" i="3"/>
  <c r="E56" i="3" s="1"/>
  <c r="D28" i="3"/>
  <c r="E28" i="3" s="1"/>
  <c r="E45" i="3"/>
  <c r="E22" i="3"/>
  <c r="D41" i="3"/>
  <c r="E41" i="3" s="1"/>
  <c r="D56"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<sst xmlns="http://schemas.openxmlformats.org/spreadsheetml/2006/main" count="4757" uniqueCount="3445">
  <si>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</si>
  <si>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</si>
  <si>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</si>
  <si>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</si>
  <si>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</si>
  <si>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</si>
  <si>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</si>
  <si>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</si>
  <si>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</si>
  <si>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</si>
  <si>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</si>
  <si>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</si>
  <si>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</si>
  <si>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</si>
  <si>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</si>
  <si>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</si>
  <si>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</si>
  <si>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</si>
  <si>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</si>
  <si>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</si>
  <si>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</si>
  <si>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</si>
  <si>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</si>
  <si>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</si>
  <si>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</si>
  <si>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</si>
  <si>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</si>
  <si>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</si>
  <si>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</si>
  <si>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</si>
  <si>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</si>
  <si>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</si>
  <si>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</si>
  <si>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</si>
  <si>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</si>
  <si>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</si>
  <si>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</si>
  <si>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</si>
  <si>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</si>
  <si>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</si>
  <si>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</si>
  <si>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</si>
  <si>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</si>
  <si>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</si>
  <si>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</si>
  <si>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</si>
  <si>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</si>
  <si>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</si>
  <si>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</si>
  <si>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</si>
  <si>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</si>
  <si>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</si>
  <si>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</si>
  <si>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</si>
  <si>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</si>
  <si>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</si>
  <si>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</si>
  <si>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</si>
  <si>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</si>
  <si>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</si>
  <si>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</si>
  <si>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</si>
  <si>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</si>
  <si>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</si>
  <si>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</si>
  <si>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</si>
  <si>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</si>
  <si>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</si>
  <si>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</si>
  <si>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</si>
  <si>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</si>
  <si>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</si>
  <si>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</si>
  <si>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</si>
  <si>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</si>
  <si>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</si>
  <si>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</si>
  <si>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</si>
  <si>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</si>
  <si>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</si>
  <si>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</si>
  <si>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</si>
  <si>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</si>
  <si>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</si>
  <si>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</si>
  <si>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</si>
  <si>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</si>
  <si>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</si>
  <si>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</si>
  <si>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</si>
  <si>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</si>
  <si>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</si>
  <si>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</si>
  <si>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</si>
  <si>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</si>
  <si>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</si>
  <si>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</si>
  <si>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</si>
  <si>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</si>
  <si>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</si>
  <si>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</si>
  <si>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</si>
  <si>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</si>
  <si>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</si>
  <si>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</si>
  <si>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</si>
  <si>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</si>
  <si>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</si>
  <si>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</si>
  <si>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</si>
  <si>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</si>
  <si>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</si>
  <si>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</si>
  <si>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</si>
  <si>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</si>
  <si>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</si>
  <si>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</si>
  <si>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</si>
  <si>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</si>
  <si>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</si>
  <si>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</si>
  <si>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</si>
  <si>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</si>
  <si>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</si>
  <si>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</si>
  <si>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</si>
  <si>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</si>
  <si>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</si>
  <si>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</si>
  <si>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</si>
  <si>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</si>
  <si>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</si>
  <si>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</si>
  <si>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</si>
  <si>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</si>
  <si>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</si>
  <si>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</si>
  <si>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</si>
  <si>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</si>
  <si>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</si>
  <si>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</si>
  <si>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</si>
  <si>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</si>
  <si>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</si>
  <si>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</si>
  <si>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</si>
  <si>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</si>
  <si>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</si>
  <si>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</si>
  <si>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</si>
  <si>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</si>
  <si>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</si>
  <si>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</si>
  <si>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</si>
  <si>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</si>
  <si>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</si>
  <si>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</si>
  <si>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</si>
  <si>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</si>
  <si>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</si>
  <si>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</si>
  <si>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</si>
  <si>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</si>
  <si>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</si>
  <si>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</si>
  <si>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</si>
  <si>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</si>
  <si>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</si>
  <si>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</si>
  <si>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</si>
  <si>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</si>
  <si>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</si>
  <si>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</si>
  <si>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</si>
  <si>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</si>
  <si>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</si>
  <si>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</si>
  <si>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</si>
  <si>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</si>
  <si>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</si>
  <si>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</si>
  <si>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</si>
  <si>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</si>
  <si>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</si>
  <si>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</si>
  <si>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</si>
  <si>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</si>
  <si>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</si>
  <si>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</si>
  <si>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</si>
  <si>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</si>
  <si>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</si>
  <si>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</si>
  <si>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</si>
  <si>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</si>
  <si>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</si>
  <si>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</si>
  <si>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</si>
  <si>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</si>
  <si>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</si>
  <si>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</si>
  <si>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</si>
  <si>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</si>
  <si>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</si>
  <si>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</si>
  <si>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</si>
  <si>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</si>
  <si>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</si>
  <si>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</si>
  <si>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</si>
  <si>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</si>
  <si>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</si>
  <si>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</si>
  <si>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</si>
  <si>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</si>
  <si>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</si>
  <si>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</si>
  <si>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</si>
  <si>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</si>
  <si>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</si>
  <si>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</si>
  <si>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</si>
  <si>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</si>
  <si>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</si>
  <si>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</si>
  <si>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</si>
  <si>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</si>
  <si>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</si>
  <si>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</si>
  <si>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</si>
  <si>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</si>
  <si>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</si>
  <si>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</si>
  <si>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</si>
  <si>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</si>
  <si>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</si>
  <si>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</si>
  <si>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</si>
  <si>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</si>
  <si>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</si>
  <si>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</si>
  <si>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</si>
  <si>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</si>
  <si>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</si>
  <si>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</si>
  <si>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</si>
  <si>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</si>
  <si>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</si>
  <si>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</si>
  <si>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</si>
  <si>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</si>
  <si>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</si>
  <si>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</si>
  <si>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</si>
  <si>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</si>
  <si>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</si>
  <si>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</si>
  <si>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</si>
  <si>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</si>
  <si>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</si>
  <si>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</si>
  <si>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</si>
  <si>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</si>
  <si>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</si>
  <si>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</si>
  <si>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</si>
  <si>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</si>
  <si>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</si>
  <si>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</si>
  <si>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</si>
  <si>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</si>
  <si>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</si>
  <si>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</si>
  <si>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</si>
  <si>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</si>
  <si>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</si>
  <si>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</si>
  <si>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</si>
  <si>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</si>
  <si>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</si>
  <si>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</si>
  <si>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</si>
  <si>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</si>
  <si>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</si>
  <si>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</si>
  <si>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</si>
  <si>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</si>
  <si>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</si>
  <si>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</si>
  <si>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</si>
  <si>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</si>
  <si>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</si>
  <si>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</si>
  <si>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</si>
  <si>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</si>
  <si>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</si>
  <si>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</si>
  <si>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</si>
  <si>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</si>
  <si>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</si>
  <si>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</si>
  <si>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</si>
  <si>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</si>
  <si>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</si>
  <si>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</si>
  <si>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</si>
  <si>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</si>
  <si>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</si>
  <si>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</si>
  <si>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</si>
  <si>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</si>
  <si>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</si>
  <si>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</si>
  <si>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</si>
  <si>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</si>
  <si>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</si>
  <si>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</si>
  <si>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</si>
  <si>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</si>
  <si>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</si>
  <si>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</si>
  <si>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</si>
  <si>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</si>
  <si>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</si>
  <si>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</si>
  <si>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</si>
  <si>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</si>
  <si>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</si>
  <si>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</si>
  <si>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</si>
  <si>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</si>
  <si>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</si>
  <si>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</si>
  <si>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</si>
  <si>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</si>
  <si>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</si>
  <si>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</si>
  <si>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</si>
  <si>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</si>
  <si>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</si>
  <si>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</si>
  <si>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</si>
  <si>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</si>
  <si>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</si>
  <si>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</si>
  <si>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</si>
  <si>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</si>
  <si>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</si>
  <si>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</si>
  <si>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</si>
  <si>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</si>
  <si>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</si>
  <si>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</si>
  <si>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</si>
  <si>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</si>
  <si>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</si>
  <si>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</si>
  <si>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</si>
  <si>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</si>
  <si>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</si>
  <si>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</si>
  <si>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</si>
  <si>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</si>
  <si>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</si>
  <si>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</si>
  <si>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</si>
  <si>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</si>
  <si>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</si>
  <si>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</si>
  <si>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</si>
  <si>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</si>
  <si>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</si>
  <si>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</si>
  <si>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</si>
  <si>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</si>
  <si>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</si>
  <si>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</si>
  <si>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</si>
  <si>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</si>
  <si>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</si>
  <si>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</si>
  <si>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</si>
  <si>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</si>
  <si>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</si>
  <si>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</si>
  <si>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</si>
  <si>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</si>
  <si>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</si>
  <si>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</si>
  <si>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</si>
  <si>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</si>
  <si>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</si>
  <si>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</si>
  <si>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</si>
  <si>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</si>
  <si>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</si>
  <si>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</si>
  <si>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</si>
  <si>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</si>
  <si>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</si>
  <si>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</si>
  <si>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</si>
  <si>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</si>
  <si>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</si>
  <si>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</si>
  <si>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</si>
  <si>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</si>
  <si>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</si>
  <si>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</si>
  <si>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</si>
  <si>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</si>
  <si>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</si>
  <si>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</si>
  <si>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</si>
  <si>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</si>
  <si>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</si>
  <si>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</si>
  <si>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</si>
  <si>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</si>
  <si>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</si>
  <si>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</si>
  <si>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</si>
  <si>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</si>
  <si>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</si>
  <si>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</si>
  <si>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</si>
  <si>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</si>
  <si>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</si>
  <si>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</si>
  <si>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</si>
  <si>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</si>
  <si>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</si>
  <si>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</si>
  <si>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</si>
  <si>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</si>
  <si>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</si>
  <si>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</si>
  <si>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</si>
  <si>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</si>
  <si>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</si>
  <si>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</si>
  <si>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</si>
  <si>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</si>
  <si>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</si>
  <si>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</si>
  <si>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</si>
  <si>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</si>
  <si>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</si>
  <si>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</si>
  <si>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</si>
  <si>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</si>
  <si>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</si>
  <si>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</si>
  <si>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</si>
  <si>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</si>
  <si>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</si>
  <si>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</si>
  <si>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</si>
  <si>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</si>
  <si>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</si>
  <si>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</si>
  <si>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</si>
  <si>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</si>
  <si>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</si>
  <si>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</si>
  <si>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</si>
  <si>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</si>
  <si>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</si>
  <si>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</si>
  <si>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</si>
  <si>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</si>
  <si>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</si>
  <si>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</si>
  <si>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</si>
  <si>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</si>
  <si>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</si>
  <si>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</si>
  <si>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</si>
  <si>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</si>
  <si>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</si>
  <si>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</si>
  <si>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</si>
  <si>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</si>
  <si>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</si>
  <si>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</si>
  <si>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</si>
  <si>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</si>
  <si>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</si>
  <si>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</si>
  <si>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</si>
  <si>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</si>
  <si>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</si>
  <si>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</si>
  <si>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</si>
  <si>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</si>
  <si>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</si>
  <si>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</si>
  <si>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</si>
  <si>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</si>
  <si>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</si>
  <si>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</si>
  <si>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</si>
  <si>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</si>
  <si>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</si>
  <si>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</si>
  <si>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</si>
  <si>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</si>
  <si>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</si>
  <si>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</si>
  <si>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</si>
  <si>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</si>
  <si>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</si>
  <si>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</si>
  <si>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</si>
  <si>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</si>
  <si>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</si>
  <si>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</si>
  <si>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</si>
  <si>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</si>
  <si>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</si>
  <si>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</si>
  <si>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</si>
  <si>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</si>
  <si>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</si>
  <si>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</si>
  <si>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</si>
  <si>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</si>
  <si>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</si>
  <si>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</si>
  <si>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</si>
  <si>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</si>
  <si>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</si>
  <si>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</si>
  <si>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</si>
  <si>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</si>
  <si>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</si>
  <si>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</si>
  <si>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</si>
  <si>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</si>
  <si>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</si>
  <si>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</si>
  <si>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</si>
  <si>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</si>
  <si>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</si>
  <si>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</si>
  <si>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</si>
  <si>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</si>
  <si>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</si>
  <si>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</si>
  <si>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</si>
  <si>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</si>
  <si>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</si>
  <si>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</si>
  <si>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</si>
  <si>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</si>
  <si>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</si>
  <si>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</si>
  <si>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</si>
  <si>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</si>
  <si>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</si>
  <si>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</si>
  <si>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</si>
  <si>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</si>
  <si>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</si>
  <si>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</si>
  <si>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</si>
  <si>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</si>
  <si>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</si>
  <si>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</si>
  <si>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</si>
  <si>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</si>
  <si>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</si>
  <si>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</si>
  <si>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</si>
  <si>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</si>
  <si>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</si>
  <si>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</si>
  <si>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</si>
  <si>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</si>
  <si>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</si>
  <si>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</si>
  <si>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</si>
  <si>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</si>
  <si>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</si>
  <si>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</si>
  <si>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</si>
  <si>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</si>
  <si>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</si>
  <si>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</si>
  <si>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</si>
  <si>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</si>
  <si>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</si>
  <si>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</si>
  <si>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</si>
  <si>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</si>
  <si>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</si>
  <si>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</si>
  <si>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</si>
  <si>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</si>
  <si>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</si>
  <si>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</si>
  <si>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</si>
  <si>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</si>
  <si>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</si>
  <si>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</si>
  <si>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</si>
  <si>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</si>
  <si>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</si>
  <si>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</si>
  <si>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</si>
  <si>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</si>
  <si>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</si>
  <si>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</si>
  <si>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</si>
  <si>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</si>
  <si>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</si>
  <si>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</si>
  <si>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</si>
  <si>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</si>
  <si>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</si>
  <si>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</si>
  <si>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</si>
  <si>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</si>
  <si>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</si>
  <si>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</si>
  <si>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</si>
  <si>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</si>
  <si>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</si>
  <si>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</si>
  <si>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</si>
  <si>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</si>
  <si>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</si>
  <si>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</si>
  <si>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</si>
  <si>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</si>
  <si>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</si>
  <si>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</si>
  <si>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</si>
  <si>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</si>
  <si>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</si>
  <si>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</si>
  <si>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</si>
  <si>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</si>
  <si>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</si>
  <si>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</si>
  <si>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</si>
  <si>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</si>
  <si>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</si>
  <si>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</si>
  <si>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</si>
  <si>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</si>
  <si>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</si>
  <si>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</si>
  <si>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</si>
  <si>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</si>
  <si>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</si>
  <si>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</si>
  <si>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</si>
  <si>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</si>
  <si>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</si>
  <si>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</si>
  <si>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</si>
  <si>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</si>
  <si>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</si>
  <si>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</si>
  <si>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</si>
  <si>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</si>
  <si>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</si>
  <si>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</si>
  <si>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</si>
  <si>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</si>
  <si>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</si>
  <si>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</si>
  <si>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</si>
  <si>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</si>
  <si>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</si>
  <si>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</si>
  <si>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</si>
  <si>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</si>
  <si>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</si>
  <si>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</si>
  <si>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</si>
  <si>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</si>
  <si>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</si>
  <si>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</si>
  <si>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</si>
  <si>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</si>
  <si>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</si>
  <si>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</si>
  <si>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</si>
  <si>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</si>
  <si>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</si>
  <si>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</si>
  <si>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</si>
  <si>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</si>
  <si>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</si>
  <si>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</si>
  <si>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</si>
  <si>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</si>
  <si>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</si>
  <si>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</si>
  <si>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</si>
  <si>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</si>
  <si>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</si>
  <si>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</si>
  <si>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</si>
  <si>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</si>
  <si>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</si>
  <si>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</si>
  <si>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</si>
  <si>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</si>
  <si>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</si>
  <si>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</si>
  <si>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</si>
  <si>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</si>
  <si>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</si>
  <si>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</si>
  <si>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</si>
  <si>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</si>
  <si>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</si>
  <si>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</si>
  <si>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</si>
  <si>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</si>
  <si>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</si>
  <si>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</si>
  <si>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</si>
  <si>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</si>
  <si>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</si>
  <si>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</si>
  <si>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</si>
  <si>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</si>
  <si>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</si>
  <si>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</si>
  <si>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</si>
  <si>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</si>
  <si>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</si>
  <si>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</si>
  <si>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</si>
  <si>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</si>
  <si>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</si>
  <si>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</si>
  <si>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</si>
  <si>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</si>
  <si>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</si>
  <si>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</si>
  <si>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</si>
  <si>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</si>
  <si>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</si>
  <si>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</si>
  <si>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</si>
  <si>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</si>
  <si>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</si>
  <si>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</si>
  <si>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</si>
  <si>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</si>
  <si>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</si>
  <si>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</si>
  <si>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</si>
  <si>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</si>
  <si>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</si>
  <si>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</si>
  <si>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</si>
  <si>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</si>
  <si>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</si>
  <si>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</si>
  <si>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</si>
  <si>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</si>
  <si>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</si>
  <si>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</si>
  <si>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</si>
  <si>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</si>
  <si>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</si>
  <si>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</si>
  <si>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</si>
  <si>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</si>
  <si>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</si>
  <si>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</si>
  <si>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</si>
  <si>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</si>
  <si>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</si>
  <si>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</si>
  <si>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</si>
  <si>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</si>
  <si>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</si>
  <si>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</si>
  <si>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</si>
  <si>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</si>
  <si>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</si>
  <si>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</si>
  <si>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</si>
  <si>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</si>
  <si>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</si>
  <si>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</si>
  <si>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</si>
  <si>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</si>
  <si>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</si>
  <si>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</si>
  <si>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</si>
  <si>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</si>
  <si>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</si>
  <si>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</si>
  <si>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</si>
  <si>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</si>
  <si>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</si>
  <si>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</si>
  <si>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</si>
  <si>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</si>
  <si>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</si>
  <si>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</si>
  <si>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</si>
  <si>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</si>
  <si>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</si>
  <si>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</si>
  <si>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</si>
  <si>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</si>
  <si>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</si>
  <si>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</si>
  <si>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</si>
  <si>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</si>
  <si>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</si>
  <si>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</si>
  <si>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</si>
  <si>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</si>
  <si>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</si>
  <si>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</si>
  <si>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</si>
  <si>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</si>
  <si>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</si>
  <si>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</si>
  <si>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</si>
  <si>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</si>
  <si>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</si>
  <si>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</si>
  <si>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</si>
  <si>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</si>
  <si>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</si>
  <si>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</si>
  <si>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</si>
  <si>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</si>
  <si>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</si>
  <si>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</si>
  <si>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</si>
  <si>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</si>
  <si>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</si>
  <si>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</si>
  <si>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</si>
  <si>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</si>
  <si>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</si>
  <si>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</si>
  <si>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</si>
  <si>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</si>
  <si>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</si>
  <si>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</si>
  <si>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</si>
  <si>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</si>
  <si>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</si>
  <si>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</si>
  <si>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</si>
  <si>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</si>
  <si>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</si>
  <si>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</si>
  <si>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</si>
  <si>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</si>
  <si>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</si>
  <si>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</si>
  <si>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</si>
  <si>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</si>
  <si>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</si>
  <si>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</si>
  <si>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</si>
  <si>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</si>
  <si>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</si>
  <si>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</si>
  <si>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</si>
  <si>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</si>
  <si>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</si>
  <si>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</si>
  <si>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</si>
  <si>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</si>
  <si>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</si>
  <si>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</si>
  <si>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</si>
  <si>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</si>
  <si>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</si>
  <si>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</si>
  <si>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</si>
  <si>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</si>
  <si>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</si>
  <si>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</si>
  <si>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</si>
  <si>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</si>
  <si>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</si>
  <si>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</si>
  <si>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</si>
  <si>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</si>
  <si>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</si>
  <si>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</si>
  <si>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</si>
  <si>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</si>
  <si>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</si>
  <si>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</si>
  <si>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</si>
  <si>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</si>
  <si>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</si>
  <si>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</si>
  <si>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</si>
  <si>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</si>
  <si>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</si>
  <si>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</si>
  <si>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</si>
  <si>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</si>
  <si>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</si>
  <si>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</si>
  <si>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</si>
  <si>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</si>
  <si>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</si>
  <si>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</si>
  <si>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</si>
  <si>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</si>
  <si>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</si>
  <si>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</si>
  <si>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</si>
  <si>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</si>
  <si>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</si>
  <si>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</si>
  <si>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</si>
  <si>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</si>
  <si>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</si>
  <si>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</si>
  <si>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</si>
  <si>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</si>
  <si>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</si>
  <si>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</si>
  <si>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</si>
  <si>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</si>
  <si>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</si>
  <si>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</si>
  <si>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</si>
  <si>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</si>
  <si>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</si>
  <si>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</si>
  <si>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</si>
  <si>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</si>
  <si>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</si>
  <si>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</si>
  <si>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</si>
  <si>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</si>
  <si>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</si>
  <si>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</si>
  <si>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</si>
  <si>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</si>
  <si>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</si>
  <si>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</si>
  <si>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</si>
  <si>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</si>
  <si>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</si>
  <si>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</si>
  <si>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</si>
  <si>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</si>
  <si>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</si>
  <si>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</si>
  <si>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</si>
  <si>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</si>
  <si>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</si>
  <si>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</si>
  <si>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</si>
  <si>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</si>
  <si>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</si>
  <si>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</si>
  <si>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</si>
  <si>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</si>
  <si>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</si>
  <si>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</si>
  <si>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</si>
  <si>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</si>
  <si>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</si>
  <si>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</si>
  <si>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</si>
  <si>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</si>
  <si>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</si>
  <si>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</si>
  <si>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</si>
  <si>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</si>
  <si>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</si>
  <si>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</si>
  <si>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</si>
  <si>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</si>
  <si>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</si>
  <si>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</si>
  <si>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</si>
  <si>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</si>
  <si>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</si>
  <si>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</si>
  <si>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</si>
  <si>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</si>
  <si>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</si>
  <si>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</si>
  <si>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</si>
  <si>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</si>
  <si>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</si>
  <si>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</si>
  <si>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</si>
  <si>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</si>
  <si>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</si>
  <si>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</si>
  <si>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</si>
  <si>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</si>
  <si>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</si>
  <si>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</si>
  <si>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</si>
  <si>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</si>
  <si>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</si>
  <si>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</si>
  <si>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</si>
  <si>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</si>
  <si>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</si>
  <si>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</si>
  <si>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</si>
  <si>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</si>
  <si>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</si>
  <si>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</si>
  <si>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</si>
  <si>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</si>
  <si>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</si>
  <si>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</si>
  <si>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</si>
  <si>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</si>
  <si>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</si>
  <si>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</si>
  <si>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</si>
  <si>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</si>
  <si>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</si>
  <si>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</si>
  <si>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</si>
  <si>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</si>
  <si>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</si>
  <si>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</si>
  <si>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</si>
  <si>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</si>
  <si>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</si>
  <si>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</si>
  <si>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</si>
  <si>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</si>
  <si>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</si>
  <si>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</si>
  <si>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</si>
  <si>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</si>
  <si>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</si>
  <si>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</si>
  <si>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</si>
  <si>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</si>
  <si>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</si>
  <si>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</si>
  <si>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</si>
  <si>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</si>
  <si>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</si>
  <si>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</si>
  <si>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</si>
  <si>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</si>
  <si>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</si>
  <si>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</si>
  <si>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</si>
  <si>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</si>
  <si>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</si>
  <si>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</si>
  <si>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</si>
  <si>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</si>
  <si>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</si>
  <si>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</si>
  <si>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</si>
  <si>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</si>
  <si>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</si>
  <si>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</si>
  <si>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</si>
  <si>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</si>
  <si>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</si>
  <si>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</si>
  <si>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</si>
  <si>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</si>
  <si>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</si>
  <si>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</si>
  <si>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</si>
  <si>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</si>
  <si>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</si>
  <si>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</si>
  <si>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</si>
  <si>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</si>
  <si>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</si>
  <si>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</si>
  <si>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</si>
  <si>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</si>
  <si>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</si>
  <si>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</si>
  <si>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</si>
  <si>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</si>
  <si>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</si>
  <si>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</si>
  <si>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</si>
  <si>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</si>
  <si>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</si>
  <si>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</si>
  <si>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</si>
  <si>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</si>
  <si>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</si>
  <si>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</si>
  <si>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</si>
  <si>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</si>
  <si>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</si>
  <si>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</si>
  <si>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</si>
  <si>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</si>
  <si>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</si>
  <si>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</si>
  <si>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</si>
  <si>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</si>
  <si>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</si>
  <si>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</si>
  <si>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</si>
  <si>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</si>
  <si>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</si>
  <si>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</si>
  <si>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</si>
  <si>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</si>
  <si>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</si>
  <si>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</si>
  <si>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</si>
  <si>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</si>
  <si>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</si>
  <si>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</si>
  <si>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</si>
  <si>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</si>
  <si>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</si>
  <si>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</si>
  <si>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</si>
  <si>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</si>
  <si>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</si>
  <si>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</si>
  <si>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</si>
  <si>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</si>
  <si>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</si>
  <si>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</si>
  <si>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</si>
  <si>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</si>
  <si>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</si>
  <si>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</si>
  <si>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</si>
  <si>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</si>
  <si>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</si>
  <si>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</si>
  <si>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</si>
  <si>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</si>
  <si>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</si>
  <si>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</si>
  <si>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</si>
  <si>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</si>
  <si>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</si>
  <si>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</si>
  <si>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</si>
  <si>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</si>
  <si>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</si>
  <si>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</si>
  <si>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</si>
  <si>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</si>
  <si>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</si>
  <si>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</si>
  <si>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</si>
  <si>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</si>
  <si>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</si>
  <si>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</si>
  <si>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</si>
  <si>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</si>
  <si>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</si>
  <si>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</si>
  <si>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</si>
  <si>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</si>
  <si>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</si>
  <si>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</si>
  <si>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</si>
  <si>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</si>
  <si>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</si>
  <si>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</si>
  <si>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</si>
  <si>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</si>
  <si>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</si>
  <si>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</si>
  <si>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</si>
  <si>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</si>
  <si>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</si>
  <si>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</si>
  <si>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</si>
  <si>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</si>
  <si>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</si>
  <si>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</si>
  <si>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</si>
  <si>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</si>
  <si>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</si>
  <si>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</si>
  <si>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</si>
  <si>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</si>
  <si>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</si>
  <si>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</si>
  <si>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</si>
  <si>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</si>
  <si>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</si>
  <si>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</si>
  <si>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</si>
  <si>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</si>
  <si>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</si>
  <si>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</si>
  <si>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</si>
  <si>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</si>
  <si>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</si>
  <si>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</si>
  <si>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</si>
  <si>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</si>
  <si>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</si>
  <si>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</si>
  <si>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</si>
  <si>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</si>
  <si>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</si>
  <si>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</si>
  <si>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</si>
  <si>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</si>
  <si>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</si>
  <si>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</si>
  <si>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</si>
  <si>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</si>
  <si>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</si>
  <si>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</si>
  <si>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</si>
  <si>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</si>
  <si>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</si>
  <si>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</si>
  <si>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</si>
  <si>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</si>
  <si>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</si>
  <si>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</si>
  <si>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</si>
  <si>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</si>
  <si>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</si>
  <si>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</si>
  <si>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</si>
  <si>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</si>
  <si>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</si>
  <si>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</si>
  <si>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</si>
  <si>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</si>
  <si>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</si>
  <si>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</si>
  <si>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</si>
  <si>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</si>
  <si>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</si>
  <si>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</si>
  <si>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</si>
  <si>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</si>
  <si>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</si>
  <si>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</si>
  <si>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</si>
  <si>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</si>
  <si>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</si>
  <si>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</si>
  <si>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</si>
  <si>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</si>
  <si>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</si>
  <si>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</si>
  <si>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</si>
  <si>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</si>
  <si>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</si>
  <si>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</si>
  <si>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</si>
  <si>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</si>
  <si>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</si>
  <si>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</si>
  <si>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</si>
  <si>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</si>
  <si>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</si>
  <si>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</si>
  <si>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</si>
  <si>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</si>
  <si>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</si>
  <si>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</si>
  <si>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</si>
  <si>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</si>
  <si>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</si>
  <si>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</si>
  <si>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</si>
  <si>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</si>
  <si>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</si>
  <si>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</si>
  <si>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</si>
  <si>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</si>
  <si>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</si>
  <si>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</si>
  <si>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</si>
  <si>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</si>
  <si>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</si>
  <si>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</si>
  <si>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</si>
  <si>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</si>
  <si>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</si>
  <si>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</si>
  <si>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</si>
  <si>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</si>
  <si>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</si>
  <si>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</si>
  <si>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</si>
  <si>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</si>
  <si>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</si>
  <si>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</si>
  <si>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</si>
  <si>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</si>
  <si>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</si>
  <si>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</si>
  <si>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</si>
  <si>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</si>
  <si>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</si>
  <si>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</si>
  <si>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</si>
  <si>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</si>
  <si>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</si>
  <si>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</si>
  <si>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</si>
  <si>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</si>
  <si>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</si>
  <si>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</si>
  <si>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</si>
  <si>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</si>
  <si>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</si>
  <si>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</si>
  <si>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</si>
  <si>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</si>
  <si>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</si>
  <si>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</si>
  <si>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</si>
  <si>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</si>
  <si>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</si>
  <si>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</si>
  <si>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</si>
  <si>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</si>
  <si>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</si>
  <si>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</si>
  <si>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</si>
  <si>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</si>
  <si>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</si>
  <si>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</si>
  <si>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</si>
  <si>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</si>
  <si>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</si>
  <si>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</si>
  <si>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</si>
  <si>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</si>
  <si>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</si>
  <si>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</si>
  <si>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</si>
  <si>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</si>
  <si>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</si>
  <si>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</si>
  <si>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</si>
  <si>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</si>
  <si>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</si>
  <si>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</si>
  <si>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</si>
  <si>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</si>
  <si>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</si>
  <si>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</si>
  <si>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</si>
  <si>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</si>
  <si>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</si>
  <si>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</si>
  <si>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</si>
  <si>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</si>
  <si>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</si>
  <si>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</si>
  <si>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</si>
  <si>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</si>
  <si>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</si>
  <si>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</si>
  <si>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</si>
  <si>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</si>
  <si>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</si>
  <si>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</si>
  <si>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</si>
  <si>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</si>
  <si>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</si>
  <si>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</si>
  <si>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</si>
  <si>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</si>
  <si>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</si>
  <si>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</si>
  <si>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</si>
  <si>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</si>
  <si>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</si>
  <si>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</si>
  <si>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</si>
  <si>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</si>
  <si>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</si>
  <si>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</si>
  <si>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</si>
  <si>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</si>
  <si>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</si>
  <si>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</si>
  <si>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</si>
  <si>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</si>
  <si>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</si>
  <si>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</si>
  <si>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</si>
  <si>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</si>
  <si>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</si>
  <si>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</si>
  <si>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</si>
  <si>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</si>
  <si>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</si>
  <si>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</si>
  <si>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</si>
  <si>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</si>
  <si>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</si>
  <si>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</si>
  <si>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</si>
  <si>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</si>
  <si>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</si>
  <si>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</si>
  <si>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</si>
  <si>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</si>
  <si>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</si>
  <si>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</si>
  <si>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</si>
  <si>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</si>
  <si>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</si>
  <si>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</si>
  <si>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</si>
  <si>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</si>
  <si>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</si>
  <si>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</si>
  <si>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</si>
  <si>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</si>
  <si>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</si>
  <si>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</si>
  <si>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</si>
  <si>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</si>
  <si>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</si>
  <si>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</si>
  <si>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</si>
  <si>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</si>
  <si>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</si>
  <si>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</si>
  <si>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</si>
  <si>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</si>
  <si>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</si>
  <si>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</si>
  <si>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</si>
  <si>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</si>
  <si>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</si>
  <si>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</si>
  <si>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</si>
  <si>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</si>
  <si>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</si>
  <si>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</si>
  <si>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</si>
  <si>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</si>
  <si>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</si>
  <si>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</si>
  <si>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</si>
  <si>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</si>
  <si>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</si>
  <si>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</si>
  <si>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</si>
  <si>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</si>
  <si>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</si>
  <si>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</si>
  <si>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</si>
  <si>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</si>
  <si>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</si>
  <si>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</si>
  <si>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</si>
  <si>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</si>
  <si>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</si>
  <si>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</si>
  <si>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</si>
  <si>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</si>
  <si>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</si>
  <si>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</si>
  <si>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</si>
  <si>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</si>
  <si>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</si>
  <si>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</si>
  <si>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</si>
  <si>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</si>
  <si>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</si>
  <si>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</si>
  <si>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</si>
  <si>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</si>
  <si>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</si>
  <si>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</si>
  <si>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</si>
  <si>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</si>
  <si>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</si>
  <si>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</si>
  <si>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</si>
  <si>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</si>
  <si>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</si>
  <si>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</si>
  <si>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</si>
  <si>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</si>
  <si>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</si>
  <si>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</si>
  <si>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</si>
  <si>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</si>
  <si>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</si>
  <si>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</si>
  <si>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</si>
  <si>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</si>
  <si>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</si>
  <si>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</si>
  <si>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</si>
  <si>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</si>
  <si>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</si>
  <si>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</si>
  <si>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</si>
  <si>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</si>
  <si>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</si>
  <si>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</si>
  <si>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</si>
  <si>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</si>
  <si>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</si>
  <si>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</si>
  <si>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</si>
  <si>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</si>
  <si>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</si>
  <si>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</si>
  <si>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</si>
  <si>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</si>
  <si>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</si>
  <si>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</si>
  <si>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</si>
  <si>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</si>
  <si>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</si>
  <si>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</si>
  <si>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</si>
  <si>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</si>
  <si>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</si>
  <si>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</si>
  <si>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</si>
  <si>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</si>
  <si>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</si>
  <si>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</si>
  <si>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</si>
  <si>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</si>
  <si>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</si>
  <si>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</si>
  <si>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</si>
  <si>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</si>
  <si>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</si>
  <si>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</si>
  <si>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</si>
  <si>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</si>
  <si>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</si>
  <si>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</si>
  <si>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</si>
  <si>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</si>
  <si>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</si>
  <si>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</si>
  <si>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</si>
  <si>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</si>
  <si>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</si>
  <si>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</si>
  <si>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</si>
  <si>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</si>
  <si>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</si>
  <si>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</si>
  <si>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</si>
  <si>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</si>
  <si>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</si>
  <si>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</si>
  <si>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</si>
  <si>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</si>
  <si>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</si>
  <si>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</si>
  <si>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</si>
  <si>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</si>
  <si>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</si>
  <si>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</si>
  <si>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</si>
  <si>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</si>
  <si>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</si>
  <si>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</si>
  <si>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</si>
  <si>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</si>
  <si>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</si>
  <si>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</si>
  <si>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</si>
  <si>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</si>
  <si>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</si>
  <si>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</si>
  <si>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</si>
  <si>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</si>
  <si>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</si>
  <si>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</si>
  <si>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</si>
  <si>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</si>
  <si>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</si>
  <si>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</si>
  <si>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</si>
  <si>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</si>
  <si>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</si>
  <si>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</si>
  <si>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</si>
  <si>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</si>
  <si>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</si>
  <si>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</si>
  <si>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</si>
  <si>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</si>
  <si>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</si>
  <si>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</si>
  <si>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</si>
  <si>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</si>
  <si>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</si>
  <si>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</si>
  <si>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</si>
  <si>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</si>
  <si>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</si>
  <si>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</si>
  <si>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</si>
  <si>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</si>
  <si>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</si>
  <si>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</si>
  <si>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</si>
  <si>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</si>
  <si>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</si>
  <si>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</si>
  <si>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</si>
  <si>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</si>
  <si>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</si>
  <si>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</si>
  <si>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</si>
  <si>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</si>
  <si>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</si>
  <si>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</si>
  <si>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</si>
  <si>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</si>
  <si>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</si>
  <si>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</si>
  <si>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</si>
  <si>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</si>
  <si>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</si>
  <si>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</si>
  <si>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</si>
  <si>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</si>
  <si>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</si>
  <si>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</si>
  <si>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</si>
  <si>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</si>
  <si>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</si>
  <si>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</si>
  <si>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</si>
  <si>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</si>
  <si>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</si>
  <si>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</si>
  <si>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</si>
  <si>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</si>
  <si>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</si>
  <si>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</si>
  <si>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</si>
  <si>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</si>
  <si>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</si>
  <si>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</si>
  <si>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</si>
  <si>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</si>
  <si>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</si>
  <si>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</si>
  <si>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</si>
  <si>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</si>
  <si>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</si>
  <si>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</si>
  <si>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</si>
  <si>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</si>
  <si>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</si>
  <si>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</si>
  <si>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</si>
  <si>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</si>
  <si>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</si>
  <si>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</si>
  <si>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</si>
  <si>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</si>
  <si>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</si>
  <si>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</si>
  <si>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</si>
  <si>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</si>
  <si>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</si>
  <si>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</si>
  <si>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</si>
  <si>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</si>
  <si>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</si>
  <si>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</si>
  <si>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</si>
  <si>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</si>
  <si>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</si>
  <si>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</si>
  <si>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</si>
  <si>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</si>
  <si>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</si>
  <si>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</si>
  <si>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</si>
  <si>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</si>
  <si>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</si>
  <si>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</si>
  <si>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</si>
  <si>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</si>
  <si>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</si>
  <si>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</si>
  <si>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</si>
  <si>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</si>
  <si>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</si>
  <si>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</si>
  <si>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</si>
  <si>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</si>
  <si>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</si>
  <si>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</si>
  <si>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</si>
  <si>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</si>
  <si>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</si>
  <si>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</si>
  <si>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</si>
  <si>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</si>
  <si>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</si>
  <si>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</si>
  <si>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</si>
  <si>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</si>
  <si>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</si>
  <si>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</si>
  <si>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</si>
  <si>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</si>
  <si>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</si>
  <si>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</si>
  <si>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</si>
  <si>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</si>
  <si>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</si>
  <si>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</si>
  <si>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</si>
  <si>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</si>
  <si>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</si>
  <si>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</si>
  <si>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</si>
  <si>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</si>
  <si>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</si>
  <si>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</si>
  <si>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</si>
  <si>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</si>
  <si>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</si>
  <si>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</si>
  <si>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</si>
  <si>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</si>
  <si>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</si>
  <si>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</si>
  <si>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</si>
  <si>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</si>
  <si>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</si>
  <si>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</si>
  <si>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</si>
  <si>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</si>
  <si>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</si>
  <si>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</si>
  <si>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</si>
  <si>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</si>
  <si>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</si>
  <si>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</si>
  <si>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</si>
  <si>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</si>
  <si>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</si>
  <si>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</si>
  <si>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</si>
  <si>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</si>
  <si>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</si>
  <si>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</si>
  <si>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</si>
  <si>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</si>
  <si>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</si>
  <si>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</si>
  <si>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</si>
  <si>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</si>
  <si>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</si>
  <si>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</si>
  <si>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</si>
  <si>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</si>
  <si>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</si>
  <si>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</si>
  <si>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</si>
  <si>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</si>
  <si>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</si>
  <si>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</si>
  <si>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</si>
  <si>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</si>
  <si>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</si>
  <si>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</si>
  <si>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</si>
  <si>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</si>
  <si>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</si>
  <si>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</si>
  <si>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</si>
  <si>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</si>
  <si>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</si>
  <si>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</si>
  <si>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</si>
  <si>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</si>
  <si>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</si>
  <si>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</si>
  <si>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</si>
  <si>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</si>
  <si>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</si>
  <si>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</si>
  <si>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</si>
  <si>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</si>
  <si>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</si>
  <si>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</si>
  <si>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</si>
  <si>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</si>
  <si>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</si>
  <si>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</si>
  <si>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</si>
  <si>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</si>
  <si>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</si>
  <si>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</si>
  <si>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</si>
  <si>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</si>
  <si>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</si>
  <si>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</si>
  <si>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</si>
  <si>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</si>
  <si>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</si>
  <si>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</si>
  <si>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</si>
  <si>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</si>
  <si>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</si>
  <si>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</si>
  <si>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</si>
  <si>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</si>
  <si>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</si>
  <si>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</si>
  <si>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</si>
  <si>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</si>
  <si>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</si>
  <si>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</si>
  <si>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</si>
  <si>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</si>
  <si>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</si>
  <si>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</si>
  <si>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</si>
  <si>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</si>
  <si>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</si>
  <si>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</si>
  <si>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</si>
  <si>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</si>
  <si>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</si>
  <si>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</si>
  <si>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</si>
  <si>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</si>
  <si>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</si>
  <si>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</si>
  <si>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</si>
  <si>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</si>
  <si>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</si>
  <si>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</si>
  <si>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</si>
  <si>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</si>
  <si>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</si>
  <si>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</si>
  <si>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</si>
  <si>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</si>
  <si>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</si>
  <si>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</si>
  <si>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</si>
  <si>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</si>
  <si>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</si>
  <si>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</si>
  <si>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</si>
  <si>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</si>
  <si>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</si>
  <si>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</si>
  <si>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</si>
  <si>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</si>
  <si>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</si>
  <si>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</si>
  <si>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</si>
  <si>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</si>
  <si>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</si>
  <si>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</si>
  <si>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</si>
  <si>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</si>
  <si>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</si>
  <si>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</si>
  <si>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</si>
  <si>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</si>
  <si>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</si>
  <si>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</si>
  <si>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</si>
  <si>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</si>
  <si>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</si>
  <si>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</si>
  <si>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</si>
  <si>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</si>
  <si>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</si>
  <si>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</si>
  <si>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</si>
  <si>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</si>
  <si>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</si>
  <si>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</si>
  <si>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</si>
  <si>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</si>
  <si>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</si>
  <si>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</si>
  <si>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</si>
  <si>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</si>
  <si>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</si>
  <si>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</si>
  <si>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</si>
  <si>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</si>
  <si>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</si>
  <si>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</si>
  <si>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</si>
  <si>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</si>
  <si>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</si>
  <si>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</si>
  <si>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</si>
  <si>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</si>
  <si>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</si>
  <si>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</si>
  <si>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</si>
  <si>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</si>
  <si>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</si>
  <si>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</si>
  <si>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</si>
  <si>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</si>
  <si>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</si>
  <si>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</si>
  <si>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</si>
  <si>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</si>
  <si>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</si>
  <si>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</si>
  <si>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</si>
  <si>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</si>
  <si>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</si>
  <si>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</si>
  <si>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</si>
  <si>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</si>
  <si>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</si>
  <si>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</si>
  <si>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</si>
  <si>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</si>
  <si>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</si>
  <si>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</si>
  <si>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</si>
  <si>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</si>
  <si>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</si>
  <si>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</si>
  <si>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</si>
  <si>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</si>
  <si>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</si>
  <si>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</si>
  <si>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</si>
  <si>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</si>
  <si>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</si>
  <si>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</si>
  <si>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</si>
  <si>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</si>
  <si>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</si>
  <si>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</si>
  <si>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</si>
  <si>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</si>
  <si>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</si>
  <si>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</si>
  <si>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</si>
  <si>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</si>
  <si>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</si>
  <si>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</si>
  <si>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</si>
  <si>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</si>
  <si>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</si>
  <si>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</si>
  <si>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</si>
  <si>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</si>
  <si>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</si>
  <si>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</si>
  <si>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</si>
  <si>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</si>
  <si>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</si>
  <si>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</si>
  <si>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</si>
  <si>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</si>
  <si>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</si>
  <si>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</si>
  <si>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</si>
  <si>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</si>
  <si>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</si>
  <si>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</si>
  <si>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</si>
  <si>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</si>
  <si>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</si>
  <si>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</si>
  <si>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</si>
  <si>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</si>
  <si>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</si>
  <si>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</si>
  <si>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</si>
  <si>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</si>
  <si>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</si>
  <si>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</si>
  <si>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</si>
  <si>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</si>
  <si>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</si>
  <si>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</si>
  <si>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</si>
  <si>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</si>
  <si>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</si>
  <si>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</si>
  <si>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</si>
  <si>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</si>
  <si>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</si>
  <si>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</si>
  <si>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</si>
  <si>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</si>
  <si>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</si>
  <si>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</si>
  <si>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</si>
  <si>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</si>
  <si>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</si>
  <si>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</si>
  <si>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</si>
  <si>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</si>
  <si>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</si>
  <si>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</si>
  <si>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</si>
  <si>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</si>
  <si>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</si>
  <si>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</si>
  <si>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</si>
  <si>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</si>
  <si>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</si>
  <si>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</si>
  <si>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</si>
  <si>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</si>
  <si>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</si>
  <si>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</si>
  <si>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</si>
  <si>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</si>
  <si>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</si>
  <si>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</si>
  <si>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</si>
  <si>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</si>
  <si>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</si>
  <si>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</si>
  <si>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</si>
  <si>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</si>
  <si>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</si>
  <si>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</si>
  <si>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</si>
  <si>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</si>
  <si>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</si>
  <si>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</si>
  <si>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</si>
  <si>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</si>
  <si>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</si>
  <si>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</si>
  <si>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</si>
  <si>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</si>
  <si>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</si>
  <si>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</si>
  <si>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</si>
  <si>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</si>
  <si>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</si>
  <si>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</si>
  <si>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</si>
  <si>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</si>
  <si>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</si>
  <si>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</si>
  <si>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</si>
  <si>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</si>
  <si>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</si>
  <si>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</si>
  <si>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</si>
  <si>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</si>
  <si>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</si>
  <si>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</si>
  <si>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</si>
  <si>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</si>
  <si>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</si>
  <si>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</si>
  <si>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</si>
  <si>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</si>
  <si>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</si>
  <si>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</si>
  <si>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</si>
  <si>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</si>
  <si>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</si>
  <si>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</si>
  <si>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</si>
  <si>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</si>
  <si>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</si>
  <si>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</si>
  <si>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</si>
  <si>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</si>
  <si>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</si>
  <si>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</si>
  <si>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</si>
  <si>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</si>
  <si>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</si>
  <si>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</si>
  <si>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</si>
  <si>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</si>
  <si>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</si>
  <si>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</si>
  <si>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</si>
  <si>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</si>
  <si>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</si>
  <si>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</si>
  <si>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</si>
  <si>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</si>
  <si>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</si>
  <si>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</si>
  <si>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</si>
  <si>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</si>
  <si>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</si>
  <si>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</si>
  <si>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</si>
  <si>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</si>
  <si>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</si>
  <si>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</si>
  <si>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</si>
  <si>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</si>
  <si>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</si>
  <si>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</si>
  <si>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</si>
  <si>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</si>
  <si>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</si>
  <si>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</si>
  <si>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</si>
  <si>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</si>
  <si>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</si>
  <si>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</si>
  <si>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</si>
  <si>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</si>
  <si>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</si>
  <si>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</si>
  <si>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</si>
  <si>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</si>
  <si>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</si>
  <si>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</si>
  <si>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</si>
  <si>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</si>
  <si>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</si>
  <si>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</si>
  <si>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</si>
  <si>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</si>
  <si>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</si>
  <si>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</si>
  <si>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</si>
  <si>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</si>
  <si>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</si>
  <si>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</si>
  <si>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</si>
  <si>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</si>
  <si>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</si>
  <si>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</si>
  <si>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</si>
  <si>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</si>
  <si>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</si>
  <si>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</si>
  <si>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</si>
  <si>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</si>
  <si>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</si>
  <si>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</si>
  <si>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</si>
  <si>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</si>
  <si>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</si>
  <si>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</si>
  <si>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</si>
  <si>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</si>
  <si>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</si>
  <si>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</si>
  <si>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</si>
  <si>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</si>
  <si>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</si>
  <si>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</si>
  <si>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</si>
  <si>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</si>
  <si>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</si>
  <si>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</si>
  <si>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</si>
  <si>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</si>
  <si>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</si>
  <si>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</si>
  <si>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</si>
  <si>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</si>
  <si>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</si>
  <si>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</si>
  <si>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</si>
  <si>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</si>
  <si>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</si>
  <si>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</si>
  <si>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</si>
  <si>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</si>
  <si>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</si>
  <si>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</si>
  <si>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</si>
  <si>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</si>
  <si>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</si>
  <si>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</si>
  <si>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</si>
  <si>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</si>
  <si>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</si>
  <si>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</si>
  <si>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</si>
  <si>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</si>
  <si>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</si>
  <si>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</si>
  <si>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</si>
  <si>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</si>
  <si>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</si>
  <si>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</si>
  <si>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</si>
  <si>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</si>
  <si>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</si>
  <si>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</si>
  <si>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</si>
  <si>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</si>
  <si>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</si>
  <si>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</si>
  <si>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</si>
  <si>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</si>
  <si>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</si>
  <si>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</si>
  <si>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</si>
  <si>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</si>
  <si>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</si>
  <si>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</si>
  <si>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</si>
  <si>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</si>
  <si>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</si>
  <si>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</si>
  <si>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</si>
  <si>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</si>
  <si>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</si>
  <si>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</si>
  <si>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</si>
  <si>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</si>
  <si>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</si>
  <si>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</si>
  <si>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</si>
  <si>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</si>
  <si>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</si>
  <si>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</si>
  <si>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</si>
  <si>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</si>
  <si>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</si>
  <si>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</si>
  <si>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</si>
  <si>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</si>
  <si>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</si>
  <si>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</si>
  <si>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</si>
  <si>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</si>
  <si>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</si>
  <si>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</si>
  <si>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</si>
  <si>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</si>
  <si>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</si>
  <si>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</si>
  <si>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</si>
  <si>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</si>
  <si>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</si>
  <si>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</si>
  <si>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</si>
  <si>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</si>
  <si>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</si>
  <si>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</si>
  <si>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</si>
  <si>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</si>
  <si>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</si>
  <si>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</si>
  <si>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</si>
  <si>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</si>
  <si>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</si>
  <si>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</si>
  <si>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</si>
  <si>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</si>
  <si>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</si>
  <si>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</si>
  <si>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</si>
  <si>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</si>
  <si>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</si>
  <si>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</si>
  <si>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</si>
  <si>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</si>
  <si>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</si>
  <si>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</si>
  <si>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</si>
  <si>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</si>
  <si>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</si>
  <si>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</si>
  <si>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</si>
  <si>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</si>
  <si>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</si>
  <si>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</si>
  <si>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</si>
  <si>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</si>
  <si>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</si>
  <si>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</si>
  <si>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</si>
  <si>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</si>
  <si>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</si>
  <si>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</si>
  <si>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</si>
  <si>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</si>
  <si>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</si>
  <si>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</si>
  <si>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</si>
  <si>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</si>
  <si>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</si>
  <si>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</si>
  <si>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</si>
  <si>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</si>
  <si>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</si>
  <si>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</si>
  <si>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</si>
  <si>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</si>
  <si>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</si>
  <si>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</si>
  <si>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</si>
  <si>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</si>
  <si>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</si>
  <si>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</si>
  <si>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</si>
  <si>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</si>
  <si>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</si>
  <si>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</si>
  <si>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</si>
  <si>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</si>
  <si>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</si>
  <si>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</si>
  <si>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</si>
  <si>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</si>
  <si>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</si>
  <si>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</si>
  <si>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</si>
  <si>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</si>
  <si>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</si>
  <si>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</si>
  <si>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</si>
  <si>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</si>
  <si>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</si>
  <si>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</si>
  <si>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</si>
  <si>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</si>
  <si>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</si>
  <si>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</si>
  <si>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</si>
  <si>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</si>
  <si>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</si>
  <si>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</si>
  <si>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</si>
  <si>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</si>
  <si>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</si>
  <si>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</si>
  <si>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</si>
  <si>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</si>
  <si>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</si>
  <si>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</si>
  <si>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</si>
  <si>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</si>
  <si>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</si>
  <si>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</si>
  <si>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</si>
  <si>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</si>
  <si>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</si>
  <si>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</si>
  <si>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</si>
  <si>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</si>
  <si>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</si>
  <si>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</si>
  <si>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</si>
  <si>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</si>
  <si>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</si>
  <si>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</si>
  <si>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</si>
  <si>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</si>
  <si>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</si>
  <si>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</si>
  <si>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</si>
  <si>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</si>
  <si>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</si>
  <si>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</si>
  <si>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</si>
  <si>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</si>
  <si>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</si>
  <si>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</si>
  <si>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</si>
  <si>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</si>
  <si>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</si>
  <si>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</si>
  <si>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</si>
  <si>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</si>
  <si>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</si>
  <si>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</si>
  <si>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</si>
  <si>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</si>
  <si>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</si>
  <si>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</si>
  <si>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</si>
  <si>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</si>
  <si>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</si>
  <si>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</si>
  <si>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</si>
  <si>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</si>
  <si>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</si>
  <si>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</si>
  <si>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</si>
  <si>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</si>
  <si>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</si>
  <si>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</si>
  <si>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</si>
  <si>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</si>
  <si>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</si>
  <si>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</si>
  <si>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</si>
  <si>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</si>
  <si>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</si>
  <si>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</si>
  <si>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</si>
  <si>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</si>
  <si>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</si>
  <si>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</si>
  <si>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</si>
  <si>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</si>
  <si>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</si>
  <si>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</si>
  <si>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</si>
  <si>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</si>
  <si>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</si>
  <si>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</si>
  <si>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</si>
  <si>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</si>
  <si>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</si>
  <si>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</si>
  <si>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</si>
  <si>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</si>
  <si>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</si>
  <si>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</si>
  <si>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</si>
  <si>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</si>
  <si>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</si>
  <si>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</si>
  <si>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</si>
  <si>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</si>
  <si>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</si>
  <si>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</si>
  <si>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</si>
  <si>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</si>
  <si>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</si>
  <si>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</si>
  <si>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</si>
  <si>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</si>
  <si>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</si>
  <si>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</si>
  <si>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</si>
  <si>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</si>
  <si>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</si>
  <si>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</si>
  <si>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</si>
  <si>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</si>
  <si>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</si>
  <si>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</si>
  <si>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</si>
  <si>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</si>
  <si>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</si>
  <si>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</si>
  <si>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</si>
  <si>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</si>
  <si>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</si>
  <si>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</si>
  <si>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</si>
  <si>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</si>
  <si>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</si>
  <si>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</si>
  <si>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</si>
  <si>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</si>
  <si>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</si>
  <si>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</si>
  <si>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</si>
  <si>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</si>
  <si>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</si>
  <si>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</si>
  <si>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</si>
  <si>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</si>
  <si>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</si>
  <si>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</si>
  <si>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</si>
  <si>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</si>
  <si>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</si>
  <si>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</si>
  <si>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</si>
  <si>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</si>
  <si>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</si>
  <si>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</si>
  <si>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</si>
  <si>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</si>
  <si>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</si>
  <si>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</si>
  <si>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</si>
  <si>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</si>
  <si>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</si>
  <si>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</si>
  <si>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</si>
  <si>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</si>
  <si>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</si>
  <si>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</si>
  <si>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</si>
  <si>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</si>
  <si>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</si>
  <si>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</si>
  <si>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</si>
  <si>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</si>
  <si>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</si>
  <si>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</si>
  <si>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</si>
  <si>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</si>
  <si>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</si>
  <si>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</si>
  <si>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</si>
  <si>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</si>
  <si>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</si>
  <si>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</si>
  <si>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</si>
  <si>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</si>
  <si>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</si>
  <si>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</si>
  <si>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</si>
  <si>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</si>
  <si>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</si>
  <si>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</si>
  <si>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</si>
  <si>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</si>
  <si>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</si>
  <si>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</si>
  <si>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</si>
  <si>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</si>
  <si>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</si>
  <si>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</si>
  <si>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</si>
  <si>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</si>
  <si>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</si>
  <si>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</si>
  <si>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</si>
  <si>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</si>
  <si>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</si>
  <si>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</si>
  <si>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</si>
  <si>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</si>
  <si>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</si>
  <si>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</si>
  <si>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</si>
  <si>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</si>
  <si>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</si>
  <si>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</si>
  <si>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</si>
  <si>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</si>
  <si>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</si>
  <si>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</si>
  <si>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</si>
  <si>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</si>
  <si>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</si>
  <si>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</si>
  <si>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</si>
  <si>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</si>
  <si>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</si>
  <si>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</si>
  <si>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</si>
  <si>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</si>
  <si>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</si>
  <si>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</si>
  <si>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</si>
  <si>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</si>
  <si>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</si>
  <si>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</si>
  <si>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</si>
  <si>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</si>
  <si>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</si>
  <si>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</si>
  <si>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</si>
  <si>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</si>
  <si>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</si>
  <si>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</si>
  <si>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</si>
  <si>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</si>
  <si>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</si>
  <si>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</si>
  <si>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</si>
  <si>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</si>
  <si>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</si>
  <si>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</si>
  <si>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</si>
  <si>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</si>
  <si>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</si>
  <si>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</si>
  <si>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</si>
  <si>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</si>
  <si>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</si>
  <si>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</si>
  <si>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</si>
  <si>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</si>
  <si>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</si>
  <si>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</si>
  <si>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</si>
  <si>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</si>
  <si>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</si>
  <si>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</si>
  <si>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</si>
  <si>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</si>
  <si>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</si>
  <si>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</si>
  <si>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</si>
  <si>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</si>
  <si>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</si>
  <si>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</si>
  <si>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</si>
  <si>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</si>
  <si>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</si>
  <si>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</si>
  <si>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</si>
  <si>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</si>
  <si>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</si>
  <si>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</si>
  <si>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</si>
  <si>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</si>
  <si>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</si>
  <si>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</si>
  <si>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</si>
  <si>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</si>
  <si>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</si>
  <si>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</si>
  <si>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</si>
  <si>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</si>
  <si>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</si>
  <si>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</si>
  <si>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</si>
  <si>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</si>
  <si>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</si>
  <si>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</si>
  <si>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</si>
  <si>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</si>
  <si>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</si>
  <si>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</si>
  <si>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</si>
  <si>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</si>
  <si>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</si>
  <si>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</si>
  <si>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</si>
  <si>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</si>
  <si>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</si>
  <si>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</si>
  <si>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</si>
  <si>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</si>
  <si>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</si>
  <si>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</si>
  <si>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</si>
  <si>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</si>
  <si>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</si>
  <si>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</si>
  <si>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</si>
  <si>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</si>
  <si>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</si>
  <si>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</si>
  <si>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</si>
  <si>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</si>
  <si>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</si>
  <si>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</si>
  <si>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</si>
  <si>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</si>
  <si>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</si>
  <si>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</si>
  <si>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</si>
  <si>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</si>
  <si>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</si>
  <si>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</si>
  <si>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</si>
  <si>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</si>
  <si>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</si>
  <si>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</si>
  <si>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</si>
  <si>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</si>
  <si>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</si>
  <si>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</si>
  <si>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</si>
  <si>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</si>
  <si>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</si>
  <si>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</si>
  <si>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</si>
  <si>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</si>
  <si>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</si>
  <si>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</si>
  <si>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</si>
  <si>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</si>
  <si>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</si>
  <si>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</si>
  <si>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</si>
  <si>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</si>
  <si>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</si>
  <si>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</si>
  <si>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</si>
  <si>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</si>
  <si>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</si>
  <si>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</si>
  <si>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</si>
  <si>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</si>
  <si>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</si>
  <si>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</si>
  <si>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</si>
  <si>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</si>
  <si>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</si>
  <si>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</si>
  <si>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</si>
  <si>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</si>
  <si>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</si>
  <si>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</si>
  <si>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</si>
  <si>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</si>
  <si>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</si>
  <si>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</si>
  <si>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</si>
  <si>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</si>
  <si>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</si>
  <si>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</si>
  <si>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</si>
  <si>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</si>
  <si>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</si>
  <si>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</si>
  <si>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</si>
  <si>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</si>
  <si>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</si>
  <si>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</si>
  <si>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</si>
  <si>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</si>
  <si>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</si>
  <si>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</si>
  <si>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</si>
  <si>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</si>
  <si>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</si>
  <si>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</si>
  <si>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</si>
  <si>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</si>
  <si>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</si>
  <si>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</si>
  <si>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addr_lookup(arr, address)</t>
  </si>
  <si>
    <t>Non-volatile INDIRECT: value(s) at addr_ad within rng. addr_ad may be a numeric address, an A1 string, a range string (e.g. B2:D4), or an array of these. Out-of-bounds or no overlap returns "".</t>
  </si>
  <si>
    <t>=LAMBDA(arr,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t>
  </si>
  <si>
    <t>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</si>
  <si>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</si>
  <si>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</si>
  <si>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</si>
  <si>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</si>
  <si>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</si>
  <si>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</si>
  <si>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</si>
  <si>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</si>
  <si>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</si>
  <si>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</si>
  <si>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</si>
  <si>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</si>
  <si>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</si>
  <si>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</si>
  <si>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</si>
  <si>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</si>
  <si>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</si>
  <si>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</si>
  <si>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</si>
  <si>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</si>
  <si>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</si>
  <si>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</si>
  <si>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</si>
  <si>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</si>
  <si>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</si>
  <si>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</si>
  <si>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</si>
  <si>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</si>
  <si>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</si>
  <si>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</si>
  <si>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</si>
  <si>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</si>
  <si>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</si>
  <si>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</si>
  <si>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</si>
  <si>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</si>
  <si>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</si>
  <si>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</si>
  <si>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</si>
  <si>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</si>
  <si>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</si>
  <si>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</si>
  <si>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</si>
  <si>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</si>
  <si>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</si>
  <si>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</si>
  <si>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</si>
  <si>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</si>
  <si>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</si>
  <si>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</si>
  <si>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</si>
  <si>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</si>
  <si>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</si>
  <si>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</si>
  <si>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</si>
  <si>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</si>
  <si>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</si>
  <si>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</si>
  <si>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</si>
  <si>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</si>
  <si>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</si>
  <si>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</si>
  <si>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</si>
  <si>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</si>
  <si>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</si>
  <si>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</si>
  <si>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</si>
  <si>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</si>
  <si>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</si>
  <si>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</si>
  <si>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</si>
  <si>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</si>
  <si>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</si>
  <si>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</si>
  <si>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</si>
  <si>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</si>
  <si>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</si>
  <si>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</si>
  <si>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</si>
  <si>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</si>
  <si>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</si>
  <si>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</si>
  <si>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</si>
  <si>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</si>
  <si>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</si>
  <si>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</si>
  <si>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</si>
  <si>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</si>
  <si>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</si>
  <si>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</si>
  <si>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</si>
  <si>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</si>
  <si>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</si>
  <si>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</si>
  <si>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</si>
  <si>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</si>
  <si>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</si>
  <si>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</si>
  <si>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</si>
  <si>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</si>
  <si>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</si>
  <si>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</si>
  <si>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</si>
  <si>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</si>
  <si>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</si>
  <si>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</si>
  <si>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</si>
  <si>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</si>
  <si>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</si>
  <si>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</si>
  <si>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</si>
  <si>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</si>
  <si>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</si>
  <si>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</si>
  <si>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</si>
  <si>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</si>
  <si>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</si>
  <si>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</si>
  <si>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</si>
  <si>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</si>
  <si>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</si>
  <si>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</si>
  <si>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</si>
  <si>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</si>
  <si>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</si>
  <si>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</si>
  <si>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</si>
  <si>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</si>
  <si>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</si>
  <si>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</si>
  <si>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</si>
  <si>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</si>
  <si>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</si>
  <si>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</si>
  <si>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</si>
  <si>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</si>
  <si>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</si>
  <si>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</si>
  <si>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</si>
  <si>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</si>
  <si>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</si>
  <si>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</si>
  <si>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</si>
  <si>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</si>
  <si>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</si>
  <si>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</si>
  <si>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</si>
  <si>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</si>
  <si>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</si>
  <si>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</si>
  <si>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</si>
  <si>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</si>
  <si>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</si>
  <si>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</si>
  <si>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</si>
  <si>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</si>
  <si>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</si>
  <si>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</si>
  <si>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</si>
  <si>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</si>
  <si>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</si>
  <si>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</si>
  <si>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</si>
  <si>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</si>
  <si>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</si>
  <si>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</si>
  <si>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</si>
  <si>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</si>
  <si>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</si>
  <si>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</si>
  <si>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</si>
  <si>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</si>
  <si>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</si>
  <si>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</si>
  <si>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</si>
  <si>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</si>
  <si>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</si>
  <si>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</si>
  <si>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</si>
  <si>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</si>
  <si>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</si>
  <si>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</si>
  <si>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</si>
  <si>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</si>
  <si>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</si>
  <si>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</si>
  <si>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</si>
  <si>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</si>
  <si>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</si>
  <si>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</si>
  <si>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</si>
  <si>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</si>
  <si>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</si>
  <si>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</si>
  <si>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</si>
  <si>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</si>
  <si>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</si>
  <si>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</si>
  <si>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</si>
  <si>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</si>
  <si>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</si>
  <si>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</si>
  <si>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</si>
  <si>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</si>
  <si>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</si>
  <si>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</si>
  <si>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</si>
  <si>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</si>
  <si>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</si>
  <si>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</si>
  <si>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</si>
  <si>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</si>
  <si>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</si>
  <si>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</si>
  <si>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</si>
  <si>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</si>
  <si>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</si>
  <si>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</si>
  <si>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</si>
  <si>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</si>
  <si>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</si>
  <si>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</si>
  <si>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</si>
  <si>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</si>
  <si>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</si>
  <si>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</si>
  <si>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</si>
  <si>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</si>
  <si>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</si>
  <si>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</si>
  <si>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</si>
  <si>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</si>
  <si>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</si>
  <si>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</si>
  <si>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</si>
  <si>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</si>
  <si>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</si>
  <si>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addr_lookup(arr,address) - non-volatile INDIRECT. address: A1 string, numeric addr, range string ('overlap rect'), or an ARRAY of addresses</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</si>
  <si>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</si>
  <si>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</si>
  <si>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</si>
  <si>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</si>
  <si>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</si>
  <si>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</si>
  <si>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</si>
  <si>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</si>
  <si>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</si>
  <si>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</si>
  <si>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</si>
  <si>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</si>
  <si>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</si>
  <si>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</si>
  <si>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</si>
  <si>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</si>
  <si>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</si>
  <si>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</si>
  <si>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</si>
  <si>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</si>
  <si>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</si>
  <si>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</si>
  <si>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</si>
  <si>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</si>
  <si>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</si>
  <si>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</si>
  <si>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</si>
  <si>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</si>
  <si>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</si>
  <si>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</si>
  <si>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</si>
  <si>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</si>
  <si>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</si>
  <si>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</si>
  <si>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</si>
  <si>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</si>
  <si>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</si>
  <si>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</si>
  <si>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</si>
  <si>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</si>
  <si>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</si>
  <si>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</si>
  <si>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</si>
  <si>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</si>
  <si>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</si>
  <si>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</si>
  <si>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</si>
  <si>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</si>
  <si>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</si>
  <si>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</si>
  <si>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</si>
  <si>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</si>
  <si>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</si>
  <si>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</si>
  <si>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</si>
  <si>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</si>
  <si>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</si>
  <si>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</si>
  <si>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</si>
  <si>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</si>
  <si>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</si>
  <si>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</si>
  <si>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</si>
  <si>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</si>
  <si>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</si>
  <si>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</si>
  <si>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</si>
  <si>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</si>
  <si>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</si>
  <si>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</si>
  <si>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</si>
  <si>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</si>
  <si>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</si>
  <si>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</si>
  <si>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</si>
  <si>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</si>
  <si>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</si>
  <si>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</si>
  <si>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</si>
  <si>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</si>
  <si>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</si>
  <si>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</si>
  <si>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</si>
  <si>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</si>
  <si>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</si>
  <si>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</si>
  <si>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</si>
  <si>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</si>
  <si>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</si>
  <si>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</si>
  <si>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</si>
  <si>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</si>
  <si>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</si>
  <si>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</si>
  <si>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</si>
  <si>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</si>
  <si>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</si>
  <si>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</si>
  <si>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</si>
  <si>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</si>
  <si>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</si>
  <si>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</si>
  <si>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</si>
  <si>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</si>
  <si>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</si>
  <si>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</si>
  <si>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</si>
  <si>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</si>
  <si>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</si>
  <si>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</si>
  <si>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</si>
  <si>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</si>
  <si>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</si>
  <si>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</si>
  <si>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</si>
  <si>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</si>
  <si>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</si>
  <si>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</si>
  <si>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</si>
  <si>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</si>
  <si>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</si>
  <si>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</si>
  <si>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</si>
  <si>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</si>
  <si>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</si>
  <si>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</si>
  <si>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</si>
  <si>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</si>
  <si>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</si>
  <si>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</si>
  <si>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</si>
  <si>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</si>
  <si>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</si>
  <si>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</si>
  <si>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</si>
  <si>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</si>
  <si>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</si>
  <si>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</si>
  <si>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</si>
  <si>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</si>
  <si>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</si>
  <si>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</si>
  <si>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</si>
  <si>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</si>
  <si>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</si>
  <si>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</si>
  <si>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</si>
  <si>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</si>
  <si>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</si>
  <si>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</si>
  <si>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</si>
  <si>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</si>
  <si>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</si>
  <si>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</si>
  <si>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</si>
  <si>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</si>
  <si>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</si>
  <si>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</si>
  <si>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</si>
  <si>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</si>
  <si>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</si>
  <si>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</si>
  <si>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</si>
  <si>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</si>
  <si>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</si>
  <si>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</si>
  <si>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</si>
  <si>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</si>
  <si>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</si>
  <si>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</si>
  <si>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</si>
  <si>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</si>
  <si>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</si>
  <si>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</si>
  <si>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</si>
  <si>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</si>
  <si>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</si>
  <si>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</si>
  <si>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</si>
  <si>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</si>
  <si>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</si>
  <si>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</si>
  <si>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</si>
  <si>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</si>
  <si>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</si>
  <si>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</si>
  <si>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</si>
  <si>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</si>
  <si>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</si>
  <si>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</si>
  <si>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</si>
  <si>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</si>
  <si>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</si>
  <si>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</si>
  <si>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</si>
  <si>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</si>
  <si>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</si>
  <si>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</si>
  <si>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</si>
  <si>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</si>
  <si>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</si>
  <si>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</si>
  <si>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</si>
  <si>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</si>
  <si>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</si>
  <si>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</si>
  <si>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</si>
  <si>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</si>
  <si>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</si>
  <si>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</si>
  <si>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</si>
  <si>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</si>
  <si>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</si>
  <si>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</si>
  <si>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</si>
  <si>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</si>
  <si>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</si>
  <si>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</si>
  <si>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</si>
  <si>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</si>
  <si>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</si>
  <si>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</si>
  <si>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</si>
  <si>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</si>
  <si>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</si>
  <si>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</si>
  <si>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</si>
  <si>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</si>
  <si>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</si>
  <si>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</si>
  <si>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</si>
  <si>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</si>
  <si>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</si>
  <si>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</si>
  <si>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</si>
  <si>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</si>
  <si>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</si>
  <si>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</si>
  <si>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</si>
  <si>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</si>
  <si>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</si>
  <si>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</si>
  <si>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</si>
  <si>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</si>
  <si>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</si>
  <si>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</si>
  <si>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</si>
  <si>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</si>
  <si>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</si>
  <si>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</si>
  <si>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</si>
  <si>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</si>
  <si>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</si>
  <si>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</si>
  <si>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</si>
  <si>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</si>
  <si>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</si>
  <si>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</si>
  <si>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</si>
  <si>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</si>
  <si>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</si>
  <si>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</si>
  <si>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</si>
  <si>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</si>
  <si>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</si>
  <si>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</si>
  <si>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</si>
  <si>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</si>
  <si>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</si>
  <si>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</si>
  <si>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</si>
  <si>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</si>
  <si>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</si>
  <si>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</si>
  <si>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</si>
  <si>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</si>
  <si>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</si>
  <si>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</si>
  <si>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</si>
  <si>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</si>
  <si>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</si>
  <si>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</si>
  <si>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</si>
  <si>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</si>
  <si>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</si>
  <si>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</si>
  <si>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</si>
  <si>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</si>
  <si>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</si>
  <si>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</si>
  <si>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</si>
  <si>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</si>
  <si>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</si>
  <si>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</si>
  <si>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</si>
  <si>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</si>
  <si>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</si>
  <si>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</si>
  <si>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</si>
  <si>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</si>
  <si>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</si>
  <si>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</si>
  <si>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</si>
  <si>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</si>
  <si>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</si>
  <si>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</si>
  <si>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</si>
  <si>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</si>
  <si>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</si>
  <si>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</si>
  <si>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</si>
  <si>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</si>
  <si>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</si>
  <si>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</si>
  <si>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</si>
  <si>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</si>
  <si>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</si>
  <si>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</si>
  <si>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</si>
  <si>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</si>
  <si>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</si>
  <si>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</si>
  <si>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</si>
  <si>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</si>
  <si>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</si>
  <si>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</si>
  <si>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</si>
  <si>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</si>
  <si>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</si>
  <si>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</si>
  <si>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</si>
  <si>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</si>
  <si>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</si>
  <si>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</si>
  <si>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</si>
  <si>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</si>
  <si>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</si>
  <si>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</si>
  <si>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</si>
  <si>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</si>
  <si>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</si>
  <si>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</si>
  <si>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</si>
  <si>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</si>
  <si>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</si>
  <si>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</si>
  <si>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</si>
  <si>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</si>
  <si>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</si>
  <si>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</si>
  <si>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</si>
  <si>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</si>
  <si>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</si>
  <si>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</si>
  <si>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</si>
  <si>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</si>
  <si>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</si>
  <si>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</si>
  <si>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</si>
  <si>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</si>
  <si>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</si>
  <si>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</si>
  <si>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</si>
  <si>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</si>
  <si>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</si>
  <si>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</si>
  <si>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</si>
  <si>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</si>
  <si>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</si>
  <si>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</si>
  <si>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</si>
  <si>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</si>
  <si>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</si>
  <si>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</si>
  <si>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</si>
  <si>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</si>
  <si>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</si>
  <si>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</si>
  <si>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</si>
  <si>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</si>
  <si>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</si>
  <si>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</si>
  <si>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</si>
  <si>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</si>
  <si>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</si>
  <si>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</si>
  <si>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</si>
  <si>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</si>
  <si>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</si>
  <si>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</si>
  <si>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</si>
  <si>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</si>
  <si>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</si>
  <si>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</si>
  <si>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</si>
  <si>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</si>
  <si>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</si>
  <si>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</si>
  <si>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</si>
  <si>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</si>
  <si>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</si>
  <si>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</si>
  <si>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</si>
  <si>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</si>
  <si>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</si>
  <si>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</si>
  <si>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</si>
  <si>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</si>
  <si>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</si>
  <si>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</si>
  <si>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</si>
  <si>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</si>
  <si>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</si>
  <si>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</si>
  <si>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</si>
  <si>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</si>
  <si>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</si>
  <si>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</si>
  <si>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</si>
  <si>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</si>
  <si>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</si>
  <si>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</si>
  <si>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</si>
  <si>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</si>
  <si>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11 / 11 PASS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</si>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</sst>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1">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88">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3" fontId="7" fillId="3" borderId="12" xfId="0" applyNumberFormat="1" applyFont="1" applyFill="1" applyBorder="1" applyAlignment="1">
      <alignment horizontal="left" vertical="center" wrapText="1"/>
    </xf>
    <xf numFmtId="0" fontId="15" fillId="0" borderId="0" xfId="0"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0" fontId="20" fillId="0" borderId="0" xfId="0" applyFont="1"/>
    <xf numFmtId="0" fontId="21" fillId="0" borderId="0" xfId="0" applyFont="1"/>
    <xf numFmtId="0" fontId="21" fillId="0" borderId="0" xfId="0" quotePrefix="1" applyFont="1" applyAlignment="1">
      <alignment wrapText="1"/>
    </xf>
    <xf numFmtId="0" fontId="21" fillId="0" borderId="0" xfId="0" applyFont="1" applyAlignment="1">
      <alignment wrapText="1"/>
    </xf>
    <xf numFmtId="0" fontId="21" fillId="0" borderId="0" xfId="0" quotePrefix="1" applyFont="1"/>
    <xf numFmtId="49" fontId="0" fillId="0" borderId="0" xfId="0" applyNumberFormat="1"/>
    <xf numFmtId="49" fontId="8" fillId="0" borderId="0" xfId="0" applyNumberFormat="1" applyFont="1"/>
    <xf numFmtId="0" fontId="0" fillId="10" borderId="0" xfId="0" applyFill="1"/>
    <xf numFmtId="0" fontId="3" fillId="0" borderId="0" xfId="0" applyFont="1" applyAlignment="1">
      <alignment horizontal="left"/>
    </xf>
    <xf numFmtId="0" fontId="1" fillId="0" borderId="0" xfId="0" applyFont="1" applyAlignment="1">
      <alignment horizontal="left"/>
    </xf>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center" wrapText="1"/>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17/06/relationships/rdRichValueStructure" Target="richData/rdrichvaluestructure.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70" zoomScaleNormal="70" workbookViewId="0">
      <selection activeCell="B3" sqref="B3:G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69" t="s">
        <v>3442</v>
      </c>
      <c r="C1" s="70"/>
      <c r="D1" s="70"/>
      <c r="E1" s="70"/>
      <c r="F1" s="70"/>
      <c r="G1" s="71"/>
    </row>
    <row r="2" spans="1:1022" ht="19.25" customHeight="1" thickBot="1" x14ac:dyDescent="0.5">
      <c r="A2" s="27" t="s">
        <v>20</v>
      </c>
      <c r="B2" s="69" t="s">
        <v>3443</v>
      </c>
      <c r="C2" s="70"/>
      <c r="D2" s="70"/>
      <c r="E2" s="70"/>
      <c r="F2" s="70"/>
      <c r="G2" s="71"/>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69" t="s">
        <v>3444</v>
      </c>
      <c r="C3" s="70"/>
      <c r="D3" s="70"/>
      <c r="E3" s="70"/>
      <c r="F3" s="70"/>
      <c r="G3" s="71"/>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77" t="s">
        <v>124</v>
      </c>
      <c r="B5" s="73"/>
      <c r="C5" s="73"/>
      <c r="D5" s="73"/>
      <c r="E5" s="74"/>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78" t="s">
        <v>150</v>
      </c>
      <c r="V8" s="74"/>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2" t="s">
        <v>0</v>
      </c>
      <c r="B33" s="73"/>
      <c r="C33" s="73"/>
      <c r="D33" s="73"/>
      <c r="E33" s="74"/>
      <c r="F33" s="72" t="s">
        <v>2</v>
      </c>
      <c r="G33" s="73"/>
      <c r="H33" s="73"/>
      <c r="I33" s="73"/>
      <c r="J33" s="73"/>
      <c r="K33" s="73"/>
      <c r="L33" s="73"/>
      <c r="M33" s="73"/>
      <c r="N33" s="73"/>
      <c r="O33" s="73"/>
      <c r="P33" s="73"/>
      <c r="Q33" s="73"/>
      <c r="R33" s="73"/>
      <c r="S33" s="73"/>
      <c r="T33" s="73"/>
      <c r="U33" s="74"/>
    </row>
    <row r="34" spans="1:21" ht="19.25" customHeight="1" x14ac:dyDescent="0.45">
      <c r="A34" s="66" t="s">
        <v>2635</v>
      </c>
      <c r="B34" s="67"/>
      <c r="C34" s="67"/>
      <c r="D34" s="67"/>
      <c r="E34" s="67"/>
      <c r="F34" s="26" t="s">
        <v>2636</v>
      </c>
      <c r="G34" s="26"/>
    </row>
    <row r="35" spans="1:21" ht="19.25" customHeight="1" x14ac:dyDescent="0.45">
      <c r="A35" s="79" t="s">
        <v>2637</v>
      </c>
      <c r="B35" s="67"/>
      <c r="C35" s="67"/>
      <c r="D35" s="67"/>
      <c r="E35" s="67"/>
      <c r="F35" s="26" t="s">
        <v>2638</v>
      </c>
      <c r="G35" s="26"/>
    </row>
    <row r="36" spans="1:21" ht="19.25" customHeight="1" x14ac:dyDescent="0.45">
      <c r="A36" s="66" t="s">
        <v>2639</v>
      </c>
      <c r="B36" s="67"/>
      <c r="C36" s="67"/>
      <c r="D36" s="67"/>
      <c r="E36" s="67"/>
      <c r="F36" s="2" t="s">
        <v>2640</v>
      </c>
    </row>
    <row r="37" spans="1:21" ht="19.25" customHeight="1" x14ac:dyDescent="0.45">
      <c r="A37" s="66" t="s">
        <v>2641</v>
      </c>
      <c r="B37" s="67"/>
      <c r="C37" s="67"/>
      <c r="D37" s="67"/>
      <c r="E37" s="67"/>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76"/>
      <c r="D68" s="76"/>
      <c r="E68" s="76"/>
    </row>
    <row r="69" spans="1:21" ht="19.25" customHeight="1" thickBot="1" x14ac:dyDescent="0.55000000000000004">
      <c r="A69" s="15" t="s">
        <v>2738</v>
      </c>
    </row>
    <row r="70" spans="1:21" ht="19.25" customHeight="1" thickBot="1" x14ac:dyDescent="0.55000000000000004">
      <c r="A70" s="72" t="s">
        <v>0</v>
      </c>
      <c r="B70" s="73"/>
      <c r="C70" s="73"/>
      <c r="D70" s="73"/>
      <c r="E70" s="74"/>
      <c r="F70" s="72" t="s">
        <v>2</v>
      </c>
      <c r="G70" s="73"/>
      <c r="H70" s="73"/>
      <c r="I70" s="73"/>
      <c r="J70" s="73"/>
      <c r="K70" s="73"/>
      <c r="L70" s="73"/>
      <c r="M70" s="73"/>
      <c r="N70" s="73"/>
      <c r="O70" s="73"/>
      <c r="P70" s="73"/>
      <c r="Q70" s="73"/>
      <c r="R70" s="73"/>
      <c r="S70" s="73"/>
      <c r="T70" s="73"/>
      <c r="U70" s="74"/>
    </row>
    <row r="71" spans="1:21" ht="19.25" customHeight="1" x14ac:dyDescent="0.45">
      <c r="A71" s="68" t="s">
        <v>2739</v>
      </c>
      <c r="B71" s="67"/>
      <c r="C71" s="67"/>
      <c r="D71" s="67"/>
      <c r="E71" s="67"/>
      <c r="F71" s="26" t="s">
        <v>2740</v>
      </c>
      <c r="G71" s="26"/>
    </row>
    <row r="72" spans="1:21" ht="19.25" customHeight="1" x14ac:dyDescent="0.45">
      <c r="A72" s="68" t="s">
        <v>2741</v>
      </c>
      <c r="B72" s="67"/>
      <c r="C72" s="67"/>
      <c r="D72" s="67"/>
      <c r="E72" s="67"/>
      <c r="F72" s="26" t="s">
        <v>2742</v>
      </c>
    </row>
    <row r="73" spans="1:21" ht="22.5" customHeight="1" x14ac:dyDescent="0.45">
      <c r="A73" s="68" t="s">
        <v>2743</v>
      </c>
      <c r="B73" s="67"/>
      <c r="C73" s="67"/>
      <c r="D73" s="67"/>
      <c r="E73" s="67"/>
      <c r="F73" s="26" t="s">
        <v>2744</v>
      </c>
    </row>
    <row r="74" spans="1:21" ht="19.25" customHeight="1" x14ac:dyDescent="0.45">
      <c r="A74" s="68" t="s">
        <v>2745</v>
      </c>
      <c r="B74" s="67"/>
      <c r="C74" s="67"/>
      <c r="D74" s="67"/>
      <c r="E74" s="67"/>
      <c r="F74" s="67"/>
      <c r="G74" s="67"/>
      <c r="H74" s="67"/>
      <c r="I74" s="67"/>
      <c r="J74" s="67"/>
      <c r="K74" s="67"/>
      <c r="L74" s="67"/>
      <c r="M74" s="75" t="s">
        <v>2746</v>
      </c>
      <c r="N74" s="67"/>
      <c r="O74" s="67"/>
      <c r="P74" s="67"/>
      <c r="Q74" s="67"/>
      <c r="R74" s="67"/>
      <c r="S74" s="67"/>
      <c r="T74" s="67"/>
      <c r="U74" s="67"/>
    </row>
  </sheetData>
  <mergeCells count="19">
    <mergeCell ref="F33:U33"/>
    <mergeCell ref="A71:E71"/>
    <mergeCell ref="B2:G2"/>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54"/>
  <sheetViews>
    <sheetView topLeftCell="A31" zoomScale="85" zoomScaleNormal="85" workbookViewId="0">
      <selection activeCell="B23" sqref="B23"/>
    </sheetView>
  </sheetViews>
  <sheetFormatPr defaultRowHeight="21" x14ac:dyDescent="0.5"/>
  <cols>
    <col min="1" max="1" width="54.5625" customWidth="1"/>
    <col min="2" max="2" width="124.1875" customWidth="1"/>
    <col min="3" max="3" width="58.8125" customWidth="1"/>
    <col min="4" max="4" width="230.75" customWidth="1"/>
  </cols>
  <sheetData>
    <row r="1" spans="1:19" s="46" customFormat="1" ht="19.25" customHeight="1" thickBot="1" x14ac:dyDescent="0.55000000000000004">
      <c r="A1" s="45" t="s">
        <v>0</v>
      </c>
      <c r="B1" s="28" t="s">
        <v>2747</v>
      </c>
      <c r="C1" s="29" t="s">
        <v>4</v>
      </c>
      <c r="D1" s="29" t="s">
        <v>2748</v>
      </c>
      <c r="E1" s="29"/>
      <c r="F1" s="29"/>
      <c r="G1" s="29"/>
      <c r="H1" s="29"/>
      <c r="I1" s="29"/>
      <c r="J1" s="29"/>
      <c r="K1" s="29"/>
      <c r="L1" s="29"/>
      <c r="M1" s="29"/>
      <c r="N1" s="29"/>
      <c r="O1" s="29"/>
      <c r="P1" s="29"/>
      <c r="Q1" s="30"/>
      <c r="R1" s="80"/>
      <c r="S1" s="73"/>
    </row>
    <row r="2" spans="1:19" s="2" customFormat="1" ht="19.25" customHeight="1" x14ac:dyDescent="0.45">
      <c r="A2" s="58" t="s">
        <v>2749</v>
      </c>
      <c r="B2" s="59" t="s">
        <v>2750</v>
      </c>
      <c r="C2" s="60" t="s">
        <v>2751</v>
      </c>
      <c r="D2" s="61" t="s">
        <v>2752</v>
      </c>
    </row>
    <row r="3" spans="1:19" s="2" customFormat="1" ht="19.25" customHeight="1" x14ac:dyDescent="0.45">
      <c r="A3" s="58" t="s">
        <v>2753</v>
      </c>
      <c r="B3" s="59" t="s">
        <v>3374</v>
      </c>
      <c r="C3" s="62" t="s">
        <v>3375</v>
      </c>
      <c r="D3" s="61" t="s">
        <v>3376</v>
      </c>
    </row>
    <row r="4" spans="1:19" s="2" customFormat="1" ht="19.25" customHeight="1" x14ac:dyDescent="0.45">
      <c r="A4" s="58" t="s">
        <v>2754</v>
      </c>
      <c r="B4" s="59" t="s">
        <v>2755</v>
      </c>
      <c r="C4" s="60" t="s">
        <v>2756</v>
      </c>
      <c r="D4" s="61" t="s">
        <v>2757</v>
      </c>
    </row>
    <row r="5" spans="1:19" s="2" customFormat="1" ht="19.25" customHeight="1" x14ac:dyDescent="0.45">
      <c r="A5" s="58" t="s">
        <v>2758</v>
      </c>
      <c r="B5" s="59" t="s">
        <v>2759</v>
      </c>
      <c r="C5" s="60" t="s">
        <v>3390</v>
      </c>
      <c r="D5" s="61" t="s">
        <v>3391</v>
      </c>
    </row>
    <row r="6" spans="1:19" s="2" customFormat="1" ht="19.25" customHeight="1" x14ac:dyDescent="0.45">
      <c r="A6" s="58" t="s">
        <v>2760</v>
      </c>
      <c r="B6" s="59" t="s">
        <v>2761</v>
      </c>
      <c r="C6" s="62" t="s">
        <v>3392</v>
      </c>
      <c r="D6" s="61" t="s">
        <v>3393</v>
      </c>
    </row>
    <row r="7" spans="1:19" s="2" customFormat="1" ht="19.25" customHeight="1" x14ac:dyDescent="0.45">
      <c r="A7" s="58" t="s">
        <v>2762</v>
      </c>
      <c r="B7" s="59" t="s">
        <v>2763</v>
      </c>
      <c r="C7" s="60" t="s">
        <v>2764</v>
      </c>
      <c r="D7" s="61" t="s">
        <v>2765</v>
      </c>
    </row>
    <row r="8" spans="1:19" s="2" customFormat="1" ht="19.25" customHeight="1" x14ac:dyDescent="0.45">
      <c r="A8" s="58" t="s">
        <v>2766</v>
      </c>
      <c r="B8" s="59" t="s">
        <v>2767</v>
      </c>
      <c r="C8" s="60" t="s">
        <v>2768</v>
      </c>
      <c r="D8" s="61" t="s">
        <v>2769</v>
      </c>
    </row>
    <row r="9" spans="1:19" s="2" customFormat="1" ht="19.25" customHeight="1" x14ac:dyDescent="0.45">
      <c r="A9" s="58" t="s">
        <v>2770</v>
      </c>
      <c r="B9" s="59" t="s">
        <v>2771</v>
      </c>
      <c r="C9" s="62" t="s">
        <v>2772</v>
      </c>
      <c r="D9" s="61" t="s">
        <v>2773</v>
      </c>
    </row>
    <row r="10" spans="1:19" s="2" customFormat="1" ht="19.25" customHeight="1" x14ac:dyDescent="0.45">
      <c r="A10" s="58" t="s">
        <v>2774</v>
      </c>
      <c r="B10" s="59" t="s">
        <v>2775</v>
      </c>
      <c r="C10" s="60" t="s">
        <v>2776</v>
      </c>
      <c r="D10" s="61" t="s">
        <v>2777</v>
      </c>
    </row>
    <row r="11" spans="1:19" s="2" customFormat="1" ht="19.25" customHeight="1" x14ac:dyDescent="0.45">
      <c r="A11" s="58" t="s">
        <v>2778</v>
      </c>
      <c r="B11" s="59" t="s">
        <v>2779</v>
      </c>
      <c r="C11" s="60" t="s">
        <v>3394</v>
      </c>
      <c r="D11" s="61" t="s">
        <v>3395</v>
      </c>
    </row>
    <row r="12" spans="1:19" s="2" customFormat="1" ht="19.25" customHeight="1" x14ac:dyDescent="0.45">
      <c r="A12" s="58" t="s">
        <v>2780</v>
      </c>
      <c r="B12" s="59" t="s">
        <v>2781</v>
      </c>
      <c r="C12" s="60" t="s">
        <v>2782</v>
      </c>
      <c r="D12" s="61" t="s">
        <v>2783</v>
      </c>
    </row>
    <row r="13" spans="1:19" s="2" customFormat="1" ht="19.25" customHeight="1" x14ac:dyDescent="0.45">
      <c r="A13" s="58" t="s">
        <v>2784</v>
      </c>
      <c r="B13" s="59" t="s">
        <v>2785</v>
      </c>
      <c r="C13" s="62" t="s">
        <v>2786</v>
      </c>
      <c r="D13" s="61" t="s">
        <v>2787</v>
      </c>
    </row>
    <row r="14" spans="1:19" s="2" customFormat="1" ht="19.25" customHeight="1" x14ac:dyDescent="0.45">
      <c r="A14" s="58" t="s">
        <v>2788</v>
      </c>
      <c r="B14" s="59" t="s">
        <v>2789</v>
      </c>
      <c r="C14" s="60" t="s">
        <v>2790</v>
      </c>
      <c r="D14" s="61" t="s">
        <v>2791</v>
      </c>
    </row>
    <row r="15" spans="1:19" s="2" customFormat="1" ht="19.25" customHeight="1" x14ac:dyDescent="0.45">
      <c r="A15" s="58" t="s">
        <v>2792</v>
      </c>
      <c r="B15" s="59" t="s">
        <v>2793</v>
      </c>
      <c r="C15" s="60" t="s">
        <v>2794</v>
      </c>
      <c r="D15" s="61" t="s">
        <v>2795</v>
      </c>
    </row>
    <row r="16" spans="1:19" s="2" customFormat="1" ht="19.25" customHeight="1" x14ac:dyDescent="0.45">
      <c r="A16" s="58" t="s">
        <v>2796</v>
      </c>
      <c r="B16" s="59" t="s">
        <v>2797</v>
      </c>
      <c r="C16" s="60" t="s">
        <v>2798</v>
      </c>
      <c r="D16" s="61" t="s">
        <v>2799</v>
      </c>
    </row>
    <row r="17" spans="1:4" s="2" customFormat="1" ht="19.25" customHeight="1" x14ac:dyDescent="0.45">
      <c r="A17" s="58" t="s">
        <v>2800</v>
      </c>
      <c r="B17" s="59" t="s">
        <v>2801</v>
      </c>
      <c r="C17" s="60" t="s">
        <v>3396</v>
      </c>
      <c r="D17" s="61" t="s">
        <v>3397</v>
      </c>
    </row>
    <row r="18" spans="1:4" s="2" customFormat="1" ht="19.25" customHeight="1" x14ac:dyDescent="0.45">
      <c r="A18" s="58" t="s">
        <v>2802</v>
      </c>
      <c r="B18" s="59" t="s">
        <v>2803</v>
      </c>
      <c r="C18" s="60" t="s">
        <v>2804</v>
      </c>
      <c r="D18" s="61" t="s">
        <v>2805</v>
      </c>
    </row>
    <row r="19" spans="1:4" s="2" customFormat="1" ht="19.25" customHeight="1" x14ac:dyDescent="0.45">
      <c r="A19" s="58" t="s">
        <v>2806</v>
      </c>
      <c r="B19" s="59" t="s">
        <v>2807</v>
      </c>
      <c r="C19" s="60" t="s">
        <v>2808</v>
      </c>
      <c r="D19" s="61" t="s">
        <v>2809</v>
      </c>
    </row>
    <row r="20" spans="1:4" s="2" customFormat="1" ht="19.25" customHeight="1" x14ac:dyDescent="0.45">
      <c r="A20" s="58" t="s">
        <v>2810</v>
      </c>
      <c r="B20" s="59" t="s">
        <v>2811</v>
      </c>
      <c r="C20" s="60" t="s">
        <v>2812</v>
      </c>
      <c r="D20" s="61" t="s">
        <v>2813</v>
      </c>
    </row>
    <row r="21" spans="1:4" s="2" customFormat="1" ht="19.25" customHeight="1" x14ac:dyDescent="0.45">
      <c r="A21" s="58" t="s">
        <v>2814</v>
      </c>
      <c r="B21" s="59" t="s">
        <v>2815</v>
      </c>
      <c r="C21" s="60" t="s">
        <v>2816</v>
      </c>
      <c r="D21" s="61" t="s">
        <v>2817</v>
      </c>
    </row>
    <row r="22" spans="1:4" s="2" customFormat="1" ht="19.25" customHeight="1" x14ac:dyDescent="0.45">
      <c r="A22" s="58" t="s">
        <v>2818</v>
      </c>
      <c r="B22" s="59" t="s">
        <v>2819</v>
      </c>
      <c r="C22" s="60" t="s">
        <v>2820</v>
      </c>
      <c r="D22" s="61" t="s">
        <v>2821</v>
      </c>
    </row>
    <row r="23" spans="1:4" s="2" customFormat="1" ht="19.25" customHeight="1" x14ac:dyDescent="0.45">
      <c r="A23" s="58" t="s">
        <v>2822</v>
      </c>
      <c r="B23" s="59" t="s">
        <v>2823</v>
      </c>
      <c r="C23" s="60" t="s">
        <v>2824</v>
      </c>
      <c r="D23" s="61" t="s">
        <v>2825</v>
      </c>
    </row>
    <row r="24" spans="1:4" s="2" customFormat="1" ht="19.25" customHeight="1" x14ac:dyDescent="0.45">
      <c r="A24" s="58" t="s">
        <v>2826</v>
      </c>
      <c r="B24" s="59" t="s">
        <v>2827</v>
      </c>
      <c r="C24" s="60" t="s">
        <v>2828</v>
      </c>
      <c r="D24" s="61" t="s">
        <v>2829</v>
      </c>
    </row>
    <row r="25" spans="1:4" s="2" customFormat="1" ht="19.25" customHeight="1" x14ac:dyDescent="0.45">
      <c r="A25" s="58" t="s">
        <v>2830</v>
      </c>
      <c r="B25" s="59" t="s">
        <v>2831</v>
      </c>
      <c r="C25" s="60" t="s">
        <v>2832</v>
      </c>
      <c r="D25" s="61" t="s">
        <v>2833</v>
      </c>
    </row>
    <row r="26" spans="1:4" s="2" customFormat="1" ht="19.25" customHeight="1" x14ac:dyDescent="0.45">
      <c r="A26" s="58" t="s">
        <v>2834</v>
      </c>
      <c r="B26" s="59" t="s">
        <v>2835</v>
      </c>
      <c r="C26" s="62" t="s">
        <v>2836</v>
      </c>
      <c r="D26" s="61" t="s">
        <v>2837</v>
      </c>
    </row>
    <row r="27" spans="1:4" s="2" customFormat="1" ht="19.25" customHeight="1" x14ac:dyDescent="0.45">
      <c r="A27" s="58" t="s">
        <v>2838</v>
      </c>
      <c r="B27" s="59" t="s">
        <v>2839</v>
      </c>
      <c r="C27" s="60" t="s">
        <v>3398</v>
      </c>
      <c r="D27" s="61" t="s">
        <v>3399</v>
      </c>
    </row>
    <row r="28" spans="1:4" s="2" customFormat="1" ht="19.25" customHeight="1" x14ac:dyDescent="0.45">
      <c r="A28" s="58" t="s">
        <v>2840</v>
      </c>
      <c r="B28" s="59" t="s">
        <v>2841</v>
      </c>
      <c r="C28" s="60" t="s">
        <v>3400</v>
      </c>
      <c r="D28" s="61" t="s">
        <v>3401</v>
      </c>
    </row>
    <row r="29" spans="1:4" s="2" customFormat="1" ht="19.25" customHeight="1" x14ac:dyDescent="0.45">
      <c r="A29" s="58" t="s">
        <v>2842</v>
      </c>
      <c r="B29" s="59" t="s">
        <v>2843</v>
      </c>
      <c r="C29" s="60" t="s">
        <v>2844</v>
      </c>
      <c r="D29" s="61" t="s">
        <v>2845</v>
      </c>
    </row>
    <row r="30" spans="1:4" s="2" customFormat="1" ht="19.25" customHeight="1" x14ac:dyDescent="0.45">
      <c r="A30" s="58" t="s">
        <v>2846</v>
      </c>
      <c r="B30" s="59" t="s">
        <v>2847</v>
      </c>
      <c r="C30" s="60" t="s">
        <v>2848</v>
      </c>
      <c r="D30" s="61" t="s">
        <v>2849</v>
      </c>
    </row>
    <row r="31" spans="1:4" s="2" customFormat="1" ht="19.25" customHeight="1" x14ac:dyDescent="0.45">
      <c r="A31" s="58" t="s">
        <v>2850</v>
      </c>
      <c r="B31" s="59" t="s">
        <v>2851</v>
      </c>
      <c r="C31" s="60" t="s">
        <v>2852</v>
      </c>
      <c r="D31" s="61" t="s">
        <v>2853</v>
      </c>
    </row>
    <row r="32" spans="1:4" s="2" customFormat="1" ht="19.25" customHeight="1" x14ac:dyDescent="0.45">
      <c r="A32" s="58" t="s">
        <v>2854</v>
      </c>
      <c r="B32" s="59" t="s">
        <v>2855</v>
      </c>
      <c r="C32" s="60" t="s">
        <v>2856</v>
      </c>
      <c r="D32" s="61" t="s">
        <v>2857</v>
      </c>
    </row>
    <row r="33" spans="1:4" s="2" customFormat="1" ht="19.25" customHeight="1" x14ac:dyDescent="0.45">
      <c r="A33" s="58" t="s">
        <v>2858</v>
      </c>
      <c r="B33" s="59" t="s">
        <v>2859</v>
      </c>
      <c r="C33" s="60" t="s">
        <v>2860</v>
      </c>
      <c r="D33" s="61" t="s">
        <v>2861</v>
      </c>
    </row>
    <row r="34" spans="1:4" s="2" customFormat="1" ht="19.25" customHeight="1" x14ac:dyDescent="0.45">
      <c r="A34" s="58" t="s">
        <v>2862</v>
      </c>
      <c r="B34" s="59" t="s">
        <v>2863</v>
      </c>
      <c r="C34" s="60" t="s">
        <v>2864</v>
      </c>
      <c r="D34" s="61" t="s">
        <v>2865</v>
      </c>
    </row>
    <row r="35" spans="1:4" s="2" customFormat="1" ht="19.25" customHeight="1" x14ac:dyDescent="0.45">
      <c r="A35" s="58" t="s">
        <v>2866</v>
      </c>
      <c r="B35" s="59" t="s">
        <v>2867</v>
      </c>
      <c r="C35" s="60" t="s">
        <v>3402</v>
      </c>
      <c r="D35" s="61" t="s">
        <v>3403</v>
      </c>
    </row>
    <row r="36" spans="1:4" s="2" customFormat="1" ht="19.25" customHeight="1" x14ac:dyDescent="0.45">
      <c r="A36" s="58" t="s">
        <v>2868</v>
      </c>
      <c r="B36" s="59" t="s">
        <v>2869</v>
      </c>
      <c r="C36" s="62" t="s">
        <v>3404</v>
      </c>
      <c r="D36" s="61" t="s">
        <v>3405</v>
      </c>
    </row>
    <row r="37" spans="1:4" s="2" customFormat="1" ht="19.25" customHeight="1" x14ac:dyDescent="0.45">
      <c r="A37" s="58" t="s">
        <v>2874</v>
      </c>
      <c r="B37" s="59" t="s">
        <v>2875</v>
      </c>
      <c r="C37" s="60" t="s">
        <v>2876</v>
      </c>
      <c r="D37" s="61" t="s">
        <v>2877</v>
      </c>
    </row>
    <row r="38" spans="1:4" s="2" customFormat="1" ht="19.25" customHeight="1" x14ac:dyDescent="0.45">
      <c r="A38" s="58" t="s">
        <v>2878</v>
      </c>
      <c r="B38" s="59" t="s">
        <v>2879</v>
      </c>
      <c r="C38" s="60" t="s">
        <v>2880</v>
      </c>
      <c r="D38" s="61" t="s">
        <v>2881</v>
      </c>
    </row>
    <row r="39" spans="1:4" s="2" customFormat="1" ht="19.25" customHeight="1" x14ac:dyDescent="0.45">
      <c r="A39" s="58" t="s">
        <v>2870</v>
      </c>
      <c r="B39" s="59" t="s">
        <v>2871</v>
      </c>
      <c r="C39" s="60" t="s">
        <v>2872</v>
      </c>
      <c r="D39" s="61" t="s">
        <v>2873</v>
      </c>
    </row>
    <row r="40" spans="1:4" s="2" customFormat="1" ht="19.25" customHeight="1" x14ac:dyDescent="0.45">
      <c r="A40" s="58" t="s">
        <v>2882</v>
      </c>
      <c r="B40" s="59" t="s">
        <v>2883</v>
      </c>
      <c r="C40" s="60" t="s">
        <v>2884</v>
      </c>
      <c r="D40" s="61" t="s">
        <v>2885</v>
      </c>
    </row>
    <row r="41" spans="1:4" s="2" customFormat="1" ht="19.25" customHeight="1" x14ac:dyDescent="0.45">
      <c r="A41" s="58" t="s">
        <v>2886</v>
      </c>
      <c r="B41" s="59" t="s">
        <v>2887</v>
      </c>
      <c r="C41" s="60" t="s">
        <v>3406</v>
      </c>
      <c r="D41" s="61" t="s">
        <v>3407</v>
      </c>
    </row>
    <row r="42" spans="1:4" s="2" customFormat="1" ht="19.25" customHeight="1" x14ac:dyDescent="0.45">
      <c r="A42" s="58" t="s">
        <v>2888</v>
      </c>
      <c r="B42" s="59" t="s">
        <v>2889</v>
      </c>
      <c r="C42" s="60" t="s">
        <v>2890</v>
      </c>
      <c r="D42" s="61" t="s">
        <v>2891</v>
      </c>
    </row>
    <row r="43" spans="1:4" s="2" customFormat="1" ht="19.25" customHeight="1" x14ac:dyDescent="0.45">
      <c r="A43" s="58" t="s">
        <v>2892</v>
      </c>
      <c r="B43" s="59" t="s">
        <v>2893</v>
      </c>
      <c r="C43" s="60" t="s">
        <v>2894</v>
      </c>
      <c r="D43" s="61" t="s">
        <v>2895</v>
      </c>
    </row>
    <row r="44" spans="1:4" s="2" customFormat="1" ht="19.25" customHeight="1" x14ac:dyDescent="0.45">
      <c r="A44" s="58" t="s">
        <v>2896</v>
      </c>
      <c r="B44" s="59" t="s">
        <v>2897</v>
      </c>
      <c r="C44" s="60" t="s">
        <v>2898</v>
      </c>
      <c r="D44" s="61" t="s">
        <v>2899</v>
      </c>
    </row>
    <row r="45" spans="1:4" s="2" customFormat="1" ht="19.25" customHeight="1" x14ac:dyDescent="0.45">
      <c r="A45" s="58" t="s">
        <v>2900</v>
      </c>
      <c r="B45" s="59" t="s">
        <v>2901</v>
      </c>
      <c r="C45" s="60" t="s">
        <v>2902</v>
      </c>
      <c r="D45" s="61" t="s">
        <v>2903</v>
      </c>
    </row>
    <row r="46" spans="1:4" s="2" customFormat="1" ht="19.25" customHeight="1" x14ac:dyDescent="0.45">
      <c r="A46" s="58" t="s">
        <v>1</v>
      </c>
      <c r="B46" s="59" t="s">
        <v>2904</v>
      </c>
      <c r="C46" s="60" t="s">
        <v>5</v>
      </c>
      <c r="D46" s="61" t="s">
        <v>3</v>
      </c>
    </row>
    <row r="47" spans="1:4" s="2" customFormat="1" ht="19.25" customHeight="1" x14ac:dyDescent="0.45">
      <c r="A47" s="58" t="s">
        <v>2905</v>
      </c>
      <c r="B47" s="59" t="s">
        <v>2906</v>
      </c>
      <c r="C47" s="62" t="s">
        <v>2907</v>
      </c>
      <c r="D47" s="61" t="s">
        <v>2908</v>
      </c>
    </row>
    <row r="48" spans="1:4" s="2" customFormat="1" ht="19.25" customHeight="1" x14ac:dyDescent="0.45">
      <c r="A48" s="58" t="s">
        <v>2909</v>
      </c>
      <c r="B48" s="59" t="s">
        <v>2910</v>
      </c>
      <c r="C48" s="60" t="s">
        <v>2911</v>
      </c>
      <c r="D48" s="61" t="s">
        <v>2912</v>
      </c>
    </row>
    <row r="49" spans="1:4" s="2" customFormat="1" ht="19.25" customHeight="1" x14ac:dyDescent="0.45">
      <c r="A49" s="58" t="s">
        <v>2913</v>
      </c>
      <c r="B49" s="59" t="s">
        <v>2914</v>
      </c>
      <c r="C49" s="60" t="s">
        <v>3408</v>
      </c>
      <c r="D49" s="61" t="s">
        <v>3409</v>
      </c>
    </row>
    <row r="50" spans="1:4" s="2" customFormat="1" ht="19.25" customHeight="1" x14ac:dyDescent="0.45">
      <c r="A50" s="58" t="s">
        <v>2915</v>
      </c>
      <c r="B50" s="59" t="s">
        <v>2916</v>
      </c>
      <c r="C50" s="60" t="s">
        <v>3410</v>
      </c>
      <c r="D50" s="61" t="s">
        <v>3411</v>
      </c>
    </row>
    <row r="51" spans="1:4" s="2" customFormat="1" ht="19.25" customHeight="1" x14ac:dyDescent="0.45">
      <c r="A51" s="58" t="s">
        <v>2917</v>
      </c>
      <c r="B51" s="59" t="s">
        <v>2918</v>
      </c>
      <c r="C51" s="60" t="s">
        <v>2919</v>
      </c>
      <c r="D51" s="61" t="s">
        <v>2920</v>
      </c>
    </row>
    <row r="52" spans="1:4" ht="19.25" customHeight="1" x14ac:dyDescent="0.5">
      <c r="A52" s="58" t="s">
        <v>2921</v>
      </c>
      <c r="B52" s="59" t="s">
        <v>2922</v>
      </c>
      <c r="C52" s="60" t="s">
        <v>3412</v>
      </c>
      <c r="D52" s="61" t="s">
        <v>3413</v>
      </c>
    </row>
    <row r="53" spans="1:4" ht="19.25" customHeight="1" x14ac:dyDescent="0.5">
      <c r="A53" s="58" t="s">
        <v>2923</v>
      </c>
      <c r="B53" s="59" t="s">
        <v>2924</v>
      </c>
      <c r="C53" s="60" t="s">
        <v>2925</v>
      </c>
      <c r="D53" s="61" t="s">
        <v>2926</v>
      </c>
    </row>
    <row r="54" spans="1:4" ht="19.25" customHeight="1" x14ac:dyDescent="0.5">
      <c r="A54" s="58" t="s">
        <v>2927</v>
      </c>
      <c r="B54" s="59" t="s">
        <v>2928</v>
      </c>
      <c r="C54" s="60" t="s">
        <v>2929</v>
      </c>
      <c r="D54" s="61" t="s">
        <v>2930</v>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6"/>
  <sheetViews>
    <sheetView tabSelected="1" workbookViewId="0">
      <pane ySplit="4" topLeftCell="A44" activePane="bottomLeft" state="frozen"/>
      <selection pane="bottomLeft" activeCell="E48" sqref="E48"/>
    </sheetView>
  </sheetViews>
  <sheetFormatPr defaultRowHeight="21" x14ac:dyDescent="0.5"/>
  <cols>
    <col min="1" max="1" width="18" customWidth="1"/>
    <col min="2" max="4" width="8" customWidth="1"/>
    <col min="5" max="5" width="14" customWidth="1"/>
  </cols>
  <sheetData>
    <row r="1" spans="1:5" x14ac:dyDescent="0.5">
      <c r="A1" s="47" t="s">
        <v>2931</v>
      </c>
    </row>
    <row r="2" spans="1:5" x14ac:dyDescent="0.5">
      <c r="A2" s="48" t="s">
        <v>2932</v>
      </c>
    </row>
    <row r="4" spans="1:5" x14ac:dyDescent="0.5">
      <c r="A4" s="47" t="s">
        <v>2933</v>
      </c>
      <c r="B4" s="50" t="s">
        <v>2934</v>
      </c>
      <c r="C4" s="52" t="s">
        <v>2935</v>
      </c>
      <c r="D4" s="47" t="s">
        <v>2936</v>
      </c>
      <c r="E4" s="47" t="s">
        <v>2937</v>
      </c>
    </row>
    <row r="5" spans="1:5" x14ac:dyDescent="0.5">
      <c r="A5" s="48" t="s">
        <v>2938</v>
      </c>
      <c r="B5" s="54">
        <f ca="1">COUNTIF(addr_lookup!$A:$BZ,"PASS")</f>
        <v>5</v>
      </c>
      <c r="C5" s="56">
        <f ca="1">COUNTIF(addr_lookup!$A:$BZ,"FAIL")</f>
        <v>0</v>
      </c>
      <c r="D5" s="48">
        <f ca="1">B5+C5</f>
        <v>5</v>
      </c>
      <c r="E5" s="48" t="str">
        <f ca="1">IF(C5&gt;0,"FAIL ("&amp;C5&amp;")",IF(D5=0,"-","all pass"))</f>
        <v>all pass</v>
      </c>
    </row>
    <row r="6" spans="1:5" x14ac:dyDescent="0.5">
      <c r="A6" s="48" t="s">
        <v>2939</v>
      </c>
      <c r="B6" s="54">
        <f ca="1">COUNTIF(arrow!$A:$BZ,"PASS")</f>
        <v>7</v>
      </c>
      <c r="C6" s="56">
        <f ca="1">COUNTIF(arrow!$A:$BZ,"FAIL")</f>
        <v>0</v>
      </c>
      <c r="D6" s="48">
        <f ca="1">B6+C6</f>
        <v>7</v>
      </c>
      <c r="E6" s="48" t="str">
        <f ca="1">IF(C6&gt;0,"FAIL ("&amp;C6&amp;")",IF(D6=0,"-","all pass"))</f>
        <v>all pass</v>
      </c>
    </row>
    <row r="7" spans="1:5" x14ac:dyDescent="0.5">
      <c r="A7" s="48" t="s">
        <v>2940</v>
      </c>
      <c r="B7" s="54">
        <f ca="1">COUNTIF(arrow_move!$A:$BZ,"PASS")</f>
        <v>5</v>
      </c>
      <c r="C7" s="56">
        <f ca="1">COUNTIF(arrow_move!$A:$BZ,"FAIL")</f>
        <v>0</v>
      </c>
      <c r="D7" s="48">
        <f ca="1">B7+C7</f>
        <v>5</v>
      </c>
      <c r="E7" s="48" t="str">
        <f ca="1">IF(C7&gt;0,"FAIL ("&amp;C7&amp;")",IF(D7=0,"-","all pass"))</f>
        <v>all pass</v>
      </c>
    </row>
    <row r="8" spans="1:5" x14ac:dyDescent="0.5">
      <c r="A8" s="48" t="s">
        <v>2941</v>
      </c>
      <c r="B8" s="54">
        <f ca="1">COUNTIF(arrow_trip!$A:$BZ,"PASS")</f>
        <v>5</v>
      </c>
      <c r="C8" s="56">
        <f ca="1">COUNTIF(arrow_trip!$A:$BZ,"FAIL")</f>
        <v>0</v>
      </c>
      <c r="D8" s="48">
        <f ca="1">B8+C8</f>
        <v>5</v>
      </c>
      <c r="E8" s="48" t="str">
        <f ca="1">IF(C8&gt;0,"FAIL ("&amp;C8&amp;")",IF(D8=0,"-","all pass"))</f>
        <v>all pass</v>
      </c>
    </row>
    <row r="9" spans="1:5" x14ac:dyDescent="0.5">
      <c r="A9" s="48" t="s">
        <v>2942</v>
      </c>
      <c r="B9" s="54">
        <f ca="1">COUNTIF(biggest!$A:$BZ,"PASS")</f>
        <v>3</v>
      </c>
      <c r="C9" s="56">
        <f ca="1">COUNTIF(biggest!$A:$BZ,"FAIL")</f>
        <v>0</v>
      </c>
      <c r="D9" s="48">
        <f ca="1">B9+C9</f>
        <v>3</v>
      </c>
      <c r="E9" s="48" t="str">
        <f ca="1">IF(C9&gt;0,"FAIL ("&amp;C9&amp;")",IF(D9=0,"-","all pass"))</f>
        <v>all pass</v>
      </c>
    </row>
    <row r="10" spans="1:5" x14ac:dyDescent="0.5">
      <c r="A10" s="48" t="s">
        <v>2943</v>
      </c>
      <c r="B10" s="54">
        <f ca="1">COUNTIF(clamp!$A:$BZ,"PASS")</f>
        <v>5</v>
      </c>
      <c r="C10" s="56">
        <f ca="1">COUNTIF(clamp!$A:$BZ,"FAIL")</f>
        <v>0</v>
      </c>
      <c r="D10" s="48">
        <f ca="1">B10+C10</f>
        <v>5</v>
      </c>
      <c r="E10" s="48" t="str">
        <f ca="1">IF(C10&gt;0,"FAIL ("&amp;C10&amp;")",IF(D10=0,"-","all pass"))</f>
        <v>all pass</v>
      </c>
    </row>
    <row r="11" spans="1:5" x14ac:dyDescent="0.5">
      <c r="A11" s="48" t="s">
        <v>2944</v>
      </c>
      <c r="B11" s="54">
        <f ca="1">COUNTIF(count_substring!$A:$BZ,"PASS")</f>
        <v>6</v>
      </c>
      <c r="C11" s="56">
        <f ca="1">COUNTIF(count_substring!$A:$BZ,"FAIL")</f>
        <v>0</v>
      </c>
      <c r="D11" s="48">
        <f ca="1">B11+C11</f>
        <v>6</v>
      </c>
      <c r="E11" s="48" t="str">
        <f ca="1">IF(C11&gt;0,"FAIL ("&amp;C11&amp;")",IF(D11=0,"-","all pass"))</f>
        <v>all pass</v>
      </c>
    </row>
    <row r="12" spans="1:5" x14ac:dyDescent="0.5">
      <c r="A12" s="48" t="s">
        <v>2945</v>
      </c>
      <c r="B12" s="54">
        <f ca="1">COUNTIF(ctotal!$A:$BZ,"PASS")</f>
        <v>4</v>
      </c>
      <c r="C12" s="56">
        <f ca="1">COUNTIF(ctotal!$A:$BZ,"FAIL")</f>
        <v>0</v>
      </c>
      <c r="D12" s="48">
        <f ca="1">B12+C12</f>
        <v>4</v>
      </c>
      <c r="E12" s="48" t="str">
        <f ca="1">IF(C12&gt;0,"FAIL ("&amp;C12&amp;")",IF(D12=0,"-","all pass"))</f>
        <v>all pass</v>
      </c>
    </row>
    <row r="13" spans="1:5" x14ac:dyDescent="0.5">
      <c r="A13" s="48" t="s">
        <v>2946</v>
      </c>
      <c r="B13" s="54">
        <f ca="1">COUNTIF(cycles!$A:$BZ,"PASS")</f>
        <v>2</v>
      </c>
      <c r="C13" s="56">
        <f ca="1">COUNTIF(cycles!$A:$BZ,"FAIL")</f>
        <v>0</v>
      </c>
      <c r="D13" s="48">
        <f ca="1">B13+C13</f>
        <v>2</v>
      </c>
      <c r="E13" s="48" t="str">
        <f ca="1">IF(C13&gt;0,"FAIL ("&amp;C13&amp;")",IF(D13=0,"-","all pass"))</f>
        <v>all pass</v>
      </c>
    </row>
    <row r="14" spans="1:5" x14ac:dyDescent="0.5">
      <c r="A14" s="48" t="s">
        <v>2947</v>
      </c>
      <c r="B14" s="54">
        <f ca="1">COUNTIF(die_pips!$A:$BZ,"PASS")</f>
        <v>5</v>
      </c>
      <c r="C14" s="56">
        <f ca="1">COUNTIF(die_pips!$A:$BZ,"FAIL")</f>
        <v>0</v>
      </c>
      <c r="D14" s="48">
        <f ca="1">B14+C14</f>
        <v>5</v>
      </c>
      <c r="E14" s="48" t="str">
        <f ca="1">IF(C14&gt;0,"FAIL ("&amp;C14&amp;")",IF(D14=0,"-","all pass"))</f>
        <v>all pass</v>
      </c>
    </row>
    <row r="15" spans="1:5" x14ac:dyDescent="0.5">
      <c r="A15" s="48" t="s">
        <v>2948</v>
      </c>
      <c r="B15" s="54">
        <f ca="1">COUNTIF(dist!$A:$BZ,"PASS")</f>
        <v>7</v>
      </c>
      <c r="C15" s="56">
        <f ca="1">COUNTIF(dist!$A:$BZ,"FAIL")</f>
        <v>0</v>
      </c>
      <c r="D15" s="48">
        <f ca="1">B15+C15</f>
        <v>7</v>
      </c>
      <c r="E15" s="48" t="str">
        <f ca="1">IF(C15&gt;0,"FAIL ("&amp;C15&amp;")",IF(D15=0,"-","all pass"))</f>
        <v>all pass</v>
      </c>
    </row>
    <row r="16" spans="1:5" x14ac:dyDescent="0.5">
      <c r="A16" s="48" t="s">
        <v>2949</v>
      </c>
      <c r="B16" s="54">
        <f ca="1">COUNTIF(exists!$A:$BZ,"PASS")</f>
        <v>4</v>
      </c>
      <c r="C16" s="56">
        <f ca="1">COUNTIF(exists!$A:$BZ,"FAIL")</f>
        <v>0</v>
      </c>
      <c r="D16" s="48">
        <f ca="1">B16+C16</f>
        <v>4</v>
      </c>
      <c r="E16" s="48" t="str">
        <f ca="1">IF(C16&gt;0,"FAIL ("&amp;C16&amp;")",IF(D16=0,"-","all pass"))</f>
        <v>all pass</v>
      </c>
    </row>
    <row r="17" spans="1:5" x14ac:dyDescent="0.5">
      <c r="A17" s="48" t="s">
        <v>2950</v>
      </c>
      <c r="B17" s="54">
        <f ca="1">COUNTIF(freq_table!$A:$BZ,"PASS")</f>
        <v>5</v>
      </c>
      <c r="C17" s="56">
        <f ca="1">COUNTIF(freq_table!$A:$BZ,"FAIL")</f>
        <v>0</v>
      </c>
      <c r="D17" s="48">
        <f ca="1">B17+C17</f>
        <v>5</v>
      </c>
      <c r="E17" s="48" t="str">
        <f ca="1">IF(C17&gt;0,"FAIL ("&amp;C17&amp;")",IF(D17=0,"-","all pass"))</f>
        <v>all pass</v>
      </c>
    </row>
    <row r="18" spans="1:5" x14ac:dyDescent="0.5">
      <c r="A18" s="48" t="s">
        <v>2951</v>
      </c>
      <c r="B18" s="54">
        <f ca="1">COUNTIF(is_unique!$A:$BZ,"PASS")</f>
        <v>4</v>
      </c>
      <c r="C18" s="56">
        <f ca="1">COUNTIF(is_unique!$A:$BZ,"FAIL")</f>
        <v>0</v>
      </c>
      <c r="D18" s="48">
        <f ca="1">B18+C18</f>
        <v>4</v>
      </c>
      <c r="E18" s="48" t="str">
        <f ca="1">IF(C18&gt;0,"FAIL ("&amp;C18&amp;")",IF(D18=0,"-","all pass"))</f>
        <v>all pass</v>
      </c>
    </row>
    <row r="19" spans="1:5" x14ac:dyDescent="0.5">
      <c r="A19" s="48" t="s">
        <v>2952</v>
      </c>
      <c r="B19" s="54">
        <f ca="1">COUNTIF(knight_moves!$A:$BZ,"PASS")</f>
        <v>7</v>
      </c>
      <c r="C19" s="56">
        <f ca="1">COUNTIF(knight_moves!$A:$BZ,"FAIL")</f>
        <v>0</v>
      </c>
      <c r="D19" s="48">
        <f ca="1">B19+C19</f>
        <v>7</v>
      </c>
      <c r="E19" s="48" t="str">
        <f ca="1">IF(C19&gt;0,"FAIL ("&amp;C19&amp;")",IF(D19=0,"-","all pass"))</f>
        <v>all pass</v>
      </c>
    </row>
    <row r="20" spans="1:5" x14ac:dyDescent="0.5">
      <c r="A20" s="48" t="s">
        <v>2953</v>
      </c>
      <c r="B20" s="54">
        <f ca="1">COUNTIF(label_lookup!$A:$BZ,"PASS")</f>
        <v>4</v>
      </c>
      <c r="C20" s="56">
        <f ca="1">COUNTIF(label_lookup!$A:$BZ,"FAIL")</f>
        <v>0</v>
      </c>
      <c r="D20" s="48">
        <f ca="1">B20+C20</f>
        <v>4</v>
      </c>
      <c r="E20" s="48" t="str">
        <f ca="1">IF(C20&gt;0,"FAIL ("&amp;C20&amp;")",IF(D20=0,"-","all pass"))</f>
        <v>all pass</v>
      </c>
    </row>
    <row r="21" spans="1:5" x14ac:dyDescent="0.5">
      <c r="A21" s="48" t="s">
        <v>2954</v>
      </c>
      <c r="B21" s="54">
        <f ca="1">COUNTIF(load_array!$A:$BZ,"PASS")</f>
        <v>3</v>
      </c>
      <c r="C21" s="56">
        <f ca="1">COUNTIF(load_array!$A:$BZ,"FAIL")</f>
        <v>0</v>
      </c>
      <c r="D21" s="48">
        <f ca="1">B21+C21</f>
        <v>3</v>
      </c>
      <c r="E21" s="48" t="str">
        <f ca="1">IF(C21&gt;0,"FAIL ("&amp;C21&amp;")",IF(D21=0,"-","all pass"))</f>
        <v>all pass</v>
      </c>
    </row>
    <row r="22" spans="1:5" x14ac:dyDescent="0.5">
      <c r="A22" s="48" t="s">
        <v>2955</v>
      </c>
      <c r="B22" s="54">
        <f ca="1">COUNTIF(neighbors_count!$A:$BZ,"PASS")</f>
        <v>3</v>
      </c>
      <c r="C22" s="56">
        <f ca="1">COUNTIF(neighbors_count!$A:$BZ,"FAIL")</f>
        <v>0</v>
      </c>
      <c r="D22" s="48">
        <f ca="1">B22+C22</f>
        <v>3</v>
      </c>
      <c r="E22" s="48" t="str">
        <f ca="1">IF(C22&gt;0,"FAIL ("&amp;C22&amp;")",IF(D22=0,"-","all pass"))</f>
        <v>all pass</v>
      </c>
    </row>
    <row r="23" spans="1:5" x14ac:dyDescent="0.5">
      <c r="A23" s="48" t="s">
        <v>2956</v>
      </c>
      <c r="B23" s="54">
        <f ca="1">COUNTIF(neighbors_list!$A:$BZ,"PASS")</f>
        <v>5</v>
      </c>
      <c r="C23" s="56">
        <f ca="1">COUNTIF(neighbors_list!$A:$BZ,"FAIL")</f>
        <v>0</v>
      </c>
      <c r="D23" s="48">
        <f ca="1">B23+C23</f>
        <v>5</v>
      </c>
      <c r="E23" s="48" t="str">
        <f ca="1">IF(C23&gt;0,"FAIL ("&amp;C23&amp;")",IF(D23=0,"-","all pass"))</f>
        <v>all pass</v>
      </c>
    </row>
    <row r="24" spans="1:5" x14ac:dyDescent="0.5">
      <c r="A24" s="48" t="s">
        <v>2957</v>
      </c>
      <c r="B24" s="54">
        <f ca="1">COUNTIF(num_ad!$A:$BZ,"PASS")</f>
        <v>6</v>
      </c>
      <c r="C24" s="56">
        <f ca="1">COUNTIF(num_ad!$A:$BZ,"FAIL")</f>
        <v>0</v>
      </c>
      <c r="D24" s="48">
        <f ca="1">B24+C24</f>
        <v>6</v>
      </c>
      <c r="E24" s="48" t="str">
        <f ca="1">IF(C24&gt;0,"FAIL ("&amp;C24&amp;")",IF(D24=0,"-","all pass"))</f>
        <v>all pass</v>
      </c>
    </row>
    <row r="25" spans="1:5" x14ac:dyDescent="0.5">
      <c r="A25" s="48" t="s">
        <v>2958</v>
      </c>
      <c r="B25" s="54">
        <f ca="1">COUNTIF(offset_letter!$A:$BZ,"PASS")</f>
        <v>6</v>
      </c>
      <c r="C25" s="56">
        <f ca="1">COUNTIF(offset_letter!$A:$BZ,"FAIL")</f>
        <v>0</v>
      </c>
      <c r="D25" s="48">
        <f ca="1">B25+C25</f>
        <v>6</v>
      </c>
      <c r="E25" s="48" t="str">
        <f ca="1">IF(C25&gt;0,"FAIL ("&amp;C25&amp;")",IF(D25=0,"-","all pass"))</f>
        <v>all pass</v>
      </c>
    </row>
    <row r="26" spans="1:5" x14ac:dyDescent="0.5">
      <c r="A26" s="48" t="s">
        <v>2959</v>
      </c>
      <c r="B26" s="54">
        <f ca="1">COUNTIF(only_letters!$A:$BZ,"PASS")</f>
        <v>5</v>
      </c>
      <c r="C26" s="56">
        <f ca="1">COUNTIF(only_letters!$A:$BZ,"FAIL")</f>
        <v>0</v>
      </c>
      <c r="D26" s="48">
        <f ca="1">B26+C26</f>
        <v>5</v>
      </c>
      <c r="E26" s="48" t="str">
        <f ca="1">IF(C26&gt;0,"FAIL ("&amp;C26&amp;")",IF(D26=0,"-","all pass"))</f>
        <v>all pass</v>
      </c>
    </row>
    <row r="27" spans="1:5" x14ac:dyDescent="0.5">
      <c r="A27" s="48" t="s">
        <v>2960</v>
      </c>
      <c r="B27" s="54">
        <f ca="1">COUNTIF(only_numbers!$A:$BZ,"PASS")</f>
        <v>5</v>
      </c>
      <c r="C27" s="56">
        <f ca="1">COUNTIF(only_numbers!$A:$BZ,"FAIL")</f>
        <v>0</v>
      </c>
      <c r="D27" s="48">
        <f ca="1">B27+C27</f>
        <v>5</v>
      </c>
      <c r="E27" s="48" t="str">
        <f ca="1">IF(C27&gt;0,"FAIL ("&amp;C27&amp;")",IF(D27=0,"-","all pass"))</f>
        <v>all pass</v>
      </c>
    </row>
    <row r="28" spans="1:5" x14ac:dyDescent="0.5">
      <c r="A28" s="48" t="s">
        <v>2961</v>
      </c>
      <c r="B28" s="54">
        <f ca="1">COUNTIF(range2ad!$A:$BZ,"PASS")</f>
        <v>5</v>
      </c>
      <c r="C28" s="56">
        <f ca="1">COUNTIF(range2ad!$A:$BZ,"FAIL")</f>
        <v>0</v>
      </c>
      <c r="D28" s="48">
        <f ca="1">B28+C28</f>
        <v>5</v>
      </c>
      <c r="E28" s="48" t="str">
        <f ca="1">IF(C28&gt;0,"FAIL ("&amp;C28&amp;")",IF(D28=0,"-","all pass"))</f>
        <v>all pass</v>
      </c>
    </row>
    <row r="29" spans="1:5" x14ac:dyDescent="0.5">
      <c r="A29" s="48" t="s">
        <v>2962</v>
      </c>
      <c r="B29" s="54">
        <f ca="1">COUNTIF(rev!$A:$BZ,"PASS")</f>
        <v>3</v>
      </c>
      <c r="C29" s="56">
        <f ca="1">COUNTIF(rev!$A:$BZ,"FAIL")</f>
        <v>0</v>
      </c>
      <c r="D29" s="48">
        <f ca="1">B29+C29</f>
        <v>3</v>
      </c>
      <c r="E29" s="48" t="str">
        <f ca="1">IF(C29&gt;0,"FAIL ("&amp;C29&amp;")",IF(D29=0,"-","all pass"))</f>
        <v>all pass</v>
      </c>
    </row>
    <row r="30" spans="1:5" x14ac:dyDescent="0.5">
      <c r="A30" s="48" t="s">
        <v>2963</v>
      </c>
      <c r="B30" s="54">
        <f ca="1">COUNTIF(rotate_arrow!$A:$BZ,"PASS")</f>
        <v>6</v>
      </c>
      <c r="C30" s="56">
        <f ca="1">COUNTIF(rotate_arrow!$A:$BZ,"FAIL")</f>
        <v>0</v>
      </c>
      <c r="D30" s="48">
        <f ca="1">B30+C30</f>
        <v>6</v>
      </c>
      <c r="E30" s="48" t="str">
        <f ca="1">IF(C30&gt;0,"FAIL ("&amp;C30&amp;")",IF(D30=0,"-","all pass"))</f>
        <v>all pass</v>
      </c>
    </row>
    <row r="31" spans="1:5" x14ac:dyDescent="0.5">
      <c r="A31" s="48" t="s">
        <v>2964</v>
      </c>
      <c r="B31" s="54">
        <f ca="1">COUNTIF(route_cost!$A:$BZ,"PASS")</f>
        <v>5</v>
      </c>
      <c r="C31" s="56">
        <f ca="1">COUNTIF(route_cost!$A:$BZ,"FAIL")</f>
        <v>0</v>
      </c>
      <c r="D31" s="48">
        <f ca="1">B31+C31</f>
        <v>5</v>
      </c>
      <c r="E31" s="48" t="str">
        <f ca="1">IF(C31&gt;0,"FAIL ("&amp;C31&amp;")",IF(D31=0,"-","all pass"))</f>
        <v>all pass</v>
      </c>
    </row>
    <row r="32" spans="1:5" x14ac:dyDescent="0.5">
      <c r="A32" s="48" t="s">
        <v>2965</v>
      </c>
      <c r="B32" s="54">
        <f ca="1">COUNTIF(save_array!$A:$BZ,"PASS")</f>
        <v>3</v>
      </c>
      <c r="C32" s="56">
        <f ca="1">COUNTIF(save_array!$A:$BZ,"FAIL")</f>
        <v>0</v>
      </c>
      <c r="D32" s="48">
        <f ca="1">B32+C32</f>
        <v>3</v>
      </c>
      <c r="E32" s="48" t="str">
        <f ca="1">IF(C32&gt;0,"FAIL ("&amp;C32&amp;")",IF(D32=0,"-","all pass"))</f>
        <v>all pass</v>
      </c>
    </row>
    <row r="33" spans="1:5" x14ac:dyDescent="0.5">
      <c r="A33" s="48" t="s">
        <v>2966</v>
      </c>
      <c r="B33" s="54">
        <f ca="1">COUNTIF(selections!$A:$BZ,"PASS")</f>
        <v>4</v>
      </c>
      <c r="C33" s="56">
        <f ca="1">COUNTIF(selections!$A:$BZ,"FAIL")</f>
        <v>0</v>
      </c>
      <c r="D33" s="48">
        <f ca="1">B33+C33</f>
        <v>4</v>
      </c>
      <c r="E33" s="48" t="str">
        <f ca="1">IF(C33&gt;0,"FAIL ("&amp;C33&amp;")",IF(D33=0,"-","all pass"))</f>
        <v>all pass</v>
      </c>
    </row>
    <row r="34" spans="1:5" x14ac:dyDescent="0.5">
      <c r="A34" s="48" t="s">
        <v>2967</v>
      </c>
      <c r="B34" s="54">
        <f ca="1">COUNTIF(set!$A:$BZ,"PASS")</f>
        <v>4</v>
      </c>
      <c r="C34" s="56">
        <f ca="1">COUNTIF(set!$A:$BZ,"FAIL")</f>
        <v>0</v>
      </c>
      <c r="D34" s="48">
        <f ca="1">B34+C34</f>
        <v>4</v>
      </c>
      <c r="E34" s="48" t="str">
        <f ca="1">IF(C34&gt;0,"FAIL ("&amp;C34&amp;")",IF(D34=0,"-","all pass"))</f>
        <v>all pass</v>
      </c>
    </row>
    <row r="35" spans="1:5" x14ac:dyDescent="0.5">
      <c r="A35" s="48" t="s">
        <v>2968</v>
      </c>
      <c r="B35" s="54">
        <f ca="1">COUNTIF(set_d!$A:$BZ,"PASS")</f>
        <v>2</v>
      </c>
      <c r="C35" s="56">
        <f ca="1">COUNTIF(set_d!$A:$BZ,"FAIL")</f>
        <v>0</v>
      </c>
      <c r="D35" s="48">
        <f ca="1">B35+C35</f>
        <v>2</v>
      </c>
      <c r="E35" s="48" t="str">
        <f ca="1">IF(C35&gt;0,"FAIL ("&amp;C35&amp;")",IF(D35=0,"-","all pass"))</f>
        <v>all pass</v>
      </c>
    </row>
    <row r="36" spans="1:5" x14ac:dyDescent="0.5">
      <c r="A36" s="48" t="s">
        <v>2969</v>
      </c>
      <c r="B36" s="54">
        <f ca="1">COUNTIF(set_i!$A:$BZ,"PASS")</f>
        <v>3</v>
      </c>
      <c r="C36" s="56">
        <f ca="1">COUNTIF(set_i!$A:$BZ,"FAIL")</f>
        <v>0</v>
      </c>
      <c r="D36" s="48">
        <f ca="1">B36+C36</f>
        <v>3</v>
      </c>
      <c r="E36" s="48" t="str">
        <f ca="1">IF(C36&gt;0,"FAIL ("&amp;C36&amp;")",IF(D36=0,"-","all pass"))</f>
        <v>all pass</v>
      </c>
    </row>
    <row r="37" spans="1:5" x14ac:dyDescent="0.5">
      <c r="A37" s="48" t="s">
        <v>2970</v>
      </c>
      <c r="B37" s="54">
        <f ca="1">COUNTIF(set_u!$A:$BZ,"PASS")</f>
        <v>3</v>
      </c>
      <c r="C37" s="56">
        <f ca="1">COUNTIF(set_u!$A:$BZ,"FAIL")</f>
        <v>0</v>
      </c>
      <c r="D37" s="48">
        <f ca="1">B37+C37</f>
        <v>3</v>
      </c>
      <c r="E37" s="48" t="str">
        <f ca="1">IF(C37&gt;0,"FAIL ("&amp;C37&amp;")",IF(D37=0,"-","all pass"))</f>
        <v>all pass</v>
      </c>
    </row>
    <row r="38" spans="1:5" x14ac:dyDescent="0.5">
      <c r="A38" s="48" t="s">
        <v>2971</v>
      </c>
      <c r="B38" s="54">
        <f ca="1">COUNTIF(shift_arr!$A:$BZ,"PASS")</f>
        <v>5</v>
      </c>
      <c r="C38" s="56">
        <f ca="1">COUNTIF(shift_arr!$A:$BZ,"FAIL")</f>
        <v>0</v>
      </c>
      <c r="D38" s="48">
        <f ca="1">B38+C38</f>
        <v>5</v>
      </c>
      <c r="E38" s="48" t="str">
        <f ca="1">IF(C38&gt;0,"FAIL ("&amp;C38&amp;")",IF(D38=0,"-","all pass"))</f>
        <v>all pass</v>
      </c>
    </row>
    <row r="39" spans="1:5" x14ac:dyDescent="0.5">
      <c r="A39" s="48" t="s">
        <v>2972</v>
      </c>
      <c r="B39" s="54">
        <f ca="1">COUNTIF(smallest!$A:$BZ,"PASS")</f>
        <v>3</v>
      </c>
      <c r="C39" s="56">
        <f ca="1">COUNTIF(smallest!$A:$BZ,"FAIL")</f>
        <v>0</v>
      </c>
      <c r="D39" s="48">
        <f ca="1">B39+C39</f>
        <v>3</v>
      </c>
      <c r="E39" s="48" t="str">
        <f ca="1">IF(C39&gt;0,"FAIL ("&amp;C39&amp;")",IF(D39=0,"-","all pass"))</f>
        <v>all pass</v>
      </c>
    </row>
    <row r="40" spans="1:5" x14ac:dyDescent="0.5">
      <c r="A40" s="48" t="s">
        <v>2973</v>
      </c>
      <c r="B40" s="54">
        <f ca="1">COUNTIF(str2arr!$A:$BZ,"PASS")</f>
        <v>3</v>
      </c>
      <c r="C40" s="56">
        <f ca="1">COUNTIF(str2arr!$A:$BZ,"FAIL")</f>
        <v>0</v>
      </c>
      <c r="D40" s="48">
        <f ca="1">B40+C40</f>
        <v>3</v>
      </c>
      <c r="E40" s="48" t="str">
        <f ca="1">IF(C40&gt;0,"FAIL ("&amp;C40&amp;")",IF(D40=0,"-","all pass"))</f>
        <v>all pass</v>
      </c>
    </row>
    <row r="41" spans="1:5" x14ac:dyDescent="0.5">
      <c r="A41" s="48" t="s">
        <v>2974</v>
      </c>
      <c r="B41" s="54">
        <f ca="1">COUNTIF(str_ad!$A:$BZ,"PASS")</f>
        <v>4</v>
      </c>
      <c r="C41" s="56">
        <f ca="1">COUNTIF(str_ad!$A:$BZ,"FAIL")</f>
        <v>0</v>
      </c>
      <c r="D41" s="48">
        <f ca="1">B41+C41</f>
        <v>4</v>
      </c>
      <c r="E41" s="48" t="str">
        <f ca="1">IF(C41&gt;0,"FAIL ("&amp;C41&amp;")",IF(D41=0,"-","all pass"))</f>
        <v>all pass</v>
      </c>
    </row>
    <row r="42" spans="1:5" x14ac:dyDescent="0.5">
      <c r="A42" s="48" t="s">
        <v>2975</v>
      </c>
      <c r="B42" s="54">
        <f ca="1">COUNTIF(str_rev!$A:$BZ,"PASS")</f>
        <v>4</v>
      </c>
      <c r="C42" s="56">
        <f ca="1">COUNTIF(str_rev!$A:$BZ,"FAIL")</f>
        <v>0</v>
      </c>
      <c r="D42" s="48">
        <f ca="1">B42+C42</f>
        <v>4</v>
      </c>
      <c r="E42" s="48" t="str">
        <f ca="1">IF(C42&gt;0,"FAIL ("&amp;C42&amp;")",IF(D42=0,"-","all pass"))</f>
        <v>all pass</v>
      </c>
    </row>
    <row r="43" spans="1:5" x14ac:dyDescent="0.5">
      <c r="A43" s="48" t="s">
        <v>2976</v>
      </c>
      <c r="B43" s="54">
        <f ca="1">COUNTIF(textbetween!$A:$BZ,"PASS")</f>
        <v>5</v>
      </c>
      <c r="C43" s="56">
        <f ca="1">COUNTIF(textbetween!$A:$BZ,"FAIL")</f>
        <v>0</v>
      </c>
      <c r="D43" s="48">
        <f ca="1">B43+C43</f>
        <v>5</v>
      </c>
      <c r="E43" s="48" t="str">
        <f ca="1">IF(C43&gt;0,"FAIL ("&amp;C43&amp;")",IF(D43=0,"-","all pass"))</f>
        <v>all pass</v>
      </c>
    </row>
    <row r="44" spans="1:5" x14ac:dyDescent="0.5">
      <c r="A44" s="48" t="s">
        <v>2977</v>
      </c>
      <c r="B44" s="54">
        <f ca="1">COUNTIF(transform_array!$A:$BZ,"PASS")</f>
        <v>7</v>
      </c>
      <c r="C44" s="56">
        <f ca="1">COUNTIF(transform_array!$A:$BZ,"FAIL")</f>
        <v>0</v>
      </c>
      <c r="D44" s="48">
        <f ca="1">B44+C44</f>
        <v>7</v>
      </c>
      <c r="E44" s="48" t="str">
        <f ca="1">IF(C44&gt;0,"FAIL ("&amp;C44&amp;")",IF(D44=0,"-","all pass"))</f>
        <v>all pass</v>
      </c>
    </row>
    <row r="45" spans="1:5" x14ac:dyDescent="0.5">
      <c r="A45" s="48" t="s">
        <v>2978</v>
      </c>
      <c r="B45" s="54">
        <f ca="1">COUNTIF(update_arr!$A:$BZ,"PASS")</f>
        <v>2</v>
      </c>
      <c r="C45" s="56">
        <f ca="1">COUNTIF(update_arr!$A:$BZ,"FAIL")</f>
        <v>0</v>
      </c>
      <c r="D45" s="48">
        <f ca="1">B45+C45</f>
        <v>2</v>
      </c>
      <c r="E45" s="48" t="str">
        <f ca="1">IF(C45&gt;0,"FAIL ("&amp;C45&amp;")",IF(D45=0,"-","all pass"))</f>
        <v>all pass</v>
      </c>
    </row>
    <row r="46" spans="1:5" x14ac:dyDescent="0.5">
      <c r="A46" s="48" t="s">
        <v>2979</v>
      </c>
      <c r="B46" s="54">
        <f ca="1">COUNTIF(xbyrow!$A:$BZ,"PASS")</f>
        <v>3</v>
      </c>
      <c r="C46" s="56">
        <f ca="1">COUNTIF(xbyrow!$A:$BZ,"FAIL")</f>
        <v>0</v>
      </c>
      <c r="D46" s="48">
        <f ca="1">B46+C46</f>
        <v>3</v>
      </c>
      <c r="E46" s="48" t="str">
        <f ca="1">IF(C46&gt;0,"FAIL ("&amp;C46&amp;")",IF(D46=0,"-","all pass"))</f>
        <v>all pass</v>
      </c>
    </row>
    <row r="47" spans="1:5" x14ac:dyDescent="0.5">
      <c r="A47" s="48" t="s">
        <v>2980</v>
      </c>
      <c r="B47" s="54">
        <f ca="1">COUNTIF(xcountif!$A:$BZ,"PASS")</f>
        <v>5</v>
      </c>
      <c r="C47" s="56">
        <f ca="1">COUNTIF(xcountif!$A:$BZ,"FAIL")</f>
        <v>0</v>
      </c>
      <c r="D47" s="48">
        <f ca="1">B47+C47</f>
        <v>5</v>
      </c>
      <c r="E47" s="48" t="str">
        <f ca="1">IF(C47&gt;0,"FAIL ("&amp;C47&amp;")",IF(D47=0,"-","all pass"))</f>
        <v>all pass</v>
      </c>
    </row>
    <row r="48" spans="1:5" x14ac:dyDescent="0.5">
      <c r="A48" s="48" t="s">
        <v>2981</v>
      </c>
      <c r="B48" s="54">
        <f ca="1">COUNTIF(xdec2bin!$A:$BZ,"PASS")</f>
        <v>6</v>
      </c>
      <c r="C48" s="56">
        <f ca="1">COUNTIF(xdec2bin!$A:$BZ,"FAIL")</f>
        <v>0</v>
      </c>
      <c r="D48" s="48">
        <f ca="1">B48+C48</f>
        <v>6</v>
      </c>
      <c r="E48" s="48" t="str">
        <f ca="1">IF(C48&gt;0,"FAIL ("&amp;C48&amp;")",IF(D48=0,"-","all pass"))</f>
        <v>all pass</v>
      </c>
    </row>
    <row r="49" spans="1:5" x14ac:dyDescent="0.5">
      <c r="A49" s="48" t="s">
        <v>2982</v>
      </c>
      <c r="B49" s="54">
        <f ca="1">COUNTIF(xfilter!$A:$BZ,"PASS")</f>
        <v>6</v>
      </c>
      <c r="C49" s="56">
        <f ca="1">COUNTIF(xfilter!$A:$BZ,"FAIL")</f>
        <v>0</v>
      </c>
      <c r="D49" s="48">
        <f ca="1">B49+C49</f>
        <v>6</v>
      </c>
      <c r="E49" s="48" t="str">
        <f ca="1">IF(C49&gt;0,"FAIL ("&amp;C49&amp;")",IF(D49=0,"-","all pass"))</f>
        <v>all pass</v>
      </c>
    </row>
    <row r="50" spans="1:5" x14ac:dyDescent="0.5">
      <c r="A50" s="48" t="s">
        <v>2983</v>
      </c>
      <c r="B50" s="54">
        <f ca="1">COUNTIF(xmod!$A:$BZ,"PASS")</f>
        <v>6</v>
      </c>
      <c r="C50" s="56">
        <f ca="1">COUNTIF(xmod!$A:$BZ,"FAIL")</f>
        <v>0</v>
      </c>
      <c r="D50" s="48">
        <f ca="1">B50+C50</f>
        <v>6</v>
      </c>
      <c r="E50" s="48" t="str">
        <f ca="1">IF(C50&gt;0,"FAIL ("&amp;C50&amp;")",IF(D50=0,"-","all pass"))</f>
        <v>all pass</v>
      </c>
    </row>
    <row r="51" spans="1:5" x14ac:dyDescent="0.5">
      <c r="A51" s="48" t="s">
        <v>2984</v>
      </c>
      <c r="B51" s="54">
        <f ca="1">COUNTIF(xn!$A:$BZ,"PASS")</f>
        <v>5</v>
      </c>
      <c r="C51" s="56">
        <f ca="1">COUNTIF(xn!$A:$BZ,"FAIL")</f>
        <v>0</v>
      </c>
      <c r="D51" s="48">
        <f ca="1">B51+C51</f>
        <v>5</v>
      </c>
      <c r="E51" s="48" t="str">
        <f ca="1">IF(C51&gt;0,"FAIL ("&amp;C51&amp;")",IF(D51=0,"-","all pass"))</f>
        <v>all pass</v>
      </c>
    </row>
    <row r="52" spans="1:5" x14ac:dyDescent="0.5">
      <c r="A52" s="48" t="s">
        <v>2985</v>
      </c>
      <c r="B52" s="54">
        <f ca="1">COUNTIF(xrank!$A:$BZ,"PASS")</f>
        <v>6</v>
      </c>
      <c r="C52" s="56">
        <f ca="1">COUNTIF(xrank!$A:$BZ,"FAIL")</f>
        <v>0</v>
      </c>
      <c r="D52" s="48">
        <f ca="1">B52+C52</f>
        <v>6</v>
      </c>
      <c r="E52" s="48" t="str">
        <f ca="1">IF(C52&gt;0,"FAIL ("&amp;C52&amp;")",IF(D52=0,"-","all pass"))</f>
        <v>all pass</v>
      </c>
    </row>
    <row r="53" spans="1:5" x14ac:dyDescent="0.5">
      <c r="A53" s="48" t="s">
        <v>2986</v>
      </c>
      <c r="B53" s="54">
        <f ca="1">COUNTIF(xsequence!$A:$BZ,"PASS")</f>
        <v>6</v>
      </c>
      <c r="C53" s="56">
        <f ca="1">COUNTIF(xsequence!$A:$BZ,"FAIL")</f>
        <v>0</v>
      </c>
      <c r="D53" s="48">
        <f ca="1">B53+C53</f>
        <v>6</v>
      </c>
      <c r="E53" s="48" t="str">
        <f ca="1">IF(C53&gt;0,"FAIL ("&amp;C53&amp;")",IF(D53=0,"-","all pass"))</f>
        <v>all pass</v>
      </c>
    </row>
    <row r="54" spans="1:5" x14ac:dyDescent="0.5">
      <c r="A54" s="48" t="s">
        <v>2987</v>
      </c>
      <c r="B54" s="54">
        <f ca="1">COUNTIF(xtextsplit!$A:$BZ,"PASS")</f>
        <v>5</v>
      </c>
      <c r="C54" s="56">
        <f ca="1">COUNTIF(xtextsplit!$A:$BZ,"FAIL")</f>
        <v>0</v>
      </c>
      <c r="D54" s="48">
        <f ca="1">B54+C54</f>
        <v>5</v>
      </c>
      <c r="E54" s="48" t="str">
        <f ca="1">IF(C54&gt;0,"FAIL ("&amp;C54&amp;")",IF(D54=0,"-","all pass"))</f>
        <v>all pass</v>
      </c>
    </row>
    <row r="55" spans="1:5" x14ac:dyDescent="0.5">
      <c r="A55" s="48" t="s">
        <v>2988</v>
      </c>
      <c r="B55" s="54">
        <f ca="1">COUNTIF(xtocol!$A:$BZ,"PASS")</f>
        <v>5</v>
      </c>
      <c r="C55" s="56">
        <f ca="1">COUNTIF(xtocol!$A:$BZ,"FAIL")</f>
        <v>0</v>
      </c>
      <c r="D55" s="48">
        <f ca="1">B55+C55</f>
        <v>5</v>
      </c>
      <c r="E55" s="48" t="str">
        <f ca="1">IF(C55&gt;0,"FAIL ("&amp;C55&amp;")",IF(D55=0,"-","all pass"))</f>
        <v>all pass</v>
      </c>
    </row>
    <row r="56" spans="1:5" x14ac:dyDescent="0.5">
      <c r="A56" s="47" t="s">
        <v>2989</v>
      </c>
      <c r="B56" s="50">
        <f ca="1">SUM(B5:B55)</f>
        <v>235</v>
      </c>
      <c r="C56" s="52">
        <f ca="1">SUM(C5:C55)</f>
        <v>0</v>
      </c>
      <c r="D56" s="47">
        <f ca="1">SUM(D5:D55)</f>
        <v>235</v>
      </c>
      <c r="E56" s="47" t="str">
        <f ca="1">IF(C56&gt;0,C56&amp;" FAILING","ALL PASS")</f>
        <v>ALL PASS</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15"/>
  <sheetViews>
    <sheetView workbookViewId="0">
      <selection activeCell="A4" sqref="A4"/>
    </sheetView>
  </sheetViews>
  <sheetFormatPr defaultRowHeight="21" x14ac:dyDescent="0.5"/>
  <cols>
    <col min="1" max="1" width="12.8125" bestFit="1" customWidth="1"/>
    <col min="2" max="2" width="14" bestFit="1" customWidth="1"/>
    <col min="3" max="3" width="22.25" bestFit="1" customWidth="1"/>
    <col min="4" max="5" width="65.3125" style="63" bestFit="1" customWidth="1"/>
    <col min="6" max="6" width="6.125" bestFit="1" customWidth="1"/>
  </cols>
  <sheetData>
    <row r="1" spans="1:6" x14ac:dyDescent="0.5">
      <c r="A1" s="15" t="s">
        <v>3414</v>
      </c>
    </row>
    <row r="2" spans="1:6" x14ac:dyDescent="0.5">
      <c r="A2" t="s">
        <v>3415</v>
      </c>
    </row>
    <row r="4" spans="1:6" x14ac:dyDescent="0.5">
      <c r="A4" s="15" t="s">
        <v>7</v>
      </c>
      <c r="B4" s="15" t="s">
        <v>3416</v>
      </c>
      <c r="C4" s="15" t="s">
        <v>8</v>
      </c>
      <c r="D4" s="64" t="s">
        <v>10</v>
      </c>
      <c r="E4" s="64" t="s">
        <v>11</v>
      </c>
      <c r="F4" s="15" t="s">
        <v>3417</v>
      </c>
    </row>
    <row r="5" spans="1:6" x14ac:dyDescent="0.5">
      <c r="A5">
        <v>1</v>
      </c>
      <c r="B5" t="s">
        <v>3418</v>
      </c>
      <c r="C5" t="s">
        <v>3419</v>
      </c>
      <c r="D5" s="63" t="s">
        <v>3420</v>
      </c>
      <c r="E5" s="63" t="s">
        <v>3420</v>
      </c>
      <c r="F5" s="65" t="s">
        <v>3421</v>
      </c>
    </row>
    <row r="6" spans="1:6" x14ac:dyDescent="0.5">
      <c r="A6">
        <v>2</v>
      </c>
      <c r="B6" t="s">
        <v>3418</v>
      </c>
      <c r="C6" t="s">
        <v>3422</v>
      </c>
      <c r="D6" s="63" t="s">
        <v>3423</v>
      </c>
      <c r="E6" s="63" t="s">
        <v>3423</v>
      </c>
      <c r="F6" s="65" t="s">
        <v>3421</v>
      </c>
    </row>
    <row r="7" spans="1:6" x14ac:dyDescent="0.5">
      <c r="A7">
        <v>3</v>
      </c>
      <c r="B7" t="s">
        <v>3418</v>
      </c>
      <c r="C7" t="s">
        <v>3424</v>
      </c>
      <c r="D7" s="63" t="s">
        <v>3425</v>
      </c>
      <c r="E7" s="63" t="s">
        <v>3425</v>
      </c>
      <c r="F7" s="65" t="s">
        <v>3421</v>
      </c>
    </row>
    <row r="8" spans="1:6" x14ac:dyDescent="0.5">
      <c r="A8">
        <v>4</v>
      </c>
      <c r="B8" t="s">
        <v>3426</v>
      </c>
      <c r="C8" t="s">
        <v>3427</v>
      </c>
      <c r="D8" s="63" t="s">
        <v>3428</v>
      </c>
      <c r="E8" s="63" t="s">
        <v>3428</v>
      </c>
      <c r="F8" s="65" t="s">
        <v>3421</v>
      </c>
    </row>
    <row r="9" spans="1:6" x14ac:dyDescent="0.5">
      <c r="A9">
        <v>5</v>
      </c>
      <c r="B9" t="s">
        <v>3426</v>
      </c>
      <c r="C9" t="s">
        <v>3429</v>
      </c>
      <c r="D9" s="63" t="s">
        <v>3430</v>
      </c>
      <c r="E9" s="63" t="s">
        <v>3430</v>
      </c>
      <c r="F9" s="65" t="s">
        <v>3421</v>
      </c>
    </row>
    <row r="10" spans="1:6" x14ac:dyDescent="0.5">
      <c r="A10">
        <v>6</v>
      </c>
      <c r="B10" t="s">
        <v>3426</v>
      </c>
      <c r="C10" t="s">
        <v>3431</v>
      </c>
      <c r="D10" s="63" t="s">
        <v>3432</v>
      </c>
      <c r="E10" s="63" t="s">
        <v>3432</v>
      </c>
      <c r="F10" s="65" t="s">
        <v>3421</v>
      </c>
    </row>
    <row r="11" spans="1:6" x14ac:dyDescent="0.5">
      <c r="A11">
        <v>7</v>
      </c>
      <c r="B11" t="s">
        <v>3433</v>
      </c>
      <c r="C11" t="s">
        <v>3434</v>
      </c>
      <c r="D11" s="63" t="s">
        <v>3435</v>
      </c>
      <c r="E11" s="63" t="s">
        <v>3435</v>
      </c>
      <c r="F11" s="65" t="s">
        <v>3421</v>
      </c>
    </row>
    <row r="12" spans="1:6" x14ac:dyDescent="0.5">
      <c r="A12">
        <v>8</v>
      </c>
      <c r="B12" t="s">
        <v>3433</v>
      </c>
      <c r="C12" t="s">
        <v>3436</v>
      </c>
      <c r="D12" s="63" t="s">
        <v>3435</v>
      </c>
      <c r="E12" s="63" t="s">
        <v>3435</v>
      </c>
      <c r="F12" s="65" t="s">
        <v>3421</v>
      </c>
    </row>
    <row r="13" spans="1:6" x14ac:dyDescent="0.5">
      <c r="A13">
        <v>9</v>
      </c>
      <c r="B13" t="s">
        <v>3433</v>
      </c>
      <c r="C13" t="s">
        <v>3437</v>
      </c>
      <c r="D13" s="63" t="s">
        <v>3435</v>
      </c>
      <c r="E13" s="63" t="s">
        <v>3435</v>
      </c>
      <c r="F13" s="65" t="s">
        <v>3421</v>
      </c>
    </row>
    <row r="14" spans="1:6" x14ac:dyDescent="0.5">
      <c r="A14">
        <v>10</v>
      </c>
      <c r="B14" t="s">
        <v>3438</v>
      </c>
      <c r="C14" t="s">
        <v>3439</v>
      </c>
      <c r="D14" s="63" t="s">
        <v>3440</v>
      </c>
      <c r="E14" s="63" t="s">
        <v>3440</v>
      </c>
      <c r="F14" s="65" t="s">
        <v>3421</v>
      </c>
    </row>
    <row r="15" spans="1:6" x14ac:dyDescent="0.5">
      <c r="A15">
        <v>11</v>
      </c>
      <c r="B15" t="s">
        <v>3438</v>
      </c>
      <c r="C15" t="s">
        <v>3441</v>
      </c>
      <c r="D15" s="63" t="s">
        <v>3435</v>
      </c>
      <c r="E15" s="63" t="s">
        <v>3435</v>
      </c>
      <c r="F15" s="65" t="s">
        <v>3421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21"/>
  <sheetViews>
    <sheetView workbookViewId="0">
      <selection activeCell="B2" sqref="B2:R2"/>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7" t="s">
        <v>0</v>
      </c>
      <c r="B1" s="86" t="str" cm="1">
        <f t="array" aca="1" ref="B1" ca="1">_xlfn.LET(_xlpm.fn, CELL("filename",$A$1), _xlpm.nm, MID(_xlpm.fn, FIND("]", _xlpm.fn) + 1, 255), _xlfn.XLOOKUP(_xlpm.nm &amp; "(*", Lamb!$A$2:$A$1000, Lamb!$A$2:$A$1000, "", 2))</f>
        <v>addr_lookup(arr, address)</v>
      </c>
      <c r="C1" s="82"/>
      <c r="D1" s="82"/>
      <c r="E1" s="82"/>
      <c r="F1" s="83"/>
      <c r="H1" s="47" t="s">
        <v>2</v>
      </c>
      <c r="I1" s="81" t="str" cm="1">
        <f t="array" aca="1" ref="I1" ca="1">_xlfn.LET(_xlpm.fn, CELL("filename",$A$1), _xlpm.nm, MID(_xlpm.fn, FIND("]", _xlpm.fn) + 1, 255), _xlfn.XLOOKUP(_xlpm.nm &amp; "(*", Lamb!$A$2:$A$1000, Lamb!$D$2:$D$1000, "", 2))</f>
        <v>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v>
      </c>
      <c r="J1" s="82"/>
      <c r="K1" s="82"/>
      <c r="L1" s="82"/>
      <c r="M1" s="82"/>
      <c r="N1" s="82"/>
      <c r="O1" s="82"/>
      <c r="P1" s="82"/>
      <c r="Q1" s="82"/>
      <c r="R1" s="83"/>
    </row>
    <row r="2" spans="1:19" ht="409" customHeight="1" x14ac:dyDescent="0.5">
      <c r="A2" s="47" t="s">
        <v>4</v>
      </c>
      <c r="B2" s="84" t="str" cm="1">
        <f t="array" aca="1" ref="B2" ca="1">_xlfn.LET(_xlpm.fn, CELL("filename",$A$1), _xlpm.nm, MID(_xlpm.fn, FIND("]", _xlpm.fn) + 1, 255), _xlfn.XLOOKUP(_xlpm.nm &amp; "(*", Lamb!$A$2:$A$1000, Lamb!$C$2:$C$1000, "", 2))</f>
        <v>=LAMBDA(arr,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v>
      </c>
      <c r="C2" s="85"/>
      <c r="D2" s="85"/>
      <c r="E2" s="85"/>
      <c r="F2" s="85"/>
      <c r="G2" s="85"/>
      <c r="H2" s="85"/>
      <c r="I2" s="85"/>
      <c r="J2" s="85"/>
      <c r="K2" s="85"/>
      <c r="L2" s="85"/>
      <c r="M2" s="85"/>
      <c r="N2" s="85"/>
      <c r="O2" s="85"/>
      <c r="P2" s="85"/>
      <c r="Q2" s="85"/>
      <c r="R2" s="85"/>
    </row>
    <row r="4" spans="1:19" x14ac:dyDescent="0.5">
      <c r="A4" s="47" t="s">
        <v>2990</v>
      </c>
      <c r="S4" s="47" t="str">
        <f>COUNTIF(S11:S30,"PASS")&amp;" / 5 PASS"</f>
        <v>5 / 5 PASS</v>
      </c>
    </row>
    <row r="5" spans="1:19" x14ac:dyDescent="0.5">
      <c r="B5" s="47" t="s">
        <v>8</v>
      </c>
      <c r="M5" s="50" t="s">
        <v>10</v>
      </c>
      <c r="P5" s="51" t="s">
        <v>11</v>
      </c>
      <c r="S5" s="52" t="s">
        <v>12</v>
      </c>
    </row>
    <row r="6" spans="1:19" x14ac:dyDescent="0.5">
      <c r="D6" s="47" t="s">
        <v>2991</v>
      </c>
      <c r="K6" s="47" t="s">
        <v>2992</v>
      </c>
    </row>
    <row r="7" spans="1:19" x14ac:dyDescent="0.5">
      <c r="D7" s="53">
        <v>10</v>
      </c>
      <c r="E7" s="53">
        <v>20</v>
      </c>
      <c r="F7" s="53">
        <v>30</v>
      </c>
      <c r="K7" s="53" t="s">
        <v>2993</v>
      </c>
    </row>
    <row r="8" spans="1:19" x14ac:dyDescent="0.5">
      <c r="D8" s="53">
        <v>40</v>
      </c>
      <c r="E8" s="53">
        <v>50</v>
      </c>
      <c r="F8" s="53">
        <v>60</v>
      </c>
      <c r="K8" s="53" t="s">
        <v>2994</v>
      </c>
    </row>
    <row r="9" spans="1:19" x14ac:dyDescent="0.5">
      <c r="D9" s="53">
        <v>70</v>
      </c>
      <c r="E9" s="53">
        <v>80</v>
      </c>
      <c r="F9" s="53">
        <v>90</v>
      </c>
    </row>
    <row r="11" spans="1:19" x14ac:dyDescent="0.5">
      <c r="B11" s="49" t="s">
        <v>2995</v>
      </c>
      <c r="M11" s="54">
        <v>50</v>
      </c>
      <c r="P11" s="55" cm="1">
        <f t="array" ref="P11">addr_lookup(D7:F9,"E8")</f>
        <v>50</v>
      </c>
      <c r="S11" s="56" t="str">
        <f>IF(P11=M11,"PASS","FAIL")</f>
        <v>PASS</v>
      </c>
    </row>
    <row r="13" spans="1:19" x14ac:dyDescent="0.5">
      <c r="B13" s="49" t="s">
        <v>2996</v>
      </c>
      <c r="M13" s="54">
        <v>50</v>
      </c>
      <c r="P13" s="55" cm="1">
        <f t="array" ref="P13">addr_lookup(D7:F9,8000005)</f>
        <v>50</v>
      </c>
      <c r="S13" s="56" t="str">
        <f>IF(P13=M13,"PASS","FAIL")</f>
        <v>PASS</v>
      </c>
    </row>
    <row r="15" spans="1:19" x14ac:dyDescent="0.5">
      <c r="B15" s="49" t="s">
        <v>2997</v>
      </c>
      <c r="M15" s="54">
        <v>10</v>
      </c>
      <c r="N15" s="54">
        <v>20</v>
      </c>
      <c r="P15" s="55" cm="1">
        <f t="array" ref="P15:Q16">addr_lookup(D7:F9,"D7:E8")</f>
        <v>10</v>
      </c>
      <c r="Q15" s="55">
        <v>20</v>
      </c>
      <c r="S15" s="56" t="str" cm="1">
        <f t="array" ref="S15">IF(AND(M15:N16=P15:Q16),"PASS","FAIL")</f>
        <v>PASS</v>
      </c>
    </row>
    <row r="16" spans="1:19" x14ac:dyDescent="0.5">
      <c r="M16" s="54">
        <v>40</v>
      </c>
      <c r="N16" s="54">
        <v>50</v>
      </c>
      <c r="P16" s="55">
        <v>40</v>
      </c>
      <c r="Q16" s="55">
        <v>50</v>
      </c>
    </row>
    <row r="18" spans="2:19" x14ac:dyDescent="0.5">
      <c r="B18" s="49" t="s">
        <v>2998</v>
      </c>
      <c r="M18" s="54">
        <v>10</v>
      </c>
      <c r="P18" s="55" cm="1">
        <f t="array" ref="P18:P19">addr_lookup(D7:F9,K7:K8)</f>
        <v>10</v>
      </c>
      <c r="S18" s="56" t="str" cm="1">
        <f t="array" ref="S18">IF(AND(M18:M19=P18:P19),"PASS","FAIL")</f>
        <v>PASS</v>
      </c>
    </row>
    <row r="19" spans="2:19" x14ac:dyDescent="0.5">
      <c r="M19" s="54">
        <v>90</v>
      </c>
      <c r="P19" s="55">
        <v>90</v>
      </c>
    </row>
    <row r="21" spans="2:19" x14ac:dyDescent="0.5">
      <c r="B21" s="49" t="s">
        <v>2999</v>
      </c>
      <c r="M21" s="54"/>
      <c r="P21" s="55" t="str" cm="1">
        <f t="array" ref="P21">addr_lookup(D7:F9,"Z99")</f>
        <v/>
      </c>
      <c r="S21" s="56" t="str">
        <f>IF(P21=M21,"PASS","FAIL")</f>
        <v>PASS</v>
      </c>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arrow(str)</v>
      </c>
      <c r="C1" s="82"/>
      <c r="D1" s="82"/>
      <c r="E1" s="82"/>
      <c r="F1" s="83"/>
      <c r="H1" s="47" t="s">
        <v>2</v>
      </c>
      <c r="I1" s="81"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=LAMBDA(str, IFNA(XLOOKUP(TRUE, EXACT(str, Prep!$V$13:$ALY$13), Prep!$V$14:$ALY$14), ""))</v>
      </c>
      <c r="C2" s="85"/>
      <c r="D2" s="85"/>
      <c r="E2" s="85"/>
      <c r="F2" s="85"/>
      <c r="G2" s="85"/>
      <c r="H2" s="85"/>
      <c r="I2" s="85"/>
      <c r="J2" s="85"/>
      <c r="K2" s="85"/>
      <c r="L2" s="85"/>
      <c r="M2" s="85"/>
      <c r="N2" s="85"/>
      <c r="O2" s="85"/>
      <c r="P2" s="85"/>
      <c r="Q2" s="85"/>
      <c r="R2" s="85"/>
    </row>
    <row r="4" spans="1:18" x14ac:dyDescent="0.5">
      <c r="A4" s="47" t="s">
        <v>3000</v>
      </c>
      <c r="J4" s="47" t="str">
        <f>COUNTIF(J6:J18,"PASS")&amp;" / 7 PASS"</f>
        <v>7 / 7 PASS</v>
      </c>
    </row>
    <row r="5" spans="1:18" x14ac:dyDescent="0.5">
      <c r="A5" s="47" t="s">
        <v>7</v>
      </c>
      <c r="B5" s="47" t="s">
        <v>8</v>
      </c>
      <c r="D5" s="47" t="s">
        <v>9</v>
      </c>
      <c r="F5" s="50" t="s">
        <v>10</v>
      </c>
      <c r="H5" s="51" t="s">
        <v>11</v>
      </c>
      <c r="J5" s="52" t="s">
        <v>12</v>
      </c>
    </row>
    <row r="6" spans="1:18" x14ac:dyDescent="0.5">
      <c r="A6" s="48">
        <v>1</v>
      </c>
      <c r="B6" s="49" t="s">
        <v>3001</v>
      </c>
      <c r="D6" s="53" t="s">
        <v>159</v>
      </c>
      <c r="F6" s="54" t="s">
        <v>160</v>
      </c>
      <c r="H6" s="55" t="str" cm="1">
        <f t="array" ref="H6">arrow(D6)</f>
        <v>↑</v>
      </c>
      <c r="J6" s="56" t="str">
        <f>IF(H6=F6,"PASS","FAIL")</f>
        <v>PASS</v>
      </c>
    </row>
    <row r="8" spans="1:18" x14ac:dyDescent="0.5">
      <c r="A8" s="48">
        <v>2</v>
      </c>
      <c r="B8" s="49" t="s">
        <v>3002</v>
      </c>
      <c r="D8" s="53" t="s">
        <v>437</v>
      </c>
      <c r="F8" s="54" t="s">
        <v>434</v>
      </c>
      <c r="H8" s="55" t="str" cm="1">
        <f t="array" ref="H8">arrow(D8)</f>
        <v>↙</v>
      </c>
      <c r="J8" s="56" t="str">
        <f>IF(H8=F8,"PASS","FAIL")</f>
        <v>PASS</v>
      </c>
    </row>
    <row r="10" spans="1:18" x14ac:dyDescent="0.5">
      <c r="A10" s="48">
        <v>3</v>
      </c>
      <c r="B10" s="49" t="s">
        <v>3003</v>
      </c>
      <c r="D10" s="53" t="s">
        <v>259</v>
      </c>
      <c r="F10" s="54" t="s">
        <v>254</v>
      </c>
      <c r="H10" s="55" t="str" cm="1">
        <f t="array" ref="H10">arrow(D10)</f>
        <v>↗</v>
      </c>
      <c r="J10" s="56" t="str">
        <f>IF(H10=F10,"PASS","FAIL")</f>
        <v>PASS</v>
      </c>
    </row>
    <row r="12" spans="1:18" x14ac:dyDescent="0.5">
      <c r="A12" s="48">
        <v>4</v>
      </c>
      <c r="B12" s="49" t="s">
        <v>3004</v>
      </c>
      <c r="D12" s="53" t="s">
        <v>241</v>
      </c>
      <c r="F12" s="54" t="s">
        <v>160</v>
      </c>
      <c r="H12" s="55" t="str" cm="1">
        <f t="array" ref="H12">arrow(D12)</f>
        <v>↑</v>
      </c>
      <c r="J12" s="56" t="str">
        <f>IF(H12=F12,"PASS","FAIL")</f>
        <v>PASS</v>
      </c>
    </row>
    <row r="14" spans="1:18" x14ac:dyDescent="0.5">
      <c r="A14" s="48">
        <v>5</v>
      </c>
      <c r="B14" s="49" t="s">
        <v>3005</v>
      </c>
      <c r="D14" s="53" t="s">
        <v>232</v>
      </c>
      <c r="F14" s="54" t="s">
        <v>160</v>
      </c>
      <c r="H14" s="55" t="str" cm="1">
        <f t="array" ref="H14">arrow(D14)</f>
        <v>↑</v>
      </c>
      <c r="J14" s="56" t="str">
        <f>IF(H14=F14,"PASS","FAIL")</f>
        <v>PASS</v>
      </c>
    </row>
    <row r="16" spans="1:18" x14ac:dyDescent="0.5">
      <c r="A16" s="48">
        <v>6</v>
      </c>
      <c r="B16" s="49" t="s">
        <v>3006</v>
      </c>
      <c r="D16" s="53" t="s">
        <v>249</v>
      </c>
      <c r="F16" s="54" t="s">
        <v>160</v>
      </c>
      <c r="H16" s="55" t="str" cm="1">
        <f t="array" ref="H16">arrow(D16)</f>
        <v>↑</v>
      </c>
      <c r="J16" s="56" t="str">
        <f>IF(H16=F16,"PASS","FAIL")</f>
        <v>PASS</v>
      </c>
    </row>
    <row r="18" spans="1:10" x14ac:dyDescent="0.5">
      <c r="A18" s="48">
        <v>7</v>
      </c>
      <c r="B18" s="49" t="s">
        <v>3372</v>
      </c>
      <c r="D18" s="53" t="s">
        <v>3373</v>
      </c>
      <c r="F18" s="54" t="str">
        <f>""</f>
        <v/>
      </c>
      <c r="H18" s="55" t="str" cm="1">
        <f t="array" ref="H18">arrow(D18)</f>
        <v/>
      </c>
      <c r="J18" s="56"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7" t="s">
        <v>0</v>
      </c>
      <c r="B1" s="86" t="str" cm="1">
        <f t="array" aca="1" ref="B1" ca="1">_xlfn.LET(_xlpm.fn, CELL("filename",$A$1), _xlpm.nm, MID(_xlpm.fn, FIND("]", _xlpm.fn) + 1, 255), _xlfn.XLOOKUP(_xlpm.nm &amp; "(*", Lamb!$A$2:$A$1000, Lamb!$A$2:$A$1000, "", 2))</f>
        <v>arrow_move(start_ad, arrow, [steps], [board_rng], [push_mode])</v>
      </c>
      <c r="C1" s="82"/>
      <c r="D1" s="82"/>
      <c r="E1" s="82"/>
      <c r="F1" s="83"/>
      <c r="H1" s="47" t="s">
        <v>2</v>
      </c>
      <c r="I1" s="81"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5"/>
      <c r="D2" s="85"/>
      <c r="E2" s="85"/>
      <c r="F2" s="85"/>
      <c r="G2" s="85"/>
      <c r="H2" s="85"/>
      <c r="I2" s="85"/>
      <c r="J2" s="85"/>
      <c r="K2" s="85"/>
      <c r="L2" s="85"/>
      <c r="M2" s="85"/>
      <c r="N2" s="85"/>
      <c r="O2" s="85"/>
      <c r="P2" s="85"/>
      <c r="Q2" s="85"/>
      <c r="R2" s="85"/>
    </row>
    <row r="4" spans="1:18" x14ac:dyDescent="0.5">
      <c r="A4" s="47" t="s">
        <v>3007</v>
      </c>
      <c r="P4" s="47" t="str">
        <f>COUNTIF(P6:P16,"PASS")&amp;" / 5 PASS"</f>
        <v>5 / 5 PASS</v>
      </c>
    </row>
    <row r="5" spans="1:18" x14ac:dyDescent="0.5">
      <c r="A5" s="47" t="s">
        <v>7</v>
      </c>
      <c r="B5" s="47" t="s">
        <v>8</v>
      </c>
      <c r="D5" s="47" t="s">
        <v>9</v>
      </c>
      <c r="L5" s="50" t="s">
        <v>10</v>
      </c>
      <c r="N5" s="51" t="s">
        <v>11</v>
      </c>
      <c r="P5" s="52" t="s">
        <v>12</v>
      </c>
    </row>
    <row r="6" spans="1:18" x14ac:dyDescent="0.5">
      <c r="A6" s="48">
        <v>1</v>
      </c>
      <c r="B6" s="49" t="s">
        <v>3008</v>
      </c>
      <c r="D6" s="53" t="s">
        <v>3009</v>
      </c>
      <c r="F6" s="53" t="s">
        <v>192</v>
      </c>
      <c r="H6" s="53">
        <v>3</v>
      </c>
      <c r="L6" s="54">
        <v>1000004</v>
      </c>
      <c r="N6" s="55" cm="1">
        <f t="array" ref="N6">arrow_move(D6,F6,H6)</f>
        <v>1000004</v>
      </c>
      <c r="P6" s="56" t="str">
        <f>IF(N6=L6,"PASS","FAIL")</f>
        <v>PASS</v>
      </c>
    </row>
    <row r="8" spans="1:18" x14ac:dyDescent="0.5">
      <c r="A8" s="48">
        <v>2</v>
      </c>
      <c r="B8" s="49" t="s">
        <v>3010</v>
      </c>
      <c r="D8" s="53" t="s">
        <v>3009</v>
      </c>
      <c r="F8" s="53" t="s">
        <v>181</v>
      </c>
      <c r="H8" s="53">
        <v>2</v>
      </c>
      <c r="L8" s="54">
        <v>3000001</v>
      </c>
      <c r="N8" s="55" cm="1">
        <f t="array" ref="N8">arrow_move(D8,F8,H8)</f>
        <v>3000001</v>
      </c>
      <c r="P8" s="56" t="str">
        <f>IF(N8=L8,"PASS","FAIL")</f>
        <v>PASS</v>
      </c>
    </row>
    <row r="10" spans="1:18" x14ac:dyDescent="0.5">
      <c r="A10" s="48">
        <v>3</v>
      </c>
      <c r="B10" s="49" t="s">
        <v>3011</v>
      </c>
      <c r="D10" s="53" t="s">
        <v>3012</v>
      </c>
      <c r="F10" s="53" t="s">
        <v>160</v>
      </c>
      <c r="H10" s="53">
        <v>5</v>
      </c>
      <c r="L10" s="54">
        <v>1000001</v>
      </c>
      <c r="N10" s="55" cm="1">
        <f t="array" ref="N10">arrow_move(D10,F10,H10)</f>
        <v>1000001</v>
      </c>
      <c r="P10" s="56" t="str">
        <f>IF(N10=L10,"PASS","FAIL")</f>
        <v>PASS</v>
      </c>
    </row>
    <row r="12" spans="1:18" x14ac:dyDescent="0.5">
      <c r="A12" s="48">
        <v>4</v>
      </c>
      <c r="B12" s="49" t="s">
        <v>3013</v>
      </c>
      <c r="D12" s="53" t="s">
        <v>3012</v>
      </c>
      <c r="F12" s="53" t="s">
        <v>160</v>
      </c>
      <c r="H12" s="53">
        <v>5</v>
      </c>
      <c r="J12" s="53">
        <v>0</v>
      </c>
      <c r="L12" s="54">
        <v>3000001</v>
      </c>
      <c r="N12" s="55" cm="1">
        <f t="array" ref="N12">arrow_move(D12,F12,H12,,J12)</f>
        <v>3000001</v>
      </c>
      <c r="P12" s="56" t="str">
        <f>IF(N12=L12,"PASS","FAIL")</f>
        <v>PASS</v>
      </c>
    </row>
    <row r="14" spans="1:18" x14ac:dyDescent="0.5">
      <c r="A14" s="48">
        <v>5</v>
      </c>
      <c r="B14" s="49" t="s">
        <v>3014</v>
      </c>
      <c r="D14" s="53" t="s">
        <v>3012</v>
      </c>
      <c r="F14" s="53" t="s">
        <v>160</v>
      </c>
      <c r="H14" s="53">
        <v>5</v>
      </c>
      <c r="J14" s="53">
        <v>-1</v>
      </c>
      <c r="L14" s="54" t="s">
        <v>3015</v>
      </c>
      <c r="N14" s="55" t="str" cm="1">
        <f t="array" ref="N14">arrow_move(D14,F14,H14,,J14)</f>
        <v>oob</v>
      </c>
      <c r="P14" s="56"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7" t="s">
        <v>0</v>
      </c>
      <c r="B1" s="86" t="str" cm="1">
        <f t="array" aca="1" ref="B1" ca="1">_xlfn.LET(_xlpm.fn, CELL("filename",$A$1), _xlpm.nm, MID(_xlpm.fn, FIND("]", _xlpm.fn) + 1, 255), _xlfn.XLOOKUP(_xlpm.nm &amp; "(*", Lamb!$A$2:$A$1000, Lamb!$A$2:$A$1000, "", 2))</f>
        <v>arrow_trip(rng, start_ad, dir, [stopper])</v>
      </c>
      <c r="C1" s="82"/>
      <c r="D1" s="82"/>
      <c r="E1" s="82"/>
      <c r="F1" s="83"/>
      <c r="H1" s="47" t="s">
        <v>2</v>
      </c>
      <c r="I1" s="81"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5"/>
      <c r="D2" s="85"/>
      <c r="E2" s="85"/>
      <c r="F2" s="85"/>
      <c r="G2" s="85"/>
      <c r="H2" s="85"/>
      <c r="I2" s="85"/>
      <c r="J2" s="85"/>
      <c r="K2" s="85"/>
      <c r="L2" s="85"/>
      <c r="M2" s="85"/>
      <c r="N2" s="85"/>
      <c r="O2" s="85"/>
      <c r="P2" s="85"/>
      <c r="Q2" s="85"/>
      <c r="R2" s="85"/>
    </row>
    <row r="4" spans="1:18" x14ac:dyDescent="0.5">
      <c r="A4" s="47" t="s">
        <v>3016</v>
      </c>
      <c r="P4" s="47" t="str">
        <f>COUNTIF(P9:P30,"PASS")&amp;" / 5 PASS"</f>
        <v>5 / 5 PASS</v>
      </c>
    </row>
    <row r="5" spans="1:18" x14ac:dyDescent="0.5">
      <c r="B5" s="47" t="s">
        <v>8</v>
      </c>
      <c r="J5" s="50" t="s">
        <v>3017</v>
      </c>
      <c r="K5" s="50" t="s">
        <v>3018</v>
      </c>
      <c r="M5" s="51" t="s">
        <v>3019</v>
      </c>
      <c r="N5" s="51" t="s">
        <v>3018</v>
      </c>
      <c r="P5" s="52" t="s">
        <v>12</v>
      </c>
    </row>
    <row r="6" spans="1:18" x14ac:dyDescent="0.5">
      <c r="B6" s="47" t="s">
        <v>3020</v>
      </c>
    </row>
    <row r="7" spans="1:18" x14ac:dyDescent="0.5">
      <c r="D7" s="53" t="s">
        <v>3021</v>
      </c>
      <c r="E7" s="53" t="s">
        <v>3022</v>
      </c>
      <c r="F7" s="53" t="s">
        <v>2631</v>
      </c>
      <c r="G7" s="53" t="s">
        <v>3023</v>
      </c>
      <c r="H7" s="53" t="s">
        <v>3024</v>
      </c>
    </row>
    <row r="9" spans="1:18" x14ac:dyDescent="0.5">
      <c r="B9" s="49" t="s">
        <v>3025</v>
      </c>
      <c r="J9" s="54">
        <v>7000004</v>
      </c>
      <c r="K9" s="54" t="s">
        <v>3021</v>
      </c>
      <c r="M9" s="55" cm="1">
        <f t="array" ref="M9:N13">arrow_trip(D7:H7,"D7","→")</f>
        <v>7000004</v>
      </c>
      <c r="N9" s="55" t="str">
        <v>a</v>
      </c>
      <c r="P9" s="56" t="str" cm="1">
        <f t="array" ref="P9">IF(AND(J9:K13=M9:N13),"PASS","FAIL")</f>
        <v>PASS</v>
      </c>
    </row>
    <row r="10" spans="1:18" x14ac:dyDescent="0.5">
      <c r="J10" s="54">
        <v>7000005</v>
      </c>
      <c r="K10" s="54" t="s">
        <v>3022</v>
      </c>
      <c r="M10" s="55">
        <v>7000005</v>
      </c>
      <c r="N10" s="55" t="str">
        <v>b</v>
      </c>
    </row>
    <row r="11" spans="1:18" x14ac:dyDescent="0.5">
      <c r="J11" s="54">
        <v>7000006</v>
      </c>
      <c r="K11" s="54" t="s">
        <v>2631</v>
      </c>
      <c r="M11" s="55">
        <v>7000006</v>
      </c>
      <c r="N11" s="55" t="str">
        <v>X</v>
      </c>
    </row>
    <row r="12" spans="1:18" x14ac:dyDescent="0.5">
      <c r="J12" s="54">
        <v>7000007</v>
      </c>
      <c r="K12" s="54" t="s">
        <v>3023</v>
      </c>
      <c r="M12" s="55">
        <v>7000007</v>
      </c>
      <c r="N12" s="55" t="str">
        <v>d</v>
      </c>
    </row>
    <row r="13" spans="1:18" x14ac:dyDescent="0.5">
      <c r="J13" s="54">
        <v>7000008</v>
      </c>
      <c r="K13" s="54" t="s">
        <v>3024</v>
      </c>
      <c r="M13" s="55">
        <v>7000008</v>
      </c>
      <c r="N13" s="55" t="str">
        <v>e</v>
      </c>
    </row>
    <row r="15" spans="1:18" x14ac:dyDescent="0.5">
      <c r="B15" s="49" t="s">
        <v>3026</v>
      </c>
      <c r="J15" s="54">
        <v>7000004</v>
      </c>
      <c r="K15" s="54" t="s">
        <v>3021</v>
      </c>
      <c r="M15" s="55" cm="1">
        <f t="array" ref="M15:N17">arrow_trip(D7:H7,"D7","→","X")</f>
        <v>7000004</v>
      </c>
      <c r="N15" s="55" t="str">
        <v>a</v>
      </c>
      <c r="P15" s="56" t="str" cm="1">
        <f t="array" ref="P15">IF(AND(J15:K17=M15:N17),"PASS","FAIL")</f>
        <v>PASS</v>
      </c>
    </row>
    <row r="16" spans="1:18" x14ac:dyDescent="0.5">
      <c r="J16" s="54">
        <v>7000005</v>
      </c>
      <c r="K16" s="54" t="s">
        <v>3022</v>
      </c>
      <c r="M16" s="55">
        <v>7000005</v>
      </c>
      <c r="N16" s="55" t="str">
        <v>b</v>
      </c>
    </row>
    <row r="17" spans="2:16" x14ac:dyDescent="0.5">
      <c r="J17" s="54">
        <v>7000006</v>
      </c>
      <c r="K17" s="54" t="s">
        <v>2631</v>
      </c>
      <c r="M17" s="55">
        <v>7000006</v>
      </c>
      <c r="N17" s="55" t="str">
        <v>X</v>
      </c>
    </row>
    <row r="19" spans="2:16" x14ac:dyDescent="0.5">
      <c r="B19" s="49" t="s">
        <v>3027</v>
      </c>
      <c r="J19" s="54">
        <v>7000004</v>
      </c>
      <c r="K19" s="54" t="s">
        <v>3021</v>
      </c>
      <c r="M19" s="55" cm="1">
        <f t="array" ref="M19:N23">arrow_trip(D7:H7,"D7","→","Z")</f>
        <v>7000004</v>
      </c>
      <c r="N19" s="55" t="str">
        <v>a</v>
      </c>
      <c r="P19" s="56" t="str" cm="1">
        <f t="array" ref="P19">IF(AND(J19:K23=M19:N23),"PASS","FAIL")</f>
        <v>PASS</v>
      </c>
    </row>
    <row r="20" spans="2:16" x14ac:dyDescent="0.5">
      <c r="J20" s="54">
        <v>7000005</v>
      </c>
      <c r="K20" s="54" t="s">
        <v>3022</v>
      </c>
      <c r="M20" s="55">
        <v>7000005</v>
      </c>
      <c r="N20" s="55" t="str">
        <v>b</v>
      </c>
    </row>
    <row r="21" spans="2:16" x14ac:dyDescent="0.5">
      <c r="J21" s="54">
        <v>7000006</v>
      </c>
      <c r="K21" s="54" t="s">
        <v>2631</v>
      </c>
      <c r="M21" s="55">
        <v>7000006</v>
      </c>
      <c r="N21" s="55" t="str">
        <v>X</v>
      </c>
    </row>
    <row r="22" spans="2:16" x14ac:dyDescent="0.5">
      <c r="J22" s="54">
        <v>7000007</v>
      </c>
      <c r="K22" s="54" t="s">
        <v>3023</v>
      </c>
      <c r="M22" s="55">
        <v>7000007</v>
      </c>
      <c r="N22" s="55" t="str">
        <v>d</v>
      </c>
    </row>
    <row r="23" spans="2:16" x14ac:dyDescent="0.5">
      <c r="J23" s="54">
        <v>7000008</v>
      </c>
      <c r="K23" s="54" t="s">
        <v>3024</v>
      </c>
      <c r="M23" s="55">
        <v>7000008</v>
      </c>
      <c r="N23" s="55" t="str">
        <v>e</v>
      </c>
    </row>
    <row r="25" spans="2:16" x14ac:dyDescent="0.5">
      <c r="B25" s="49" t="s">
        <v>3377</v>
      </c>
      <c r="J25" s="54" t="s">
        <v>2631</v>
      </c>
      <c r="M25" s="55" t="str" cm="1">
        <f t="array" ref="M25">arrow_trip(D7:H7,"D6","→")</f>
        <v>X</v>
      </c>
      <c r="P25" s="56" t="str">
        <f>IF(M25="X","PASS","FAIL")</f>
        <v>PASS</v>
      </c>
    </row>
    <row r="27" spans="2:16" x14ac:dyDescent="0.5">
      <c r="B27" s="49" t="s">
        <v>3378</v>
      </c>
      <c r="J27" s="54" t="str">
        <f>""</f>
        <v/>
      </c>
      <c r="M27" s="55" t="str" cm="1">
        <f t="array" ref="M27">arrow_trip(D7:H7,"D7","Z")</f>
        <v/>
      </c>
      <c r="P27" s="56"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biggest(check, return)</v>
      </c>
      <c r="C1" s="82"/>
      <c r="D1" s="82"/>
      <c r="E1" s="82"/>
      <c r="F1" s="83"/>
      <c r="H1" s="47" t="s">
        <v>2</v>
      </c>
      <c r="I1" s="81"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=LAMBDA(check, return, IFNA(XLOOKUP(MAX(check), check, return), ""))</v>
      </c>
      <c r="C2" s="85"/>
      <c r="D2" s="85"/>
      <c r="E2" s="85"/>
      <c r="F2" s="85"/>
      <c r="G2" s="85"/>
      <c r="H2" s="85"/>
      <c r="I2" s="85"/>
      <c r="J2" s="85"/>
      <c r="K2" s="85"/>
      <c r="L2" s="85"/>
      <c r="M2" s="85"/>
      <c r="N2" s="85"/>
      <c r="O2" s="85"/>
      <c r="P2" s="85"/>
      <c r="Q2" s="85"/>
      <c r="R2" s="85"/>
    </row>
    <row r="4" spans="1:18" x14ac:dyDescent="0.5">
      <c r="A4" s="47" t="s">
        <v>3028</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3029</v>
      </c>
      <c r="D6" s="53">
        <v>30</v>
      </c>
      <c r="F6" s="53" t="s">
        <v>3021</v>
      </c>
      <c r="H6" s="54" t="s">
        <v>3022</v>
      </c>
      <c r="J6" s="55" t="str" cm="1">
        <f t="array" ref="J6">biggest(D6:D8,F6:F8)</f>
        <v>b</v>
      </c>
      <c r="L6" s="56" t="str">
        <f>IF(J6=H6,"PASS","FAIL")</f>
        <v>PASS</v>
      </c>
    </row>
    <row r="7" spans="1:18" x14ac:dyDescent="0.5">
      <c r="A7" s="57"/>
      <c r="B7" s="57"/>
      <c r="D7" s="53">
        <v>70</v>
      </c>
      <c r="F7" s="53" t="s">
        <v>3022</v>
      </c>
    </row>
    <row r="8" spans="1:18" x14ac:dyDescent="0.5">
      <c r="A8" s="57"/>
      <c r="B8" s="57"/>
      <c r="D8" s="53">
        <v>50</v>
      </c>
      <c r="F8" s="53" t="s">
        <v>3030</v>
      </c>
    </row>
    <row r="10" spans="1:18" x14ac:dyDescent="0.5">
      <c r="A10" s="48">
        <v>2</v>
      </c>
      <c r="B10" s="49" t="s">
        <v>3031</v>
      </c>
      <c r="D10" s="53">
        <v>5</v>
      </c>
      <c r="F10" s="53" t="s">
        <v>3032</v>
      </c>
      <c r="H10" s="54" t="s">
        <v>3033</v>
      </c>
      <c r="J10" s="55" t="str" cm="1">
        <f t="array" ref="J10">biggest(D10:D13,F10:F13)</f>
        <v>q</v>
      </c>
      <c r="L10" s="56" t="str">
        <f>IF(J10=H10,"PASS","FAIL")</f>
        <v>PASS</v>
      </c>
    </row>
    <row r="11" spans="1:18" x14ac:dyDescent="0.5">
      <c r="A11" s="57"/>
      <c r="B11" s="57"/>
      <c r="D11" s="53">
        <v>9</v>
      </c>
      <c r="F11" s="53" t="s">
        <v>3033</v>
      </c>
    </row>
    <row r="12" spans="1:18" x14ac:dyDescent="0.5">
      <c r="A12" s="57"/>
      <c r="B12" s="57"/>
      <c r="D12" s="53">
        <v>9</v>
      </c>
      <c r="F12" s="53" t="s">
        <v>3034</v>
      </c>
    </row>
    <row r="13" spans="1:18" x14ac:dyDescent="0.5">
      <c r="A13" s="57"/>
      <c r="B13" s="57"/>
      <c r="D13" s="53">
        <v>2</v>
      </c>
      <c r="F13" s="53" t="s">
        <v>3035</v>
      </c>
    </row>
    <row r="15" spans="1:18" x14ac:dyDescent="0.5">
      <c r="A15" s="48">
        <v>3</v>
      </c>
      <c r="B15" s="49" t="s">
        <v>3379</v>
      </c>
      <c r="D15" s="53" t="s">
        <v>3041</v>
      </c>
      <c r="F15" s="53" t="s">
        <v>3380</v>
      </c>
      <c r="H15" s="54" t="str">
        <f>""</f>
        <v/>
      </c>
      <c r="J15" s="55" t="str" cm="1">
        <f t="array" ref="J15">biggest(D15,F15)</f>
        <v/>
      </c>
      <c r="L15" s="56"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clamp(num_or_arr, [bottom], [top])</v>
      </c>
      <c r="C1" s="82"/>
      <c r="D1" s="82"/>
      <c r="E1" s="82"/>
      <c r="F1" s="83"/>
      <c r="H1" s="47" t="s">
        <v>2</v>
      </c>
      <c r="I1" s="87"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5"/>
      <c r="D2" s="85"/>
      <c r="E2" s="85"/>
      <c r="F2" s="85"/>
      <c r="G2" s="85"/>
      <c r="H2" s="85"/>
      <c r="I2" s="85"/>
      <c r="J2" s="85"/>
      <c r="K2" s="85"/>
      <c r="L2" s="85"/>
      <c r="M2" s="85"/>
      <c r="N2" s="85"/>
      <c r="O2" s="85"/>
      <c r="P2" s="85"/>
      <c r="Q2" s="85"/>
      <c r="R2" s="85"/>
    </row>
    <row r="4" spans="1:18" x14ac:dyDescent="0.5">
      <c r="A4" s="47" t="s">
        <v>3036</v>
      </c>
      <c r="N4" s="47" t="str">
        <f>COUNTIF(N6:N21,"PASS")&amp;" / 5 PASS"</f>
        <v>5 / 5 PASS</v>
      </c>
    </row>
    <row r="5" spans="1:18" x14ac:dyDescent="0.5">
      <c r="A5" s="47" t="s">
        <v>7</v>
      </c>
      <c r="B5" s="47" t="s">
        <v>8</v>
      </c>
      <c r="D5" s="47" t="s">
        <v>9</v>
      </c>
      <c r="J5" s="50" t="s">
        <v>10</v>
      </c>
      <c r="L5" s="51" t="s">
        <v>11</v>
      </c>
      <c r="N5" s="52" t="s">
        <v>12</v>
      </c>
    </row>
    <row r="6" spans="1:18" x14ac:dyDescent="0.5">
      <c r="A6" s="48">
        <v>1</v>
      </c>
      <c r="B6" s="49" t="s">
        <v>3037</v>
      </c>
      <c r="D6" s="53">
        <v>5</v>
      </c>
      <c r="F6" s="53">
        <v>0</v>
      </c>
      <c r="H6" s="53">
        <v>100</v>
      </c>
      <c r="J6" s="54">
        <v>5</v>
      </c>
      <c r="L6" s="55" cm="1">
        <f t="array" ref="L6:L8">clamp(D6:D8,F6,H6)</f>
        <v>5</v>
      </c>
      <c r="N6" s="56" t="str" cm="1">
        <f t="array" ref="N6">IF(AND(J6:J8=L6:L8),"PASS","FAIL")</f>
        <v>PASS</v>
      </c>
    </row>
    <row r="7" spans="1:18" x14ac:dyDescent="0.5">
      <c r="A7" s="57"/>
      <c r="B7" s="57"/>
      <c r="D7" s="53">
        <v>-3</v>
      </c>
      <c r="J7" s="54">
        <v>0</v>
      </c>
      <c r="L7" s="55">
        <v>0</v>
      </c>
    </row>
    <row r="8" spans="1:18" x14ac:dyDescent="0.5">
      <c r="A8" s="57"/>
      <c r="B8" s="57"/>
      <c r="D8" s="53">
        <v>120</v>
      </c>
      <c r="J8" s="54">
        <v>100</v>
      </c>
      <c r="L8" s="55">
        <v>100</v>
      </c>
    </row>
    <row r="10" spans="1:18" x14ac:dyDescent="0.5">
      <c r="A10" s="48">
        <v>2</v>
      </c>
      <c r="B10" s="49" t="s">
        <v>3038</v>
      </c>
      <c r="D10" s="53">
        <v>150</v>
      </c>
      <c r="F10" s="53">
        <v>100</v>
      </c>
      <c r="J10" s="54">
        <v>100</v>
      </c>
      <c r="L10" s="55" cm="1">
        <f t="array" ref="L10">clamp(D10,,F10)</f>
        <v>100</v>
      </c>
      <c r="N10" s="56" t="str">
        <f>IF(L10=J10,"PASS","FAIL")</f>
        <v>PASS</v>
      </c>
    </row>
    <row r="12" spans="1:18" x14ac:dyDescent="0.5">
      <c r="A12" s="48">
        <v>3</v>
      </c>
      <c r="B12" s="49" t="s">
        <v>3039</v>
      </c>
      <c r="D12" s="53">
        <v>-5</v>
      </c>
      <c r="F12" s="53">
        <v>0</v>
      </c>
      <c r="J12" s="54">
        <v>0</v>
      </c>
      <c r="L12" s="55" cm="1">
        <f t="array" ref="L12">clamp(D12,F12)</f>
        <v>0</v>
      </c>
      <c r="N12" s="56" t="str">
        <f>IF(L12=J12,"PASS","FAIL")</f>
        <v>PASS</v>
      </c>
    </row>
    <row r="14" spans="1:18" x14ac:dyDescent="0.5">
      <c r="A14" s="48">
        <v>4</v>
      </c>
      <c r="B14" s="49" t="s">
        <v>3040</v>
      </c>
      <c r="D14" s="53">
        <v>5</v>
      </c>
      <c r="F14" s="53">
        <v>0</v>
      </c>
      <c r="H14" s="53">
        <v>10</v>
      </c>
      <c r="J14" s="54">
        <v>5</v>
      </c>
      <c r="L14" s="55" cm="1">
        <f t="array" ref="L14:L17">clamp(D14:D17,F14,H14)</f>
        <v>5</v>
      </c>
      <c r="N14" s="56" t="str" cm="1">
        <f t="array" ref="N14">IF(AND(J14:J17=L14:L17),"PASS","FAIL")</f>
        <v>PASS</v>
      </c>
    </row>
    <row r="15" spans="1:18" x14ac:dyDescent="0.5">
      <c r="A15" s="57"/>
      <c r="B15" s="57"/>
      <c r="D15" s="53" t="s">
        <v>3041</v>
      </c>
      <c r="J15" s="54"/>
      <c r="L15" s="55" t="str">
        <v/>
      </c>
    </row>
    <row r="16" spans="1:18" x14ac:dyDescent="0.5">
      <c r="A16" s="57"/>
      <c r="B16" s="57"/>
      <c r="D16" s="53"/>
      <c r="J16" s="54"/>
      <c r="L16" s="55" t="str">
        <v/>
      </c>
    </row>
    <row r="17" spans="1:14" x14ac:dyDescent="0.5">
      <c r="A17" s="57"/>
      <c r="B17" s="57"/>
      <c r="D17" s="53">
        <v>8</v>
      </c>
      <c r="J17" s="54">
        <v>8</v>
      </c>
      <c r="L17" s="55">
        <v>8</v>
      </c>
    </row>
    <row r="19" spans="1:14" x14ac:dyDescent="0.5">
      <c r="A19" s="48">
        <v>5</v>
      </c>
      <c r="B19" s="49" t="s">
        <v>3042</v>
      </c>
      <c r="D19" s="53" t="e">
        <f>NA()</f>
        <v>#N/A</v>
      </c>
      <c r="F19" s="53">
        <v>0</v>
      </c>
      <c r="H19" s="53">
        <v>10</v>
      </c>
      <c r="J19" s="54" t="e">
        <v>#N/A</v>
      </c>
      <c r="L19" s="55" t="e" cm="1">
        <f t="array" ref="L19">clamp(D19,F19,H19)</f>
        <v>#N/A</v>
      </c>
      <c r="N19" s="56"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count_substring(str, sub, [case_sensitive])</v>
      </c>
      <c r="C1" s="82"/>
      <c r="D1" s="82"/>
      <c r="E1" s="82"/>
      <c r="F1" s="83"/>
      <c r="H1" s="47" t="s">
        <v>2</v>
      </c>
      <c r="I1" s="81"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5"/>
      <c r="D2" s="85"/>
      <c r="E2" s="85"/>
      <c r="F2" s="85"/>
      <c r="G2" s="85"/>
      <c r="H2" s="85"/>
      <c r="I2" s="85"/>
      <c r="J2" s="85"/>
      <c r="K2" s="85"/>
      <c r="L2" s="85"/>
      <c r="M2" s="85"/>
      <c r="N2" s="85"/>
      <c r="O2" s="85"/>
      <c r="P2" s="85"/>
      <c r="Q2" s="85"/>
      <c r="R2" s="85"/>
    </row>
    <row r="4" spans="1:18" x14ac:dyDescent="0.5">
      <c r="A4" s="47" t="s">
        <v>3043</v>
      </c>
      <c r="N4" s="47" t="str">
        <f>COUNTIF(N6:N20,"PASS")&amp;" / 6 PASS"</f>
        <v>6 / 6 PASS</v>
      </c>
    </row>
    <row r="5" spans="1:18" x14ac:dyDescent="0.5">
      <c r="A5" s="47" t="s">
        <v>7</v>
      </c>
      <c r="B5" s="47" t="s">
        <v>8</v>
      </c>
      <c r="D5" s="47" t="s">
        <v>9</v>
      </c>
      <c r="J5" s="50" t="s">
        <v>10</v>
      </c>
      <c r="L5" s="51" t="s">
        <v>11</v>
      </c>
      <c r="N5" s="52" t="s">
        <v>12</v>
      </c>
    </row>
    <row r="6" spans="1:18" x14ac:dyDescent="0.5">
      <c r="A6" s="48">
        <v>1</v>
      </c>
      <c r="B6" s="49" t="s">
        <v>3044</v>
      </c>
      <c r="D6" s="53" t="s">
        <v>3045</v>
      </c>
      <c r="F6" s="53" t="s">
        <v>3021</v>
      </c>
      <c r="J6" s="54">
        <v>3</v>
      </c>
      <c r="L6" s="55" cm="1">
        <f t="array" ref="L6">count_substring(D6,F6)</f>
        <v>3</v>
      </c>
      <c r="N6" s="56" t="str">
        <f>IF(L6=J6,"PASS","FAIL")</f>
        <v>PASS</v>
      </c>
    </row>
    <row r="8" spans="1:18" x14ac:dyDescent="0.5">
      <c r="A8" s="48">
        <v>2</v>
      </c>
      <c r="B8" s="49" t="s">
        <v>3046</v>
      </c>
      <c r="D8" s="53" t="s">
        <v>3045</v>
      </c>
      <c r="F8" s="53" t="s">
        <v>3047</v>
      </c>
      <c r="J8" s="54">
        <v>2</v>
      </c>
      <c r="L8" s="55" cm="1">
        <f t="array" ref="L8">count_substring(D8,F8)</f>
        <v>2</v>
      </c>
      <c r="N8" s="56" t="str">
        <f>IF(L8=J8,"PASS","FAIL")</f>
        <v>PASS</v>
      </c>
    </row>
    <row r="10" spans="1:18" x14ac:dyDescent="0.5">
      <c r="A10" s="48">
        <v>3</v>
      </c>
      <c r="B10" s="49" t="s">
        <v>3048</v>
      </c>
      <c r="D10" s="53" t="s">
        <v>3049</v>
      </c>
      <c r="F10" s="53" t="s">
        <v>3021</v>
      </c>
      <c r="H10" s="53">
        <v>1</v>
      </c>
      <c r="J10" s="54">
        <v>2</v>
      </c>
      <c r="L10" s="55" cm="1">
        <f t="array" ref="L10">count_substring(D10,F10,H10)</f>
        <v>2</v>
      </c>
      <c r="N10" s="56" t="str">
        <f>IF(L10=J10,"PASS","FAIL")</f>
        <v>PASS</v>
      </c>
    </row>
    <row r="12" spans="1:18" x14ac:dyDescent="0.5">
      <c r="A12" s="48">
        <v>4</v>
      </c>
      <c r="B12" s="49" t="s">
        <v>3050</v>
      </c>
      <c r="D12" s="53" t="s">
        <v>3049</v>
      </c>
      <c r="F12" s="53" t="s">
        <v>3021</v>
      </c>
      <c r="J12" s="54">
        <v>4</v>
      </c>
      <c r="L12" s="55" cm="1">
        <f t="array" ref="L12">count_substring(D12,F12)</f>
        <v>4</v>
      </c>
      <c r="N12" s="56" t="str">
        <f>IF(L12=J12,"PASS","FAIL")</f>
        <v>PASS</v>
      </c>
    </row>
    <row r="14" spans="1:18" x14ac:dyDescent="0.5">
      <c r="A14" s="48">
        <v>5</v>
      </c>
      <c r="B14" s="49" t="s">
        <v>3051</v>
      </c>
      <c r="D14" s="53" t="s">
        <v>3045</v>
      </c>
      <c r="F14" s="53" t="s">
        <v>3021</v>
      </c>
      <c r="J14" s="54">
        <v>3</v>
      </c>
      <c r="L14" s="55" cm="1">
        <f t="array" ref="L14:L15">count_substring(D14,F14:F15)</f>
        <v>3</v>
      </c>
      <c r="N14" s="56" t="str" cm="1">
        <f t="array" ref="N14">IF(AND(J14:J15=L14:L15),"PASS","FAIL")</f>
        <v>PASS</v>
      </c>
    </row>
    <row r="15" spans="1:18" x14ac:dyDescent="0.5">
      <c r="A15" s="57"/>
      <c r="B15" s="57"/>
      <c r="F15" s="53" t="s">
        <v>3052</v>
      </c>
      <c r="J15" s="54">
        <v>2</v>
      </c>
      <c r="L15" s="55">
        <v>2</v>
      </c>
    </row>
    <row r="17" spans="1:14" x14ac:dyDescent="0.5">
      <c r="A17" s="48">
        <v>6</v>
      </c>
      <c r="B17" s="49" t="s">
        <v>3053</v>
      </c>
      <c r="D17" s="53" t="s">
        <v>3045</v>
      </c>
      <c r="F17" s="53" t="s">
        <v>3021</v>
      </c>
      <c r="J17" s="54">
        <v>3</v>
      </c>
      <c r="L17" s="55" cm="1">
        <f t="array" ref="L17:L18">count_substring(D17:D18,F17)</f>
        <v>3</v>
      </c>
      <c r="N17" s="56" t="str" cm="1">
        <f t="array" ref="N17">IF(AND(J17:J18=L17:L18),"PASS","FAIL")</f>
        <v>PASS</v>
      </c>
    </row>
    <row r="18" spans="1:14" x14ac:dyDescent="0.5">
      <c r="A18" s="57"/>
      <c r="B18" s="57"/>
      <c r="D18" s="53" t="s">
        <v>3054</v>
      </c>
      <c r="J18" s="54">
        <v>1</v>
      </c>
      <c r="L18" s="55">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7" t="s">
        <v>0</v>
      </c>
      <c r="B1" s="86" t="str" cm="1">
        <f t="array" aca="1" ref="B1" ca="1">_xlfn.LET(_xlpm.fn, CELL("filename",$A$1), _xlpm.nm, MID(_xlpm.fn, FIND("]", _xlpm.fn) + 1, 255), _xlfn.XLOOKUP(_xlpm.nm &amp; "(*", Lamb!$A$2:$A$1000, Lamb!$A$2:$A$1000, "", 2))</f>
        <v>ctotal(arr)</v>
      </c>
      <c r="C1" s="82"/>
      <c r="D1" s="82"/>
      <c r="E1" s="82"/>
      <c r="F1" s="83"/>
      <c r="H1" s="47" t="s">
        <v>2</v>
      </c>
      <c r="I1" s="81"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82"/>
      <c r="K1" s="82"/>
      <c r="L1" s="82"/>
      <c r="M1" s="82"/>
      <c r="N1" s="82"/>
      <c r="O1" s="82"/>
      <c r="P1" s="82"/>
      <c r="Q1" s="82"/>
      <c r="R1" s="83"/>
    </row>
    <row r="2" spans="1:19" ht="21" customHeight="1" x14ac:dyDescent="0.5">
      <c r="A2" s="47" t="s">
        <v>4</v>
      </c>
      <c r="B2" s="84" t="str" cm="1">
        <f t="array" aca="1" ref="B2" ca="1">_xlfn.LET(_xlpm.fn, CELL("filename",$A$1), _xlpm.nm, MID(_xlpm.fn, FIND("]", _xlpm.fn) + 1, 255), _xlfn.XLOOKUP(_xlpm.nm &amp; "(*", Lamb!$A$2:$A$1000, Lamb!$C$2:$C$1000, "", 2))</f>
        <v>=LAMBDA(arr, SCAN(0, arr, LAMBDA(a, b, a + b)))</v>
      </c>
      <c r="C2" s="85"/>
      <c r="D2" s="85"/>
      <c r="E2" s="85"/>
      <c r="F2" s="85"/>
      <c r="G2" s="85"/>
      <c r="H2" s="85"/>
      <c r="I2" s="85"/>
      <c r="J2" s="85"/>
      <c r="K2" s="85"/>
      <c r="L2" s="85"/>
      <c r="M2" s="85"/>
      <c r="N2" s="85"/>
      <c r="O2" s="85"/>
      <c r="P2" s="85"/>
      <c r="Q2" s="85"/>
      <c r="R2" s="85"/>
    </row>
    <row r="4" spans="1:19" x14ac:dyDescent="0.5">
      <c r="A4" s="47" t="s">
        <v>3055</v>
      </c>
      <c r="S4" s="47" t="str">
        <f>COUNTIF(S6:S20,"PASS")&amp;" / 4 PASS"</f>
        <v>4 / 4 PASS</v>
      </c>
    </row>
    <row r="5" spans="1:19" x14ac:dyDescent="0.5">
      <c r="A5" s="47" t="s">
        <v>7</v>
      </c>
      <c r="B5" s="47" t="s">
        <v>8</v>
      </c>
      <c r="D5" s="47" t="s">
        <v>9</v>
      </c>
      <c r="I5" s="50" t="s">
        <v>10</v>
      </c>
      <c r="N5" s="51" t="s">
        <v>11</v>
      </c>
      <c r="S5" s="52" t="s">
        <v>12</v>
      </c>
    </row>
    <row r="6" spans="1:19" x14ac:dyDescent="0.5">
      <c r="A6" s="48">
        <v>1</v>
      </c>
      <c r="B6" s="49" t="s">
        <v>3056</v>
      </c>
      <c r="D6" s="53">
        <v>1</v>
      </c>
      <c r="I6" s="54">
        <v>1</v>
      </c>
      <c r="N6" s="55" cm="1">
        <f t="array" ref="N6:N8">ctotal(D6:D8)</f>
        <v>1</v>
      </c>
      <c r="S6" s="56" t="str" cm="1">
        <f t="array" ref="S6">IF(AND(I6:I8=N6:N8),"PASS","FAIL")</f>
        <v>PASS</v>
      </c>
    </row>
    <row r="7" spans="1:19" x14ac:dyDescent="0.5">
      <c r="A7" s="57"/>
      <c r="B7" s="57"/>
      <c r="D7" s="53">
        <v>2</v>
      </c>
      <c r="I7" s="54">
        <v>3</v>
      </c>
      <c r="N7" s="55">
        <v>3</v>
      </c>
    </row>
    <row r="8" spans="1:19" x14ac:dyDescent="0.5">
      <c r="A8" s="57"/>
      <c r="B8" s="57"/>
      <c r="D8" s="53">
        <v>3</v>
      </c>
      <c r="I8" s="54">
        <v>6</v>
      </c>
      <c r="N8" s="55">
        <v>6</v>
      </c>
    </row>
    <row r="10" spans="1:19" x14ac:dyDescent="0.5">
      <c r="A10" s="48">
        <v>2</v>
      </c>
      <c r="B10" s="49" t="s">
        <v>3057</v>
      </c>
      <c r="D10" s="53">
        <v>5</v>
      </c>
      <c r="I10" s="54">
        <v>5</v>
      </c>
      <c r="N10" s="55" cm="1">
        <f t="array" ref="N10:N12">ctotal(D10:D12)</f>
        <v>5</v>
      </c>
      <c r="S10" s="56" t="str" cm="1">
        <f t="array" ref="S10">IF(AND(I10:I12=N10:N12),"PASS","FAIL")</f>
        <v>PASS</v>
      </c>
    </row>
    <row r="11" spans="1:19" x14ac:dyDescent="0.5">
      <c r="A11" s="57"/>
      <c r="B11" s="57"/>
      <c r="D11" s="53">
        <v>-2</v>
      </c>
      <c r="I11" s="54">
        <v>3</v>
      </c>
      <c r="N11" s="55">
        <v>3</v>
      </c>
    </row>
    <row r="12" spans="1:19" x14ac:dyDescent="0.5">
      <c r="A12" s="57"/>
      <c r="B12" s="57"/>
      <c r="D12" s="53">
        <v>10</v>
      </c>
      <c r="I12" s="54">
        <v>13</v>
      </c>
      <c r="N12" s="55">
        <v>13</v>
      </c>
    </row>
    <row r="14" spans="1:19" x14ac:dyDescent="0.5">
      <c r="A14" s="48">
        <v>3</v>
      </c>
      <c r="B14" s="49" t="s">
        <v>3058</v>
      </c>
      <c r="D14" s="53">
        <v>1</v>
      </c>
      <c r="I14" s="54">
        <v>1</v>
      </c>
      <c r="N14" s="55" cm="1">
        <f t="array" ref="N14:N16">ctotal(D14:D16)</f>
        <v>1</v>
      </c>
      <c r="S14" s="56" t="str" cm="1">
        <f t="array" ref="S14">IF(AND(I14:I16=N14:N16),"PASS","FAIL")</f>
        <v>PASS</v>
      </c>
    </row>
    <row r="15" spans="1:19" x14ac:dyDescent="0.5">
      <c r="A15" s="57"/>
      <c r="B15" s="57"/>
      <c r="D15" s="53"/>
      <c r="I15" s="54">
        <v>1</v>
      </c>
      <c r="N15" s="55">
        <v>1</v>
      </c>
    </row>
    <row r="16" spans="1:19" x14ac:dyDescent="0.5">
      <c r="A16" s="57"/>
      <c r="B16" s="57"/>
      <c r="D16" s="53">
        <v>3</v>
      </c>
      <c r="I16" s="54">
        <v>4</v>
      </c>
      <c r="N16" s="55">
        <v>4</v>
      </c>
    </row>
    <row r="18" spans="1:19" x14ac:dyDescent="0.5">
      <c r="A18" s="48">
        <v>4</v>
      </c>
      <c r="B18" s="49" t="s">
        <v>3059</v>
      </c>
      <c r="D18" s="53">
        <v>1</v>
      </c>
      <c r="E18" s="53">
        <v>2</v>
      </c>
      <c r="F18" s="53">
        <v>3</v>
      </c>
      <c r="G18" s="53">
        <v>4</v>
      </c>
      <c r="I18" s="54">
        <v>1</v>
      </c>
      <c r="J18" s="54">
        <v>3</v>
      </c>
      <c r="K18" s="54">
        <v>6</v>
      </c>
      <c r="L18" s="54">
        <v>10</v>
      </c>
      <c r="N18" s="55" cm="1">
        <f t="array" ref="N18:Q18">ctotal(D18:G18)</f>
        <v>1</v>
      </c>
      <c r="O18" s="55">
        <v>3</v>
      </c>
      <c r="P18" s="55">
        <v>6</v>
      </c>
      <c r="Q18" s="55">
        <v>10</v>
      </c>
      <c r="S18" s="56"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86" t="str" cm="1">
        <f t="array" aca="1" ref="B1" ca="1">_xlfn.LET(_xlpm.fn, CELL("filename",$A$1), _xlpm.nm, MID(_xlpm.fn, FIND("]", _xlpm.fn) + 1, 255), _xlfn.XLOOKUP(_xlpm.nm &amp; "(*", Lamb!$A$2:$A$1000, Lamb!$A$2:$A$1000, "", 2))</f>
        <v>cycles(outer_n, inner_n)</v>
      </c>
      <c r="C1" s="82"/>
      <c r="D1" s="82"/>
      <c r="E1" s="82"/>
      <c r="F1" s="83"/>
      <c r="H1" s="47" t="s">
        <v>2</v>
      </c>
      <c r="I1" s="81"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=LAMBDA(outer_n, inner_n, LET(
   seq, SEQUENCE(outer_n * inner_n, 1, 0),
   HSTACK(INT(seq / inner_n) + 1, MOD(seq, inner_n) + 1)
))</v>
      </c>
      <c r="C2" s="85"/>
      <c r="D2" s="85"/>
      <c r="E2" s="85"/>
      <c r="F2" s="85"/>
      <c r="G2" s="85"/>
      <c r="H2" s="85"/>
      <c r="I2" s="85"/>
      <c r="J2" s="85"/>
      <c r="K2" s="85"/>
      <c r="L2" s="85"/>
      <c r="M2" s="85"/>
      <c r="N2" s="85"/>
      <c r="O2" s="85"/>
      <c r="P2" s="85"/>
      <c r="Q2" s="85"/>
      <c r="R2" s="85"/>
    </row>
    <row r="4" spans="1:18" x14ac:dyDescent="0.5">
      <c r="A4" s="47" t="s">
        <v>3060</v>
      </c>
      <c r="N4" s="47" t="str">
        <f>COUNTIF(N6:N20,"PASS")&amp;" / 2 PASS"</f>
        <v>2 / 2 PASS</v>
      </c>
    </row>
    <row r="5" spans="1:18" x14ac:dyDescent="0.5">
      <c r="A5" s="47" t="s">
        <v>7</v>
      </c>
      <c r="B5" s="47" t="s">
        <v>8</v>
      </c>
      <c r="D5" s="47" t="s">
        <v>9</v>
      </c>
      <c r="H5" s="50" t="s">
        <v>10</v>
      </c>
      <c r="K5" s="51" t="s">
        <v>11</v>
      </c>
      <c r="N5" s="52" t="s">
        <v>12</v>
      </c>
    </row>
    <row r="6" spans="1:18" x14ac:dyDescent="0.5">
      <c r="A6" s="48">
        <v>1</v>
      </c>
      <c r="B6" s="49" t="s">
        <v>3061</v>
      </c>
      <c r="D6" s="53">
        <v>3</v>
      </c>
      <c r="F6" s="53">
        <v>2</v>
      </c>
      <c r="H6" s="54">
        <v>1</v>
      </c>
      <c r="I6" s="54">
        <v>1</v>
      </c>
      <c r="K6" s="55" cm="1">
        <f t="array" ref="K6:L11">cycles(D6,F6)</f>
        <v>1</v>
      </c>
      <c r="L6" s="55">
        <v>1</v>
      </c>
      <c r="N6" s="56" t="str" cm="1">
        <f t="array" ref="N6">IF(AND(H6:I11=K6:L11),"PASS","FAIL")</f>
        <v>PASS</v>
      </c>
    </row>
    <row r="7" spans="1:18" x14ac:dyDescent="0.5">
      <c r="A7" s="57"/>
      <c r="B7" s="57"/>
      <c r="H7" s="54">
        <v>1</v>
      </c>
      <c r="I7" s="54">
        <v>2</v>
      </c>
      <c r="K7" s="55">
        <v>1</v>
      </c>
      <c r="L7" s="55">
        <v>2</v>
      </c>
    </row>
    <row r="8" spans="1:18" x14ac:dyDescent="0.5">
      <c r="A8" s="57"/>
      <c r="B8" s="57"/>
      <c r="H8" s="54">
        <v>2</v>
      </c>
      <c r="I8" s="54">
        <v>1</v>
      </c>
      <c r="K8" s="55">
        <v>2</v>
      </c>
      <c r="L8" s="55">
        <v>1</v>
      </c>
    </row>
    <row r="9" spans="1:18" x14ac:dyDescent="0.5">
      <c r="A9" s="57"/>
      <c r="B9" s="57"/>
      <c r="H9" s="54">
        <v>2</v>
      </c>
      <c r="I9" s="54">
        <v>2</v>
      </c>
      <c r="K9" s="55">
        <v>2</v>
      </c>
      <c r="L9" s="55">
        <v>2</v>
      </c>
    </row>
    <row r="10" spans="1:18" x14ac:dyDescent="0.5">
      <c r="A10" s="57"/>
      <c r="B10" s="57"/>
      <c r="H10" s="54">
        <v>3</v>
      </c>
      <c r="I10" s="54">
        <v>1</v>
      </c>
      <c r="K10" s="55">
        <v>3</v>
      </c>
      <c r="L10" s="55">
        <v>1</v>
      </c>
    </row>
    <row r="11" spans="1:18" x14ac:dyDescent="0.5">
      <c r="A11" s="57"/>
      <c r="B11" s="57"/>
      <c r="H11" s="54">
        <v>3</v>
      </c>
      <c r="I11" s="54">
        <v>2</v>
      </c>
      <c r="K11" s="55">
        <v>3</v>
      </c>
      <c r="L11" s="55">
        <v>2</v>
      </c>
    </row>
    <row r="13" spans="1:18" x14ac:dyDescent="0.5">
      <c r="A13" s="48">
        <v>2</v>
      </c>
      <c r="B13" s="49" t="s">
        <v>3062</v>
      </c>
      <c r="D13" s="53">
        <v>2</v>
      </c>
      <c r="F13" s="53">
        <v>3</v>
      </c>
      <c r="H13" s="54">
        <v>1</v>
      </c>
      <c r="I13" s="54">
        <v>1</v>
      </c>
      <c r="K13" s="55" cm="1">
        <f t="array" ref="K13:L18">cycles(D13,F13)</f>
        <v>1</v>
      </c>
      <c r="L13" s="55">
        <v>1</v>
      </c>
      <c r="N13" s="56" t="str" cm="1">
        <f t="array" ref="N13">IF(AND(H13:I18=K13:L18),"PASS","FAIL")</f>
        <v>PASS</v>
      </c>
    </row>
    <row r="14" spans="1:18" x14ac:dyDescent="0.5">
      <c r="A14" s="57"/>
      <c r="B14" s="57"/>
      <c r="H14" s="54">
        <v>1</v>
      </c>
      <c r="I14" s="54">
        <v>2</v>
      </c>
      <c r="K14" s="55">
        <v>1</v>
      </c>
      <c r="L14" s="55">
        <v>2</v>
      </c>
    </row>
    <row r="15" spans="1:18" x14ac:dyDescent="0.5">
      <c r="A15" s="57"/>
      <c r="B15" s="57"/>
      <c r="H15" s="54">
        <v>1</v>
      </c>
      <c r="I15" s="54">
        <v>3</v>
      </c>
      <c r="K15" s="55">
        <v>1</v>
      </c>
      <c r="L15" s="55">
        <v>3</v>
      </c>
    </row>
    <row r="16" spans="1:18" x14ac:dyDescent="0.5">
      <c r="A16" s="57"/>
      <c r="B16" s="57"/>
      <c r="H16" s="54">
        <v>2</v>
      </c>
      <c r="I16" s="54">
        <v>1</v>
      </c>
      <c r="K16" s="55">
        <v>2</v>
      </c>
      <c r="L16" s="55">
        <v>1</v>
      </c>
    </row>
    <row r="17" spans="1:12" x14ac:dyDescent="0.5">
      <c r="A17" s="57"/>
      <c r="B17" s="57"/>
      <c r="H17" s="54">
        <v>2</v>
      </c>
      <c r="I17" s="54">
        <v>2</v>
      </c>
      <c r="K17" s="55">
        <v>2</v>
      </c>
      <c r="L17" s="55">
        <v>2</v>
      </c>
    </row>
    <row r="18" spans="1:12" x14ac:dyDescent="0.5">
      <c r="A18" s="57"/>
      <c r="B18" s="57"/>
      <c r="H18" s="54">
        <v>2</v>
      </c>
      <c r="I18" s="54">
        <v>3</v>
      </c>
      <c r="K18" s="55">
        <v>2</v>
      </c>
      <c r="L18" s="55">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die_pips(st)</v>
      </c>
      <c r="C1" s="82"/>
      <c r="D1" s="82"/>
      <c r="E1" s="82"/>
      <c r="F1" s="83"/>
      <c r="H1" s="47" t="s">
        <v>2</v>
      </c>
      <c r="I1" s="81"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5"/>
      <c r="D2" s="85"/>
      <c r="E2" s="85"/>
      <c r="F2" s="85"/>
      <c r="G2" s="85"/>
      <c r="H2" s="85"/>
      <c r="I2" s="85"/>
      <c r="J2" s="85"/>
      <c r="K2" s="85"/>
      <c r="L2" s="85"/>
      <c r="M2" s="85"/>
      <c r="N2" s="85"/>
      <c r="O2" s="85"/>
      <c r="P2" s="85"/>
      <c r="Q2" s="85"/>
      <c r="R2" s="85"/>
    </row>
    <row r="4" spans="1:18" x14ac:dyDescent="0.5">
      <c r="A4" s="47" t="s">
        <v>3063</v>
      </c>
      <c r="J4" s="47" t="str">
        <f>COUNTIF(J6:J16,"PASS")&amp;" / 5 PASS"</f>
        <v>5 / 5 PASS</v>
      </c>
    </row>
    <row r="5" spans="1:18" x14ac:dyDescent="0.5">
      <c r="A5" s="47" t="s">
        <v>7</v>
      </c>
      <c r="B5" s="47" t="s">
        <v>8</v>
      </c>
      <c r="D5" s="47" t="s">
        <v>9</v>
      </c>
      <c r="F5" s="50" t="s">
        <v>10</v>
      </c>
      <c r="H5" s="51" t="s">
        <v>11</v>
      </c>
      <c r="J5" s="52" t="s">
        <v>12</v>
      </c>
    </row>
    <row r="6" spans="1:18" x14ac:dyDescent="0.5">
      <c r="A6" s="48">
        <v>1</v>
      </c>
      <c r="B6" s="49" t="s">
        <v>3064</v>
      </c>
      <c r="D6" s="53" t="s">
        <v>3065</v>
      </c>
      <c r="F6" s="54">
        <v>5</v>
      </c>
      <c r="H6" s="55" cm="1">
        <f t="array" ref="H6">die_pips(D6)</f>
        <v>5</v>
      </c>
      <c r="J6" s="56" t="str">
        <f>IF(H6=F6,"PASS","FAIL")</f>
        <v>PASS</v>
      </c>
    </row>
    <row r="8" spans="1:18" x14ac:dyDescent="0.5">
      <c r="A8" s="48">
        <v>2</v>
      </c>
      <c r="B8" s="49" t="s">
        <v>3066</v>
      </c>
      <c r="D8" s="53" t="s">
        <v>3067</v>
      </c>
      <c r="F8" s="54">
        <v>2</v>
      </c>
      <c r="H8" s="55" cm="1">
        <f t="array" ref="H8">die_pips(D8)</f>
        <v>2</v>
      </c>
      <c r="J8" s="56" t="str">
        <f>IF(H8=F8,"PASS","FAIL")</f>
        <v>PASS</v>
      </c>
    </row>
    <row r="10" spans="1:18" x14ac:dyDescent="0.5">
      <c r="A10" s="48">
        <v>3</v>
      </c>
      <c r="B10" s="49" t="s">
        <v>3068</v>
      </c>
      <c r="D10" s="53" t="s">
        <v>3069</v>
      </c>
      <c r="F10" s="54">
        <v>1</v>
      </c>
      <c r="H10" s="55" cm="1">
        <f t="array" ref="H10:H11">die_pips(D10)</f>
        <v>1</v>
      </c>
      <c r="J10" s="56" t="str" cm="1">
        <f t="array" ref="J10">IF(AND(F10:F11=H10:H11),"PASS","FAIL")</f>
        <v>PASS</v>
      </c>
    </row>
    <row r="11" spans="1:18" x14ac:dyDescent="0.5">
      <c r="A11" s="57"/>
      <c r="B11" s="57"/>
      <c r="F11" s="54">
        <v>6</v>
      </c>
      <c r="H11" s="55">
        <v>6</v>
      </c>
    </row>
    <row r="13" spans="1:18" x14ac:dyDescent="0.5">
      <c r="A13" s="48">
        <v>4</v>
      </c>
      <c r="B13" s="49" t="s">
        <v>3070</v>
      </c>
      <c r="D13" s="53" t="s">
        <v>3071</v>
      </c>
      <c r="F13" s="54">
        <v>3</v>
      </c>
      <c r="H13" s="55" cm="1">
        <f t="array" ref="H13:H14">die_pips(D13:D14)</f>
        <v>3</v>
      </c>
      <c r="J13" s="56" t="str" cm="1">
        <f t="array" ref="J13">IF(AND(F13:F14=H13:H14),"PASS","FAIL")</f>
        <v>PASS</v>
      </c>
    </row>
    <row r="14" spans="1:18" x14ac:dyDescent="0.5">
      <c r="A14" s="57"/>
      <c r="B14" s="57"/>
      <c r="D14" s="53" t="s">
        <v>3065</v>
      </c>
      <c r="F14" s="54">
        <v>5</v>
      </c>
      <c r="H14" s="55">
        <v>5</v>
      </c>
    </row>
    <row r="16" spans="1:18" x14ac:dyDescent="0.5">
      <c r="A16" s="48">
        <v>5</v>
      </c>
      <c r="B16" s="49" t="s">
        <v>3381</v>
      </c>
      <c r="D16" s="53" t="s">
        <v>137</v>
      </c>
      <c r="F16" s="54" t="str">
        <f>""</f>
        <v/>
      </c>
      <c r="H16" s="55" t="str" cm="1">
        <f t="array" ref="H16">die_pips(D16)</f>
        <v/>
      </c>
      <c r="J16" s="56"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7" t="s">
        <v>0</v>
      </c>
      <c r="B1" s="86" t="str" cm="1">
        <f t="array" aca="1" ref="B1" ca="1">_xlfn.LET(_xlpm.fn, CELL("filename",$A$1), _xlpm.nm, MID(_xlpm.fn, FIND("]", _xlpm.fn) + 1, 255), _xlfn.XLOOKUP(_xlpm.nm &amp; "(*", Lamb!$A$2:$A$1000, Lamb!$A$2:$A$1000, "", 2))</f>
        <v>dist(start_ad, end_ad, [diag_allowed], [print_components])</v>
      </c>
      <c r="C1" s="82"/>
      <c r="D1" s="82"/>
      <c r="E1" s="82"/>
      <c r="F1" s="83"/>
      <c r="H1" s="47" t="s">
        <v>2</v>
      </c>
      <c r="I1" s="81"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5"/>
      <c r="D2" s="85"/>
      <c r="E2" s="85"/>
      <c r="F2" s="85"/>
      <c r="G2" s="85"/>
      <c r="H2" s="85"/>
      <c r="I2" s="85"/>
      <c r="J2" s="85"/>
      <c r="K2" s="85"/>
      <c r="L2" s="85"/>
      <c r="M2" s="85"/>
      <c r="N2" s="85"/>
      <c r="O2" s="85"/>
      <c r="P2" s="85"/>
      <c r="Q2" s="85"/>
      <c r="R2" s="85"/>
    </row>
    <row r="4" spans="1:18" x14ac:dyDescent="0.5">
      <c r="A4" s="47" t="s">
        <v>3072</v>
      </c>
      <c r="P4" s="47" t="str">
        <f>COUNTIF(P6:P33,"PASS")&amp;" / 7 PASS"</f>
        <v>7 / 7 PASS</v>
      </c>
    </row>
    <row r="5" spans="1:18" x14ac:dyDescent="0.5">
      <c r="A5" s="47" t="s">
        <v>7</v>
      </c>
      <c r="B5" s="47" t="s">
        <v>8</v>
      </c>
      <c r="D5" s="47" t="s">
        <v>9</v>
      </c>
      <c r="L5" s="50" t="s">
        <v>10</v>
      </c>
      <c r="N5" s="51" t="s">
        <v>11</v>
      </c>
      <c r="P5" s="52" t="s">
        <v>12</v>
      </c>
    </row>
    <row r="6" spans="1:18" x14ac:dyDescent="0.5">
      <c r="A6" s="48">
        <v>1</v>
      </c>
      <c r="B6" s="49" t="s">
        <v>3073</v>
      </c>
      <c r="D6" s="53" t="s">
        <v>3009</v>
      </c>
      <c r="F6" s="53" t="s">
        <v>3074</v>
      </c>
      <c r="L6" s="54">
        <v>2</v>
      </c>
      <c r="N6" s="55" cm="1">
        <f t="array" ref="N6">dist(D6,F6)</f>
        <v>2</v>
      </c>
      <c r="P6" s="56" t="str">
        <f>IF(N6=L6,"PASS","FAIL")</f>
        <v>PASS</v>
      </c>
    </row>
    <row r="8" spans="1:18" x14ac:dyDescent="0.5">
      <c r="A8" s="48">
        <v>2</v>
      </c>
      <c r="B8" s="49" t="s">
        <v>3075</v>
      </c>
      <c r="D8" s="53" t="s">
        <v>3009</v>
      </c>
      <c r="F8" s="53" t="s">
        <v>3074</v>
      </c>
      <c r="H8" s="53">
        <v>0</v>
      </c>
      <c r="L8" s="54">
        <v>4</v>
      </c>
      <c r="N8" s="55" cm="1">
        <f t="array" ref="N8">dist(D8,F8,H8)</f>
        <v>4</v>
      </c>
      <c r="P8" s="56" t="str">
        <f>IF(N8=L8,"PASS","FAIL")</f>
        <v>PASS</v>
      </c>
    </row>
    <row r="10" spans="1:18" x14ac:dyDescent="0.5">
      <c r="A10" s="48">
        <v>3</v>
      </c>
      <c r="B10" s="49" t="s">
        <v>3076</v>
      </c>
      <c r="D10" s="53" t="s">
        <v>3009</v>
      </c>
      <c r="F10" s="53" t="s">
        <v>3074</v>
      </c>
      <c r="H10" s="53">
        <v>-1</v>
      </c>
      <c r="L10" s="54">
        <v>2.8284271247461898</v>
      </c>
      <c r="N10" s="55" cm="1">
        <f t="array" ref="N10">dist(D10,F10,H10)</f>
        <v>2.8284271247461903</v>
      </c>
      <c r="P10" s="56" t="str">
        <f>IF(ABS(N10-L10)&lt;0.000000001,"PASS","FAIL")</f>
        <v>PASS</v>
      </c>
    </row>
    <row r="12" spans="1:18" x14ac:dyDescent="0.5">
      <c r="A12" s="48">
        <v>4</v>
      </c>
      <c r="B12" s="49" t="s">
        <v>3077</v>
      </c>
      <c r="D12" s="53" t="s">
        <v>3009</v>
      </c>
      <c r="F12" s="53" t="s">
        <v>3078</v>
      </c>
      <c r="L12" s="54">
        <v>3</v>
      </c>
      <c r="N12" s="55" cm="1">
        <f t="array" ref="N12">dist(D12,F12)</f>
        <v>3</v>
      </c>
      <c r="P12" s="56" t="str">
        <f>IF(N12=L12,"PASS","FAIL")</f>
        <v>PASS</v>
      </c>
    </row>
    <row r="14" spans="1:18" x14ac:dyDescent="0.5">
      <c r="A14" s="48">
        <v>5</v>
      </c>
      <c r="B14" s="49" t="s">
        <v>3079</v>
      </c>
      <c r="D14" s="53" t="s">
        <v>3009</v>
      </c>
      <c r="F14" s="53" t="s">
        <v>3074</v>
      </c>
      <c r="H14" s="53">
        <v>1</v>
      </c>
      <c r="J14" s="53">
        <v>1</v>
      </c>
      <c r="L14" s="54" t="s">
        <v>374</v>
      </c>
      <c r="N14" s="55" t="str" cm="1">
        <f t="array" ref="N14:N19">dist(D14,F14,H14,J14)</f>
        <v>↘</v>
      </c>
      <c r="P14" s="56" t="str" cm="1">
        <f t="array" ref="P14">IF(AND(L14:L19=N14:N19),"PASS","FAIL")</f>
        <v>PASS</v>
      </c>
    </row>
    <row r="15" spans="1:18" x14ac:dyDescent="0.5">
      <c r="A15" s="57"/>
      <c r="B15" s="57"/>
      <c r="L15" s="54">
        <v>2</v>
      </c>
      <c r="N15" s="55">
        <v>2</v>
      </c>
    </row>
    <row r="16" spans="1:18" x14ac:dyDescent="0.5">
      <c r="A16" s="57"/>
      <c r="B16" s="57"/>
      <c r="L16" s="54"/>
      <c r="N16" s="55" t="str">
        <v/>
      </c>
    </row>
    <row r="17" spans="1:16" x14ac:dyDescent="0.5">
      <c r="A17" s="57"/>
      <c r="B17" s="57"/>
      <c r="L17" s="54">
        <v>0</v>
      </c>
      <c r="N17" s="55">
        <v>0</v>
      </c>
    </row>
    <row r="18" spans="1:16" x14ac:dyDescent="0.5">
      <c r="A18" s="57"/>
      <c r="B18" s="57"/>
      <c r="L18" s="54"/>
      <c r="N18" s="55" t="str">
        <v/>
      </c>
    </row>
    <row r="19" spans="1:16" x14ac:dyDescent="0.5">
      <c r="A19" s="57"/>
      <c r="B19" s="57"/>
      <c r="L19" s="54">
        <v>0</v>
      </c>
      <c r="N19" s="55">
        <v>0</v>
      </c>
    </row>
    <row r="21" spans="1:16" x14ac:dyDescent="0.5">
      <c r="A21" s="48">
        <v>6</v>
      </c>
      <c r="B21" s="49" t="s">
        <v>3080</v>
      </c>
      <c r="D21" s="53" t="s">
        <v>3009</v>
      </c>
      <c r="F21" s="53" t="s">
        <v>3081</v>
      </c>
      <c r="H21" s="53">
        <v>1</v>
      </c>
      <c r="J21" s="53">
        <v>1</v>
      </c>
      <c r="L21" s="54" t="s">
        <v>374</v>
      </c>
      <c r="N21" s="55" t="str" cm="1">
        <f t="array" ref="N21:N26">dist(D21,F21,H21,J21)</f>
        <v>↘</v>
      </c>
      <c r="P21" s="56" t="str" cm="1">
        <f t="array" ref="P21">IF(AND(L21:L26=N21:N26),"PASS","FAIL")</f>
        <v>PASS</v>
      </c>
    </row>
    <row r="22" spans="1:16" x14ac:dyDescent="0.5">
      <c r="A22" s="57"/>
      <c r="B22" s="57"/>
      <c r="L22" s="54">
        <v>2</v>
      </c>
      <c r="N22" s="55">
        <v>2</v>
      </c>
    </row>
    <row r="23" spans="1:16" x14ac:dyDescent="0.5">
      <c r="A23" s="57"/>
      <c r="B23" s="57"/>
      <c r="L23" s="54" t="s">
        <v>181</v>
      </c>
      <c r="N23" s="55" t="str">
        <v>↓</v>
      </c>
    </row>
    <row r="24" spans="1:16" x14ac:dyDescent="0.5">
      <c r="A24" s="57"/>
      <c r="B24" s="57"/>
      <c r="L24" s="54">
        <v>1</v>
      </c>
      <c r="N24" s="55">
        <v>1</v>
      </c>
    </row>
    <row r="25" spans="1:16" x14ac:dyDescent="0.5">
      <c r="A25" s="57"/>
      <c r="B25" s="57"/>
      <c r="L25" s="54"/>
      <c r="N25" s="55" t="str">
        <v/>
      </c>
    </row>
    <row r="26" spans="1:16" x14ac:dyDescent="0.5">
      <c r="A26" s="57"/>
      <c r="B26" s="57"/>
      <c r="L26" s="54">
        <v>0</v>
      </c>
      <c r="N26" s="55">
        <v>0</v>
      </c>
    </row>
    <row r="28" spans="1:16" x14ac:dyDescent="0.5">
      <c r="A28" s="48">
        <v>7</v>
      </c>
      <c r="B28" s="49" t="s">
        <v>3082</v>
      </c>
      <c r="D28" s="53" t="s">
        <v>3009</v>
      </c>
      <c r="F28" s="53" t="s">
        <v>3074</v>
      </c>
      <c r="H28" s="53">
        <v>0</v>
      </c>
      <c r="J28" s="53">
        <v>1</v>
      </c>
      <c r="L28" s="54" t="s">
        <v>181</v>
      </c>
      <c r="N28" s="55" t="str" cm="1">
        <f t="array" ref="N28:N31">dist(D28,F28,H28,J28)</f>
        <v>↓</v>
      </c>
      <c r="P28" s="56" t="str" cm="1">
        <f t="array" ref="P28">IF(AND(L28:L31=N28:N31),"PASS","FAIL")</f>
        <v>PASS</v>
      </c>
    </row>
    <row r="29" spans="1:16" x14ac:dyDescent="0.5">
      <c r="A29" s="57"/>
      <c r="B29" s="57"/>
      <c r="L29" s="54">
        <v>2</v>
      </c>
      <c r="N29" s="55">
        <v>2</v>
      </c>
    </row>
    <row r="30" spans="1:16" x14ac:dyDescent="0.5">
      <c r="A30" s="57"/>
      <c r="B30" s="57"/>
      <c r="L30" s="54" t="s">
        <v>192</v>
      </c>
      <c r="N30" s="55" t="str">
        <v>→</v>
      </c>
    </row>
    <row r="31" spans="1:16" x14ac:dyDescent="0.5">
      <c r="A31" s="57"/>
      <c r="B31" s="57"/>
      <c r="L31" s="54">
        <v>2</v>
      </c>
      <c r="N31" s="55">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exists(arr, value)</v>
      </c>
      <c r="C1" s="82"/>
      <c r="D1" s="82"/>
      <c r="E1" s="82"/>
      <c r="F1" s="83"/>
      <c r="H1" s="47" t="s">
        <v>2</v>
      </c>
      <c r="I1" s="81"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=LAMBDA(Arr, Val, IF(ISNUMBER(XMATCH(Val, TOCOL(Arr), 0)), 1, 0))</v>
      </c>
      <c r="C2" s="85"/>
      <c r="D2" s="85"/>
      <c r="E2" s="85"/>
      <c r="F2" s="85"/>
      <c r="G2" s="85"/>
      <c r="H2" s="85"/>
      <c r="I2" s="85"/>
      <c r="J2" s="85"/>
      <c r="K2" s="85"/>
      <c r="L2" s="85"/>
      <c r="M2" s="85"/>
      <c r="N2" s="85"/>
      <c r="O2" s="85"/>
      <c r="P2" s="85"/>
      <c r="Q2" s="85"/>
      <c r="R2" s="85"/>
    </row>
    <row r="4" spans="1:18" x14ac:dyDescent="0.5">
      <c r="A4" s="47" t="s">
        <v>3083</v>
      </c>
      <c r="L4" s="47" t="str">
        <f>COUNTIF(L6:L22,"PASS")&amp;" / 4 PASS"</f>
        <v>4 / 4 PASS</v>
      </c>
    </row>
    <row r="5" spans="1:18" x14ac:dyDescent="0.5">
      <c r="A5" s="47" t="s">
        <v>7</v>
      </c>
      <c r="B5" s="47" t="s">
        <v>8</v>
      </c>
      <c r="D5" s="47" t="s">
        <v>9</v>
      </c>
      <c r="H5" s="50" t="s">
        <v>10</v>
      </c>
      <c r="J5" s="51" t="s">
        <v>11</v>
      </c>
      <c r="L5" s="52" t="s">
        <v>12</v>
      </c>
    </row>
    <row r="6" spans="1:18" x14ac:dyDescent="0.5">
      <c r="A6" s="48">
        <v>1</v>
      </c>
      <c r="B6" s="49" t="s">
        <v>3084</v>
      </c>
      <c r="D6" s="53">
        <v>1</v>
      </c>
      <c r="F6" s="53">
        <v>2</v>
      </c>
      <c r="H6" s="54">
        <v>1</v>
      </c>
      <c r="J6" s="55" cm="1">
        <f t="array" ref="J6">exists(D6:D8,F6)</f>
        <v>1</v>
      </c>
      <c r="L6" s="56" t="str">
        <f>IF(J6=H6,"PASS","FAIL")</f>
        <v>PASS</v>
      </c>
    </row>
    <row r="7" spans="1:18" x14ac:dyDescent="0.5">
      <c r="A7" s="57"/>
      <c r="B7" s="57"/>
      <c r="D7" s="53">
        <v>2</v>
      </c>
    </row>
    <row r="8" spans="1:18" x14ac:dyDescent="0.5">
      <c r="A8" s="57"/>
      <c r="B8" s="57"/>
      <c r="D8" s="53">
        <v>3</v>
      </c>
    </row>
    <row r="10" spans="1:18" x14ac:dyDescent="0.5">
      <c r="A10" s="48">
        <v>2</v>
      </c>
      <c r="B10" s="49" t="s">
        <v>3085</v>
      </c>
      <c r="D10" s="53" t="s">
        <v>3021</v>
      </c>
      <c r="F10" s="53" t="s">
        <v>3041</v>
      </c>
      <c r="H10" s="54">
        <v>0</v>
      </c>
      <c r="J10" s="55" cm="1">
        <f t="array" ref="J10">exists(D10:D12,F10)</f>
        <v>0</v>
      </c>
      <c r="L10" s="56" t="str">
        <f>IF(J10=H10,"PASS","FAIL")</f>
        <v>PASS</v>
      </c>
    </row>
    <row r="11" spans="1:18" x14ac:dyDescent="0.5">
      <c r="A11" s="57"/>
      <c r="B11" s="57"/>
      <c r="D11" s="53" t="s">
        <v>3022</v>
      </c>
    </row>
    <row r="12" spans="1:18" x14ac:dyDescent="0.5">
      <c r="A12" s="57"/>
      <c r="B12" s="57"/>
      <c r="D12" s="53" t="s">
        <v>3030</v>
      </c>
    </row>
    <row r="14" spans="1:18" x14ac:dyDescent="0.5">
      <c r="A14" s="48">
        <v>3</v>
      </c>
      <c r="B14" s="49" t="s">
        <v>3086</v>
      </c>
      <c r="D14" s="53">
        <v>1</v>
      </c>
      <c r="F14" s="53">
        <v>2</v>
      </c>
      <c r="H14" s="54">
        <v>1</v>
      </c>
      <c r="J14" s="55" cm="1">
        <f t="array" ref="J14:J15">exists(D14:D16,F14:F15)</f>
        <v>1</v>
      </c>
      <c r="L14" s="56" t="str" cm="1">
        <f t="array" ref="L14">IF(AND(H14:H15=J14:J15),"PASS","FAIL")</f>
        <v>PASS</v>
      </c>
    </row>
    <row r="15" spans="1:18" x14ac:dyDescent="0.5">
      <c r="A15" s="57"/>
      <c r="B15" s="57"/>
      <c r="D15" s="53">
        <v>2</v>
      </c>
      <c r="F15" s="53">
        <v>9</v>
      </c>
      <c r="H15" s="54">
        <v>0</v>
      </c>
      <c r="J15" s="55">
        <v>0</v>
      </c>
    </row>
    <row r="16" spans="1:18" x14ac:dyDescent="0.5">
      <c r="A16" s="57"/>
      <c r="B16" s="57"/>
      <c r="D16" s="53">
        <v>3</v>
      </c>
    </row>
    <row r="18" spans="1:12" x14ac:dyDescent="0.5">
      <c r="A18" s="48">
        <v>4</v>
      </c>
      <c r="B18" s="49" t="s">
        <v>3087</v>
      </c>
      <c r="D18" s="53" t="s">
        <v>3021</v>
      </c>
      <c r="F18" s="53" t="s">
        <v>3021</v>
      </c>
      <c r="H18" s="54">
        <v>1</v>
      </c>
      <c r="J18" s="55" cm="1">
        <f t="array" ref="J18:J19">exists(D18:D20,F18:F19)</f>
        <v>1</v>
      </c>
      <c r="L18" s="56" t="str" cm="1">
        <f t="array" ref="L18">IF(AND(H18:H19=J18:J19),"PASS","FAIL")</f>
        <v>PASS</v>
      </c>
    </row>
    <row r="19" spans="1:12" x14ac:dyDescent="0.5">
      <c r="A19" s="57"/>
      <c r="B19" s="57"/>
      <c r="D19" s="53" t="s">
        <v>3022</v>
      </c>
      <c r="F19" s="53" t="s">
        <v>3088</v>
      </c>
      <c r="H19" s="54">
        <v>0</v>
      </c>
      <c r="J19" s="55">
        <v>0</v>
      </c>
    </row>
    <row r="20" spans="1:12" x14ac:dyDescent="0.5">
      <c r="A20" s="57"/>
      <c r="B20" s="57"/>
      <c r="D20" s="53" t="s">
        <v>3030</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86" t="str" cm="1">
        <f t="array" aca="1" ref="B1" ca="1">_xlfn.LET(_xlpm.fn, CELL("filename",$A$1), _xlpm.nm, MID(_xlpm.fn, FIND("]", _xlpm.fn) + 1, 255), _xlfn.XLOOKUP(_xlpm.nm &amp; "(*", Lamb!$A$2:$A$1000, Lamb!$A$2:$A$1000, "", 2))</f>
        <v>freq_table(array, [min_freq])</v>
      </c>
      <c r="C1" s="82"/>
      <c r="D1" s="82"/>
      <c r="E1" s="82"/>
      <c r="F1" s="83"/>
      <c r="H1" s="47" t="s">
        <v>2</v>
      </c>
      <c r="I1" s="81"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5"/>
      <c r="D2" s="85"/>
      <c r="E2" s="85"/>
      <c r="F2" s="85"/>
      <c r="G2" s="85"/>
      <c r="H2" s="85"/>
      <c r="I2" s="85"/>
      <c r="J2" s="85"/>
      <c r="K2" s="85"/>
      <c r="L2" s="85"/>
      <c r="M2" s="85"/>
      <c r="N2" s="85"/>
      <c r="O2" s="85"/>
      <c r="P2" s="85"/>
      <c r="Q2" s="85"/>
      <c r="R2" s="85"/>
    </row>
    <row r="4" spans="1:18" x14ac:dyDescent="0.5">
      <c r="A4" s="47" t="s">
        <v>3089</v>
      </c>
      <c r="N4" s="47" t="str">
        <f>COUNTIF(N6:N33,"PASS")&amp;" / 5 PASS"</f>
        <v>5 / 5 PASS</v>
      </c>
    </row>
    <row r="5" spans="1:18" x14ac:dyDescent="0.5">
      <c r="A5" s="47" t="s">
        <v>7</v>
      </c>
      <c r="B5" s="47" t="s">
        <v>8</v>
      </c>
      <c r="D5" s="47" t="s">
        <v>9</v>
      </c>
      <c r="H5" s="50" t="s">
        <v>10</v>
      </c>
      <c r="K5" s="51" t="s">
        <v>11</v>
      </c>
      <c r="N5" s="52" t="s">
        <v>12</v>
      </c>
    </row>
    <row r="6" spans="1:18" x14ac:dyDescent="0.5">
      <c r="A6" s="48">
        <v>1</v>
      </c>
      <c r="B6" s="49" t="s">
        <v>3090</v>
      </c>
      <c r="D6" s="53">
        <v>1</v>
      </c>
      <c r="H6" s="54">
        <v>1</v>
      </c>
      <c r="I6" s="54">
        <v>2</v>
      </c>
      <c r="K6" s="55" cm="1">
        <f t="array" ref="K6:L7">freq_table(D6:D8)</f>
        <v>1</v>
      </c>
      <c r="L6" s="55">
        <v>2</v>
      </c>
      <c r="N6" s="56" t="str" cm="1">
        <f t="array" ref="N6">IF(AND(H6:I7=K6:L7),"PASS","FAIL")</f>
        <v>PASS</v>
      </c>
    </row>
    <row r="7" spans="1:18" x14ac:dyDescent="0.5">
      <c r="A7" s="57"/>
      <c r="B7" s="57"/>
      <c r="D7" s="53">
        <v>1</v>
      </c>
      <c r="H7" s="54">
        <v>2</v>
      </c>
      <c r="I7" s="54">
        <v>1</v>
      </c>
      <c r="K7" s="55">
        <v>2</v>
      </c>
      <c r="L7" s="55">
        <v>1</v>
      </c>
    </row>
    <row r="8" spans="1:18" x14ac:dyDescent="0.5">
      <c r="A8" s="57"/>
      <c r="B8" s="57"/>
      <c r="D8" s="53">
        <v>2</v>
      </c>
    </row>
    <row r="10" spans="1:18" x14ac:dyDescent="0.5">
      <c r="A10" s="48">
        <v>2</v>
      </c>
      <c r="B10" s="49" t="s">
        <v>3091</v>
      </c>
      <c r="D10" s="53" t="s">
        <v>3021</v>
      </c>
      <c r="H10" s="54" t="s">
        <v>3021</v>
      </c>
      <c r="I10" s="54">
        <v>3</v>
      </c>
      <c r="K10" s="55" t="str" cm="1">
        <f t="array" ref="K10:L12">freq_table(D10:D15)</f>
        <v>a</v>
      </c>
      <c r="L10" s="55">
        <v>3</v>
      </c>
      <c r="N10" s="56" t="str" cm="1">
        <f t="array" ref="N10">IF(AND(H10:I12=K10:L12),"PASS","FAIL")</f>
        <v>PASS</v>
      </c>
    </row>
    <row r="11" spans="1:18" x14ac:dyDescent="0.5">
      <c r="A11" s="57"/>
      <c r="B11" s="57"/>
      <c r="D11" s="53" t="s">
        <v>3021</v>
      </c>
      <c r="H11" s="54" t="s">
        <v>3022</v>
      </c>
      <c r="I11" s="54">
        <v>2</v>
      </c>
      <c r="K11" s="55" t="str">
        <v>b</v>
      </c>
      <c r="L11" s="55">
        <v>2</v>
      </c>
    </row>
    <row r="12" spans="1:18" x14ac:dyDescent="0.5">
      <c r="A12" s="57"/>
      <c r="B12" s="57"/>
      <c r="D12" s="53" t="s">
        <v>3021</v>
      </c>
      <c r="H12" s="54" t="s">
        <v>3030</v>
      </c>
      <c r="I12" s="54">
        <v>1</v>
      </c>
      <c r="K12" s="55" t="str">
        <v>c</v>
      </c>
      <c r="L12" s="55">
        <v>1</v>
      </c>
    </row>
    <row r="13" spans="1:18" x14ac:dyDescent="0.5">
      <c r="A13" s="57"/>
      <c r="B13" s="57"/>
      <c r="D13" s="53" t="s">
        <v>3022</v>
      </c>
    </row>
    <row r="14" spans="1:18" x14ac:dyDescent="0.5">
      <c r="A14" s="57"/>
      <c r="B14" s="57"/>
      <c r="D14" s="53" t="s">
        <v>3022</v>
      </c>
    </row>
    <row r="15" spans="1:18" x14ac:dyDescent="0.5">
      <c r="A15" s="57"/>
      <c r="B15" s="57"/>
      <c r="D15" s="53" t="s">
        <v>3030</v>
      </c>
    </row>
    <row r="17" spans="1:14" x14ac:dyDescent="0.5">
      <c r="A17" s="48">
        <v>3</v>
      </c>
      <c r="B17" s="49" t="s">
        <v>3092</v>
      </c>
      <c r="D17" s="53">
        <v>1</v>
      </c>
      <c r="H17" s="54">
        <v>1</v>
      </c>
      <c r="I17" s="54">
        <v>2</v>
      </c>
      <c r="K17" s="55" cm="1">
        <f t="array" ref="K17:L18">freq_table(D17:D20)</f>
        <v>1</v>
      </c>
      <c r="L17" s="55">
        <v>2</v>
      </c>
      <c r="N17" s="56" t="str" cm="1">
        <f t="array" ref="N17">IF(AND(H17:I18=K17:L18),"PASS","FAIL")</f>
        <v>PASS</v>
      </c>
    </row>
    <row r="18" spans="1:14" x14ac:dyDescent="0.5">
      <c r="A18" s="57"/>
      <c r="B18" s="57"/>
      <c r="D18" s="53">
        <v>1</v>
      </c>
      <c r="H18" s="54">
        <v>2</v>
      </c>
      <c r="I18" s="54">
        <v>1</v>
      </c>
      <c r="K18" s="55">
        <v>2</v>
      </c>
      <c r="L18" s="55">
        <v>1</v>
      </c>
    </row>
    <row r="19" spans="1:14" x14ac:dyDescent="0.5">
      <c r="A19" s="57"/>
      <c r="B19" s="57"/>
      <c r="D19" s="53"/>
    </row>
    <row r="20" spans="1:14" x14ac:dyDescent="0.5">
      <c r="A20" s="57"/>
      <c r="B20" s="57"/>
      <c r="D20" s="53">
        <v>2</v>
      </c>
    </row>
    <row r="22" spans="1:14" x14ac:dyDescent="0.5">
      <c r="A22" s="48">
        <v>4</v>
      </c>
      <c r="B22" s="49" t="s">
        <v>3093</v>
      </c>
      <c r="D22" s="53">
        <v>1</v>
      </c>
      <c r="F22" s="53">
        <v>2</v>
      </c>
      <c r="H22" s="54">
        <v>3</v>
      </c>
      <c r="I22" s="54">
        <v>3</v>
      </c>
      <c r="K22" s="55" cm="1">
        <f t="array" ref="K22:L23">freq_table(D22:D27,F22)</f>
        <v>3</v>
      </c>
      <c r="L22" s="55">
        <v>3</v>
      </c>
      <c r="N22" s="56" t="str" cm="1">
        <f t="array" ref="N22">IF(AND(H22:I23=K22:L23),"PASS","FAIL")</f>
        <v>PASS</v>
      </c>
    </row>
    <row r="23" spans="1:14" x14ac:dyDescent="0.5">
      <c r="A23" s="57"/>
      <c r="B23" s="57"/>
      <c r="D23" s="53">
        <v>1</v>
      </c>
      <c r="H23" s="54">
        <v>1</v>
      </c>
      <c r="I23" s="54">
        <v>2</v>
      </c>
      <c r="K23" s="55">
        <v>1</v>
      </c>
      <c r="L23" s="55">
        <v>2</v>
      </c>
    </row>
    <row r="24" spans="1:14" x14ac:dyDescent="0.5">
      <c r="A24" s="57"/>
      <c r="B24" s="57"/>
      <c r="D24" s="53">
        <v>2</v>
      </c>
    </row>
    <row r="25" spans="1:14" x14ac:dyDescent="0.5">
      <c r="A25" s="57"/>
      <c r="B25" s="57"/>
      <c r="D25" s="53">
        <v>3</v>
      </c>
    </row>
    <row r="26" spans="1:14" x14ac:dyDescent="0.5">
      <c r="A26" s="57"/>
      <c r="B26" s="57"/>
      <c r="D26" s="53">
        <v>3</v>
      </c>
    </row>
    <row r="27" spans="1:14" x14ac:dyDescent="0.5">
      <c r="A27" s="57"/>
      <c r="B27" s="57"/>
      <c r="D27" s="53">
        <v>3</v>
      </c>
    </row>
    <row r="29" spans="1:14" x14ac:dyDescent="0.5">
      <c r="A29" s="48">
        <v>5</v>
      </c>
      <c r="B29" s="49" t="s">
        <v>3094</v>
      </c>
      <c r="D29" s="53">
        <v>1</v>
      </c>
      <c r="H29" s="54" t="e">
        <v>#N/A</v>
      </c>
      <c r="K29" s="55" t="e" cm="1">
        <f t="array" ref="K29">freq_table(D29:D31)</f>
        <v>#N/A</v>
      </c>
      <c r="N29" s="56" t="str">
        <f>IF(ISNA(K29),"PASS","FAIL")</f>
        <v>PASS</v>
      </c>
    </row>
    <row r="30" spans="1:14" x14ac:dyDescent="0.5">
      <c r="A30" s="57"/>
      <c r="B30" s="57"/>
      <c r="D30" s="53">
        <v>1</v>
      </c>
    </row>
    <row r="31" spans="1:14" x14ac:dyDescent="0.5">
      <c r="A31" s="57"/>
      <c r="B31" s="57"/>
      <c r="D31" s="53"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is_unique(arr)</v>
      </c>
      <c r="C1" s="82"/>
      <c r="D1" s="82"/>
      <c r="E1" s="82"/>
      <c r="F1" s="83"/>
      <c r="H1" s="47" t="s">
        <v>2</v>
      </c>
      <c r="I1" s="81"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82"/>
      <c r="K1" s="82"/>
      <c r="L1" s="82"/>
      <c r="M1" s="82"/>
      <c r="N1" s="82"/>
      <c r="O1" s="82"/>
      <c r="P1" s="82"/>
      <c r="Q1" s="82"/>
      <c r="R1" s="83"/>
    </row>
    <row r="2" spans="1:18" ht="168" customHeight="1" x14ac:dyDescent="0.5">
      <c r="A2" s="47" t="s">
        <v>4</v>
      </c>
      <c r="B2" s="84"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5"/>
      <c r="D2" s="85"/>
      <c r="E2" s="85"/>
      <c r="F2" s="85"/>
      <c r="G2" s="85"/>
      <c r="H2" s="85"/>
      <c r="I2" s="85"/>
      <c r="J2" s="85"/>
      <c r="K2" s="85"/>
      <c r="L2" s="85"/>
      <c r="M2" s="85"/>
      <c r="N2" s="85"/>
      <c r="O2" s="85"/>
      <c r="P2" s="85"/>
      <c r="Q2" s="85"/>
      <c r="R2" s="85"/>
    </row>
    <row r="4" spans="1:18" x14ac:dyDescent="0.5">
      <c r="A4" s="47" t="s">
        <v>3095</v>
      </c>
      <c r="J4" s="47" t="str">
        <f>COUNTIF(J6:J22,"PASS")&amp;" / 4 PASS"</f>
        <v>4 / 4 PASS</v>
      </c>
    </row>
    <row r="5" spans="1:18" x14ac:dyDescent="0.5">
      <c r="A5" s="47" t="s">
        <v>7</v>
      </c>
      <c r="B5" s="47" t="s">
        <v>8</v>
      </c>
      <c r="D5" s="47" t="s">
        <v>9</v>
      </c>
      <c r="F5" s="50" t="s">
        <v>10</v>
      </c>
      <c r="H5" s="51" t="s">
        <v>11</v>
      </c>
      <c r="J5" s="52" t="s">
        <v>12</v>
      </c>
    </row>
    <row r="6" spans="1:18" x14ac:dyDescent="0.5">
      <c r="A6" s="48">
        <v>1</v>
      </c>
      <c r="B6" s="49" t="s">
        <v>3056</v>
      </c>
      <c r="D6" s="53">
        <v>1</v>
      </c>
      <c r="F6" s="54">
        <v>1</v>
      </c>
      <c r="H6" s="55" cm="1">
        <f t="array" ref="H6">is_unique(D6:D8)</f>
        <v>1</v>
      </c>
      <c r="J6" s="56" t="str">
        <f>IF(H6=F6,"PASS","FAIL")</f>
        <v>PASS</v>
      </c>
    </row>
    <row r="7" spans="1:18" x14ac:dyDescent="0.5">
      <c r="A7" s="57"/>
      <c r="B7" s="57"/>
      <c r="D7" s="53">
        <v>2</v>
      </c>
    </row>
    <row r="8" spans="1:18" x14ac:dyDescent="0.5">
      <c r="A8" s="57"/>
      <c r="B8" s="57"/>
      <c r="D8" s="53">
        <v>3</v>
      </c>
    </row>
    <row r="10" spans="1:18" x14ac:dyDescent="0.5">
      <c r="A10" s="48">
        <v>2</v>
      </c>
      <c r="B10" s="49" t="s">
        <v>3096</v>
      </c>
      <c r="D10" s="53">
        <v>1</v>
      </c>
      <c r="F10" s="54">
        <v>0</v>
      </c>
      <c r="H10" s="55" cm="1">
        <f t="array" ref="H10">is_unique(D10:D12)</f>
        <v>0</v>
      </c>
      <c r="J10" s="56" t="str">
        <f>IF(H10=F10,"PASS","FAIL")</f>
        <v>PASS</v>
      </c>
    </row>
    <row r="11" spans="1:18" x14ac:dyDescent="0.5">
      <c r="A11" s="57"/>
      <c r="B11" s="57"/>
      <c r="D11" s="53">
        <v>2</v>
      </c>
    </row>
    <row r="12" spans="1:18" x14ac:dyDescent="0.5">
      <c r="A12" s="57"/>
      <c r="B12" s="57"/>
      <c r="D12" s="53">
        <v>2</v>
      </c>
    </row>
    <row r="14" spans="1:18" x14ac:dyDescent="0.5">
      <c r="A14" s="48">
        <v>3</v>
      </c>
      <c r="B14" s="49" t="s">
        <v>3097</v>
      </c>
      <c r="D14" s="53" t="s">
        <v>3021</v>
      </c>
      <c r="F14" s="54">
        <v>0</v>
      </c>
      <c r="H14" s="55" cm="1">
        <f t="array" ref="H14">is_unique(D14:D15)</f>
        <v>0</v>
      </c>
      <c r="J14" s="56" t="str">
        <f>IF(H14=F14,"PASS","FAIL")</f>
        <v>PASS</v>
      </c>
    </row>
    <row r="15" spans="1:18" x14ac:dyDescent="0.5">
      <c r="A15" s="57"/>
      <c r="B15" s="57"/>
      <c r="D15" s="53" t="s">
        <v>137</v>
      </c>
    </row>
    <row r="17" spans="1:10" x14ac:dyDescent="0.5">
      <c r="A17" s="48">
        <v>4</v>
      </c>
      <c r="B17" s="49" t="s">
        <v>3098</v>
      </c>
      <c r="D17" s="53">
        <v>1</v>
      </c>
      <c r="F17" s="54">
        <v>1</v>
      </c>
      <c r="H17" s="55" cm="1">
        <f t="array" ref="H17">is_unique(D17:D20)</f>
        <v>1</v>
      </c>
      <c r="J17" s="56" t="str">
        <f>IF(H17=F17,"PASS","FAIL")</f>
        <v>PASS</v>
      </c>
    </row>
    <row r="18" spans="1:10" x14ac:dyDescent="0.5">
      <c r="A18" s="57"/>
      <c r="B18" s="57"/>
      <c r="D18" s="53"/>
    </row>
    <row r="19" spans="1:10" x14ac:dyDescent="0.5">
      <c r="A19" s="57"/>
      <c r="B19" s="57"/>
      <c r="D19" s="53">
        <v>2</v>
      </c>
    </row>
    <row r="20" spans="1:10" x14ac:dyDescent="0.5">
      <c r="A20" s="57"/>
      <c r="B20" s="57"/>
      <c r="D20" s="53">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knight_moves(start_ad, end_ad)</v>
      </c>
      <c r="C1" s="82"/>
      <c r="D1" s="82"/>
      <c r="E1" s="82"/>
      <c r="F1" s="83"/>
      <c r="H1" s="47" t="s">
        <v>2</v>
      </c>
      <c r="I1" s="81"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5"/>
      <c r="D2" s="85"/>
      <c r="E2" s="85"/>
      <c r="F2" s="85"/>
      <c r="G2" s="85"/>
      <c r="H2" s="85"/>
      <c r="I2" s="85"/>
      <c r="J2" s="85"/>
      <c r="K2" s="85"/>
      <c r="L2" s="85"/>
      <c r="M2" s="85"/>
      <c r="N2" s="85"/>
      <c r="O2" s="85"/>
      <c r="P2" s="85"/>
      <c r="Q2" s="85"/>
      <c r="R2" s="85"/>
    </row>
    <row r="4" spans="1:18" x14ac:dyDescent="0.5">
      <c r="A4" s="47" t="s">
        <v>3099</v>
      </c>
      <c r="L4" s="47" t="str">
        <f>COUNTIF(L6:L20,"PASS")&amp;" / 7 PASS"</f>
        <v>7 / 7 PASS</v>
      </c>
    </row>
    <row r="5" spans="1:18" x14ac:dyDescent="0.5">
      <c r="A5" s="47" t="s">
        <v>7</v>
      </c>
      <c r="B5" s="47" t="s">
        <v>8</v>
      </c>
      <c r="D5" s="47" t="s">
        <v>9</v>
      </c>
      <c r="H5" s="50" t="s">
        <v>10</v>
      </c>
      <c r="J5" s="51" t="s">
        <v>11</v>
      </c>
      <c r="L5" s="52" t="s">
        <v>12</v>
      </c>
    </row>
    <row r="6" spans="1:18" x14ac:dyDescent="0.5">
      <c r="A6" s="48">
        <v>1</v>
      </c>
      <c r="B6" s="49" t="s">
        <v>3100</v>
      </c>
      <c r="D6" s="53" t="s">
        <v>3009</v>
      </c>
      <c r="F6" s="53" t="s">
        <v>3101</v>
      </c>
      <c r="H6" s="54">
        <v>1</v>
      </c>
      <c r="J6" s="55" cm="1">
        <f t="array" ref="J6">knight_moves(D6,F6)</f>
        <v>1</v>
      </c>
      <c r="L6" s="56" t="str">
        <f>IF(J6=H6,"PASS","FAIL")</f>
        <v>PASS</v>
      </c>
    </row>
    <row r="8" spans="1:18" x14ac:dyDescent="0.5">
      <c r="A8" s="48">
        <v>2</v>
      </c>
      <c r="B8" s="49" t="s">
        <v>3102</v>
      </c>
      <c r="D8" s="53" t="s">
        <v>3009</v>
      </c>
      <c r="F8" s="53" t="s">
        <v>3074</v>
      </c>
      <c r="H8" s="54">
        <v>4</v>
      </c>
      <c r="J8" s="55" cm="1">
        <f t="array" ref="J8">knight_moves(D8,F8)</f>
        <v>4</v>
      </c>
      <c r="L8" s="56" t="str">
        <f>IF(J8=H8,"PASS","FAIL")</f>
        <v>PASS</v>
      </c>
    </row>
    <row r="10" spans="1:18" x14ac:dyDescent="0.5">
      <c r="A10" s="48">
        <v>3</v>
      </c>
      <c r="B10" s="49" t="s">
        <v>3103</v>
      </c>
      <c r="D10" s="53" t="s">
        <v>3009</v>
      </c>
      <c r="F10" s="53" t="s">
        <v>3009</v>
      </c>
      <c r="H10" s="54">
        <v>0</v>
      </c>
      <c r="J10" s="55" cm="1">
        <f t="array" ref="J10">knight_moves(D10,F10)</f>
        <v>0</v>
      </c>
      <c r="L10" s="56" t="str">
        <f>IF(J10=H10,"PASS","FAIL")</f>
        <v>PASS</v>
      </c>
    </row>
    <row r="12" spans="1:18" x14ac:dyDescent="0.5">
      <c r="A12" s="48">
        <v>4</v>
      </c>
      <c r="B12" s="49" t="s">
        <v>3104</v>
      </c>
      <c r="D12" s="53" t="s">
        <v>3009</v>
      </c>
      <c r="F12" s="53" t="s">
        <v>3105</v>
      </c>
      <c r="H12" s="54">
        <v>3</v>
      </c>
      <c r="J12" s="55" cm="1">
        <f t="array" ref="J12">knight_moves(D12,F12)</f>
        <v>3</v>
      </c>
      <c r="L12" s="56" t="str">
        <f>IF(J12=H12,"PASS","FAIL")</f>
        <v>PASS</v>
      </c>
    </row>
    <row r="14" spans="1:18" x14ac:dyDescent="0.5">
      <c r="A14" s="48">
        <v>5</v>
      </c>
      <c r="B14" s="49" t="s">
        <v>3106</v>
      </c>
      <c r="D14" s="53" t="s">
        <v>3009</v>
      </c>
      <c r="F14" s="53" t="s">
        <v>3107</v>
      </c>
      <c r="H14" s="54">
        <v>6</v>
      </c>
      <c r="J14" s="55" cm="1">
        <f t="array" ref="J14">knight_moves(D14,F14)</f>
        <v>6</v>
      </c>
      <c r="L14" s="56" t="str">
        <f>IF(J14=H14,"PASS","FAIL")</f>
        <v>PASS</v>
      </c>
    </row>
    <row r="16" spans="1:18" x14ac:dyDescent="0.5">
      <c r="A16" s="48">
        <v>6</v>
      </c>
      <c r="B16" s="49" t="s">
        <v>3108</v>
      </c>
      <c r="D16" s="53">
        <v>1000001</v>
      </c>
      <c r="F16" s="53">
        <v>8000008</v>
      </c>
      <c r="H16" s="54">
        <v>6</v>
      </c>
      <c r="J16" s="55" cm="1">
        <f t="array" ref="J16">knight_moves(D16,F16)</f>
        <v>6</v>
      </c>
      <c r="L16" s="56" t="str">
        <f>IF(J16=H16,"PASS","FAIL")</f>
        <v>PASS</v>
      </c>
    </row>
    <row r="18" spans="1:12" x14ac:dyDescent="0.5">
      <c r="A18" s="48">
        <v>7</v>
      </c>
      <c r="B18" s="49" t="s">
        <v>3109</v>
      </c>
      <c r="D18" s="53">
        <v>1000001</v>
      </c>
      <c r="F18" s="53" t="s">
        <v>3074</v>
      </c>
      <c r="H18" s="54">
        <v>4</v>
      </c>
      <c r="J18" s="55" cm="1">
        <f t="array" ref="J18">knight_moves(D18,F18)</f>
        <v>4</v>
      </c>
      <c r="L18" s="56"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label_lookup(arr,row_label,column_label)</v>
      </c>
      <c r="C1" s="82"/>
      <c r="D1" s="82"/>
      <c r="E1" s="82"/>
      <c r="F1" s="83"/>
      <c r="H1" s="47" t="s">
        <v>2</v>
      </c>
      <c r="I1" s="81"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82"/>
      <c r="K1" s="82"/>
      <c r="L1" s="82"/>
      <c r="M1" s="82"/>
      <c r="N1" s="82"/>
      <c r="O1" s="82"/>
      <c r="P1" s="82"/>
      <c r="Q1" s="82"/>
      <c r="R1" s="83"/>
    </row>
    <row r="2" spans="1:18" ht="147" customHeight="1" x14ac:dyDescent="0.5">
      <c r="A2" s="47" t="s">
        <v>4</v>
      </c>
      <c r="B2" s="84"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5"/>
      <c r="D2" s="85"/>
      <c r="E2" s="85"/>
      <c r="F2" s="85"/>
      <c r="G2" s="85"/>
      <c r="H2" s="85"/>
      <c r="I2" s="85"/>
      <c r="J2" s="85"/>
      <c r="K2" s="85"/>
      <c r="L2" s="85"/>
      <c r="M2" s="85"/>
      <c r="N2" s="85"/>
      <c r="O2" s="85"/>
      <c r="P2" s="85"/>
      <c r="Q2" s="85"/>
      <c r="R2" s="85"/>
    </row>
    <row r="4" spans="1:18" x14ac:dyDescent="0.5">
      <c r="A4" s="47" t="s">
        <v>3110</v>
      </c>
      <c r="N4" s="47" t="str">
        <f>COUNTIF(N11:N20,"PASS")&amp;" / 4 PASS"</f>
        <v>4 / 4 PASS</v>
      </c>
    </row>
    <row r="5" spans="1:18" x14ac:dyDescent="0.5">
      <c r="B5" s="47" t="s">
        <v>8</v>
      </c>
      <c r="J5" s="50" t="s">
        <v>10</v>
      </c>
      <c r="L5" s="51" t="s">
        <v>11</v>
      </c>
      <c r="N5" s="52" t="s">
        <v>12</v>
      </c>
    </row>
    <row r="6" spans="1:18" x14ac:dyDescent="0.5">
      <c r="D6" s="47" t="s">
        <v>3111</v>
      </c>
    </row>
    <row r="7" spans="1:18" x14ac:dyDescent="0.5">
      <c r="D7" s="53"/>
      <c r="E7" s="53" t="s">
        <v>3112</v>
      </c>
      <c r="F7" s="53" t="s">
        <v>3113</v>
      </c>
      <c r="G7" s="53" t="s">
        <v>3114</v>
      </c>
    </row>
    <row r="8" spans="1:18" x14ac:dyDescent="0.5">
      <c r="D8" s="53" t="s">
        <v>137</v>
      </c>
      <c r="E8" s="53">
        <v>1</v>
      </c>
      <c r="F8" s="53">
        <v>2</v>
      </c>
      <c r="G8" s="53">
        <v>3</v>
      </c>
    </row>
    <row r="9" spans="1:18" x14ac:dyDescent="0.5">
      <c r="D9" s="53" t="s">
        <v>144</v>
      </c>
      <c r="E9" s="53">
        <v>4</v>
      </c>
      <c r="F9" s="53">
        <v>5</v>
      </c>
      <c r="G9" s="53">
        <v>6</v>
      </c>
    </row>
    <row r="11" spans="1:18" x14ac:dyDescent="0.5">
      <c r="B11" s="48" t="s">
        <v>3115</v>
      </c>
      <c r="J11" s="54">
        <v>5</v>
      </c>
      <c r="L11" s="55" cm="1">
        <f t="array" ref="L11">label_lookup(D7:G9,"B","Tue")</f>
        <v>5</v>
      </c>
      <c r="N11" s="56" t="str">
        <f>IF(L11=J11,"PASS","FAIL")</f>
        <v>PASS</v>
      </c>
    </row>
    <row r="13" spans="1:18" x14ac:dyDescent="0.5">
      <c r="B13" s="48" t="s">
        <v>3116</v>
      </c>
      <c r="J13" s="54">
        <v>3</v>
      </c>
      <c r="L13" s="55" cm="1">
        <f t="array" ref="L13">label_lookup(D7:G9,"A","Wed")</f>
        <v>3</v>
      </c>
      <c r="N13" s="56" t="str">
        <f>IF(L13=J13,"PASS","FAIL")</f>
        <v>PASS</v>
      </c>
    </row>
    <row r="15" spans="1:18" x14ac:dyDescent="0.5">
      <c r="B15" s="48" t="s">
        <v>3117</v>
      </c>
      <c r="J15" s="54">
        <v>4</v>
      </c>
      <c r="L15" s="55" cm="1">
        <f t="array" ref="L15">label_lookup(D7:G9,"B","Mon")</f>
        <v>4</v>
      </c>
      <c r="N15" s="56" t="str">
        <f>IF(L15=J15,"PASS","FAIL")</f>
        <v>PASS</v>
      </c>
    </row>
    <row r="17" spans="2:14" x14ac:dyDescent="0.5">
      <c r="B17" s="48" t="s">
        <v>3382</v>
      </c>
      <c r="J17" s="54" t="str">
        <f>""</f>
        <v/>
      </c>
      <c r="L17" s="55" t="str" cm="1">
        <f t="array" ref="L17">label_lookup(D7:G9,"ZZ","Mon")</f>
        <v/>
      </c>
      <c r="N17" s="56"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7" t="s">
        <v>0</v>
      </c>
      <c r="B1" s="86" t="str" cm="1">
        <f t="array" aca="1" ref="B1" ca="1">_xlfn.LET(_xlpm.fn, CELL("filename",$A$1), _xlpm.nm, MID(_xlpm.fn, FIND("]", _xlpm.fn) + 1, 255), _xlfn.XLOOKUP(_xlpm.nm &amp; "(*", Lamb!$A$2:$A$1000, Lamb!$A$2:$A$1000, "", 2))</f>
        <v>load_array(input_string,[col_delimiter],[row_delimiter])</v>
      </c>
      <c r="C1" s="82"/>
      <c r="D1" s="82"/>
      <c r="E1" s="82"/>
      <c r="F1" s="83"/>
      <c r="H1" s="47" t="s">
        <v>2</v>
      </c>
      <c r="I1" s="81"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5"/>
      <c r="D2" s="85"/>
      <c r="E2" s="85"/>
      <c r="F2" s="85"/>
      <c r="G2" s="85"/>
      <c r="H2" s="85"/>
      <c r="I2" s="85"/>
      <c r="J2" s="85"/>
      <c r="K2" s="85"/>
      <c r="L2" s="85"/>
      <c r="M2" s="85"/>
      <c r="N2" s="85"/>
      <c r="O2" s="85"/>
      <c r="P2" s="85"/>
      <c r="Q2" s="85"/>
      <c r="R2" s="85"/>
    </row>
    <row r="4" spans="1:18" x14ac:dyDescent="0.5">
      <c r="A4" s="47" t="s">
        <v>3118</v>
      </c>
      <c r="P4" s="47" t="str">
        <f>COUNTIF(P6:P15,"PASS")&amp;" / 3 PASS"</f>
        <v>3 / 3 PASS</v>
      </c>
    </row>
    <row r="5" spans="1:18" x14ac:dyDescent="0.5">
      <c r="A5" s="47" t="s">
        <v>7</v>
      </c>
      <c r="B5" s="47" t="s">
        <v>8</v>
      </c>
      <c r="D5" s="47" t="s">
        <v>9</v>
      </c>
      <c r="J5" s="50" t="s">
        <v>10</v>
      </c>
      <c r="M5" s="51" t="s">
        <v>11</v>
      </c>
      <c r="P5" s="52" t="s">
        <v>12</v>
      </c>
    </row>
    <row r="6" spans="1:18" x14ac:dyDescent="0.5">
      <c r="A6" s="48">
        <v>1</v>
      </c>
      <c r="B6" s="49" t="s">
        <v>3119</v>
      </c>
      <c r="D6" s="53" t="s">
        <v>3119</v>
      </c>
      <c r="J6" s="54">
        <v>1</v>
      </c>
      <c r="K6" s="54">
        <v>2</v>
      </c>
      <c r="M6" s="55" cm="1">
        <f t="array" ref="M6:N7">load_array(D6)</f>
        <v>1</v>
      </c>
      <c r="N6" s="55">
        <v>2</v>
      </c>
      <c r="P6" s="56" t="str" cm="1">
        <f t="array" ref="P6">IF(AND(J6:K7=M6:N7),"PASS","FAIL")</f>
        <v>PASS</v>
      </c>
    </row>
    <row r="7" spans="1:18" x14ac:dyDescent="0.5">
      <c r="A7" s="57"/>
      <c r="B7" s="57"/>
      <c r="J7" s="54">
        <v>3</v>
      </c>
      <c r="K7" s="54">
        <v>4</v>
      </c>
      <c r="M7" s="55">
        <v>3</v>
      </c>
      <c r="N7" s="55">
        <v>4</v>
      </c>
    </row>
    <row r="9" spans="1:18" x14ac:dyDescent="0.5">
      <c r="A9" s="48">
        <v>2</v>
      </c>
      <c r="B9" s="49" t="s">
        <v>3120</v>
      </c>
      <c r="D9" s="53" t="s">
        <v>3120</v>
      </c>
      <c r="J9" s="54" t="s">
        <v>3021</v>
      </c>
      <c r="K9" s="54" t="s">
        <v>3022</v>
      </c>
      <c r="M9" s="55" t="str" cm="1">
        <f t="array" ref="M9:N10">load_array(D9)</f>
        <v>a</v>
      </c>
      <c r="N9" s="55" t="str">
        <v>b</v>
      </c>
      <c r="P9" s="56" t="str" cm="1">
        <f t="array" ref="P9">IF(AND(J9:K10=M9:N10),"PASS","FAIL")</f>
        <v>PASS</v>
      </c>
    </row>
    <row r="10" spans="1:18" x14ac:dyDescent="0.5">
      <c r="A10" s="57"/>
      <c r="B10" s="57"/>
      <c r="J10" s="54" t="s">
        <v>3030</v>
      </c>
      <c r="K10" s="54" t="s">
        <v>3023</v>
      </c>
      <c r="M10" s="55" t="str">
        <v>c</v>
      </c>
      <c r="N10" s="55" t="str">
        <v>d</v>
      </c>
    </row>
    <row r="12" spans="1:18" x14ac:dyDescent="0.5">
      <c r="A12" s="48">
        <v>3</v>
      </c>
      <c r="B12" s="49" t="s">
        <v>3121</v>
      </c>
      <c r="D12" s="53" t="s">
        <v>3122</v>
      </c>
      <c r="F12" s="53" t="s">
        <v>3123</v>
      </c>
      <c r="H12" s="53" t="s">
        <v>3124</v>
      </c>
      <c r="J12" s="54">
        <v>1</v>
      </c>
      <c r="K12" s="54">
        <v>2</v>
      </c>
      <c r="M12" s="55" cm="1">
        <f t="array" ref="M12:N13">load_array(D12,F12,H12)</f>
        <v>1</v>
      </c>
      <c r="N12" s="55">
        <v>2</v>
      </c>
      <c r="P12" s="56" t="str" cm="1">
        <f t="array" ref="P12">IF(AND(J12:K13=M12:N13),"PASS","FAIL")</f>
        <v>PASS</v>
      </c>
    </row>
    <row r="13" spans="1:18" x14ac:dyDescent="0.5">
      <c r="A13" s="57"/>
      <c r="B13" s="57"/>
      <c r="J13" s="54">
        <v>3</v>
      </c>
      <c r="K13" s="54">
        <v>4</v>
      </c>
      <c r="M13" s="55">
        <v>3</v>
      </c>
      <c r="N13" s="55">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7" t="s">
        <v>0</v>
      </c>
      <c r="B1" s="86" t="str" cm="1">
        <f t="array" aca="1" ref="B1" ca="1">_xlfn.LET(_xlpm.fn, CELL("filename",$A$1), _xlpm.nm, MID(_xlpm.fn, FIND("]", _xlpm.fn) + 1, 255), _xlfn.XLOOKUP(_xlpm.nm &amp; "(*", Lamb!$A$2:$A$1000, Lamb!$A$2:$A$1000, "", 2))</f>
        <v>neighbors_count(arr, val, dist, [diag_allowed], [self_count])</v>
      </c>
      <c r="C1" s="82"/>
      <c r="D1" s="82"/>
      <c r="E1" s="82"/>
      <c r="F1" s="83"/>
      <c r="H1" s="47" t="s">
        <v>2</v>
      </c>
      <c r="I1" s="81"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5"/>
      <c r="D2" s="85"/>
      <c r="E2" s="85"/>
      <c r="F2" s="85"/>
      <c r="G2" s="85"/>
      <c r="H2" s="85"/>
      <c r="I2" s="85"/>
      <c r="J2" s="85"/>
      <c r="K2" s="85"/>
      <c r="L2" s="85"/>
      <c r="M2" s="85"/>
      <c r="N2" s="85"/>
      <c r="O2" s="85"/>
      <c r="P2" s="85"/>
      <c r="Q2" s="85"/>
      <c r="R2" s="85"/>
    </row>
    <row r="4" spans="1:18" x14ac:dyDescent="0.5">
      <c r="A4" s="47" t="s">
        <v>3125</v>
      </c>
      <c r="Q4" s="47" t="str">
        <f>COUNTIF(Q7:Q20,"PASS")&amp;" / 3 PASS"</f>
        <v>3 / 3 PASS</v>
      </c>
    </row>
    <row r="5" spans="1:18" x14ac:dyDescent="0.5">
      <c r="B5" s="47" t="s">
        <v>8</v>
      </c>
      <c r="D5" s="47" t="s">
        <v>3126</v>
      </c>
      <c r="I5" s="50" t="s">
        <v>10</v>
      </c>
      <c r="M5" s="51" t="s">
        <v>11</v>
      </c>
      <c r="Q5" s="52" t="s">
        <v>12</v>
      </c>
    </row>
    <row r="6" spans="1:18" x14ac:dyDescent="0.5">
      <c r="B6" s="47" t="s">
        <v>3127</v>
      </c>
    </row>
    <row r="7" spans="1:18" x14ac:dyDescent="0.5">
      <c r="B7" s="49" t="s">
        <v>3128</v>
      </c>
      <c r="D7" s="53">
        <v>1</v>
      </c>
      <c r="E7" s="53">
        <v>1</v>
      </c>
      <c r="F7" s="53">
        <v>0</v>
      </c>
      <c r="I7" s="54">
        <v>3</v>
      </c>
      <c r="J7" s="54">
        <v>4</v>
      </c>
      <c r="K7" s="54">
        <v>3</v>
      </c>
      <c r="M7" s="55" cm="1">
        <f t="array" ref="M7:O9">neighbors_count(D7:F9,1,1)</f>
        <v>3</v>
      </c>
      <c r="N7" s="55">
        <v>4</v>
      </c>
      <c r="O7" s="55">
        <v>3</v>
      </c>
      <c r="Q7" s="56" t="str" cm="1">
        <f t="array" ref="Q7">IF(AND(I7:K9=M7:O9),"PASS","FAIL")</f>
        <v>PASS</v>
      </c>
    </row>
    <row r="8" spans="1:18" x14ac:dyDescent="0.5">
      <c r="D8" s="53">
        <v>0</v>
      </c>
      <c r="E8" s="53">
        <v>1</v>
      </c>
      <c r="F8" s="53">
        <v>1</v>
      </c>
      <c r="I8" s="54">
        <v>4</v>
      </c>
      <c r="J8" s="54">
        <v>6</v>
      </c>
      <c r="K8" s="54">
        <v>4</v>
      </c>
      <c r="M8" s="55">
        <v>4</v>
      </c>
      <c r="N8" s="55">
        <v>6</v>
      </c>
      <c r="O8" s="55">
        <v>4</v>
      </c>
    </row>
    <row r="9" spans="1:18" x14ac:dyDescent="0.5">
      <c r="D9" s="53">
        <v>1</v>
      </c>
      <c r="E9" s="53">
        <v>0</v>
      </c>
      <c r="F9" s="53">
        <v>1</v>
      </c>
      <c r="I9" s="54">
        <v>2</v>
      </c>
      <c r="J9" s="54">
        <v>4</v>
      </c>
      <c r="K9" s="54">
        <v>3</v>
      </c>
      <c r="M9" s="55">
        <v>2</v>
      </c>
      <c r="N9" s="55">
        <v>4</v>
      </c>
      <c r="O9" s="55">
        <v>3</v>
      </c>
    </row>
    <row r="11" spans="1:18" x14ac:dyDescent="0.5">
      <c r="B11" s="49" t="s">
        <v>3129</v>
      </c>
      <c r="I11" s="54">
        <v>2</v>
      </c>
      <c r="J11" s="54">
        <v>3</v>
      </c>
      <c r="K11" s="54">
        <v>3</v>
      </c>
      <c r="M11" s="55" cm="1">
        <f t="array" ref="M11:O13">neighbors_count(D7:F9,1,1,,0)</f>
        <v>2</v>
      </c>
      <c r="N11" s="55">
        <v>3</v>
      </c>
      <c r="O11" s="55">
        <v>3</v>
      </c>
      <c r="Q11" s="56" t="str" cm="1">
        <f t="array" ref="Q11">IF(AND(I11:K13=M11:O13),"PASS","FAIL")</f>
        <v>PASS</v>
      </c>
    </row>
    <row r="12" spans="1:18" x14ac:dyDescent="0.5">
      <c r="I12" s="54">
        <v>4</v>
      </c>
      <c r="J12" s="54">
        <v>5</v>
      </c>
      <c r="K12" s="54">
        <v>3</v>
      </c>
      <c r="M12" s="55">
        <v>4</v>
      </c>
      <c r="N12" s="55">
        <v>5</v>
      </c>
      <c r="O12" s="55">
        <v>3</v>
      </c>
    </row>
    <row r="13" spans="1:18" x14ac:dyDescent="0.5">
      <c r="I13" s="54">
        <v>1</v>
      </c>
      <c r="J13" s="54">
        <v>4</v>
      </c>
      <c r="K13" s="54">
        <v>2</v>
      </c>
      <c r="M13" s="55">
        <v>1</v>
      </c>
      <c r="N13" s="55">
        <v>4</v>
      </c>
      <c r="O13" s="55">
        <v>2</v>
      </c>
    </row>
    <row r="15" spans="1:18" x14ac:dyDescent="0.5">
      <c r="B15" s="49" t="s">
        <v>3130</v>
      </c>
      <c r="I15" s="54">
        <v>2</v>
      </c>
      <c r="J15" s="54">
        <v>3</v>
      </c>
      <c r="K15" s="54">
        <v>2</v>
      </c>
      <c r="M15" s="55" cm="1">
        <f t="array" ref="M15:O17">neighbors_count(D7:F9,1,1,0)</f>
        <v>2</v>
      </c>
      <c r="N15" s="55">
        <v>3</v>
      </c>
      <c r="O15" s="55">
        <v>2</v>
      </c>
      <c r="Q15" s="56" t="str" cm="1">
        <f t="array" ref="Q15">IF(AND(I15:K17=M15:O17),"PASS","FAIL")</f>
        <v>PASS</v>
      </c>
    </row>
    <row r="16" spans="1:18" x14ac:dyDescent="0.5">
      <c r="I16" s="54">
        <v>3</v>
      </c>
      <c r="J16" s="54">
        <v>3</v>
      </c>
      <c r="K16" s="54">
        <v>3</v>
      </c>
      <c r="M16" s="55">
        <v>3</v>
      </c>
      <c r="N16" s="55">
        <v>3</v>
      </c>
      <c r="O16" s="55">
        <v>3</v>
      </c>
    </row>
    <row r="17" spans="9:15" x14ac:dyDescent="0.5">
      <c r="I17" s="54">
        <v>1</v>
      </c>
      <c r="J17" s="54">
        <v>3</v>
      </c>
      <c r="K17" s="54">
        <v>2</v>
      </c>
      <c r="M17" s="55">
        <v>1</v>
      </c>
      <c r="N17" s="55">
        <v>3</v>
      </c>
      <c r="O17" s="55">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86" t="str" cm="1">
        <f t="array" aca="1" ref="B1" ca="1">_xlfn.LET(_xlpm.fn, CELL("filename",$A$1), _xlpm.nm, MID(_xlpm.fn, FIND("]", _xlpm.fn) + 1, 255), _xlfn.XLOOKUP(_xlpm.nm &amp; "(*", Lamb!$A$2:$A$1000, Lamb!$A$2:$A$1000, "", 2))</f>
        <v>neighbors_list(center_ad, [size], [boundary_rng], [diag_allowed])</v>
      </c>
      <c r="C1" s="82"/>
      <c r="D1" s="82"/>
      <c r="E1" s="82"/>
      <c r="F1" s="83"/>
      <c r="H1" s="47" t="s">
        <v>2</v>
      </c>
      <c r="I1" s="81"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5"/>
      <c r="D2" s="85"/>
      <c r="E2" s="85"/>
      <c r="F2" s="85"/>
      <c r="G2" s="85"/>
      <c r="H2" s="85"/>
      <c r="I2" s="85"/>
      <c r="J2" s="85"/>
      <c r="K2" s="85"/>
      <c r="L2" s="85"/>
      <c r="M2" s="85"/>
      <c r="N2" s="85"/>
      <c r="O2" s="85"/>
      <c r="P2" s="85"/>
      <c r="Q2" s="85"/>
      <c r="R2" s="85"/>
    </row>
    <row r="4" spans="1:18" x14ac:dyDescent="0.5">
      <c r="A4" s="47" t="s">
        <v>3131</v>
      </c>
      <c r="L4" s="47" t="str">
        <f>COUNTIF(L6:L43,"PASS")&amp;" / 5 PASS"</f>
        <v>5 / 5 PASS</v>
      </c>
    </row>
    <row r="5" spans="1:18" x14ac:dyDescent="0.5">
      <c r="A5" s="47" t="s">
        <v>7</v>
      </c>
      <c r="B5" s="47" t="s">
        <v>8</v>
      </c>
      <c r="D5" s="47" t="s">
        <v>9</v>
      </c>
      <c r="H5" s="50" t="s">
        <v>10</v>
      </c>
      <c r="J5" s="51" t="s">
        <v>11</v>
      </c>
      <c r="L5" s="52" t="s">
        <v>12</v>
      </c>
    </row>
    <row r="6" spans="1:18" x14ac:dyDescent="0.5">
      <c r="A6" s="48">
        <v>1</v>
      </c>
      <c r="B6" s="49" t="s">
        <v>3132</v>
      </c>
      <c r="D6" s="53" t="s">
        <v>3133</v>
      </c>
      <c r="F6" s="53">
        <v>0</v>
      </c>
      <c r="H6" s="54" t="s">
        <v>3105</v>
      </c>
      <c r="J6" s="55" t="str" cm="1">
        <f t="array" ref="J6:J9">neighbors_list(D6,,,F6)</f>
        <v>B1</v>
      </c>
      <c r="L6" s="56" t="str" cm="1">
        <f t="array" ref="L6">IF(AND(H6:H9=J6:J9),"PASS","FAIL")</f>
        <v>PASS</v>
      </c>
    </row>
    <row r="7" spans="1:18" x14ac:dyDescent="0.5">
      <c r="A7" s="57"/>
      <c r="B7" s="57"/>
      <c r="H7" s="54" t="s">
        <v>3134</v>
      </c>
      <c r="J7" s="55" t="str">
        <v>A2</v>
      </c>
    </row>
    <row r="8" spans="1:18" x14ac:dyDescent="0.5">
      <c r="A8" s="57"/>
      <c r="B8" s="57"/>
      <c r="H8" s="54" t="s">
        <v>3135</v>
      </c>
      <c r="J8" s="55" t="str">
        <v>C2</v>
      </c>
    </row>
    <row r="9" spans="1:18" x14ac:dyDescent="0.5">
      <c r="A9" s="57"/>
      <c r="B9" s="57"/>
      <c r="H9" s="54" t="s">
        <v>3101</v>
      </c>
      <c r="J9" s="55" t="str">
        <v>B3</v>
      </c>
    </row>
    <row r="11" spans="1:18" x14ac:dyDescent="0.5">
      <c r="A11" s="48">
        <v>2</v>
      </c>
      <c r="B11" s="49" t="s">
        <v>3136</v>
      </c>
      <c r="D11" s="53" t="s">
        <v>3133</v>
      </c>
      <c r="H11" s="54" t="s">
        <v>3009</v>
      </c>
      <c r="J11" s="55" t="str" cm="1">
        <f t="array" ref="J11:J18">neighbors_list(D11)</f>
        <v>A1</v>
      </c>
      <c r="L11" s="56" t="str" cm="1">
        <f t="array" ref="L11">IF(AND(H11:H18=J11:J18),"PASS","FAIL")</f>
        <v>PASS</v>
      </c>
    </row>
    <row r="12" spans="1:18" x14ac:dyDescent="0.5">
      <c r="A12" s="57"/>
      <c r="B12" s="57"/>
      <c r="H12" s="54" t="s">
        <v>3105</v>
      </c>
      <c r="J12" s="55" t="str">
        <v>B1</v>
      </c>
    </row>
    <row r="13" spans="1:18" x14ac:dyDescent="0.5">
      <c r="A13" s="57"/>
      <c r="B13" s="57"/>
      <c r="H13" s="54" t="s">
        <v>3137</v>
      </c>
      <c r="J13" s="55" t="str">
        <v>C1</v>
      </c>
    </row>
    <row r="14" spans="1:18" x14ac:dyDescent="0.5">
      <c r="A14" s="57"/>
      <c r="B14" s="57"/>
      <c r="H14" s="54" t="s">
        <v>3134</v>
      </c>
      <c r="J14" s="55" t="str">
        <v>A2</v>
      </c>
    </row>
    <row r="15" spans="1:18" x14ac:dyDescent="0.5">
      <c r="A15" s="57"/>
      <c r="B15" s="57"/>
      <c r="H15" s="54" t="s">
        <v>3135</v>
      </c>
      <c r="J15" s="55" t="str">
        <v>C2</v>
      </c>
    </row>
    <row r="16" spans="1:18" x14ac:dyDescent="0.5">
      <c r="A16" s="57"/>
      <c r="B16" s="57"/>
      <c r="H16" s="54" t="s">
        <v>3012</v>
      </c>
      <c r="J16" s="55" t="str">
        <v>A3</v>
      </c>
    </row>
    <row r="17" spans="1:12" x14ac:dyDescent="0.5">
      <c r="A17" s="57"/>
      <c r="B17" s="57"/>
      <c r="H17" s="54" t="s">
        <v>3101</v>
      </c>
      <c r="J17" s="55" t="str">
        <v>B3</v>
      </c>
    </row>
    <row r="18" spans="1:12" x14ac:dyDescent="0.5">
      <c r="A18" s="57"/>
      <c r="B18" s="57"/>
      <c r="H18" s="54" t="s">
        <v>3074</v>
      </c>
      <c r="J18" s="55" t="str">
        <v>C3</v>
      </c>
    </row>
    <row r="20" spans="1:12" x14ac:dyDescent="0.5">
      <c r="A20" s="48">
        <v>3</v>
      </c>
      <c r="B20" s="49" t="s">
        <v>3138</v>
      </c>
      <c r="D20" s="53">
        <v>2000002</v>
      </c>
      <c r="H20" s="54" t="s">
        <v>3009</v>
      </c>
      <c r="J20" s="55" t="str" cm="1">
        <f t="array" ref="J20:J27">neighbors_list(D20)</f>
        <v>A1</v>
      </c>
      <c r="L20" s="56" t="str" cm="1">
        <f t="array" ref="L20">IF(AND(H20:H27=J20:J27),"PASS","FAIL")</f>
        <v>PASS</v>
      </c>
    </row>
    <row r="21" spans="1:12" x14ac:dyDescent="0.5">
      <c r="A21" s="57"/>
      <c r="B21" s="57"/>
      <c r="H21" s="54" t="s">
        <v>3105</v>
      </c>
      <c r="J21" s="55" t="str">
        <v>B1</v>
      </c>
    </row>
    <row r="22" spans="1:12" x14ac:dyDescent="0.5">
      <c r="A22" s="57"/>
      <c r="B22" s="57"/>
      <c r="H22" s="54" t="s">
        <v>3137</v>
      </c>
      <c r="J22" s="55" t="str">
        <v>C1</v>
      </c>
    </row>
    <row r="23" spans="1:12" x14ac:dyDescent="0.5">
      <c r="A23" s="57"/>
      <c r="B23" s="57"/>
      <c r="H23" s="54" t="s">
        <v>3134</v>
      </c>
      <c r="J23" s="55" t="str">
        <v>A2</v>
      </c>
    </row>
    <row r="24" spans="1:12" x14ac:dyDescent="0.5">
      <c r="A24" s="57"/>
      <c r="B24" s="57"/>
      <c r="H24" s="54" t="s">
        <v>3135</v>
      </c>
      <c r="J24" s="55" t="str">
        <v>C2</v>
      </c>
    </row>
    <row r="25" spans="1:12" x14ac:dyDescent="0.5">
      <c r="A25" s="57"/>
      <c r="B25" s="57"/>
      <c r="H25" s="54" t="s">
        <v>3012</v>
      </c>
      <c r="J25" s="55" t="str">
        <v>A3</v>
      </c>
    </row>
    <row r="26" spans="1:12" x14ac:dyDescent="0.5">
      <c r="A26" s="57"/>
      <c r="B26" s="57"/>
      <c r="H26" s="54" t="s">
        <v>3101</v>
      </c>
      <c r="J26" s="55" t="str">
        <v>B3</v>
      </c>
    </row>
    <row r="27" spans="1:12" x14ac:dyDescent="0.5">
      <c r="A27" s="57"/>
      <c r="B27" s="57"/>
      <c r="H27" s="54" t="s">
        <v>3074</v>
      </c>
      <c r="J27" s="55" t="str">
        <v>C3</v>
      </c>
    </row>
    <row r="29" spans="1:12" x14ac:dyDescent="0.5">
      <c r="A29" s="48">
        <v>4</v>
      </c>
      <c r="B29" s="49" t="s">
        <v>3139</v>
      </c>
      <c r="D29" s="53">
        <v>2000002</v>
      </c>
      <c r="F29" s="53">
        <v>0</v>
      </c>
      <c r="H29" s="54" t="s">
        <v>3105</v>
      </c>
      <c r="J29" s="55" t="str" cm="1">
        <f t="array" ref="J29:J32">neighbors_list(D29,,,F29)</f>
        <v>B1</v>
      </c>
      <c r="L29" s="56" t="str" cm="1">
        <f t="array" ref="L29">IF(AND(H29:H32=J29:J32),"PASS","FAIL")</f>
        <v>PASS</v>
      </c>
    </row>
    <row r="30" spans="1:12" x14ac:dyDescent="0.5">
      <c r="A30" s="57"/>
      <c r="B30" s="57"/>
      <c r="H30" s="54" t="s">
        <v>3134</v>
      </c>
      <c r="J30" s="55" t="str">
        <v>A2</v>
      </c>
    </row>
    <row r="31" spans="1:12" x14ac:dyDescent="0.5">
      <c r="A31" s="57"/>
      <c r="B31" s="57"/>
      <c r="H31" s="54" t="s">
        <v>3135</v>
      </c>
      <c r="J31" s="55" t="str">
        <v>C2</v>
      </c>
    </row>
    <row r="32" spans="1:12" x14ac:dyDescent="0.5">
      <c r="A32" s="57"/>
      <c r="B32" s="57"/>
      <c r="H32" s="54" t="s">
        <v>3101</v>
      </c>
      <c r="J32" s="55" t="str">
        <v>B3</v>
      </c>
    </row>
    <row r="34" spans="1:12" x14ac:dyDescent="0.5">
      <c r="A34" s="48">
        <v>5</v>
      </c>
      <c r="B34" s="49" t="s">
        <v>3140</v>
      </c>
      <c r="D34" s="53">
        <v>3000003</v>
      </c>
      <c r="H34" s="54" t="s">
        <v>3133</v>
      </c>
      <c r="J34" s="55" t="str" cm="1">
        <f t="array" ref="J34:J41">neighbors_list(D34)</f>
        <v>B2</v>
      </c>
      <c r="L34" s="56" t="str" cm="1">
        <f t="array" ref="L34">IF(AND(H34:H41=J34:J41),"PASS","FAIL")</f>
        <v>PASS</v>
      </c>
    </row>
    <row r="35" spans="1:12" x14ac:dyDescent="0.5">
      <c r="A35" s="57"/>
      <c r="B35" s="57"/>
      <c r="H35" s="54" t="s">
        <v>3135</v>
      </c>
      <c r="J35" s="55" t="str">
        <v>C2</v>
      </c>
    </row>
    <row r="36" spans="1:12" x14ac:dyDescent="0.5">
      <c r="A36" s="57"/>
      <c r="B36" s="57"/>
      <c r="H36" s="54" t="s">
        <v>3078</v>
      </c>
      <c r="J36" s="55" t="str">
        <v>D2</v>
      </c>
    </row>
    <row r="37" spans="1:12" x14ac:dyDescent="0.5">
      <c r="A37" s="57"/>
      <c r="B37" s="57"/>
      <c r="H37" s="54" t="s">
        <v>3101</v>
      </c>
      <c r="J37" s="55" t="str">
        <v>B3</v>
      </c>
    </row>
    <row r="38" spans="1:12" x14ac:dyDescent="0.5">
      <c r="A38" s="57"/>
      <c r="B38" s="57"/>
      <c r="H38" s="54" t="s">
        <v>3141</v>
      </c>
      <c r="J38" s="55" t="str">
        <v>D3</v>
      </c>
    </row>
    <row r="39" spans="1:12" x14ac:dyDescent="0.5">
      <c r="A39" s="57"/>
      <c r="B39" s="57"/>
      <c r="H39" s="54" t="s">
        <v>3142</v>
      </c>
      <c r="J39" s="55" t="str">
        <v>B4</v>
      </c>
    </row>
    <row r="40" spans="1:12" x14ac:dyDescent="0.5">
      <c r="A40" s="57"/>
      <c r="B40" s="57"/>
      <c r="H40" s="54" t="s">
        <v>3081</v>
      </c>
      <c r="J40" s="55" t="str">
        <v>C4</v>
      </c>
    </row>
    <row r="41" spans="1:12" x14ac:dyDescent="0.5">
      <c r="A41" s="57"/>
      <c r="B41" s="57"/>
      <c r="H41" s="54" t="s">
        <v>3143</v>
      </c>
      <c r="J41" s="55"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7" t="s">
        <v>0</v>
      </c>
      <c r="B1" s="86" t="str" cm="1">
        <f t="array" aca="1" ref="B1" ca="1">_xlfn.LET(_xlpm.fn, CELL("filename",$A$1), _xlpm.nm, MID(_xlpm.fn, FIND("]", _xlpm.fn) + 1, 255), _xlfn.XLOOKUP(_xlpm.nm &amp; "(*", Lamb!$A$2:$A$1000, Lamb!$A$2:$A$1000, "", 2))</f>
        <v>num_ad(arr)</v>
      </c>
      <c r="C1" s="82"/>
      <c r="D1" s="82"/>
      <c r="E1" s="82"/>
      <c r="F1" s="83"/>
      <c r="H1" s="47" t="s">
        <v>2</v>
      </c>
      <c r="I1" s="81"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85"/>
      <c r="D2" s="85"/>
      <c r="E2" s="85"/>
      <c r="F2" s="85"/>
      <c r="G2" s="85"/>
      <c r="H2" s="85"/>
      <c r="I2" s="85"/>
      <c r="J2" s="85"/>
      <c r="K2" s="85"/>
      <c r="L2" s="85"/>
      <c r="M2" s="85"/>
      <c r="N2" s="85"/>
      <c r="O2" s="85"/>
      <c r="P2" s="85"/>
      <c r="Q2" s="85"/>
      <c r="R2" s="85"/>
    </row>
    <row r="4" spans="1:18" x14ac:dyDescent="0.5">
      <c r="A4" s="47" t="s">
        <v>3144</v>
      </c>
      <c r="J4" s="47" t="str">
        <f>COUNTIF(J6:J19,"PASS")&amp;" / 6 PASS"</f>
        <v>6 / 6 PASS</v>
      </c>
    </row>
    <row r="5" spans="1:18" x14ac:dyDescent="0.5">
      <c r="A5" s="47" t="s">
        <v>7</v>
      </c>
      <c r="B5" s="47" t="s">
        <v>8</v>
      </c>
      <c r="D5" s="47" t="s">
        <v>9</v>
      </c>
      <c r="F5" s="50" t="s">
        <v>10</v>
      </c>
      <c r="H5" s="51" t="s">
        <v>11</v>
      </c>
      <c r="J5" s="52" t="s">
        <v>12</v>
      </c>
    </row>
    <row r="6" spans="1:18" x14ac:dyDescent="0.5">
      <c r="A6" s="48">
        <v>1</v>
      </c>
      <c r="B6" s="49" t="s">
        <v>3145</v>
      </c>
      <c r="D6" s="53" t="s">
        <v>3141</v>
      </c>
      <c r="F6" s="54">
        <v>3000004</v>
      </c>
      <c r="H6" s="55" cm="1">
        <f t="array" ref="H6">num_ad(D6)</f>
        <v>3000004</v>
      </c>
      <c r="J6" s="56" t="str">
        <f>IF(H6=F6,"PASS","FAIL")</f>
        <v>PASS</v>
      </c>
    </row>
    <row r="8" spans="1:18" x14ac:dyDescent="0.5">
      <c r="A8" s="48">
        <v>2</v>
      </c>
      <c r="B8" s="49" t="s">
        <v>3146</v>
      </c>
      <c r="D8" s="53">
        <v>3000004</v>
      </c>
      <c r="F8" s="54">
        <v>3000004</v>
      </c>
      <c r="H8" s="55" cm="1">
        <f t="array" ref="H8">num_ad(D8)</f>
        <v>3000004</v>
      </c>
      <c r="J8" s="56" t="str">
        <f>IF(H8=F8,"PASS","FAIL")</f>
        <v>PASS</v>
      </c>
    </row>
    <row r="10" spans="1:18" x14ac:dyDescent="0.5">
      <c r="A10" s="48">
        <v>3</v>
      </c>
      <c r="B10" s="49" t="s">
        <v>3147</v>
      </c>
      <c r="D10" s="53" t="s">
        <v>3148</v>
      </c>
      <c r="F10" s="54" t="s">
        <v>3148</v>
      </c>
      <c r="H10" s="55" t="str" cm="1">
        <f t="array" ref="H10">num_ad(D10)</f>
        <v>hi</v>
      </c>
      <c r="J10" s="56" t="str">
        <f>IF(H10=F10,"PASS","FAIL")</f>
        <v>PASS</v>
      </c>
    </row>
    <row r="12" spans="1:18" x14ac:dyDescent="0.5">
      <c r="A12" s="48">
        <v>4</v>
      </c>
      <c r="B12" s="49" t="s">
        <v>3149</v>
      </c>
      <c r="D12" s="53" t="s">
        <v>3150</v>
      </c>
      <c r="F12" s="54">
        <v>2000002</v>
      </c>
      <c r="H12" s="55" cm="1">
        <f t="array" ref="H12">num_ad(D12)</f>
        <v>2000002</v>
      </c>
      <c r="J12" s="56" t="str">
        <f>IF(H12=F12,"PASS","FAIL")</f>
        <v>PASS</v>
      </c>
    </row>
    <row r="14" spans="1:18" x14ac:dyDescent="0.5">
      <c r="A14" s="48">
        <v>5</v>
      </c>
      <c r="B14" s="49" t="s">
        <v>3151</v>
      </c>
      <c r="D14" s="53" t="s">
        <v>3152</v>
      </c>
      <c r="F14" s="54" t="s">
        <v>3152</v>
      </c>
      <c r="H14" s="55" t="str" cm="1">
        <f t="array" ref="H14">num_ad(D14)</f>
        <v>B2:D4</v>
      </c>
      <c r="J14" s="56" t="str">
        <f>IF(H14=F14,"PASS","FAIL")</f>
        <v>PASS</v>
      </c>
    </row>
    <row r="16" spans="1:18" x14ac:dyDescent="0.5">
      <c r="A16" s="48">
        <v>6</v>
      </c>
      <c r="B16" s="49" t="s">
        <v>3153</v>
      </c>
      <c r="D16" s="53" t="s">
        <v>3009</v>
      </c>
      <c r="F16" s="54">
        <v>1000001</v>
      </c>
      <c r="H16" s="55" cm="1">
        <f t="array" ref="H16:H17">num_ad(D16:D17)</f>
        <v>1000001</v>
      </c>
      <c r="J16" s="56" t="str" cm="1">
        <f t="array" ref="J16">IF(AND(F16:F17=H16:H17),"PASS","FAIL")</f>
        <v>PASS</v>
      </c>
    </row>
    <row r="17" spans="1:8" x14ac:dyDescent="0.5">
      <c r="A17" s="57"/>
      <c r="B17" s="57"/>
      <c r="D17" s="53" t="s">
        <v>3133</v>
      </c>
      <c r="F17" s="54">
        <v>2000002</v>
      </c>
      <c r="H17" s="55">
        <v>2000002</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offset_letter(st, offset)</v>
      </c>
      <c r="C1" s="82"/>
      <c r="D1" s="82"/>
      <c r="E1" s="82"/>
      <c r="F1" s="83"/>
      <c r="H1" s="47" t="s">
        <v>2</v>
      </c>
      <c r="I1" s="81"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5"/>
      <c r="D2" s="85"/>
      <c r="E2" s="85"/>
      <c r="F2" s="85"/>
      <c r="G2" s="85"/>
      <c r="H2" s="85"/>
      <c r="I2" s="85"/>
      <c r="J2" s="85"/>
      <c r="K2" s="85"/>
      <c r="L2" s="85"/>
      <c r="M2" s="85"/>
      <c r="N2" s="85"/>
      <c r="O2" s="85"/>
      <c r="P2" s="85"/>
      <c r="Q2" s="85"/>
      <c r="R2" s="85"/>
    </row>
    <row r="4" spans="1:18" x14ac:dyDescent="0.5">
      <c r="A4" s="47" t="s">
        <v>3154</v>
      </c>
      <c r="L4" s="47" t="str">
        <f>COUNTIF(L6:L19,"PASS")&amp;" / 6 PASS"</f>
        <v>6 / 6 PASS</v>
      </c>
    </row>
    <row r="5" spans="1:18" x14ac:dyDescent="0.5">
      <c r="A5" s="47" t="s">
        <v>7</v>
      </c>
      <c r="B5" s="47" t="s">
        <v>8</v>
      </c>
      <c r="D5" s="47" t="s">
        <v>9</v>
      </c>
      <c r="H5" s="50" t="s">
        <v>10</v>
      </c>
      <c r="J5" s="51" t="s">
        <v>11</v>
      </c>
      <c r="L5" s="52" t="s">
        <v>12</v>
      </c>
    </row>
    <row r="6" spans="1:18" x14ac:dyDescent="0.5">
      <c r="A6" s="48">
        <v>1</v>
      </c>
      <c r="B6" s="49" t="s">
        <v>3155</v>
      </c>
      <c r="D6" s="53" t="s">
        <v>3156</v>
      </c>
      <c r="F6" s="53">
        <v>2</v>
      </c>
      <c r="H6" s="54" t="s">
        <v>3157</v>
      </c>
      <c r="J6" s="55" t="str" cm="1">
        <f t="array" ref="J6">offset_letter(D6,F6)</f>
        <v>zab</v>
      </c>
      <c r="L6" s="56" t="str">
        <f>IF(J6=H6,"PASS","FAIL")</f>
        <v>PASS</v>
      </c>
    </row>
    <row r="8" spans="1:18" x14ac:dyDescent="0.5">
      <c r="A8" s="48">
        <v>2</v>
      </c>
      <c r="B8" s="49" t="s">
        <v>3158</v>
      </c>
      <c r="D8" s="53" t="s">
        <v>3159</v>
      </c>
      <c r="F8" s="53">
        <v>1</v>
      </c>
      <c r="H8" s="54" t="s">
        <v>3160</v>
      </c>
      <c r="J8" s="55" t="str" cm="1">
        <f t="array" ref="J8">offset_letter(D8,F8)</f>
        <v>bcd</v>
      </c>
      <c r="L8" s="56" t="str">
        <f>IF(J8=H8,"PASS","FAIL")</f>
        <v>PASS</v>
      </c>
    </row>
    <row r="10" spans="1:18" x14ac:dyDescent="0.5">
      <c r="A10" s="48">
        <v>3</v>
      </c>
      <c r="B10" s="49" t="s">
        <v>3161</v>
      </c>
      <c r="D10" s="53" t="s">
        <v>3162</v>
      </c>
      <c r="F10" s="53">
        <v>1</v>
      </c>
      <c r="H10" s="54" t="s">
        <v>3163</v>
      </c>
      <c r="J10" s="55" t="str" cm="1">
        <f t="array" ref="J10">offset_letter(D10,F10)</f>
        <v>Ifmmp</v>
      </c>
      <c r="L10" s="56" t="str">
        <f>IF(J10=H10,"PASS","FAIL")</f>
        <v>PASS</v>
      </c>
    </row>
    <row r="12" spans="1:18" x14ac:dyDescent="0.5">
      <c r="A12" s="48">
        <v>4</v>
      </c>
      <c r="B12" s="49" t="s">
        <v>3164</v>
      </c>
      <c r="D12" s="53" t="s">
        <v>3165</v>
      </c>
      <c r="F12" s="53">
        <v>1</v>
      </c>
      <c r="H12" s="54" t="s">
        <v>3166</v>
      </c>
      <c r="J12" s="55" t="str" cm="1">
        <f t="array" ref="J12">offset_letter(D12,F12)</f>
        <v>b1c</v>
      </c>
      <c r="L12" s="56" t="str">
        <f>IF(J12=H12,"PASS","FAIL")</f>
        <v>PASS</v>
      </c>
    </row>
    <row r="14" spans="1:18" x14ac:dyDescent="0.5">
      <c r="A14" s="48">
        <v>5</v>
      </c>
      <c r="B14" s="49" t="s">
        <v>3167</v>
      </c>
      <c r="D14" s="53" t="s">
        <v>3160</v>
      </c>
      <c r="F14" s="53">
        <v>-1</v>
      </c>
      <c r="H14" s="54" t="s">
        <v>3159</v>
      </c>
      <c r="J14" s="55" t="str" cm="1">
        <f t="array" ref="J14">offset_letter(D14,F14)</f>
        <v>abc</v>
      </c>
      <c r="L14" s="56" t="str">
        <f>IF(J14=H14,"PASS","FAIL")</f>
        <v>PASS</v>
      </c>
    </row>
    <row r="16" spans="1:18" x14ac:dyDescent="0.5">
      <c r="A16" s="48">
        <v>6</v>
      </c>
      <c r="B16" s="49" t="s">
        <v>3168</v>
      </c>
      <c r="D16" s="53" t="s">
        <v>3159</v>
      </c>
      <c r="F16" s="53">
        <v>1</v>
      </c>
      <c r="H16" s="54" t="s">
        <v>3160</v>
      </c>
      <c r="J16" s="55" t="str" cm="1">
        <f t="array" ref="J16:J17">offset_letter(D16:D17,F16)</f>
        <v>bcd</v>
      </c>
      <c r="L16" s="56" t="str" cm="1">
        <f t="array" ref="L16">IF(AND(H16:H17=J16:J17),"PASS","FAIL")</f>
        <v>PASS</v>
      </c>
    </row>
    <row r="17" spans="1:10" x14ac:dyDescent="0.5">
      <c r="A17" s="57"/>
      <c r="B17" s="57"/>
      <c r="D17" s="53" t="s">
        <v>3169</v>
      </c>
      <c r="H17" s="54" t="s">
        <v>3170</v>
      </c>
      <c r="J17" s="55"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only_letters(st)</v>
      </c>
      <c r="C1" s="82"/>
      <c r="D1" s="82"/>
      <c r="E1" s="82"/>
      <c r="F1" s="83"/>
      <c r="H1" s="47" t="s">
        <v>2</v>
      </c>
      <c r="I1" s="81"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=LAMBDA(arr, LET(
   f, LAMBDA(x, IFERROR(CONCAT(REGEXEXTRACT(x, "[a-z]", 1, 1)), "")),
   IF(ROWS(arr) * COLUMNS(arr) = 1, f(arr), MAP(arr, f))
))</v>
      </c>
      <c r="C2" s="85"/>
      <c r="D2" s="85"/>
      <c r="E2" s="85"/>
      <c r="F2" s="85"/>
      <c r="G2" s="85"/>
      <c r="H2" s="85"/>
      <c r="I2" s="85"/>
      <c r="J2" s="85"/>
      <c r="K2" s="85"/>
      <c r="L2" s="85"/>
      <c r="M2" s="85"/>
      <c r="N2" s="85"/>
      <c r="O2" s="85"/>
      <c r="P2" s="85"/>
      <c r="Q2" s="85"/>
      <c r="R2" s="85"/>
    </row>
    <row r="4" spans="1:18" x14ac:dyDescent="0.5">
      <c r="A4" s="47" t="s">
        <v>3171</v>
      </c>
      <c r="J4" s="47" t="str">
        <f>COUNTIF(J6:J17,"PASS")&amp;" / 5 PASS"</f>
        <v>5 / 5 PASS</v>
      </c>
    </row>
    <row r="5" spans="1:18" x14ac:dyDescent="0.5">
      <c r="A5" s="47" t="s">
        <v>7</v>
      </c>
      <c r="B5" s="47" t="s">
        <v>8</v>
      </c>
      <c r="D5" s="47" t="s">
        <v>9</v>
      </c>
      <c r="F5" s="50" t="s">
        <v>10</v>
      </c>
      <c r="H5" s="51" t="s">
        <v>11</v>
      </c>
      <c r="J5" s="52" t="s">
        <v>12</v>
      </c>
    </row>
    <row r="6" spans="1:18" x14ac:dyDescent="0.5">
      <c r="A6" s="48">
        <v>1</v>
      </c>
      <c r="B6" s="49" t="s">
        <v>3172</v>
      </c>
      <c r="D6" s="53" t="s">
        <v>3173</v>
      </c>
      <c r="F6" s="54" t="s">
        <v>3174</v>
      </c>
      <c r="H6" s="55" t="str" cm="1">
        <f t="array" ref="H6">only_letters(D6)</f>
        <v>aBc</v>
      </c>
      <c r="J6" s="56" t="str">
        <f>IF(H6=F6,"PASS","FAIL")</f>
        <v>PASS</v>
      </c>
    </row>
    <row r="8" spans="1:18" x14ac:dyDescent="0.5">
      <c r="A8" s="48">
        <v>2</v>
      </c>
      <c r="B8" s="49" t="s">
        <v>3175</v>
      </c>
      <c r="D8" s="53" t="s">
        <v>3162</v>
      </c>
      <c r="F8" s="54" t="s">
        <v>3162</v>
      </c>
      <c r="H8" s="55" t="str" cm="1">
        <f t="array" ref="H8">only_letters(D8)</f>
        <v>Hello</v>
      </c>
      <c r="J8" s="56" t="str">
        <f>IF(H8=F8,"PASS","FAIL")</f>
        <v>PASS</v>
      </c>
    </row>
    <row r="10" spans="1:18" x14ac:dyDescent="0.5">
      <c r="A10" s="48">
        <v>3</v>
      </c>
      <c r="B10" s="49" t="s">
        <v>3176</v>
      </c>
      <c r="D10" s="53" t="s">
        <v>3177</v>
      </c>
      <c r="F10" s="54" t="s">
        <v>3178</v>
      </c>
      <c r="H10" s="55" t="str" cm="1">
        <f t="array" ref="H10">only_letters(D10)</f>
        <v>XYz</v>
      </c>
      <c r="J10" s="56" t="str">
        <f>IF(H10=F10,"PASS","FAIL")</f>
        <v>PASS</v>
      </c>
    </row>
    <row r="12" spans="1:18" x14ac:dyDescent="0.5">
      <c r="A12" s="48">
        <v>4</v>
      </c>
      <c r="B12" s="49" t="s">
        <v>3179</v>
      </c>
      <c r="D12" s="53" t="s">
        <v>3180</v>
      </c>
      <c r="F12" s="54"/>
      <c r="H12" s="55" t="str" cm="1">
        <f t="array" ref="H12">only_letters(D12)</f>
        <v/>
      </c>
      <c r="J12" s="56" t="str">
        <f>IF(H12=F12,"PASS","FAIL")</f>
        <v>PASS</v>
      </c>
    </row>
    <row r="14" spans="1:18" x14ac:dyDescent="0.5">
      <c r="A14" s="48">
        <v>5</v>
      </c>
      <c r="B14" s="49" t="s">
        <v>3181</v>
      </c>
      <c r="D14" s="53" t="s">
        <v>3165</v>
      </c>
      <c r="F14" s="54" t="s">
        <v>3182</v>
      </c>
      <c r="H14" s="55" t="str" cm="1">
        <f t="array" ref="H14:H15">only_letters(D14:D15)</f>
        <v>ab</v>
      </c>
      <c r="J14" s="56" t="str" cm="1">
        <f t="array" ref="J14">IF(AND(F14:F15=H14:H15),"PASS","FAIL")</f>
        <v>PASS</v>
      </c>
    </row>
    <row r="15" spans="1:18" x14ac:dyDescent="0.5">
      <c r="A15" s="57"/>
      <c r="B15" s="57"/>
      <c r="D15" s="53" t="s">
        <v>3183</v>
      </c>
      <c r="F15" s="54" t="s">
        <v>3184</v>
      </c>
      <c r="H15" s="55"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only_numbers(st)</v>
      </c>
      <c r="C1" s="82"/>
      <c r="D1" s="82"/>
      <c r="E1" s="82"/>
      <c r="F1" s="83"/>
      <c r="H1" s="47" t="s">
        <v>2</v>
      </c>
      <c r="I1" s="81"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82"/>
      <c r="K1" s="82"/>
      <c r="L1" s="82"/>
      <c r="M1" s="82"/>
      <c r="N1" s="82"/>
      <c r="O1" s="82"/>
      <c r="P1" s="82"/>
      <c r="Q1" s="82"/>
      <c r="R1" s="83"/>
    </row>
    <row r="2" spans="1:18" ht="84" customHeight="1" x14ac:dyDescent="0.5">
      <c r="A2" s="47" t="s">
        <v>4</v>
      </c>
      <c r="B2" s="84" t="str" cm="1">
        <f t="array" aca="1" ref="B2" ca="1">_xlfn.LET(_xlpm.fn, CELL("filename",$A$1), _xlpm.nm, MID(_xlpm.fn, FIND("]", _xlpm.fn) + 1, 255), _xlfn.XLOOKUP(_xlpm.nm &amp; "(*", Lamb!$A$2:$A$1000, Lamb!$C$2:$C$1000, "", 2))</f>
        <v>=LAMBDA(txt, LET(
   matches, IFERROR(--REGEXEXTRACT(txt, "-?\d+(?:\.\d+)?", 1), ""),
   IF(ROWS(matches) * COLUMNS(matches) = 1, INDEX(matches, 1), matches)
))</v>
      </c>
      <c r="C2" s="85"/>
      <c r="D2" s="85"/>
      <c r="E2" s="85"/>
      <c r="F2" s="85"/>
      <c r="G2" s="85"/>
      <c r="H2" s="85"/>
      <c r="I2" s="85"/>
      <c r="J2" s="85"/>
      <c r="K2" s="85"/>
      <c r="L2" s="85"/>
      <c r="M2" s="85"/>
      <c r="N2" s="85"/>
      <c r="O2" s="85"/>
      <c r="P2" s="85"/>
      <c r="Q2" s="85"/>
      <c r="R2" s="85"/>
    </row>
    <row r="4" spans="1:18" x14ac:dyDescent="0.5">
      <c r="A4" s="47" t="s">
        <v>3185</v>
      </c>
      <c r="J4" s="47" t="str">
        <f>COUNTIF(J6:J19,"PASS")&amp;" / 5 PASS"</f>
        <v>5 / 5 PASS</v>
      </c>
    </row>
    <row r="5" spans="1:18" x14ac:dyDescent="0.5">
      <c r="A5" s="47" t="s">
        <v>7</v>
      </c>
      <c r="B5" s="47" t="s">
        <v>8</v>
      </c>
      <c r="D5" s="47" t="s">
        <v>9</v>
      </c>
      <c r="F5" s="50" t="s">
        <v>10</v>
      </c>
      <c r="H5" s="51" t="s">
        <v>11</v>
      </c>
      <c r="J5" s="52" t="s">
        <v>12</v>
      </c>
    </row>
    <row r="6" spans="1:18" x14ac:dyDescent="0.5">
      <c r="A6" s="48">
        <v>1</v>
      </c>
      <c r="B6" s="49" t="s">
        <v>3186</v>
      </c>
      <c r="D6" s="53" t="s">
        <v>3187</v>
      </c>
      <c r="F6" s="54">
        <v>10</v>
      </c>
      <c r="H6" s="55" cm="1">
        <f t="array" ref="H6">only_numbers(D6)</f>
        <v>10</v>
      </c>
      <c r="J6" s="56" t="str">
        <f>IF(H6=F6,"PASS","FAIL")</f>
        <v>PASS</v>
      </c>
    </row>
    <row r="8" spans="1:18" x14ac:dyDescent="0.5">
      <c r="A8" s="48">
        <v>2</v>
      </c>
      <c r="B8" s="49" t="s">
        <v>3188</v>
      </c>
      <c r="D8" s="53" t="s">
        <v>3189</v>
      </c>
      <c r="F8" s="54">
        <v>3.5</v>
      </c>
      <c r="H8" s="55" cm="1">
        <f t="array" ref="H8">only_numbers(D8)</f>
        <v>3.5</v>
      </c>
      <c r="J8" s="56" t="str">
        <f>IF(H8=F8,"PASS","FAIL")</f>
        <v>PASS</v>
      </c>
    </row>
    <row r="10" spans="1:18" x14ac:dyDescent="0.5">
      <c r="A10" s="48">
        <v>3</v>
      </c>
      <c r="B10" s="49" t="s">
        <v>3190</v>
      </c>
      <c r="D10" s="53" t="s">
        <v>3159</v>
      </c>
      <c r="H10" s="55" t="str" cm="1">
        <f t="array" ref="H10">only_numbers(D10)</f>
        <v/>
      </c>
      <c r="J10" s="56" t="str" cm="1">
        <f t="array" ref="J10">IF(AND(F9:F10=H9:H10),"PASS","FAIL")</f>
        <v>PASS</v>
      </c>
    </row>
    <row r="12" spans="1:18" x14ac:dyDescent="0.5">
      <c r="A12" s="48">
        <v>4</v>
      </c>
      <c r="B12" s="49" t="s">
        <v>3191</v>
      </c>
      <c r="D12" s="53" t="s">
        <v>3192</v>
      </c>
      <c r="F12" s="54">
        <v>1</v>
      </c>
      <c r="H12" s="55" cm="1">
        <f t="array" ref="H12:H14">_xlfn.TOCOL(only_numbers(D12))</f>
        <v>1</v>
      </c>
      <c r="J12" s="56" t="str" cm="1">
        <f t="array" ref="J12">IF(AND(F12:F14=H12:H14),"PASS","FAIL")</f>
        <v>PASS</v>
      </c>
    </row>
    <row r="13" spans="1:18" x14ac:dyDescent="0.5">
      <c r="A13" s="57"/>
      <c r="B13" s="57"/>
      <c r="F13" s="54">
        <v>2</v>
      </c>
      <c r="H13" s="55">
        <v>2</v>
      </c>
    </row>
    <row r="14" spans="1:18" x14ac:dyDescent="0.5">
      <c r="A14" s="57"/>
      <c r="B14" s="57"/>
      <c r="F14" s="54">
        <v>3</v>
      </c>
      <c r="H14" s="55">
        <v>3</v>
      </c>
    </row>
    <row r="16" spans="1:18" x14ac:dyDescent="0.5">
      <c r="A16" s="48">
        <v>5</v>
      </c>
      <c r="B16" s="49" t="s">
        <v>3193</v>
      </c>
      <c r="D16" s="53" t="s">
        <v>3193</v>
      </c>
      <c r="F16" s="54">
        <v>-5</v>
      </c>
      <c r="H16" s="55" cm="1">
        <f t="array" ref="H16:H17">_xlfn.TOCOL(only_numbers(D16))</f>
        <v>-5</v>
      </c>
      <c r="J16" s="56" t="str" cm="1">
        <f t="array" ref="J16">IF(AND(F16:F17=H16:H17),"PASS","FAIL")</f>
        <v>PASS</v>
      </c>
    </row>
    <row r="17" spans="1:8" x14ac:dyDescent="0.5">
      <c r="A17" s="57"/>
      <c r="B17" s="57"/>
      <c r="F17" s="54">
        <v>12</v>
      </c>
      <c r="H17" s="55">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7" t="s">
        <v>0</v>
      </c>
      <c r="B1" s="86" t="str" cm="1">
        <f t="array" aca="1" ref="B1" ca="1">_xlfn.LET(_xlpm.fn, CELL("filename",$A$1), _xlpm.nm, MID(_xlpm.fn, FIND("]", _xlpm.fn) + 1, 255), _xlfn.XLOOKUP(_xlpm.nm &amp; "(*", Lamb!$A$2:$A$1000, Lamb!$A$2:$A$1000, "", 2))</f>
        <v>range2ad(range, [str])</v>
      </c>
      <c r="C1" s="82"/>
      <c r="D1" s="82"/>
      <c r="E1" s="82"/>
      <c r="F1" s="83"/>
      <c r="H1" s="47" t="s">
        <v>2</v>
      </c>
      <c r="I1" s="81"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82"/>
      <c r="K1" s="82"/>
      <c r="L1" s="82"/>
      <c r="M1" s="82"/>
      <c r="N1" s="82"/>
      <c r="O1" s="82"/>
      <c r="P1" s="82"/>
      <c r="Q1" s="82"/>
      <c r="R1" s="83"/>
    </row>
    <row r="2" spans="1:18" ht="357" customHeight="1" x14ac:dyDescent="0.5">
      <c r="A2" s="47" t="s">
        <v>4</v>
      </c>
      <c r="B2" s="84"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85"/>
      <c r="D2" s="85"/>
      <c r="E2" s="85"/>
      <c r="F2" s="85"/>
      <c r="G2" s="85"/>
      <c r="H2" s="85"/>
      <c r="I2" s="85"/>
      <c r="J2" s="85"/>
      <c r="K2" s="85"/>
      <c r="L2" s="85"/>
      <c r="M2" s="85"/>
      <c r="N2" s="85"/>
      <c r="O2" s="85"/>
      <c r="P2" s="85"/>
      <c r="Q2" s="85"/>
      <c r="R2" s="85"/>
    </row>
    <row r="4" spans="1:18" x14ac:dyDescent="0.5">
      <c r="A4" s="47" t="s">
        <v>3194</v>
      </c>
      <c r="P4" s="47" t="str">
        <f>COUNTIF(P6:P20,"PASS")&amp;" / 5 PASS"</f>
        <v>5 / 5 PASS</v>
      </c>
    </row>
    <row r="5" spans="1:18" x14ac:dyDescent="0.5">
      <c r="A5" s="47" t="s">
        <v>7</v>
      </c>
      <c r="B5" s="47" t="s">
        <v>8</v>
      </c>
      <c r="D5" s="47" t="s">
        <v>9</v>
      </c>
      <c r="H5" s="50" t="s">
        <v>10</v>
      </c>
      <c r="L5" s="51" t="s">
        <v>11</v>
      </c>
      <c r="P5" s="52" t="s">
        <v>12</v>
      </c>
    </row>
    <row r="6" spans="1:18" x14ac:dyDescent="0.5">
      <c r="A6" s="48">
        <v>1</v>
      </c>
      <c r="B6" s="49" t="s">
        <v>3195</v>
      </c>
      <c r="D6" s="53" t="s">
        <v>3196</v>
      </c>
      <c r="H6" s="54">
        <v>2000002</v>
      </c>
      <c r="I6" s="54">
        <v>2000003</v>
      </c>
      <c r="L6" s="55" cm="1">
        <f t="array" ref="L6:M7">range2ad(D6)</f>
        <v>2000002</v>
      </c>
      <c r="M6" s="55">
        <v>2000003</v>
      </c>
      <c r="P6" s="56" t="str" cm="1">
        <f t="array" ref="P6">IF(AND(H6:I7=L6:M7),"PASS","FAIL")</f>
        <v>PASS</v>
      </c>
    </row>
    <row r="7" spans="1:18" x14ac:dyDescent="0.5">
      <c r="A7" s="57"/>
      <c r="B7" s="57"/>
      <c r="H7" s="54">
        <v>3000002</v>
      </c>
      <c r="I7" s="54">
        <v>3000003</v>
      </c>
      <c r="L7" s="55">
        <v>3000002</v>
      </c>
      <c r="M7" s="55">
        <v>3000003</v>
      </c>
    </row>
    <row r="9" spans="1:18" x14ac:dyDescent="0.5">
      <c r="A9" s="48">
        <v>2</v>
      </c>
      <c r="B9" s="49" t="s">
        <v>3197</v>
      </c>
      <c r="D9" s="53" t="s">
        <v>3196</v>
      </c>
      <c r="F9" s="53">
        <v>1</v>
      </c>
      <c r="H9" s="54" t="s">
        <v>3133</v>
      </c>
      <c r="I9" s="54" t="s">
        <v>3135</v>
      </c>
      <c r="L9" s="55" t="str" cm="1">
        <f t="array" ref="L9:M10">range2ad(D9,F9)</f>
        <v>B2</v>
      </c>
      <c r="M9" s="55" t="str">
        <v>C2</v>
      </c>
      <c r="P9" s="56" t="str" cm="1">
        <f t="array" ref="P9">IF(AND(H9:I10=L9:M10),"PASS","FAIL")</f>
        <v>PASS</v>
      </c>
    </row>
    <row r="10" spans="1:18" x14ac:dyDescent="0.5">
      <c r="A10" s="57"/>
      <c r="B10" s="57"/>
      <c r="H10" s="54" t="s">
        <v>3101</v>
      </c>
      <c r="I10" s="54" t="s">
        <v>3074</v>
      </c>
      <c r="L10" s="55" t="str">
        <v>B3</v>
      </c>
      <c r="M10" s="55" t="str">
        <v>C3</v>
      </c>
    </row>
    <row r="12" spans="1:18" x14ac:dyDescent="0.5">
      <c r="A12" s="48">
        <v>3</v>
      </c>
      <c r="B12" s="49" t="s">
        <v>3198</v>
      </c>
      <c r="D12" s="53" t="s">
        <v>3199</v>
      </c>
      <c r="H12" s="54">
        <v>1000001</v>
      </c>
      <c r="L12" s="55" cm="1">
        <f t="array" ref="L12:L14">range2ad(D12)</f>
        <v>1000001</v>
      </c>
      <c r="P12" s="56" t="str" cm="1">
        <f t="array" ref="P12">IF(AND(H12:H14=L12:L14),"PASS","FAIL")</f>
        <v>PASS</v>
      </c>
    </row>
    <row r="13" spans="1:18" x14ac:dyDescent="0.5">
      <c r="A13" s="57"/>
      <c r="B13" s="57"/>
      <c r="H13" s="54">
        <v>2000001</v>
      </c>
      <c r="L13" s="55">
        <v>2000001</v>
      </c>
    </row>
    <row r="14" spans="1:18" x14ac:dyDescent="0.5">
      <c r="A14" s="57"/>
      <c r="B14" s="57"/>
      <c r="H14" s="54">
        <v>3000001</v>
      </c>
      <c r="L14" s="55">
        <v>3000001</v>
      </c>
    </row>
    <row r="16" spans="1:18" x14ac:dyDescent="0.5">
      <c r="A16" s="48">
        <v>4</v>
      </c>
      <c r="B16" s="49" t="s">
        <v>3200</v>
      </c>
      <c r="D16" s="53" t="s">
        <v>3201</v>
      </c>
      <c r="F16" s="53">
        <v>1</v>
      </c>
      <c r="H16" s="54" t="s">
        <v>3009</v>
      </c>
      <c r="I16" s="54" t="s">
        <v>3105</v>
      </c>
      <c r="J16" s="54" t="s">
        <v>3137</v>
      </c>
      <c r="L16" s="55" t="str" cm="1">
        <f t="array" ref="L16:N16">range2ad(D16,F16)</f>
        <v>A1</v>
      </c>
      <c r="M16" s="55" t="str">
        <v>B1</v>
      </c>
      <c r="N16" s="55" t="str">
        <v>C1</v>
      </c>
      <c r="P16" s="56" t="str" cm="1">
        <f t="array" ref="P16">IF(AND(H16:J16=L16:N16),"PASS","FAIL")</f>
        <v>PASS</v>
      </c>
    </row>
    <row r="18" spans="1:16" x14ac:dyDescent="0.5">
      <c r="A18" s="48">
        <v>5</v>
      </c>
      <c r="B18" s="49" t="s">
        <v>3202</v>
      </c>
      <c r="D18" s="53" t="s">
        <v>3141</v>
      </c>
      <c r="H18" s="54">
        <v>3000004</v>
      </c>
      <c r="L18" s="55" cm="1">
        <f t="array" ref="L18">range2ad(D18)</f>
        <v>3000004</v>
      </c>
      <c r="P18" s="56" t="str">
        <f>IF(L18=H18,"PASS","FAIL")</f>
        <v>PASS</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rev(arr)</v>
      </c>
      <c r="C1" s="82"/>
      <c r="D1" s="82"/>
      <c r="E1" s="82"/>
      <c r="F1" s="83"/>
      <c r="H1" s="47" t="s">
        <v>2</v>
      </c>
      <c r="I1" s="81"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=LAMBDA(arr, xtocol(arr, 0, , arrow("L") &amp; arrow("U")))</v>
      </c>
      <c r="C2" s="85"/>
      <c r="D2" s="85"/>
      <c r="E2" s="85"/>
      <c r="F2" s="85"/>
      <c r="G2" s="85"/>
      <c r="H2" s="85"/>
      <c r="I2" s="85"/>
      <c r="J2" s="85"/>
      <c r="K2" s="85"/>
      <c r="L2" s="85"/>
      <c r="M2" s="85"/>
      <c r="N2" s="85"/>
      <c r="O2" s="85"/>
      <c r="P2" s="85"/>
      <c r="Q2" s="85"/>
      <c r="R2" s="85"/>
    </row>
    <row r="4" spans="1:18" x14ac:dyDescent="0.5">
      <c r="A4" s="47" t="s">
        <v>3203</v>
      </c>
      <c r="J4" s="47" t="str">
        <f>COUNTIF(J6:J18,"PASS")&amp;" / 3 PASS"</f>
        <v>3 / 3 PASS</v>
      </c>
    </row>
    <row r="5" spans="1:18" x14ac:dyDescent="0.5">
      <c r="A5" s="47" t="s">
        <v>7</v>
      </c>
      <c r="B5" s="47" t="s">
        <v>8</v>
      </c>
      <c r="D5" s="47" t="s">
        <v>9</v>
      </c>
      <c r="F5" s="50" t="s">
        <v>10</v>
      </c>
      <c r="H5" s="51" t="s">
        <v>11</v>
      </c>
      <c r="J5" s="52" t="s">
        <v>12</v>
      </c>
    </row>
    <row r="6" spans="1:18" x14ac:dyDescent="0.5">
      <c r="A6" s="48">
        <v>1</v>
      </c>
      <c r="B6" s="49" t="s">
        <v>3056</v>
      </c>
      <c r="D6" s="53">
        <v>1</v>
      </c>
      <c r="F6" s="54">
        <v>3</v>
      </c>
      <c r="H6" s="55" cm="1">
        <f t="array" ref="H6:H8">rev(D6:D8)</f>
        <v>3</v>
      </c>
      <c r="J6" s="56" t="str" cm="1">
        <f t="array" ref="J6">IF(AND(F6:F8=H6:H8),"PASS","FAIL")</f>
        <v>PASS</v>
      </c>
    </row>
    <row r="7" spans="1:18" x14ac:dyDescent="0.5">
      <c r="A7" s="57"/>
      <c r="B7" s="57"/>
      <c r="D7" s="53">
        <v>2</v>
      </c>
      <c r="F7" s="54">
        <v>2</v>
      </c>
      <c r="H7" s="55">
        <v>2</v>
      </c>
    </row>
    <row r="8" spans="1:18" x14ac:dyDescent="0.5">
      <c r="A8" s="57"/>
      <c r="B8" s="57"/>
      <c r="D8" s="53">
        <v>3</v>
      </c>
      <c r="F8" s="54">
        <v>1</v>
      </c>
      <c r="H8" s="55">
        <v>1</v>
      </c>
    </row>
    <row r="10" spans="1:18" x14ac:dyDescent="0.5">
      <c r="A10" s="48">
        <v>2</v>
      </c>
      <c r="B10" s="49" t="s">
        <v>3204</v>
      </c>
      <c r="D10" s="53" t="s">
        <v>3021</v>
      </c>
      <c r="F10" s="54" t="s">
        <v>3030</v>
      </c>
      <c r="H10" s="55" t="str" cm="1">
        <f t="array" ref="H10:H12">rev(D10:D12)</f>
        <v>c</v>
      </c>
      <c r="J10" s="56" t="str" cm="1">
        <f t="array" ref="J10">IF(AND(F10:F12=H10:H12),"PASS","FAIL")</f>
        <v>PASS</v>
      </c>
    </row>
    <row r="11" spans="1:18" x14ac:dyDescent="0.5">
      <c r="A11" s="57"/>
      <c r="B11" s="57"/>
      <c r="D11" s="53" t="s">
        <v>3022</v>
      </c>
      <c r="F11" s="54" t="s">
        <v>3022</v>
      </c>
      <c r="H11" s="55" t="str">
        <v>b</v>
      </c>
    </row>
    <row r="12" spans="1:18" x14ac:dyDescent="0.5">
      <c r="A12" s="57"/>
      <c r="B12" s="57"/>
      <c r="D12" s="53" t="s">
        <v>3030</v>
      </c>
      <c r="F12" s="54" t="s">
        <v>3021</v>
      </c>
      <c r="H12" s="55" t="str">
        <v>a</v>
      </c>
    </row>
    <row r="14" spans="1:18" x14ac:dyDescent="0.5">
      <c r="A14" s="48">
        <v>3</v>
      </c>
      <c r="B14" s="49" t="s">
        <v>3205</v>
      </c>
      <c r="D14" s="53">
        <v>1</v>
      </c>
      <c r="F14" s="54">
        <v>3</v>
      </c>
      <c r="H14" s="55" cm="1">
        <f t="array" ref="H14:H15">rev(D14:D16)</f>
        <v>3</v>
      </c>
      <c r="J14" s="56" t="str" cm="1">
        <f t="array" ref="J14">IF(AND(F14:F15=H14:H15),"PASS","FAIL")</f>
        <v>PASS</v>
      </c>
    </row>
    <row r="15" spans="1:18" x14ac:dyDescent="0.5">
      <c r="A15" s="57"/>
      <c r="B15" s="57"/>
      <c r="D15" s="53"/>
      <c r="F15" s="54">
        <v>1</v>
      </c>
      <c r="H15" s="55">
        <v>1</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rotate_arrow(arrow, steps, [clockwise])</v>
      </c>
      <c r="C1" s="82"/>
      <c r="D1" s="82"/>
      <c r="E1" s="82"/>
      <c r="F1" s="83"/>
      <c r="H1" s="47" t="s">
        <v>2</v>
      </c>
      <c r="I1" s="81"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82"/>
      <c r="K1" s="82"/>
      <c r="L1" s="82"/>
      <c r="M1" s="82"/>
      <c r="N1" s="82"/>
      <c r="O1" s="82"/>
      <c r="P1" s="82"/>
      <c r="Q1" s="82"/>
      <c r="R1" s="83"/>
    </row>
    <row r="2" spans="1:18" ht="168" customHeight="1" x14ac:dyDescent="0.5">
      <c r="A2" s="47" t="s">
        <v>4</v>
      </c>
      <c r="B2" s="84"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85"/>
      <c r="D2" s="85"/>
      <c r="E2" s="85"/>
      <c r="F2" s="85"/>
      <c r="G2" s="85"/>
      <c r="H2" s="85"/>
      <c r="I2" s="85"/>
      <c r="J2" s="85"/>
      <c r="K2" s="85"/>
      <c r="L2" s="85"/>
      <c r="M2" s="85"/>
      <c r="N2" s="85"/>
      <c r="O2" s="85"/>
      <c r="P2" s="85"/>
      <c r="Q2" s="85"/>
      <c r="R2" s="85"/>
    </row>
    <row r="4" spans="1:18" x14ac:dyDescent="0.5">
      <c r="A4" s="47" t="s">
        <v>3206</v>
      </c>
      <c r="N4" s="47" t="str">
        <f>COUNTIF(N6:N16,"PASS")&amp;" / 6 PASS"</f>
        <v>6 / 6 PASS</v>
      </c>
    </row>
    <row r="5" spans="1:18" x14ac:dyDescent="0.5">
      <c r="A5" s="47" t="s">
        <v>7</v>
      </c>
      <c r="B5" s="47" t="s">
        <v>8</v>
      </c>
      <c r="D5" s="47" t="s">
        <v>9</v>
      </c>
      <c r="J5" s="50" t="s">
        <v>10</v>
      </c>
      <c r="L5" s="51" t="s">
        <v>11</v>
      </c>
      <c r="N5" s="52" t="s">
        <v>12</v>
      </c>
    </row>
    <row r="6" spans="1:18" x14ac:dyDescent="0.5">
      <c r="A6" s="48">
        <v>1</v>
      </c>
      <c r="B6" s="49" t="s">
        <v>3207</v>
      </c>
      <c r="D6" s="53" t="s">
        <v>192</v>
      </c>
      <c r="F6" s="53">
        <v>1</v>
      </c>
      <c r="J6" s="54" t="s">
        <v>374</v>
      </c>
      <c r="L6" s="55" t="str" cm="1">
        <f t="array" ref="L6">rotate_arrow(D6,F6)</f>
        <v>↘</v>
      </c>
      <c r="N6" s="56" t="str">
        <f>IF(L6=J6,"PASS","FAIL")</f>
        <v>PASS</v>
      </c>
    </row>
    <row r="8" spans="1:18" x14ac:dyDescent="0.5">
      <c r="A8" s="48">
        <v>2</v>
      </c>
      <c r="B8" s="49" t="s">
        <v>3208</v>
      </c>
      <c r="D8" s="53" t="s">
        <v>160</v>
      </c>
      <c r="F8" s="53">
        <v>2</v>
      </c>
      <c r="J8" s="54" t="s">
        <v>192</v>
      </c>
      <c r="L8" s="55" t="str" cm="1">
        <f t="array" ref="L8">rotate_arrow(D8,F8)</f>
        <v>→</v>
      </c>
      <c r="N8" s="56" t="str">
        <f>IF(L8=J8,"PASS","FAIL")</f>
        <v>PASS</v>
      </c>
    </row>
    <row r="10" spans="1:18" x14ac:dyDescent="0.5">
      <c r="A10" s="48">
        <v>3</v>
      </c>
      <c r="B10" s="49" t="s">
        <v>3209</v>
      </c>
      <c r="D10" s="53" t="s">
        <v>160</v>
      </c>
      <c r="F10" s="53">
        <v>1</v>
      </c>
      <c r="H10" s="53" t="s">
        <v>3210</v>
      </c>
      <c r="J10" s="54" t="s">
        <v>522</v>
      </c>
      <c r="L10" s="55" t="str" cm="1">
        <f t="array" ref="L10">rotate_arrow(D10,F10,H10)</f>
        <v>↖</v>
      </c>
      <c r="N10" s="56" t="str">
        <f>IF(L10=J10,"PASS","FAIL")</f>
        <v>PASS</v>
      </c>
    </row>
    <row r="12" spans="1:18" x14ac:dyDescent="0.5">
      <c r="A12" s="48">
        <v>4</v>
      </c>
      <c r="B12" s="49" t="s">
        <v>3211</v>
      </c>
      <c r="D12" s="53" t="s">
        <v>160</v>
      </c>
      <c r="F12" s="53">
        <v>4</v>
      </c>
      <c r="J12" s="54" t="s">
        <v>181</v>
      </c>
      <c r="L12" s="55" t="str" cm="1">
        <f t="array" ref="L12">rotate_arrow(D12,F12)</f>
        <v>↓</v>
      </c>
      <c r="N12" s="56" t="str">
        <f>IF(L12=J12,"PASS","FAIL")</f>
        <v>PASS</v>
      </c>
    </row>
    <row r="14" spans="1:18" x14ac:dyDescent="0.5">
      <c r="A14" s="48">
        <v>5</v>
      </c>
      <c r="B14" s="49" t="s">
        <v>3212</v>
      </c>
      <c r="D14" s="53" t="s">
        <v>192</v>
      </c>
      <c r="F14" s="53">
        <v>1</v>
      </c>
      <c r="H14" s="53" t="s">
        <v>3210</v>
      </c>
      <c r="J14" s="54" t="s">
        <v>254</v>
      </c>
      <c r="L14" s="55" t="str" cm="1">
        <f t="array" ref="L14">rotate_arrow(D14,F14,H14)</f>
        <v>↗</v>
      </c>
      <c r="N14" s="56" t="str">
        <f>IF(L14=J14,"PASS","FAIL")</f>
        <v>PASS</v>
      </c>
    </row>
    <row r="16" spans="1:18" x14ac:dyDescent="0.5">
      <c r="A16" s="48">
        <v>6</v>
      </c>
      <c r="B16" s="49" t="s">
        <v>3383</v>
      </c>
      <c r="D16" s="53" t="s">
        <v>2633</v>
      </c>
      <c r="F16" s="53">
        <v>1</v>
      </c>
      <c r="J16" s="54" t="str">
        <f>""</f>
        <v/>
      </c>
      <c r="L16" s="55" t="str" cm="1">
        <f t="array" ref="L16">rotate_arrow(D16,F16)</f>
        <v/>
      </c>
      <c r="N16" s="56" t="str">
        <f>IF(L16=J16,"PASS","FAIL")</f>
        <v>PASS</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7" t="s">
        <v>0</v>
      </c>
      <c r="B1" s="86" t="str" cm="1">
        <f t="array" aca="1" ref="B1" ca="1">_xlfn.LET(_xlpm.fn, CELL("filename",$A$1), _xlpm.nm, MID(_xlpm.fn, FIND("]", _xlpm.fn) + 1, 255), _xlfn.XLOOKUP(_xlpm.nm &amp; "(*", Lamb!$A$2:$A$1000, Lamb!$A$2:$A$1000, "", 2))</f>
        <v>route_cost(cost_map, start_ref, [diag_allowed])</v>
      </c>
      <c r="C1" s="82"/>
      <c r="D1" s="82"/>
      <c r="E1" s="82"/>
      <c r="F1" s="83"/>
      <c r="H1" s="47" t="s">
        <v>2</v>
      </c>
      <c r="I1" s="81"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5"/>
      <c r="D2" s="85"/>
      <c r="E2" s="85"/>
      <c r="F2" s="85"/>
      <c r="G2" s="85"/>
      <c r="H2" s="85"/>
      <c r="I2" s="85"/>
      <c r="J2" s="85"/>
      <c r="K2" s="85"/>
      <c r="L2" s="85"/>
      <c r="M2" s="85"/>
      <c r="N2" s="85"/>
      <c r="O2" s="85"/>
      <c r="P2" s="85"/>
      <c r="Q2" s="85"/>
      <c r="R2" s="85"/>
    </row>
    <row r="4" spans="1:18" x14ac:dyDescent="0.5">
      <c r="A4" s="47" t="s">
        <v>3213</v>
      </c>
      <c r="O4" s="47" t="str">
        <f>COUNTIF(O11:O30,"PASS")&amp;" / 5 PASS"</f>
        <v>5 / 5 PASS</v>
      </c>
    </row>
    <row r="5" spans="1:18" x14ac:dyDescent="0.5">
      <c r="B5" s="47" t="s">
        <v>8</v>
      </c>
      <c r="I5" s="50" t="s">
        <v>10</v>
      </c>
      <c r="L5" s="51" t="s">
        <v>11</v>
      </c>
      <c r="O5" s="52" t="s">
        <v>12</v>
      </c>
    </row>
    <row r="6" spans="1:18" x14ac:dyDescent="0.5">
      <c r="D6" s="47" t="s">
        <v>3214</v>
      </c>
    </row>
    <row r="7" spans="1:18" x14ac:dyDescent="0.5">
      <c r="D7" s="53">
        <v>1</v>
      </c>
      <c r="E7" s="53">
        <v>1</v>
      </c>
    </row>
    <row r="8" spans="1:18" x14ac:dyDescent="0.5">
      <c r="D8" s="53">
        <v>1</v>
      </c>
      <c r="E8" s="53">
        <v>1</v>
      </c>
    </row>
    <row r="11" spans="1:18" x14ac:dyDescent="0.5">
      <c r="B11" s="49" t="s">
        <v>3215</v>
      </c>
      <c r="I11" s="54">
        <v>0</v>
      </c>
      <c r="J11" s="54">
        <v>1</v>
      </c>
      <c r="L11" s="55" cm="1">
        <f t="array" ref="L11:M12">route_cost(D7:E8,{1,1},0)</f>
        <v>0</v>
      </c>
      <c r="M11" s="55">
        <v>1</v>
      </c>
      <c r="O11" s="56" t="str" cm="1">
        <f t="array" ref="O11">IF(AND(I11:J12=L11:M12),"PASS","FAIL")</f>
        <v>PASS</v>
      </c>
    </row>
    <row r="12" spans="1:18" x14ac:dyDescent="0.5">
      <c r="I12" s="54">
        <v>1</v>
      </c>
      <c r="J12" s="54">
        <v>2</v>
      </c>
      <c r="L12" s="55">
        <v>1</v>
      </c>
      <c r="M12" s="55">
        <v>2</v>
      </c>
    </row>
    <row r="14" spans="1:18" x14ac:dyDescent="0.5">
      <c r="B14" s="49" t="s">
        <v>3216</v>
      </c>
      <c r="I14" s="54">
        <v>0</v>
      </c>
      <c r="J14" s="54">
        <v>1</v>
      </c>
      <c r="L14" s="55" cm="1">
        <f t="array" ref="L14:M15">route_cost(D7:E8,"D7",0)</f>
        <v>0</v>
      </c>
      <c r="M14" s="55">
        <v>1</v>
      </c>
      <c r="O14" s="56" t="str" cm="1">
        <f t="array" ref="O14">IF(AND(I14:J15=L14:M15),"PASS","FAIL")</f>
        <v>PASS</v>
      </c>
    </row>
    <row r="15" spans="1:18" x14ac:dyDescent="0.5">
      <c r="I15" s="54">
        <v>1</v>
      </c>
      <c r="J15" s="54">
        <v>2</v>
      </c>
      <c r="L15" s="55">
        <v>1</v>
      </c>
      <c r="M15" s="55">
        <v>2</v>
      </c>
    </row>
    <row r="17" spans="2:15" x14ac:dyDescent="0.5">
      <c r="B17" s="49" t="s">
        <v>3217</v>
      </c>
      <c r="I17" s="54">
        <v>0</v>
      </c>
      <c r="J17" s="54">
        <v>1</v>
      </c>
      <c r="L17" s="55" cm="1">
        <f t="array" ref="L17:M18">route_cost(D7:E8,7000004,0)</f>
        <v>0</v>
      </c>
      <c r="M17" s="55">
        <v>1</v>
      </c>
      <c r="O17" s="56" t="str" cm="1">
        <f t="array" ref="O17">IF(AND(I17:J18=L17:M18),"PASS","FAIL")</f>
        <v>PASS</v>
      </c>
    </row>
    <row r="18" spans="2:15" x14ac:dyDescent="0.5">
      <c r="I18" s="54">
        <v>1</v>
      </c>
      <c r="J18" s="54">
        <v>2</v>
      </c>
      <c r="L18" s="55">
        <v>1</v>
      </c>
      <c r="M18" s="55">
        <v>2</v>
      </c>
    </row>
    <row r="20" spans="2:15" x14ac:dyDescent="0.5">
      <c r="B20" s="49" t="s">
        <v>3218</v>
      </c>
      <c r="I20" s="54">
        <v>0</v>
      </c>
      <c r="J20" s="54">
        <v>1</v>
      </c>
      <c r="L20" s="55" cm="1">
        <f t="array" ref="L20:M21">route_cost(D7:E8,{1,1},1)</f>
        <v>0</v>
      </c>
      <c r="M20" s="55">
        <v>1</v>
      </c>
      <c r="O20" s="56" t="str" cm="1">
        <f t="array" ref="O20">IF(AND(I20:J21=L20:M21),"PASS","FAIL")</f>
        <v>PASS</v>
      </c>
    </row>
    <row r="21" spans="2:15" x14ac:dyDescent="0.5">
      <c r="I21" s="54">
        <v>1</v>
      </c>
      <c r="J21" s="54">
        <v>1</v>
      </c>
      <c r="L21" s="55">
        <v>1</v>
      </c>
      <c r="M21" s="55">
        <v>1</v>
      </c>
    </row>
    <row r="23" spans="2:15" x14ac:dyDescent="0.5">
      <c r="B23" s="49" t="s">
        <v>3384</v>
      </c>
      <c r="I23" s="54" t="s">
        <v>2631</v>
      </c>
      <c r="L23" s="55" t="str" cm="1">
        <f t="array" ref="L23">route_cost(D7:E8,{9,9})</f>
        <v>X</v>
      </c>
      <c r="O23" s="56" t="str">
        <f>IF(L23=I23,"PASS","FAIL")</f>
        <v>PASS</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7" t="s">
        <v>0</v>
      </c>
      <c r="B1" s="86" t="str" cm="1">
        <f t="array" aca="1" ref="B1" ca="1">_xlfn.LET(_xlpm.fn, CELL("filename",$A$1), _xlpm.nm, MID(_xlpm.fn, FIND("]", _xlpm.fn) + 1, 255), _xlfn.XLOOKUP(_xlpm.nm &amp; "(*", Lamb!$A$2:$A$1000, Lamb!$A$2:$A$1000, "", 2))</f>
        <v>save_array(input_array,[col_delimiter],[row_delimiter])</v>
      </c>
      <c r="C1" s="82"/>
      <c r="D1" s="82"/>
      <c r="E1" s="82"/>
      <c r="F1" s="83"/>
      <c r="H1" s="47" t="s">
        <v>2</v>
      </c>
      <c r="I1" s="81"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5"/>
      <c r="D2" s="85"/>
      <c r="E2" s="85"/>
      <c r="F2" s="85"/>
      <c r="G2" s="85"/>
      <c r="H2" s="85"/>
      <c r="I2" s="85"/>
      <c r="J2" s="85"/>
      <c r="K2" s="85"/>
      <c r="L2" s="85"/>
      <c r="M2" s="85"/>
      <c r="N2" s="85"/>
      <c r="O2" s="85"/>
      <c r="P2" s="85"/>
      <c r="Q2" s="85"/>
      <c r="R2" s="85"/>
    </row>
    <row r="4" spans="1:18" x14ac:dyDescent="0.5">
      <c r="A4" s="47" t="s">
        <v>3219</v>
      </c>
      <c r="O4" s="47" t="str">
        <f>COUNTIF(O6:O14,"PASS")&amp;" / 3 PASS"</f>
        <v>3 / 3 PASS</v>
      </c>
    </row>
    <row r="5" spans="1:18" x14ac:dyDescent="0.5">
      <c r="A5" s="47" t="s">
        <v>7</v>
      </c>
      <c r="B5" s="47" t="s">
        <v>8</v>
      </c>
      <c r="D5" s="47" t="s">
        <v>9</v>
      </c>
      <c r="K5" s="50" t="s">
        <v>10</v>
      </c>
      <c r="M5" s="51" t="s">
        <v>11</v>
      </c>
      <c r="O5" s="52" t="s">
        <v>12</v>
      </c>
    </row>
    <row r="6" spans="1:18" x14ac:dyDescent="0.5">
      <c r="A6" s="48">
        <v>1</v>
      </c>
      <c r="B6" s="49" t="s">
        <v>3220</v>
      </c>
      <c r="D6" s="53">
        <v>1</v>
      </c>
      <c r="E6" s="53">
        <v>2</v>
      </c>
      <c r="K6" s="54" t="s">
        <v>3119</v>
      </c>
      <c r="M6" s="55" t="str" cm="1">
        <f t="array" ref="M6">save_array(D6:E7)</f>
        <v>1|2;3|4</v>
      </c>
      <c r="O6" s="56" t="str">
        <f>IF(M6=K6,"PASS","FAIL")</f>
        <v>PASS</v>
      </c>
    </row>
    <row r="7" spans="1:18" x14ac:dyDescent="0.5">
      <c r="A7" s="57"/>
      <c r="B7" s="57"/>
      <c r="D7" s="53">
        <v>3</v>
      </c>
      <c r="E7" s="53">
        <v>4</v>
      </c>
    </row>
    <row r="9" spans="1:18" x14ac:dyDescent="0.5">
      <c r="A9" s="48">
        <v>2</v>
      </c>
      <c r="B9" s="49" t="s">
        <v>3221</v>
      </c>
      <c r="D9" s="53" t="s">
        <v>3021</v>
      </c>
      <c r="E9" s="53" t="s">
        <v>3022</v>
      </c>
      <c r="K9" s="54" t="s">
        <v>3222</v>
      </c>
      <c r="M9" s="55" t="str" cm="1">
        <f t="array" ref="M9">save_array(D9:E9)</f>
        <v>a|b</v>
      </c>
      <c r="O9" s="56" t="str">
        <f>IF(M9=K9,"PASS","FAIL")</f>
        <v>PASS</v>
      </c>
    </row>
    <row r="11" spans="1:18" x14ac:dyDescent="0.5">
      <c r="A11" s="48">
        <v>3</v>
      </c>
      <c r="B11" s="49" t="s">
        <v>3121</v>
      </c>
      <c r="D11" s="53">
        <v>1</v>
      </c>
      <c r="E11" s="53">
        <v>2</v>
      </c>
      <c r="G11" s="53" t="s">
        <v>3123</v>
      </c>
      <c r="I11" s="53" t="s">
        <v>3124</v>
      </c>
      <c r="K11" s="54" t="s">
        <v>3122</v>
      </c>
      <c r="M11" s="55" t="str" cm="1">
        <f t="array" ref="M11">save_array(D11:E12,G11,I11)</f>
        <v>1,2/3,4</v>
      </c>
      <c r="O11" s="56" t="str">
        <f>IF(M11=K11,"PASS","FAIL")</f>
        <v>PASS</v>
      </c>
    </row>
    <row r="12" spans="1:18" x14ac:dyDescent="0.5">
      <c r="A12" s="57"/>
      <c r="B12" s="57"/>
      <c r="D12" s="53">
        <v>3</v>
      </c>
      <c r="E12" s="53">
        <v>4</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7" t="s">
        <v>0</v>
      </c>
      <c r="B1" s="86" t="str" cm="1">
        <f t="array" aca="1" ref="B1" ca="1">_xlfn.LET(_xlpm.fn, CELL("filename",$A$1), _xlpm.nm, MID(_xlpm.fn, FIND("]", _xlpm.fn) + 1, 255), _xlfn.XLOOKUP(_xlpm.nm &amp; "(*", Lamb!$A$2:$A$1000, Lamb!$A$2:$A$1000, "", 2))</f>
        <v>selections(arr, n, [order_matters], [repeats_allowed], [countdown_mode], [clean_inputs])</v>
      </c>
      <c r="C1" s="82"/>
      <c r="D1" s="82"/>
      <c r="E1" s="82"/>
      <c r="F1" s="83"/>
      <c r="H1" s="47" t="s">
        <v>2</v>
      </c>
      <c r="I1" s="81"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5"/>
      <c r="D2" s="85"/>
      <c r="E2" s="85"/>
      <c r="F2" s="85"/>
      <c r="G2" s="85"/>
      <c r="H2" s="85"/>
      <c r="I2" s="85"/>
      <c r="J2" s="85"/>
      <c r="K2" s="85"/>
      <c r="L2" s="85"/>
      <c r="M2" s="85"/>
      <c r="N2" s="85"/>
      <c r="O2" s="85"/>
      <c r="P2" s="85"/>
      <c r="Q2" s="85"/>
      <c r="R2" s="85"/>
    </row>
    <row r="4" spans="1:18" x14ac:dyDescent="0.5">
      <c r="A4" s="47" t="s">
        <v>3223</v>
      </c>
      <c r="R4" s="47" t="str">
        <f>COUNTIF(R6:R28,"PASS")&amp;" / 4 PASS"</f>
        <v>4 / 4 PASS</v>
      </c>
    </row>
    <row r="5" spans="1:18" x14ac:dyDescent="0.5">
      <c r="A5" s="47" t="s">
        <v>7</v>
      </c>
      <c r="B5" s="47" t="s">
        <v>8</v>
      </c>
      <c r="D5" s="47" t="s">
        <v>9</v>
      </c>
      <c r="L5" s="50" t="s">
        <v>10</v>
      </c>
      <c r="O5" s="51" t="s">
        <v>11</v>
      </c>
      <c r="R5" s="52" t="s">
        <v>12</v>
      </c>
    </row>
    <row r="6" spans="1:18" x14ac:dyDescent="0.5">
      <c r="A6" s="48">
        <v>1</v>
      </c>
      <c r="B6" s="49" t="s">
        <v>3224</v>
      </c>
      <c r="D6" s="53" t="s">
        <v>3021</v>
      </c>
      <c r="F6" s="53">
        <v>2</v>
      </c>
      <c r="L6" s="54" t="s">
        <v>3021</v>
      </c>
      <c r="M6" s="54" t="s">
        <v>3022</v>
      </c>
      <c r="O6" s="55" t="str" cm="1">
        <f t="array" ref="O6:P8">selections(D6:D8,F6)</f>
        <v>a</v>
      </c>
      <c r="P6" s="55" t="str">
        <v>b</v>
      </c>
      <c r="R6" s="56" t="str" cm="1">
        <f t="array" ref="R6">IF(AND(L6:M8=O6:P8),"PASS","FAIL")</f>
        <v>PASS</v>
      </c>
    </row>
    <row r="7" spans="1:18" x14ac:dyDescent="0.5">
      <c r="A7" s="57"/>
      <c r="B7" s="57"/>
      <c r="D7" s="53" t="s">
        <v>3022</v>
      </c>
      <c r="L7" s="54" t="s">
        <v>3021</v>
      </c>
      <c r="M7" s="54" t="s">
        <v>3030</v>
      </c>
      <c r="O7" s="55" t="str">
        <v>a</v>
      </c>
      <c r="P7" s="55" t="str">
        <v>c</v>
      </c>
    </row>
    <row r="8" spans="1:18" x14ac:dyDescent="0.5">
      <c r="A8" s="57"/>
      <c r="B8" s="57"/>
      <c r="D8" s="53" t="s">
        <v>3030</v>
      </c>
      <c r="L8" s="54" t="s">
        <v>3022</v>
      </c>
      <c r="M8" s="54" t="s">
        <v>3030</v>
      </c>
      <c r="O8" s="55" t="str">
        <v>b</v>
      </c>
      <c r="P8" s="55" t="str">
        <v>c</v>
      </c>
    </row>
    <row r="10" spans="1:18" x14ac:dyDescent="0.5">
      <c r="A10" s="48">
        <v>2</v>
      </c>
      <c r="B10" s="49" t="s">
        <v>3225</v>
      </c>
      <c r="D10" s="53">
        <v>1</v>
      </c>
      <c r="F10" s="53">
        <v>2</v>
      </c>
      <c r="L10" s="54">
        <v>1</v>
      </c>
      <c r="M10" s="54">
        <v>2</v>
      </c>
      <c r="O10" s="55" cm="1">
        <f t="array" ref="O10:P15">selections(D10:D13,F10)</f>
        <v>1</v>
      </c>
      <c r="P10" s="55">
        <v>2</v>
      </c>
      <c r="R10" s="56" t="str" cm="1">
        <f t="array" ref="R10">IF(AND(L10:M15=O10:P15),"PASS","FAIL")</f>
        <v>PASS</v>
      </c>
    </row>
    <row r="11" spans="1:18" x14ac:dyDescent="0.5">
      <c r="A11" s="57"/>
      <c r="B11" s="57"/>
      <c r="D11" s="53">
        <v>2</v>
      </c>
      <c r="L11" s="54">
        <v>1</v>
      </c>
      <c r="M11" s="54">
        <v>3</v>
      </c>
      <c r="O11" s="55">
        <v>1</v>
      </c>
      <c r="P11" s="55">
        <v>3</v>
      </c>
    </row>
    <row r="12" spans="1:18" x14ac:dyDescent="0.5">
      <c r="A12" s="57"/>
      <c r="B12" s="57"/>
      <c r="D12" s="53">
        <v>3</v>
      </c>
      <c r="L12" s="54">
        <v>1</v>
      </c>
      <c r="M12" s="54">
        <v>4</v>
      </c>
      <c r="O12" s="55">
        <v>1</v>
      </c>
      <c r="P12" s="55">
        <v>4</v>
      </c>
    </row>
    <row r="13" spans="1:18" x14ac:dyDescent="0.5">
      <c r="A13" s="57"/>
      <c r="B13" s="57"/>
      <c r="D13" s="53">
        <v>4</v>
      </c>
      <c r="L13" s="54">
        <v>2</v>
      </c>
      <c r="M13" s="54">
        <v>3</v>
      </c>
      <c r="O13" s="55">
        <v>2</v>
      </c>
      <c r="P13" s="55">
        <v>3</v>
      </c>
    </row>
    <row r="14" spans="1:18" x14ac:dyDescent="0.5">
      <c r="A14" s="57"/>
      <c r="B14" s="57"/>
      <c r="L14" s="54">
        <v>2</v>
      </c>
      <c r="M14" s="54">
        <v>4</v>
      </c>
      <c r="O14" s="55">
        <v>2</v>
      </c>
      <c r="P14" s="55">
        <v>4</v>
      </c>
    </row>
    <row r="15" spans="1:18" x14ac:dyDescent="0.5">
      <c r="A15" s="57"/>
      <c r="B15" s="57"/>
      <c r="L15" s="54">
        <v>3</v>
      </c>
      <c r="M15" s="54">
        <v>4</v>
      </c>
      <c r="O15" s="55">
        <v>3</v>
      </c>
      <c r="P15" s="55">
        <v>4</v>
      </c>
    </row>
    <row r="17" spans="1:18" x14ac:dyDescent="0.5">
      <c r="A17" s="48">
        <v>3</v>
      </c>
      <c r="B17" s="49" t="s">
        <v>3226</v>
      </c>
      <c r="D17" s="53" t="s">
        <v>3021</v>
      </c>
      <c r="F17" s="53">
        <v>2</v>
      </c>
      <c r="H17" s="53">
        <v>1</v>
      </c>
      <c r="L17" s="54" t="s">
        <v>3021</v>
      </c>
      <c r="M17" s="54" t="s">
        <v>3022</v>
      </c>
      <c r="O17" s="55" t="str" cm="1">
        <f t="array" ref="O17:P22">selections(D17:D19,F17,H17)</f>
        <v>a</v>
      </c>
      <c r="P17" s="55" t="str">
        <v>b</v>
      </c>
      <c r="R17" s="56" t="str" cm="1">
        <f t="array" ref="R17">IF(AND(L17:M22=O17:P22),"PASS","FAIL")</f>
        <v>PASS</v>
      </c>
    </row>
    <row r="18" spans="1:18" x14ac:dyDescent="0.5">
      <c r="A18" s="57"/>
      <c r="B18" s="57"/>
      <c r="D18" s="53" t="s">
        <v>3022</v>
      </c>
      <c r="L18" s="54" t="s">
        <v>3021</v>
      </c>
      <c r="M18" s="54" t="s">
        <v>3030</v>
      </c>
      <c r="O18" s="55" t="str">
        <v>a</v>
      </c>
      <c r="P18" s="55" t="str">
        <v>c</v>
      </c>
    </row>
    <row r="19" spans="1:18" x14ac:dyDescent="0.5">
      <c r="A19" s="57"/>
      <c r="B19" s="57"/>
      <c r="D19" s="53" t="s">
        <v>3030</v>
      </c>
      <c r="L19" s="54" t="s">
        <v>3022</v>
      </c>
      <c r="M19" s="54" t="s">
        <v>3021</v>
      </c>
      <c r="O19" s="55" t="str">
        <v>b</v>
      </c>
      <c r="P19" s="55" t="str">
        <v>a</v>
      </c>
    </row>
    <row r="20" spans="1:18" x14ac:dyDescent="0.5">
      <c r="A20" s="57"/>
      <c r="B20" s="57"/>
      <c r="L20" s="54" t="s">
        <v>3022</v>
      </c>
      <c r="M20" s="54" t="s">
        <v>3030</v>
      </c>
      <c r="O20" s="55" t="str">
        <v>b</v>
      </c>
      <c r="P20" s="55" t="str">
        <v>c</v>
      </c>
    </row>
    <row r="21" spans="1:18" x14ac:dyDescent="0.5">
      <c r="A21" s="57"/>
      <c r="B21" s="57"/>
      <c r="L21" s="54" t="s">
        <v>3030</v>
      </c>
      <c r="M21" s="54" t="s">
        <v>3021</v>
      </c>
      <c r="O21" s="55" t="str">
        <v>c</v>
      </c>
      <c r="P21" s="55" t="str">
        <v>a</v>
      </c>
    </row>
    <row r="22" spans="1:18" x14ac:dyDescent="0.5">
      <c r="A22" s="57"/>
      <c r="B22" s="57"/>
      <c r="L22" s="54" t="s">
        <v>3030</v>
      </c>
      <c r="M22" s="54" t="s">
        <v>3022</v>
      </c>
      <c r="O22" s="55" t="str">
        <v>c</v>
      </c>
      <c r="P22" s="55" t="str">
        <v>b</v>
      </c>
    </row>
    <row r="24" spans="1:18" x14ac:dyDescent="0.5">
      <c r="A24" s="48">
        <v>4</v>
      </c>
      <c r="B24" s="49" t="s">
        <v>3227</v>
      </c>
      <c r="D24" s="53" t="s">
        <v>3021</v>
      </c>
      <c r="F24" s="53">
        <v>2</v>
      </c>
      <c r="H24" s="53">
        <v>0</v>
      </c>
      <c r="J24" s="53">
        <v>1</v>
      </c>
      <c r="L24" s="54" t="s">
        <v>3021</v>
      </c>
      <c r="M24" s="54" t="s">
        <v>3021</v>
      </c>
      <c r="O24" s="55" t="str" cm="1">
        <f t="array" ref="O24:P26">selections(D24:D25,F24,H24,J24)</f>
        <v>a</v>
      </c>
      <c r="P24" s="55" t="str">
        <v>a</v>
      </c>
      <c r="R24" s="56" t="str" cm="1">
        <f t="array" ref="R24">IF(AND(L24:M26=O24:P26),"PASS","FAIL")</f>
        <v>PASS</v>
      </c>
    </row>
    <row r="25" spans="1:18" x14ac:dyDescent="0.5">
      <c r="A25" s="57"/>
      <c r="B25" s="57"/>
      <c r="D25" s="53" t="s">
        <v>3022</v>
      </c>
      <c r="L25" s="54" t="s">
        <v>3021</v>
      </c>
      <c r="M25" s="54" t="s">
        <v>3022</v>
      </c>
      <c r="O25" s="55" t="str">
        <v>a</v>
      </c>
      <c r="P25" s="55" t="str">
        <v>b</v>
      </c>
    </row>
    <row r="26" spans="1:18" x14ac:dyDescent="0.5">
      <c r="A26" s="57"/>
      <c r="B26" s="57"/>
      <c r="L26" s="54" t="s">
        <v>3022</v>
      </c>
      <c r="M26" s="54" t="s">
        <v>3022</v>
      </c>
      <c r="O26" s="55" t="str">
        <v>b</v>
      </c>
      <c r="P26" s="55" t="str">
        <v>b</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set(rng, [as_row])</v>
      </c>
      <c r="C1" s="82"/>
      <c r="D1" s="82"/>
      <c r="E1" s="82"/>
      <c r="F1" s="83"/>
      <c r="H1" s="47" t="s">
        <v>2</v>
      </c>
      <c r="I1" s="81"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5"/>
      <c r="D2" s="85"/>
      <c r="E2" s="85"/>
      <c r="F2" s="85"/>
      <c r="G2" s="85"/>
      <c r="H2" s="85"/>
      <c r="I2" s="85"/>
      <c r="J2" s="85"/>
      <c r="K2" s="85"/>
      <c r="L2" s="85"/>
      <c r="M2" s="85"/>
      <c r="N2" s="85"/>
      <c r="O2" s="85"/>
      <c r="P2" s="85"/>
      <c r="Q2" s="85"/>
      <c r="R2" s="85"/>
    </row>
    <row r="4" spans="1:18" x14ac:dyDescent="0.5">
      <c r="A4" s="47" t="s">
        <v>3228</v>
      </c>
      <c r="P4" s="47" t="str">
        <f>COUNTIF(P6:P25,"PASS")&amp;" / 4 PASS"</f>
        <v>4 / 4 PASS</v>
      </c>
    </row>
    <row r="5" spans="1:18" x14ac:dyDescent="0.5">
      <c r="A5" s="47" t="s">
        <v>7</v>
      </c>
      <c r="B5" s="47" t="s">
        <v>8</v>
      </c>
      <c r="D5" s="47" t="s">
        <v>9</v>
      </c>
      <c r="H5" s="50" t="s">
        <v>10</v>
      </c>
      <c r="L5" s="51" t="s">
        <v>11</v>
      </c>
      <c r="P5" s="52" t="s">
        <v>12</v>
      </c>
    </row>
    <row r="6" spans="1:18" x14ac:dyDescent="0.5">
      <c r="A6" s="48">
        <v>1</v>
      </c>
      <c r="B6" s="49" t="s">
        <v>3229</v>
      </c>
      <c r="D6" s="53">
        <v>3</v>
      </c>
      <c r="H6" s="54">
        <v>1</v>
      </c>
      <c r="L6" s="55" cm="1">
        <f t="array" ref="L6:L8">set(D6:D9)</f>
        <v>1</v>
      </c>
      <c r="P6" s="56" t="str" cm="1">
        <f t="array" ref="P6">IF(AND(H6:H8=L6:L8),"PASS","FAIL")</f>
        <v>PASS</v>
      </c>
    </row>
    <row r="7" spans="1:18" x14ac:dyDescent="0.5">
      <c r="A7" s="57"/>
      <c r="B7" s="57"/>
      <c r="D7" s="53">
        <v>1</v>
      </c>
      <c r="H7" s="54">
        <v>2</v>
      </c>
      <c r="L7" s="55">
        <v>2</v>
      </c>
    </row>
    <row r="8" spans="1:18" x14ac:dyDescent="0.5">
      <c r="A8" s="57"/>
      <c r="B8" s="57"/>
      <c r="D8" s="53">
        <v>2</v>
      </c>
      <c r="H8" s="54">
        <v>3</v>
      </c>
      <c r="L8" s="55">
        <v>3</v>
      </c>
    </row>
    <row r="9" spans="1:18" x14ac:dyDescent="0.5">
      <c r="A9" s="57"/>
      <c r="B9" s="57"/>
      <c r="D9" s="53">
        <v>1</v>
      </c>
    </row>
    <row r="11" spans="1:18" x14ac:dyDescent="0.5">
      <c r="A11" s="48">
        <v>2</v>
      </c>
      <c r="B11" s="49" t="s">
        <v>3230</v>
      </c>
      <c r="D11" s="53" t="s">
        <v>3030</v>
      </c>
      <c r="H11" s="54" t="s">
        <v>3021</v>
      </c>
      <c r="L11" s="55" t="str" cm="1">
        <f t="array" ref="L11:L13">set(D11:D14)</f>
        <v>a</v>
      </c>
      <c r="P11" s="56" t="str" cm="1">
        <f t="array" ref="P11">IF(AND(H11:H13=L11:L13),"PASS","FAIL")</f>
        <v>PASS</v>
      </c>
    </row>
    <row r="12" spans="1:18" x14ac:dyDescent="0.5">
      <c r="A12" s="57"/>
      <c r="B12" s="57"/>
      <c r="D12" s="53" t="s">
        <v>3021</v>
      </c>
      <c r="H12" s="54" t="s">
        <v>3022</v>
      </c>
      <c r="L12" s="55" t="str">
        <v>b</v>
      </c>
    </row>
    <row r="13" spans="1:18" x14ac:dyDescent="0.5">
      <c r="A13" s="57"/>
      <c r="B13" s="57"/>
      <c r="D13" s="53" t="s">
        <v>3022</v>
      </c>
      <c r="H13" s="54" t="s">
        <v>3030</v>
      </c>
      <c r="L13" s="55" t="str">
        <v>c</v>
      </c>
    </row>
    <row r="14" spans="1:18" x14ac:dyDescent="0.5">
      <c r="A14" s="57"/>
      <c r="B14" s="57"/>
      <c r="D14" s="53" t="s">
        <v>3021</v>
      </c>
    </row>
    <row r="16" spans="1:18" x14ac:dyDescent="0.5">
      <c r="A16" s="48">
        <v>3</v>
      </c>
      <c r="B16" s="49" t="s">
        <v>3231</v>
      </c>
      <c r="D16" s="53">
        <v>3</v>
      </c>
      <c r="H16" s="54">
        <v>1</v>
      </c>
      <c r="L16" s="55" cm="1">
        <f t="array" ref="L16:L18">set(D16:D19)</f>
        <v>1</v>
      </c>
      <c r="P16" s="56" t="str" cm="1">
        <f t="array" ref="P16">IF(AND(H16:H18=L16:L18),"PASS","FAIL")</f>
        <v>PASS</v>
      </c>
    </row>
    <row r="17" spans="1:16" x14ac:dyDescent="0.5">
      <c r="A17" s="57"/>
      <c r="B17" s="57"/>
      <c r="D17" s="53"/>
      <c r="H17" s="54">
        <v>2</v>
      </c>
      <c r="L17" s="55">
        <v>2</v>
      </c>
    </row>
    <row r="18" spans="1:16" x14ac:dyDescent="0.5">
      <c r="A18" s="57"/>
      <c r="B18" s="57"/>
      <c r="D18" s="53">
        <v>1</v>
      </c>
      <c r="H18" s="54">
        <v>3</v>
      </c>
      <c r="L18" s="55">
        <v>3</v>
      </c>
    </row>
    <row r="19" spans="1:16" x14ac:dyDescent="0.5">
      <c r="A19" s="57"/>
      <c r="B19" s="57"/>
      <c r="D19" s="53">
        <v>2</v>
      </c>
    </row>
    <row r="21" spans="1:16" x14ac:dyDescent="0.5">
      <c r="A21" s="48">
        <v>4</v>
      </c>
      <c r="B21" s="49" t="s">
        <v>3232</v>
      </c>
      <c r="D21" s="53">
        <v>3</v>
      </c>
      <c r="F21" s="53">
        <v>1</v>
      </c>
      <c r="H21" s="54">
        <v>1</v>
      </c>
      <c r="I21" s="54">
        <v>2</v>
      </c>
      <c r="J21" s="54">
        <v>3</v>
      </c>
      <c r="L21" s="55" cm="1">
        <f t="array" ref="L21:N21">set(D21:D23,F21)</f>
        <v>1</v>
      </c>
      <c r="M21" s="55">
        <v>2</v>
      </c>
      <c r="N21" s="55">
        <v>3</v>
      </c>
      <c r="P21" s="56" t="str" cm="1">
        <f t="array" ref="P21">IF(AND(H21:J21=L21:N21),"PASS","FAIL")</f>
        <v>PASS</v>
      </c>
    </row>
    <row r="22" spans="1:16" x14ac:dyDescent="0.5">
      <c r="A22" s="57"/>
      <c r="B22" s="57"/>
      <c r="D22" s="53">
        <v>1</v>
      </c>
    </row>
    <row r="23" spans="1:16" x14ac:dyDescent="0.5">
      <c r="A23" s="57"/>
      <c r="B23" s="57"/>
      <c r="D23" s="53">
        <v>2</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set_d(a, b, [as_row])</v>
      </c>
      <c r="C1" s="82"/>
      <c r="D1" s="82"/>
      <c r="E1" s="82"/>
      <c r="F1" s="83"/>
      <c r="H1" s="47" t="s">
        <v>2</v>
      </c>
      <c r="I1" s="81"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5"/>
      <c r="D2" s="85"/>
      <c r="E2" s="85"/>
      <c r="F2" s="85"/>
      <c r="G2" s="85"/>
      <c r="H2" s="85"/>
      <c r="I2" s="85"/>
      <c r="J2" s="85"/>
      <c r="K2" s="85"/>
      <c r="L2" s="85"/>
      <c r="M2" s="85"/>
      <c r="N2" s="85"/>
      <c r="O2" s="85"/>
      <c r="P2" s="85"/>
      <c r="Q2" s="85"/>
      <c r="R2" s="85"/>
    </row>
    <row r="4" spans="1:18" x14ac:dyDescent="0.5">
      <c r="A4" s="47" t="s">
        <v>3233</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3234</v>
      </c>
      <c r="D6" s="53">
        <v>1</v>
      </c>
      <c r="F6" s="53">
        <v>2</v>
      </c>
      <c r="H6" s="54">
        <v>1</v>
      </c>
      <c r="J6" s="55" cm="1">
        <f t="array" ref="J6:J7">set_d(D6:D8,F6)</f>
        <v>1</v>
      </c>
      <c r="L6" s="56" t="str" cm="1">
        <f t="array" ref="L6">IF(AND(H6:H7=J6:J7),"PASS","FAIL")</f>
        <v>PASS</v>
      </c>
    </row>
    <row r="7" spans="1:18" x14ac:dyDescent="0.5">
      <c r="A7" s="57"/>
      <c r="B7" s="57"/>
      <c r="D7" s="53">
        <v>2</v>
      </c>
      <c r="H7" s="54">
        <v>3</v>
      </c>
      <c r="J7" s="55">
        <v>3</v>
      </c>
    </row>
    <row r="8" spans="1:18" x14ac:dyDescent="0.5">
      <c r="A8" s="57"/>
      <c r="B8" s="57"/>
      <c r="D8" s="53">
        <v>3</v>
      </c>
    </row>
    <row r="10" spans="1:18" x14ac:dyDescent="0.5">
      <c r="A10" s="48">
        <v>2</v>
      </c>
      <c r="B10" s="49" t="s">
        <v>3235</v>
      </c>
      <c r="D10" s="53" t="s">
        <v>3021</v>
      </c>
      <c r="F10" s="53" t="s">
        <v>3022</v>
      </c>
      <c r="H10" s="54" t="s">
        <v>3021</v>
      </c>
      <c r="J10" s="55" t="str" cm="1">
        <f t="array" ref="J10:J11">set_d(D10:D13,F10:F11)</f>
        <v>a</v>
      </c>
      <c r="L10" s="56" t="str" cm="1">
        <f t="array" ref="L10">IF(AND(H10:H11=J10:J11),"PASS","FAIL")</f>
        <v>PASS</v>
      </c>
    </row>
    <row r="11" spans="1:18" x14ac:dyDescent="0.5">
      <c r="A11" s="57"/>
      <c r="B11" s="57"/>
      <c r="D11" s="53" t="s">
        <v>3022</v>
      </c>
      <c r="F11" s="53" t="s">
        <v>3023</v>
      </c>
      <c r="H11" s="54" t="s">
        <v>3030</v>
      </c>
      <c r="J11" s="55" t="str">
        <v>c</v>
      </c>
    </row>
    <row r="12" spans="1:18" x14ac:dyDescent="0.5">
      <c r="A12" s="57"/>
      <c r="B12" s="57"/>
      <c r="D12" s="53" t="s">
        <v>3030</v>
      </c>
    </row>
    <row r="13" spans="1:18" x14ac:dyDescent="0.5">
      <c r="A13" s="57"/>
      <c r="B13" s="57"/>
      <c r="D13" s="53" t="s">
        <v>3023</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86" t="str" cm="1">
        <f t="array" aca="1" ref="B1" ca="1">_xlfn.LET(_xlpm.fn, CELL("filename",$A$1), _xlpm.nm, MID(_xlpm.fn, FIND("]", _xlpm.fn) + 1, 255), _xlfn.XLOOKUP(_xlpm.nm &amp; "(*", Lamb!$A$2:$A$1000, Lamb!$A$2:$A$1000, "", 2))</f>
        <v>set_i(a, b, [as_row])</v>
      </c>
      <c r="C1" s="82"/>
      <c r="D1" s="82"/>
      <c r="E1" s="82"/>
      <c r="F1" s="83"/>
      <c r="H1" s="47" t="s">
        <v>2</v>
      </c>
      <c r="I1" s="81"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82"/>
      <c r="K1" s="82"/>
      <c r="L1" s="82"/>
      <c r="M1" s="82"/>
      <c r="N1" s="82"/>
      <c r="O1" s="82"/>
      <c r="P1" s="82"/>
      <c r="Q1" s="82"/>
      <c r="R1" s="83"/>
    </row>
    <row r="2" spans="1:18" ht="231" customHeight="1" x14ac:dyDescent="0.5">
      <c r="A2" s="47" t="s">
        <v>4</v>
      </c>
      <c r="B2" s="84"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5"/>
      <c r="D2" s="85"/>
      <c r="E2" s="85"/>
      <c r="F2" s="85"/>
      <c r="G2" s="85"/>
      <c r="H2" s="85"/>
      <c r="I2" s="85"/>
      <c r="J2" s="85"/>
      <c r="K2" s="85"/>
      <c r="L2" s="85"/>
      <c r="M2" s="85"/>
      <c r="N2" s="85"/>
      <c r="O2" s="85"/>
      <c r="P2" s="85"/>
      <c r="Q2" s="85"/>
      <c r="R2" s="85"/>
    </row>
    <row r="4" spans="1:18" x14ac:dyDescent="0.5">
      <c r="A4" s="47" t="s">
        <v>3236</v>
      </c>
      <c r="L4" s="47" t="str">
        <f>COUNTIF(L6:L17,"PASS")&amp;" / 3 PASS"</f>
        <v>3 / 3 PASS</v>
      </c>
    </row>
    <row r="5" spans="1:18" x14ac:dyDescent="0.5">
      <c r="A5" s="47" t="s">
        <v>7</v>
      </c>
      <c r="B5" s="47" t="s">
        <v>8</v>
      </c>
      <c r="D5" s="47" t="s">
        <v>9</v>
      </c>
      <c r="H5" s="50" t="s">
        <v>10</v>
      </c>
      <c r="J5" s="51" t="s">
        <v>11</v>
      </c>
      <c r="L5" s="52" t="s">
        <v>12</v>
      </c>
    </row>
    <row r="6" spans="1:18" x14ac:dyDescent="0.5">
      <c r="A6" s="48">
        <v>1</v>
      </c>
      <c r="B6" s="49" t="s">
        <v>3237</v>
      </c>
      <c r="D6" s="53">
        <v>1</v>
      </c>
      <c r="F6" s="53">
        <v>2</v>
      </c>
      <c r="H6" s="54">
        <v>2</v>
      </c>
      <c r="J6" s="55" cm="1">
        <f t="array" ref="J6:J7">set_i(D6:D8,F6:F8)</f>
        <v>2</v>
      </c>
      <c r="L6" s="56" t="str" cm="1">
        <f t="array" ref="L6">IF(AND(H6:H7=J6:J7),"PASS","FAIL")</f>
        <v>PASS</v>
      </c>
    </row>
    <row r="7" spans="1:18" x14ac:dyDescent="0.5">
      <c r="A7" s="57"/>
      <c r="B7" s="57"/>
      <c r="D7" s="53">
        <v>2</v>
      </c>
      <c r="F7" s="53">
        <v>3</v>
      </c>
      <c r="H7" s="54">
        <v>3</v>
      </c>
      <c r="J7" s="55">
        <v>3</v>
      </c>
    </row>
    <row r="8" spans="1:18" x14ac:dyDescent="0.5">
      <c r="A8" s="57"/>
      <c r="B8" s="57"/>
      <c r="D8" s="53">
        <v>3</v>
      </c>
      <c r="F8" s="53">
        <v>4</v>
      </c>
    </row>
    <row r="10" spans="1:18" x14ac:dyDescent="0.5">
      <c r="A10" s="48">
        <v>2</v>
      </c>
      <c r="B10" s="49" t="s">
        <v>3238</v>
      </c>
      <c r="D10" s="53" t="s">
        <v>3021</v>
      </c>
      <c r="F10" s="53" t="s">
        <v>3022</v>
      </c>
      <c r="H10" s="54" t="s">
        <v>3022</v>
      </c>
      <c r="J10" s="55" t="str" cm="1">
        <f t="array" ref="J10:J11">set_i(D10:D12,F10:F11)</f>
        <v>b</v>
      </c>
      <c r="L10" s="56" t="str" cm="1">
        <f t="array" ref="L10">IF(AND(H10:H11=J10:J11),"PASS","FAIL")</f>
        <v>PASS</v>
      </c>
    </row>
    <row r="11" spans="1:18" x14ac:dyDescent="0.5">
      <c r="A11" s="57"/>
      <c r="B11" s="57"/>
      <c r="D11" s="53" t="s">
        <v>3022</v>
      </c>
      <c r="F11" s="53" t="s">
        <v>3030</v>
      </c>
      <c r="H11" s="54" t="s">
        <v>3030</v>
      </c>
      <c r="J11" s="55" t="str">
        <v>c</v>
      </c>
    </row>
    <row r="12" spans="1:18" x14ac:dyDescent="0.5">
      <c r="A12" s="57"/>
      <c r="B12" s="57"/>
      <c r="D12" s="53" t="s">
        <v>3030</v>
      </c>
    </row>
    <row r="14" spans="1:18" x14ac:dyDescent="0.5">
      <c r="A14" s="48">
        <v>3</v>
      </c>
      <c r="B14" s="49" t="s">
        <v>3239</v>
      </c>
      <c r="D14" s="53">
        <v>1</v>
      </c>
      <c r="F14" s="53">
        <v>3</v>
      </c>
      <c r="H14" s="54"/>
      <c r="J14" s="55" t="str" cm="1">
        <f t="array" ref="J14">IFERROR(set_i(D14:D15,F14:F15),"")</f>
        <v/>
      </c>
      <c r="L14" s="56" t="str">
        <f>IF(J14=H14,"PASS","FAIL")</f>
        <v>PASS</v>
      </c>
    </row>
    <row r="15" spans="1:18" x14ac:dyDescent="0.5">
      <c r="A15" s="57"/>
      <c r="B15" s="57"/>
      <c r="D15" s="53">
        <v>2</v>
      </c>
      <c r="F15" s="53">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86" t="str" cm="1">
        <f t="array" aca="1" ref="B1" ca="1">_xlfn.LET(_xlpm.fn, CELL("filename",$A$1), _xlpm.nm, MID(_xlpm.fn, FIND("]", _xlpm.fn) + 1, 255), _xlfn.XLOOKUP(_xlpm.nm &amp; "(*", Lamb!$A$2:$A$1000, Lamb!$A$2:$A$1000, "", 2))</f>
        <v>set_u(a, b, [as_row])</v>
      </c>
      <c r="C1" s="82"/>
      <c r="D1" s="82"/>
      <c r="E1" s="82"/>
      <c r="F1" s="83"/>
      <c r="H1" s="47" t="s">
        <v>2</v>
      </c>
      <c r="I1" s="81"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82"/>
      <c r="K1" s="82"/>
      <c r="L1" s="82"/>
      <c r="M1" s="82"/>
      <c r="N1" s="82"/>
      <c r="O1" s="82"/>
      <c r="P1" s="82"/>
      <c r="Q1" s="82"/>
      <c r="R1" s="83"/>
    </row>
    <row r="2" spans="1:18" ht="63" customHeight="1" x14ac:dyDescent="0.5">
      <c r="A2" s="47" t="s">
        <v>4</v>
      </c>
      <c r="B2" s="84" t="str" cm="1">
        <f t="array" aca="1" ref="B2" ca="1">_xlfn.LET(_xlpm.fn, CELL("filename",$A$1), _xlpm.nm, MID(_xlpm.fn, FIND("]", _xlpm.fn) + 1, 255), _xlfn.XLOOKUP(_xlpm.nm &amp; "(*", Lamb!$A$2:$A$1000, Lamb!$C$2:$C$1000, "", 2))</f>
        <v>=LAMBDA(val_a, val_b, [as_row],
   set(VSTACK(val_a, val_b), IF(ISOMITTED(as_row), 0, as_row))
)</v>
      </c>
      <c r="C2" s="85"/>
      <c r="D2" s="85"/>
      <c r="E2" s="85"/>
      <c r="F2" s="85"/>
      <c r="G2" s="85"/>
      <c r="H2" s="85"/>
      <c r="I2" s="85"/>
      <c r="J2" s="85"/>
      <c r="K2" s="85"/>
      <c r="L2" s="85"/>
      <c r="M2" s="85"/>
      <c r="N2" s="85"/>
      <c r="O2" s="85"/>
      <c r="P2" s="85"/>
      <c r="Q2" s="85"/>
      <c r="R2" s="85"/>
    </row>
    <row r="4" spans="1:18" x14ac:dyDescent="0.5">
      <c r="A4" s="47" t="s">
        <v>3240</v>
      </c>
      <c r="R4" s="47" t="str">
        <f>COUNTIF(R6:R18,"PASS")&amp;" / 3 PASS"</f>
        <v>3 / 3 PASS</v>
      </c>
    </row>
    <row r="5" spans="1:18" x14ac:dyDescent="0.5">
      <c r="A5" s="47" t="s">
        <v>7</v>
      </c>
      <c r="B5" s="47" t="s">
        <v>8</v>
      </c>
      <c r="D5" s="47" t="s">
        <v>9</v>
      </c>
      <c r="J5" s="50" t="s">
        <v>10</v>
      </c>
      <c r="N5" s="51" t="s">
        <v>11</v>
      </c>
      <c r="R5" s="52" t="s">
        <v>12</v>
      </c>
    </row>
    <row r="6" spans="1:18" x14ac:dyDescent="0.5">
      <c r="A6" s="48">
        <v>1</v>
      </c>
      <c r="B6" s="49" t="s">
        <v>3241</v>
      </c>
      <c r="D6" s="53">
        <v>1</v>
      </c>
      <c r="F6" s="53">
        <v>2</v>
      </c>
      <c r="J6" s="54">
        <v>1</v>
      </c>
      <c r="N6" s="55" cm="1">
        <f t="array" ref="N6:N8">set_u(D6:D7,F6:F7)</f>
        <v>1</v>
      </c>
      <c r="R6" s="56" t="str" cm="1">
        <f t="array" ref="R6">IF(AND(J6:J8=N6:N8),"PASS","FAIL")</f>
        <v>PASS</v>
      </c>
    </row>
    <row r="7" spans="1:18" x14ac:dyDescent="0.5">
      <c r="A7" s="57"/>
      <c r="B7" s="57"/>
      <c r="D7" s="53">
        <v>2</v>
      </c>
      <c r="F7" s="53">
        <v>3</v>
      </c>
      <c r="J7" s="54">
        <v>2</v>
      </c>
      <c r="N7" s="55">
        <v>2</v>
      </c>
    </row>
    <row r="8" spans="1:18" x14ac:dyDescent="0.5">
      <c r="A8" s="57"/>
      <c r="B8" s="57"/>
      <c r="J8" s="54">
        <v>3</v>
      </c>
      <c r="N8" s="55">
        <v>3</v>
      </c>
    </row>
    <row r="10" spans="1:18" x14ac:dyDescent="0.5">
      <c r="A10" s="48">
        <v>2</v>
      </c>
      <c r="B10" s="49" t="s">
        <v>3242</v>
      </c>
      <c r="D10" s="53" t="s">
        <v>3021</v>
      </c>
      <c r="F10" s="53" t="s">
        <v>3022</v>
      </c>
      <c r="J10" s="54" t="s">
        <v>3021</v>
      </c>
      <c r="N10" s="55" t="str" cm="1">
        <f t="array" ref="N10:N13">set_u(D10:D11,F10:F12)</f>
        <v>a</v>
      </c>
      <c r="R10" s="56" t="str" cm="1">
        <f t="array" ref="R10">IF(AND(J10:J13=N10:N13),"PASS","FAIL")</f>
        <v>PASS</v>
      </c>
    </row>
    <row r="11" spans="1:18" x14ac:dyDescent="0.5">
      <c r="A11" s="57"/>
      <c r="B11" s="57"/>
      <c r="D11" s="53" t="s">
        <v>3022</v>
      </c>
      <c r="F11" s="53" t="s">
        <v>3030</v>
      </c>
      <c r="J11" s="54" t="s">
        <v>3022</v>
      </c>
      <c r="N11" s="55" t="str">
        <v>b</v>
      </c>
    </row>
    <row r="12" spans="1:18" x14ac:dyDescent="0.5">
      <c r="A12" s="57"/>
      <c r="B12" s="57"/>
      <c r="F12" s="53" t="s">
        <v>3023</v>
      </c>
      <c r="J12" s="54" t="s">
        <v>3030</v>
      </c>
      <c r="N12" s="55" t="str">
        <v>c</v>
      </c>
    </row>
    <row r="13" spans="1:18" x14ac:dyDescent="0.5">
      <c r="A13" s="57"/>
      <c r="B13" s="57"/>
      <c r="J13" s="54" t="s">
        <v>3023</v>
      </c>
      <c r="N13" s="55" t="str">
        <v>d</v>
      </c>
    </row>
    <row r="15" spans="1:18" x14ac:dyDescent="0.5">
      <c r="A15" s="48">
        <v>3</v>
      </c>
      <c r="B15" s="49" t="s">
        <v>3243</v>
      </c>
      <c r="D15" s="53">
        <v>1</v>
      </c>
      <c r="F15" s="53">
        <v>2</v>
      </c>
      <c r="H15" s="53">
        <v>1</v>
      </c>
      <c r="J15" s="54">
        <v>1</v>
      </c>
      <c r="K15" s="54">
        <v>2</v>
      </c>
      <c r="L15" s="54">
        <v>3</v>
      </c>
      <c r="N15" s="55" cm="1">
        <f t="array" ref="N15:P15">set_u(D15:D16,F15,H15)</f>
        <v>1</v>
      </c>
      <c r="O15" s="55">
        <v>2</v>
      </c>
      <c r="P15" s="55">
        <v>3</v>
      </c>
      <c r="R15" s="56" t="str" cm="1">
        <f t="array" ref="R15">IF(AND(J15:L15=N15:P15),"PASS","FAIL")</f>
        <v>PASS</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7" t="s">
        <v>0</v>
      </c>
      <c r="B1" s="86" t="str" cm="1">
        <f t="array" aca="1" ref="B1" ca="1">_xlfn.LET(_xlpm.fn, CELL("filename",$A$1), _xlpm.nm, MID(_xlpm.fn, FIND("]", _xlpm.fn) + 1, 255), _xlfn.XLOOKUP(_xlpm.nm &amp; "(*", Lamb!$A$2:$A$1000, Lamb!$A$2:$A$1000, "", 2))</f>
        <v>shift_arr(arr, dir, [steps], [fill])</v>
      </c>
      <c r="C1" s="82"/>
      <c r="D1" s="82"/>
      <c r="E1" s="82"/>
      <c r="F1" s="83"/>
      <c r="H1" s="47" t="s">
        <v>2</v>
      </c>
      <c r="I1" s="81"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5"/>
      <c r="D2" s="85"/>
      <c r="E2" s="85"/>
      <c r="F2" s="85"/>
      <c r="G2" s="85"/>
      <c r="H2" s="85"/>
      <c r="I2" s="85"/>
      <c r="J2" s="85"/>
      <c r="K2" s="85"/>
      <c r="L2" s="85"/>
      <c r="M2" s="85"/>
      <c r="N2" s="85"/>
      <c r="O2" s="85"/>
      <c r="P2" s="85"/>
      <c r="Q2" s="85"/>
      <c r="R2" s="85"/>
    </row>
    <row r="4" spans="1:18" x14ac:dyDescent="0.5">
      <c r="A4" s="47" t="s">
        <v>3244</v>
      </c>
      <c r="R4" s="47" t="str">
        <f>COUNTIF(R6:R21,"PASS")&amp;" / 5 PASS"</f>
        <v>5 / 5 PASS</v>
      </c>
    </row>
    <row r="5" spans="1:18" x14ac:dyDescent="0.5">
      <c r="A5" s="47" t="s">
        <v>7</v>
      </c>
      <c r="B5" s="47" t="s">
        <v>8</v>
      </c>
      <c r="D5" s="47" t="s">
        <v>9</v>
      </c>
      <c r="L5" s="50" t="s">
        <v>10</v>
      </c>
      <c r="O5" s="51" t="s">
        <v>11</v>
      </c>
      <c r="R5" s="52" t="s">
        <v>12</v>
      </c>
    </row>
    <row r="6" spans="1:18" x14ac:dyDescent="0.5">
      <c r="A6" s="48">
        <v>1</v>
      </c>
      <c r="B6" s="49" t="s">
        <v>3245</v>
      </c>
      <c r="D6" s="53">
        <v>1</v>
      </c>
      <c r="F6" s="53" t="s">
        <v>157</v>
      </c>
      <c r="L6" s="54">
        <v>3</v>
      </c>
      <c r="O6" s="55" cm="1">
        <f t="array" ref="O6:O8">shift_arr(D6:D8,F6)</f>
        <v>3</v>
      </c>
      <c r="R6" s="56" t="str" cm="1">
        <f t="array" ref="R6">IF(AND(L6:L8=O6:O8),"PASS","FAIL")</f>
        <v>PASS</v>
      </c>
    </row>
    <row r="7" spans="1:18" x14ac:dyDescent="0.5">
      <c r="A7" s="57"/>
      <c r="B7" s="57"/>
      <c r="D7" s="53">
        <v>2</v>
      </c>
      <c r="L7" s="54">
        <v>1</v>
      </c>
      <c r="O7" s="55">
        <v>1</v>
      </c>
    </row>
    <row r="8" spans="1:18" x14ac:dyDescent="0.5">
      <c r="A8" s="57"/>
      <c r="B8" s="57"/>
      <c r="D8" s="53">
        <v>3</v>
      </c>
      <c r="L8" s="54">
        <v>2</v>
      </c>
      <c r="O8" s="55">
        <v>2</v>
      </c>
    </row>
    <row r="10" spans="1:18" x14ac:dyDescent="0.5">
      <c r="A10" s="48">
        <v>2</v>
      </c>
      <c r="B10" s="49" t="s">
        <v>3246</v>
      </c>
      <c r="D10" s="53">
        <v>1</v>
      </c>
      <c r="F10" s="53" t="s">
        <v>159</v>
      </c>
      <c r="L10" s="54">
        <v>2</v>
      </c>
      <c r="O10" s="55" cm="1">
        <f t="array" ref="O10:O12">shift_arr(D10:D12,F10)</f>
        <v>2</v>
      </c>
      <c r="R10" s="56" t="str" cm="1">
        <f t="array" ref="R10">IF(AND(L10:L12=O10:O12),"PASS","FAIL")</f>
        <v>PASS</v>
      </c>
    </row>
    <row r="11" spans="1:18" x14ac:dyDescent="0.5">
      <c r="A11" s="57"/>
      <c r="B11" s="57"/>
      <c r="D11" s="53">
        <v>2</v>
      </c>
      <c r="L11" s="54">
        <v>3</v>
      </c>
      <c r="O11" s="55">
        <v>3</v>
      </c>
    </row>
    <row r="12" spans="1:18" x14ac:dyDescent="0.5">
      <c r="A12" s="57"/>
      <c r="B12" s="57"/>
      <c r="D12" s="53">
        <v>3</v>
      </c>
      <c r="L12" s="54">
        <v>1</v>
      </c>
      <c r="O12" s="55">
        <v>1</v>
      </c>
    </row>
    <row r="14" spans="1:18" x14ac:dyDescent="0.5">
      <c r="A14" s="48">
        <v>3</v>
      </c>
      <c r="B14" s="49" t="s">
        <v>3247</v>
      </c>
      <c r="D14" s="53">
        <v>1</v>
      </c>
      <c r="F14" s="53" t="s">
        <v>157</v>
      </c>
      <c r="H14" s="53">
        <v>1</v>
      </c>
      <c r="J14" s="53">
        <v>0</v>
      </c>
      <c r="L14" s="54">
        <v>0</v>
      </c>
      <c r="O14" s="55" cm="1">
        <f t="array" ref="O14:O16">shift_arr(D14:D16,F14,H14,J14)</f>
        <v>0</v>
      </c>
      <c r="R14" s="56" t="str" cm="1">
        <f t="array" ref="R14">IF(AND(L14:L16=O14:O16),"PASS","FAIL")</f>
        <v>PASS</v>
      </c>
    </row>
    <row r="15" spans="1:18" x14ac:dyDescent="0.5">
      <c r="A15" s="57"/>
      <c r="B15" s="57"/>
      <c r="D15" s="53">
        <v>2</v>
      </c>
      <c r="L15" s="54">
        <v>1</v>
      </c>
      <c r="O15" s="55">
        <v>1</v>
      </c>
    </row>
    <row r="16" spans="1:18" x14ac:dyDescent="0.5">
      <c r="A16" s="57"/>
      <c r="B16" s="57"/>
      <c r="D16" s="53">
        <v>3</v>
      </c>
      <c r="L16" s="54">
        <v>2</v>
      </c>
      <c r="O16" s="55">
        <v>2</v>
      </c>
    </row>
    <row r="18" spans="1:18" x14ac:dyDescent="0.5">
      <c r="A18" s="48">
        <v>4</v>
      </c>
      <c r="B18" s="49" t="s">
        <v>3248</v>
      </c>
      <c r="D18" s="53">
        <v>1</v>
      </c>
      <c r="E18" s="53">
        <v>2</v>
      </c>
      <c r="G18" s="53" t="s">
        <v>191</v>
      </c>
      <c r="L18" s="54">
        <v>2</v>
      </c>
      <c r="M18" s="54">
        <v>1</v>
      </c>
      <c r="O18" s="55" cm="1">
        <f t="array" ref="O18:P19">shift_arr(D18:E19,G18)</f>
        <v>2</v>
      </c>
      <c r="P18" s="55">
        <v>1</v>
      </c>
      <c r="R18" s="56" t="str" cm="1">
        <f t="array" ref="R18">IF(AND(L18:M19=O18:P19),"PASS","FAIL")</f>
        <v>PASS</v>
      </c>
    </row>
    <row r="19" spans="1:18" x14ac:dyDescent="0.5">
      <c r="A19" s="57"/>
      <c r="B19" s="57"/>
      <c r="D19" s="53">
        <v>3</v>
      </c>
      <c r="E19" s="53">
        <v>4</v>
      </c>
      <c r="L19" s="54">
        <v>4</v>
      </c>
      <c r="M19" s="54">
        <v>3</v>
      </c>
      <c r="O19" s="55">
        <v>4</v>
      </c>
      <c r="P19" s="55">
        <v>3</v>
      </c>
    </row>
    <row r="21" spans="1:18" x14ac:dyDescent="0.5">
      <c r="A21" s="48">
        <v>5</v>
      </c>
      <c r="B21" s="49" t="s">
        <v>3378</v>
      </c>
      <c r="D21" s="53">
        <v>1</v>
      </c>
      <c r="F21" s="53" t="s">
        <v>3373</v>
      </c>
      <c r="L21" s="54" t="str">
        <f>""</f>
        <v/>
      </c>
      <c r="O21" s="55" t="str" cm="1">
        <f t="array" ref="O21">shift_arr(D21,F21)</f>
        <v/>
      </c>
      <c r="R21" s="56" t="str">
        <f>IF(O21=L21,"PASS","FAIL")</f>
        <v>PASS</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smallest(check, return)</v>
      </c>
      <c r="C1" s="82"/>
      <c r="D1" s="82"/>
      <c r="E1" s="82"/>
      <c r="F1" s="83"/>
      <c r="H1" s="47" t="s">
        <v>2</v>
      </c>
      <c r="I1" s="81"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=LAMBDA(check, return, IFNA(XLOOKUP(MIN(check), check, return), ""))</v>
      </c>
      <c r="C2" s="85"/>
      <c r="D2" s="85"/>
      <c r="E2" s="85"/>
      <c r="F2" s="85"/>
      <c r="G2" s="85"/>
      <c r="H2" s="85"/>
      <c r="I2" s="85"/>
      <c r="J2" s="85"/>
      <c r="K2" s="85"/>
      <c r="L2" s="85"/>
      <c r="M2" s="85"/>
      <c r="N2" s="85"/>
      <c r="O2" s="85"/>
      <c r="P2" s="85"/>
      <c r="Q2" s="85"/>
      <c r="R2" s="85"/>
    </row>
    <row r="4" spans="1:18" x14ac:dyDescent="0.5">
      <c r="A4" s="47" t="s">
        <v>3249</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3250</v>
      </c>
      <c r="D6" s="53">
        <v>30</v>
      </c>
      <c r="F6" s="53" t="s">
        <v>3021</v>
      </c>
      <c r="H6" s="54" t="s">
        <v>3021</v>
      </c>
      <c r="J6" s="55" t="str" cm="1">
        <f t="array" ref="J6">smallest(D6:D8,F6:F8)</f>
        <v>a</v>
      </c>
      <c r="L6" s="56" t="str">
        <f>IF(J6=H6,"PASS","FAIL")</f>
        <v>PASS</v>
      </c>
    </row>
    <row r="7" spans="1:18" x14ac:dyDescent="0.5">
      <c r="A7" s="57"/>
      <c r="B7" s="57"/>
      <c r="D7" s="53">
        <v>70</v>
      </c>
      <c r="F7" s="53" t="s">
        <v>3022</v>
      </c>
    </row>
    <row r="8" spans="1:18" x14ac:dyDescent="0.5">
      <c r="A8" s="57"/>
      <c r="B8" s="57"/>
      <c r="D8" s="53">
        <v>50</v>
      </c>
      <c r="F8" s="53" t="s">
        <v>3030</v>
      </c>
    </row>
    <row r="10" spans="1:18" x14ac:dyDescent="0.5">
      <c r="A10" s="48">
        <v>2</v>
      </c>
      <c r="B10" s="49" t="s">
        <v>3251</v>
      </c>
      <c r="D10" s="53">
        <v>5</v>
      </c>
      <c r="F10" s="53" t="s">
        <v>3032</v>
      </c>
      <c r="H10" s="54" t="s">
        <v>3034</v>
      </c>
      <c r="J10" s="55" t="str" cm="1">
        <f t="array" ref="J10">smallest(D10:D13,F10:F13)</f>
        <v>r</v>
      </c>
      <c r="L10" s="56" t="str">
        <f>IF(J10=H10,"PASS","FAIL")</f>
        <v>PASS</v>
      </c>
    </row>
    <row r="11" spans="1:18" x14ac:dyDescent="0.5">
      <c r="A11" s="57"/>
      <c r="B11" s="57"/>
      <c r="D11" s="53">
        <v>9</v>
      </c>
      <c r="F11" s="53" t="s">
        <v>3033</v>
      </c>
    </row>
    <row r="12" spans="1:18" x14ac:dyDescent="0.5">
      <c r="A12" s="57"/>
      <c r="B12" s="57"/>
      <c r="D12" s="53">
        <v>2</v>
      </c>
      <c r="F12" s="53" t="s">
        <v>3034</v>
      </c>
    </row>
    <row r="13" spans="1:18" x14ac:dyDescent="0.5">
      <c r="A13" s="57"/>
      <c r="B13" s="57"/>
      <c r="D13" s="53">
        <v>2</v>
      </c>
      <c r="F13" s="53" t="s">
        <v>3035</v>
      </c>
    </row>
    <row r="15" spans="1:18" x14ac:dyDescent="0.5">
      <c r="A15" s="48">
        <v>3</v>
      </c>
      <c r="B15" s="49" t="s">
        <v>3379</v>
      </c>
      <c r="D15" s="53" t="s">
        <v>3041</v>
      </c>
      <c r="F15" s="53" t="s">
        <v>3380</v>
      </c>
      <c r="H15" s="54" t="str">
        <f>""</f>
        <v/>
      </c>
      <c r="J15" s="55" t="str" cm="1">
        <f t="array" ref="J15">smallest(D15,F15)</f>
        <v/>
      </c>
      <c r="L15" s="56" t="str">
        <f>IF(J15=H15,"PASS","FAIL")</f>
        <v>PASS</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str2arr(str_or_array, [as_row])</v>
      </c>
      <c r="C1" s="82"/>
      <c r="D1" s="82"/>
      <c r="E1" s="82"/>
      <c r="F1" s="83"/>
      <c r="H1" s="47" t="s">
        <v>2</v>
      </c>
      <c r="I1" s="81"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5"/>
      <c r="D2" s="85"/>
      <c r="E2" s="85"/>
      <c r="F2" s="85"/>
      <c r="G2" s="85"/>
      <c r="H2" s="85"/>
      <c r="I2" s="85"/>
      <c r="J2" s="85"/>
      <c r="K2" s="85"/>
      <c r="L2" s="85"/>
      <c r="M2" s="85"/>
      <c r="N2" s="85"/>
      <c r="O2" s="85"/>
      <c r="P2" s="85"/>
      <c r="Q2" s="85"/>
      <c r="R2" s="85"/>
    </row>
    <row r="4" spans="1:18" x14ac:dyDescent="0.5">
      <c r="A4" s="47" t="s">
        <v>3252</v>
      </c>
      <c r="P4" s="47" t="str">
        <f>COUNTIF(P6:P16,"PASS")&amp;" / 3 PASS"</f>
        <v>3 / 3 PASS</v>
      </c>
    </row>
    <row r="5" spans="1:18" x14ac:dyDescent="0.5">
      <c r="A5" s="47" t="s">
        <v>7</v>
      </c>
      <c r="B5" s="47" t="s">
        <v>8</v>
      </c>
      <c r="D5" s="47" t="s">
        <v>9</v>
      </c>
      <c r="H5" s="50" t="s">
        <v>10</v>
      </c>
      <c r="L5" s="51" t="s">
        <v>11</v>
      </c>
      <c r="P5" s="52" t="s">
        <v>12</v>
      </c>
    </row>
    <row r="6" spans="1:18" x14ac:dyDescent="0.5">
      <c r="A6" s="48">
        <v>1</v>
      </c>
      <c r="B6" s="49" t="s">
        <v>3253</v>
      </c>
      <c r="D6" s="53" t="s">
        <v>3159</v>
      </c>
      <c r="H6" s="54" t="s">
        <v>3021</v>
      </c>
      <c r="L6" s="55" t="str" cm="1">
        <f t="array" ref="L6:L8">str2arr(D6)</f>
        <v>a</v>
      </c>
      <c r="P6" s="56" t="str" cm="1">
        <f t="array" ref="P6">IF(AND(H6:H8=L6:L8),"PASS","FAIL")</f>
        <v>PASS</v>
      </c>
    </row>
    <row r="7" spans="1:18" x14ac:dyDescent="0.5">
      <c r="A7" s="57"/>
      <c r="B7" s="57"/>
      <c r="H7" s="54" t="s">
        <v>3022</v>
      </c>
      <c r="L7" s="55" t="str">
        <v>b</v>
      </c>
    </row>
    <row r="8" spans="1:18" x14ac:dyDescent="0.5">
      <c r="A8" s="57"/>
      <c r="B8" s="57"/>
      <c r="H8" s="54" t="s">
        <v>3030</v>
      </c>
      <c r="L8" s="55" t="str">
        <v>c</v>
      </c>
    </row>
    <row r="10" spans="1:18" x14ac:dyDescent="0.5">
      <c r="A10" s="48">
        <v>2</v>
      </c>
      <c r="B10" s="49" t="s">
        <v>3254</v>
      </c>
      <c r="D10" s="53" t="s">
        <v>3255</v>
      </c>
      <c r="H10" s="54" t="s">
        <v>3041</v>
      </c>
      <c r="L10" s="55" t="str" cm="1">
        <f t="array" ref="L10:L12">str2arr(D10)</f>
        <v>x</v>
      </c>
      <c r="P10" s="56" t="str" cm="1">
        <f t="array" ref="P10">IF(AND(H10:H12=L10:L12),"PASS","FAIL")</f>
        <v>PASS</v>
      </c>
    </row>
    <row r="11" spans="1:18" x14ac:dyDescent="0.5">
      <c r="A11" s="57"/>
      <c r="B11" s="57"/>
      <c r="H11" s="54">
        <v>1</v>
      </c>
      <c r="L11" s="55">
        <v>1</v>
      </c>
    </row>
    <row r="12" spans="1:18" x14ac:dyDescent="0.5">
      <c r="A12" s="57"/>
      <c r="B12" s="57"/>
      <c r="H12" s="54" t="s">
        <v>3256</v>
      </c>
      <c r="L12" s="55" t="str">
        <v>y</v>
      </c>
    </row>
    <row r="14" spans="1:18" x14ac:dyDescent="0.5">
      <c r="A14" s="48">
        <v>3</v>
      </c>
      <c r="B14" s="49" t="s">
        <v>3257</v>
      </c>
      <c r="D14" s="53" t="s">
        <v>3159</v>
      </c>
      <c r="F14" s="53">
        <v>1</v>
      </c>
      <c r="H14" s="54" t="s">
        <v>3021</v>
      </c>
      <c r="I14" s="54" t="s">
        <v>3022</v>
      </c>
      <c r="J14" s="54" t="s">
        <v>3030</v>
      </c>
      <c r="L14" s="55" t="str" cm="1">
        <f t="array" ref="L14:N14">str2arr(D14,F14)</f>
        <v>a</v>
      </c>
      <c r="M14" s="55" t="str">
        <v>b</v>
      </c>
      <c r="N14" s="55" t="str">
        <v>c</v>
      </c>
      <c r="P14" s="56" t="str" cm="1">
        <f t="array" ref="P14">IF(AND(H14:J14=L14:N14),"PASS","FAIL")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7" t="s">
        <v>0</v>
      </c>
      <c r="B1" s="86" t="str" cm="1">
        <f t="array" aca="1" ref="B1" ca="1">_xlfn.LET(_xlpm.fn, CELL("filename",$A$1), _xlpm.nm, MID(_xlpm.fn, FIND("]", _xlpm.fn) + 1, 255), _xlfn.XLOOKUP(_xlpm.nm &amp; "(*", Lamb!$A$2:$A$1000, Lamb!$A$2:$A$1000, "", 2))</f>
        <v>str_ad(arr)</v>
      </c>
      <c r="C1" s="82"/>
      <c r="D1" s="82"/>
      <c r="E1" s="82"/>
      <c r="F1" s="83"/>
      <c r="H1" s="47" t="s">
        <v>2</v>
      </c>
      <c r="I1" s="81"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85"/>
      <c r="D2" s="85"/>
      <c r="E2" s="85"/>
      <c r="F2" s="85"/>
      <c r="G2" s="85"/>
      <c r="H2" s="85"/>
      <c r="I2" s="85"/>
      <c r="J2" s="85"/>
      <c r="K2" s="85"/>
      <c r="L2" s="85"/>
      <c r="M2" s="85"/>
      <c r="N2" s="85"/>
      <c r="O2" s="85"/>
      <c r="P2" s="85"/>
      <c r="Q2" s="85"/>
      <c r="R2" s="85"/>
    </row>
    <row r="4" spans="1:18" x14ac:dyDescent="0.5">
      <c r="A4" s="47" t="s">
        <v>3258</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3259</v>
      </c>
      <c r="D6" s="53">
        <v>3000004</v>
      </c>
      <c r="F6" s="54" t="s">
        <v>3141</v>
      </c>
      <c r="H6" s="55" t="str" cm="1">
        <f t="array" ref="H6">str_ad(D6)</f>
        <v>D3</v>
      </c>
      <c r="J6" s="56" t="str">
        <f>IF(H6=F6,"PASS","FAIL")</f>
        <v>PASS</v>
      </c>
    </row>
    <row r="8" spans="1:18" x14ac:dyDescent="0.5">
      <c r="A8" s="48">
        <v>2</v>
      </c>
      <c r="B8" s="49" t="s">
        <v>3260</v>
      </c>
      <c r="D8" s="53" t="s">
        <v>3141</v>
      </c>
      <c r="F8" s="54" t="s">
        <v>3141</v>
      </c>
      <c r="H8" s="55" t="str" cm="1">
        <f t="array" ref="H8">str_ad(D8)</f>
        <v>D3</v>
      </c>
      <c r="J8" s="56" t="str">
        <f>IF(H8=F8,"PASS","FAIL")</f>
        <v>PASS</v>
      </c>
    </row>
    <row r="10" spans="1:18" x14ac:dyDescent="0.5">
      <c r="A10" s="48">
        <v>3</v>
      </c>
      <c r="B10" s="49" t="s">
        <v>3261</v>
      </c>
      <c r="D10" s="53">
        <v>2000000</v>
      </c>
      <c r="F10" s="54">
        <v>2000000</v>
      </c>
      <c r="H10" s="55" cm="1">
        <f t="array" ref="H10">str_ad(D10)</f>
        <v>2000000</v>
      </c>
      <c r="J10" s="56" t="str">
        <f>IF(H10=F10,"PASS","FAIL")</f>
        <v>PASS</v>
      </c>
    </row>
    <row r="12" spans="1:18" x14ac:dyDescent="0.5">
      <c r="A12" s="48">
        <v>4</v>
      </c>
      <c r="B12" s="49" t="s">
        <v>3262</v>
      </c>
      <c r="D12" s="53">
        <v>1000001</v>
      </c>
      <c r="F12" s="54" t="s">
        <v>3009</v>
      </c>
      <c r="H12" s="55" t="str" cm="1">
        <f t="array" ref="H12:H13">str_ad(D12:D13)</f>
        <v>A1</v>
      </c>
      <c r="J12" s="56" t="str" cm="1">
        <f t="array" ref="J12">IF(AND(F12:F13=H12:H13),"PASS","FAIL")</f>
        <v>PASS</v>
      </c>
    </row>
    <row r="13" spans="1:18" x14ac:dyDescent="0.5">
      <c r="A13" s="57"/>
      <c r="B13" s="57"/>
      <c r="D13" s="53">
        <v>2000002</v>
      </c>
      <c r="F13" s="54" t="s">
        <v>3133</v>
      </c>
      <c r="H13" s="55" t="str">
        <v>B2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str_rev(str)</v>
      </c>
      <c r="C1" s="82"/>
      <c r="D1" s="82"/>
      <c r="E1" s="82"/>
      <c r="F1" s="83"/>
      <c r="H1" s="47" t="s">
        <v>2</v>
      </c>
      <c r="I1" s="81"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82"/>
      <c r="K1" s="82"/>
      <c r="L1" s="82"/>
      <c r="M1" s="82"/>
      <c r="N1" s="82"/>
      <c r="O1" s="82"/>
      <c r="P1" s="82"/>
      <c r="Q1" s="82"/>
      <c r="R1" s="83"/>
    </row>
    <row r="2" spans="1:18" ht="210" customHeight="1" x14ac:dyDescent="0.5">
      <c r="A2" s="47" t="s">
        <v>4</v>
      </c>
      <c r="B2" s="84"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5"/>
      <c r="D2" s="85"/>
      <c r="E2" s="85"/>
      <c r="F2" s="85"/>
      <c r="G2" s="85"/>
      <c r="H2" s="85"/>
      <c r="I2" s="85"/>
      <c r="J2" s="85"/>
      <c r="K2" s="85"/>
      <c r="L2" s="85"/>
      <c r="M2" s="85"/>
      <c r="N2" s="85"/>
      <c r="O2" s="85"/>
      <c r="P2" s="85"/>
      <c r="Q2" s="85"/>
      <c r="R2" s="85"/>
    </row>
    <row r="4" spans="1:18" x14ac:dyDescent="0.5">
      <c r="A4" s="47" t="s">
        <v>3263</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3159</v>
      </c>
      <c r="D6" s="53" t="s">
        <v>3159</v>
      </c>
      <c r="F6" s="54" t="s">
        <v>3264</v>
      </c>
      <c r="H6" s="55" t="str" cm="1">
        <f t="array" ref="H6">str_rev(D6)</f>
        <v>cba</v>
      </c>
      <c r="J6" s="56" t="str">
        <f>IF(H6=F6,"PASS","FAIL")</f>
        <v>PASS</v>
      </c>
    </row>
    <row r="8" spans="1:18" x14ac:dyDescent="0.5">
      <c r="A8" s="48">
        <v>2</v>
      </c>
      <c r="B8" s="49" t="s">
        <v>3265</v>
      </c>
      <c r="D8" s="53" t="s">
        <v>3265</v>
      </c>
      <c r="F8" s="54" t="s">
        <v>3266</v>
      </c>
      <c r="H8" s="55" t="str" cm="1">
        <f t="array" ref="H8">str_rev(D8)</f>
        <v>olleh</v>
      </c>
      <c r="J8" s="56" t="str">
        <f>IF(H8=F8,"PASS","FAIL")</f>
        <v>PASS</v>
      </c>
    </row>
    <row r="10" spans="1:18" x14ac:dyDescent="0.5">
      <c r="A10" s="48">
        <v>3</v>
      </c>
      <c r="B10" s="49" t="s">
        <v>3267</v>
      </c>
      <c r="D10" s="53" t="s">
        <v>3268</v>
      </c>
      <c r="F10" s="54" t="s">
        <v>3269</v>
      </c>
      <c r="H10" s="55" t="str" cm="1">
        <f t="array" ref="H10">str_rev(D10)</f>
        <v>b1A</v>
      </c>
      <c r="J10" s="56" t="str">
        <f>IF(H10=F10,"PASS","FAIL")</f>
        <v>PASS</v>
      </c>
    </row>
    <row r="12" spans="1:18" x14ac:dyDescent="0.5">
      <c r="A12" s="48">
        <v>4</v>
      </c>
      <c r="B12" s="49" t="s">
        <v>3181</v>
      </c>
      <c r="D12" s="53" t="s">
        <v>3159</v>
      </c>
      <c r="F12" s="54" t="s">
        <v>3264</v>
      </c>
      <c r="H12" s="55" t="str" cm="1">
        <f t="array" ref="H12:H13">str_rev(D12:D13)</f>
        <v>cba</v>
      </c>
      <c r="J12" s="56" t="str" cm="1">
        <f t="array" ref="J12">IF(AND(F12:F13=H12:H13),"PASS","FAIL")</f>
        <v>PASS</v>
      </c>
    </row>
    <row r="13" spans="1:18" x14ac:dyDescent="0.5">
      <c r="A13" s="57"/>
      <c r="B13" s="57"/>
      <c r="D13" s="53" t="s">
        <v>3270</v>
      </c>
      <c r="F13" s="54" t="s">
        <v>3271</v>
      </c>
      <c r="H13" s="55" t="str">
        <v>yx</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textbetween(str_or_arr, prefix, suffix)</v>
      </c>
      <c r="C1" s="82"/>
      <c r="D1" s="82"/>
      <c r="E1" s="82"/>
      <c r="F1" s="83"/>
      <c r="H1" s="47" t="s">
        <v>2</v>
      </c>
      <c r="I1" s="81"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5"/>
      <c r="D2" s="85"/>
      <c r="E2" s="85"/>
      <c r="F2" s="85"/>
      <c r="G2" s="85"/>
      <c r="H2" s="85"/>
      <c r="I2" s="85"/>
      <c r="J2" s="85"/>
      <c r="K2" s="85"/>
      <c r="L2" s="85"/>
      <c r="M2" s="85"/>
      <c r="N2" s="85"/>
      <c r="O2" s="85"/>
      <c r="P2" s="85"/>
      <c r="Q2" s="85"/>
      <c r="R2" s="85"/>
    </row>
    <row r="4" spans="1:18" x14ac:dyDescent="0.5">
      <c r="A4" s="47" t="s">
        <v>3272</v>
      </c>
      <c r="N4" s="47" t="str">
        <f>COUNTIF(N6:N17,"PASS")&amp;" / 5 PASS"</f>
        <v>5 / 5 PASS</v>
      </c>
    </row>
    <row r="5" spans="1:18" x14ac:dyDescent="0.5">
      <c r="A5" s="47" t="s">
        <v>7</v>
      </c>
      <c r="B5" s="47" t="s">
        <v>8</v>
      </c>
      <c r="D5" s="47" t="s">
        <v>9</v>
      </c>
      <c r="J5" s="50" t="s">
        <v>10</v>
      </c>
      <c r="L5" s="51" t="s">
        <v>11</v>
      </c>
      <c r="N5" s="52" t="s">
        <v>12</v>
      </c>
    </row>
    <row r="6" spans="1:18" x14ac:dyDescent="0.5">
      <c r="A6" s="48">
        <v>1</v>
      </c>
      <c r="B6" s="49" t="s">
        <v>3273</v>
      </c>
      <c r="D6" s="53" t="s">
        <v>3274</v>
      </c>
      <c r="F6" s="53" t="s">
        <v>3275</v>
      </c>
      <c r="H6" s="53" t="s">
        <v>3276</v>
      </c>
      <c r="J6" s="54" t="s">
        <v>3041</v>
      </c>
      <c r="L6" s="55" t="str" cm="1">
        <f t="array" ref="L6">textbetween(D6,F6,H6)</f>
        <v>x</v>
      </c>
      <c r="N6" s="56" t="str">
        <f>IF(L6=J6,"PASS","FAIL")</f>
        <v>PASS</v>
      </c>
    </row>
    <row r="8" spans="1:18" x14ac:dyDescent="0.5">
      <c r="A8" s="48">
        <v>2</v>
      </c>
      <c r="B8" s="49" t="s">
        <v>3277</v>
      </c>
      <c r="D8" s="53" t="s">
        <v>3278</v>
      </c>
      <c r="F8" s="53" t="s">
        <v>3279</v>
      </c>
      <c r="H8" s="53" t="s">
        <v>3280</v>
      </c>
      <c r="J8" s="54" t="s">
        <v>3148</v>
      </c>
      <c r="L8" s="55" t="str" cm="1">
        <f t="array" ref="L8">textbetween(D8,F8,H8)</f>
        <v>hi</v>
      </c>
      <c r="N8" s="56" t="str">
        <f>IF(L8=J8,"PASS","FAIL")</f>
        <v>PASS</v>
      </c>
    </row>
    <row r="10" spans="1:18" x14ac:dyDescent="0.5">
      <c r="A10" s="48">
        <v>3</v>
      </c>
      <c r="B10" s="49" t="s">
        <v>3281</v>
      </c>
      <c r="D10" s="53" t="s">
        <v>3282</v>
      </c>
      <c r="F10" s="53" t="s">
        <v>3283</v>
      </c>
      <c r="H10" s="53" t="s">
        <v>3284</v>
      </c>
      <c r="J10" s="54">
        <v>5</v>
      </c>
      <c r="L10" s="55" cm="1">
        <f t="array" ref="L10">textbetween(D10,F10,H10)</f>
        <v>5</v>
      </c>
      <c r="N10" s="56" t="str">
        <f>IF(L10=J10,"PASS","FAIL")</f>
        <v>PASS</v>
      </c>
    </row>
    <row r="12" spans="1:18" x14ac:dyDescent="0.5">
      <c r="A12" s="48">
        <v>4</v>
      </c>
      <c r="B12" s="49" t="s">
        <v>3285</v>
      </c>
      <c r="D12" s="53" t="s">
        <v>3159</v>
      </c>
      <c r="F12" s="53" t="s">
        <v>3275</v>
      </c>
      <c r="H12" s="53" t="s">
        <v>3276</v>
      </c>
      <c r="J12" s="54"/>
      <c r="L12" s="55" t="str" cm="1">
        <f t="array" ref="L12">textbetween(D12,F12,H12)</f>
        <v/>
      </c>
      <c r="N12" s="56" t="str">
        <f>IF(L12=J12,"PASS","FAIL")</f>
        <v>PASS</v>
      </c>
    </row>
    <row r="14" spans="1:18" x14ac:dyDescent="0.5">
      <c r="A14" s="48">
        <v>5</v>
      </c>
      <c r="B14" s="49" t="s">
        <v>3181</v>
      </c>
      <c r="D14" s="53" t="s">
        <v>3286</v>
      </c>
      <c r="F14" s="53" t="s">
        <v>3275</v>
      </c>
      <c r="H14" s="53" t="s">
        <v>3276</v>
      </c>
      <c r="J14" s="54" t="s">
        <v>3021</v>
      </c>
      <c r="L14" s="55" t="str" cm="1">
        <f t="array" ref="L14:L15">textbetween(D14:D15,F14,H14)</f>
        <v>a</v>
      </c>
      <c r="N14" s="56" t="str" cm="1">
        <f t="array" ref="N14">IF(AND(J14:J15=L14:L15),"PASS","FAIL")</f>
        <v>PASS</v>
      </c>
    </row>
    <row r="15" spans="1:18" x14ac:dyDescent="0.5">
      <c r="A15" s="57"/>
      <c r="B15" s="57"/>
      <c r="D15" s="53" t="s">
        <v>3287</v>
      </c>
      <c r="J15" s="54" t="s">
        <v>3288</v>
      </c>
      <c r="L15" s="55" t="str">
        <v>bc</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7" t="s">
        <v>0</v>
      </c>
      <c r="B1" s="86" t="str" cm="1">
        <f t="array" aca="1" ref="B1" ca="1">_xlfn.LET(_xlpm.fn, CELL("filename",$A$1), _xlpm.nm, MID(_xlpm.fn, FIND("]", _xlpm.fn) + 1, 255), _xlfn.XLOOKUP(_xlpm.nm &amp; "(*", Lamb!$A$2:$A$1000, Lamb!$A$2:$A$1000, "", 2))</f>
        <v>transform_array(arr, dir)</v>
      </c>
      <c r="C1" s="82"/>
      <c r="D1" s="82"/>
      <c r="E1" s="82"/>
      <c r="F1" s="83"/>
      <c r="H1" s="47" t="s">
        <v>2</v>
      </c>
      <c r="I1" s="81"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5"/>
      <c r="D2" s="85"/>
      <c r="E2" s="85"/>
      <c r="F2" s="85"/>
      <c r="G2" s="85"/>
      <c r="H2" s="85"/>
      <c r="I2" s="85"/>
      <c r="J2" s="85"/>
      <c r="K2" s="85"/>
      <c r="L2" s="85"/>
      <c r="M2" s="85"/>
      <c r="N2" s="85"/>
      <c r="O2" s="85"/>
      <c r="P2" s="85"/>
      <c r="Q2" s="85"/>
      <c r="R2" s="85"/>
    </row>
    <row r="4" spans="1:18" x14ac:dyDescent="0.5">
      <c r="A4" s="47" t="s">
        <v>3289</v>
      </c>
      <c r="P4" s="47" t="str">
        <f>COUNTIF(P6:P25,"PASS")&amp;" / 7 PASS"</f>
        <v>7 / 7 PASS</v>
      </c>
    </row>
    <row r="5" spans="1:18" x14ac:dyDescent="0.5">
      <c r="A5" s="47" t="s">
        <v>7</v>
      </c>
      <c r="B5" s="47" t="s">
        <v>8</v>
      </c>
      <c r="D5" s="47" t="s">
        <v>9</v>
      </c>
      <c r="J5" s="50" t="s">
        <v>10</v>
      </c>
      <c r="M5" s="51" t="s">
        <v>11</v>
      </c>
      <c r="P5" s="52" t="s">
        <v>12</v>
      </c>
    </row>
    <row r="6" spans="1:18" x14ac:dyDescent="0.5">
      <c r="A6" s="48">
        <v>1</v>
      </c>
      <c r="B6" s="49" t="s">
        <v>3290</v>
      </c>
      <c r="D6" s="53">
        <v>1</v>
      </c>
      <c r="E6" s="53">
        <v>2</v>
      </c>
      <c r="G6" s="53" t="s">
        <v>538</v>
      </c>
      <c r="J6" s="54">
        <v>2</v>
      </c>
      <c r="K6" s="54">
        <v>1</v>
      </c>
      <c r="M6" s="55" cm="1">
        <f t="array" ref="M6:N7">transform_array(D6:E7,G6)</f>
        <v>2</v>
      </c>
      <c r="N6" s="55">
        <v>1</v>
      </c>
      <c r="P6" s="56" t="str" cm="1">
        <f t="array" ref="P6">IF(AND(J6:K7=M6:N7),"PASS","FAIL")</f>
        <v>PASS</v>
      </c>
    </row>
    <row r="7" spans="1:18" x14ac:dyDescent="0.5">
      <c r="A7" s="57"/>
      <c r="B7" s="57"/>
      <c r="D7" s="53">
        <v>3</v>
      </c>
      <c r="E7" s="53">
        <v>4</v>
      </c>
      <c r="J7" s="54">
        <v>4</v>
      </c>
      <c r="K7" s="54">
        <v>3</v>
      </c>
      <c r="M7" s="55">
        <v>4</v>
      </c>
      <c r="N7" s="55">
        <v>3</v>
      </c>
    </row>
    <row r="9" spans="1:18" x14ac:dyDescent="0.5">
      <c r="A9" s="48">
        <v>2</v>
      </c>
      <c r="B9" s="49" t="s">
        <v>3291</v>
      </c>
      <c r="D9" s="53">
        <v>1</v>
      </c>
      <c r="E9" s="53">
        <v>2</v>
      </c>
      <c r="G9" s="53" t="s">
        <v>555</v>
      </c>
      <c r="J9" s="54">
        <v>3</v>
      </c>
      <c r="K9" s="54">
        <v>4</v>
      </c>
      <c r="M9" s="55" cm="1">
        <f t="array" ref="M9:N10">transform_array(D9:E10,G9)</f>
        <v>3</v>
      </c>
      <c r="N9" s="55">
        <v>4</v>
      </c>
      <c r="P9" s="56" t="str" cm="1">
        <f t="array" ref="P9">IF(AND(J9:K10=M9:N10),"PASS","FAIL")</f>
        <v>PASS</v>
      </c>
    </row>
    <row r="10" spans="1:18" x14ac:dyDescent="0.5">
      <c r="A10" s="57"/>
      <c r="B10" s="57"/>
      <c r="D10" s="53">
        <v>3</v>
      </c>
      <c r="E10" s="53">
        <v>4</v>
      </c>
      <c r="J10" s="54">
        <v>1</v>
      </c>
      <c r="K10" s="54">
        <v>2</v>
      </c>
      <c r="M10" s="55">
        <v>1</v>
      </c>
      <c r="N10" s="55">
        <v>2</v>
      </c>
    </row>
    <row r="12" spans="1:18" x14ac:dyDescent="0.5">
      <c r="A12" s="48">
        <v>3</v>
      </c>
      <c r="B12" s="49" t="s">
        <v>3292</v>
      </c>
      <c r="D12" s="53">
        <v>1</v>
      </c>
      <c r="E12" s="53">
        <v>2</v>
      </c>
      <c r="G12" s="53" t="s">
        <v>564</v>
      </c>
      <c r="J12" s="54">
        <v>3</v>
      </c>
      <c r="K12" s="54">
        <v>1</v>
      </c>
      <c r="M12" s="55" cm="1">
        <f t="array" ref="M12:N13">transform_array(D12:E13,G12)</f>
        <v>3</v>
      </c>
      <c r="N12" s="55">
        <v>1</v>
      </c>
      <c r="P12" s="56" t="str" cm="1">
        <f t="array" ref="P12">IF(AND(J12:K13=M12:N13),"PASS","FAIL")</f>
        <v>PASS</v>
      </c>
    </row>
    <row r="13" spans="1:18" x14ac:dyDescent="0.5">
      <c r="A13" s="57"/>
      <c r="B13" s="57"/>
      <c r="D13" s="53">
        <v>3</v>
      </c>
      <c r="E13" s="53">
        <v>4</v>
      </c>
      <c r="J13" s="54">
        <v>4</v>
      </c>
      <c r="K13" s="54">
        <v>2</v>
      </c>
      <c r="M13" s="55">
        <v>4</v>
      </c>
      <c r="N13" s="55">
        <v>2</v>
      </c>
    </row>
    <row r="15" spans="1:18" x14ac:dyDescent="0.5">
      <c r="A15" s="48">
        <v>4</v>
      </c>
      <c r="B15" s="49" t="s">
        <v>3293</v>
      </c>
      <c r="D15" s="53">
        <v>1</v>
      </c>
      <c r="E15" s="53">
        <v>2</v>
      </c>
      <c r="G15" s="53" t="s">
        <v>573</v>
      </c>
      <c r="J15" s="54">
        <v>2</v>
      </c>
      <c r="K15" s="54">
        <v>4</v>
      </c>
      <c r="M15" s="55" cm="1">
        <f t="array" ref="M15:N16">transform_array(D15:E16,G15)</f>
        <v>2</v>
      </c>
      <c r="N15" s="55">
        <v>4</v>
      </c>
      <c r="P15" s="56" t="str" cm="1">
        <f t="array" ref="P15">IF(AND(J15:K16=M15:N16),"PASS","FAIL")</f>
        <v>PASS</v>
      </c>
    </row>
    <row r="16" spans="1:18" x14ac:dyDescent="0.5">
      <c r="A16" s="57"/>
      <c r="B16" s="57"/>
      <c r="D16" s="53">
        <v>3</v>
      </c>
      <c r="E16" s="53">
        <v>4</v>
      </c>
      <c r="J16" s="54">
        <v>1</v>
      </c>
      <c r="K16" s="54">
        <v>3</v>
      </c>
      <c r="M16" s="55">
        <v>1</v>
      </c>
      <c r="N16" s="55">
        <v>3</v>
      </c>
    </row>
    <row r="18" spans="1:16" x14ac:dyDescent="0.5">
      <c r="A18" s="48">
        <v>5</v>
      </c>
      <c r="B18" s="49" t="s">
        <v>3294</v>
      </c>
      <c r="D18" s="53">
        <v>1</v>
      </c>
      <c r="E18" s="53">
        <v>2</v>
      </c>
      <c r="G18" s="53" t="s">
        <v>3295</v>
      </c>
      <c r="J18" s="54">
        <v>4</v>
      </c>
      <c r="K18" s="54">
        <v>3</v>
      </c>
      <c r="M18" s="55" cm="1">
        <f t="array" ref="M18:N19">transform_array(D18:E19,G18)</f>
        <v>4</v>
      </c>
      <c r="N18" s="55">
        <v>3</v>
      </c>
      <c r="P18" s="56" t="str" cm="1">
        <f t="array" ref="P18">IF(AND(J18:K19=M18:N19),"PASS","FAIL")</f>
        <v>PASS</v>
      </c>
    </row>
    <row r="19" spans="1:16" x14ac:dyDescent="0.5">
      <c r="A19" s="57"/>
      <c r="B19" s="57"/>
      <c r="D19" s="53">
        <v>3</v>
      </c>
      <c r="E19" s="53">
        <v>4</v>
      </c>
      <c r="J19" s="54">
        <v>2</v>
      </c>
      <c r="K19" s="54">
        <v>1</v>
      </c>
      <c r="M19" s="55">
        <v>2</v>
      </c>
      <c r="N19" s="55">
        <v>1</v>
      </c>
    </row>
    <row r="21" spans="1:16" x14ac:dyDescent="0.5">
      <c r="A21" s="48">
        <v>6</v>
      </c>
      <c r="B21" s="49" t="s">
        <v>3296</v>
      </c>
      <c r="D21" s="53">
        <v>1</v>
      </c>
      <c r="E21" s="53">
        <v>2</v>
      </c>
      <c r="F21" s="53">
        <v>3</v>
      </c>
      <c r="H21" s="53" t="s">
        <v>564</v>
      </c>
      <c r="J21" s="54">
        <v>4</v>
      </c>
      <c r="K21" s="54">
        <v>1</v>
      </c>
      <c r="M21" s="55" cm="1">
        <f t="array" ref="M21:N23">transform_array(D21:F22,H21)</f>
        <v>4</v>
      </c>
      <c r="N21" s="55">
        <v>1</v>
      </c>
      <c r="P21" s="56" t="str" cm="1">
        <f t="array" ref="P21">IF(AND(J21:K23=M21:N23),"PASS","FAIL")</f>
        <v>PASS</v>
      </c>
    </row>
    <row r="22" spans="1:16" x14ac:dyDescent="0.5">
      <c r="A22" s="57"/>
      <c r="B22" s="57"/>
      <c r="D22" s="53">
        <v>4</v>
      </c>
      <c r="E22" s="53">
        <v>5</v>
      </c>
      <c r="F22" s="53">
        <v>6</v>
      </c>
      <c r="J22" s="54">
        <v>5</v>
      </c>
      <c r="K22" s="54">
        <v>2</v>
      </c>
      <c r="M22" s="55">
        <v>5</v>
      </c>
      <c r="N22" s="55">
        <v>2</v>
      </c>
    </row>
    <row r="23" spans="1:16" x14ac:dyDescent="0.5">
      <c r="A23" s="57"/>
      <c r="B23" s="57"/>
      <c r="J23" s="54">
        <v>6</v>
      </c>
      <c r="K23" s="54">
        <v>3</v>
      </c>
      <c r="M23" s="55">
        <v>6</v>
      </c>
      <c r="N23" s="55">
        <v>3</v>
      </c>
    </row>
    <row r="25" spans="1:16" x14ac:dyDescent="0.5">
      <c r="A25" s="48">
        <v>7</v>
      </c>
      <c r="B25" s="49" t="s">
        <v>3385</v>
      </c>
      <c r="J25" s="54" t="s">
        <v>3386</v>
      </c>
      <c r="M25" s="55" t="e" cm="1">
        <f t="array" ref="M25">transform_array({1,2;3,4},"Z")</f>
        <v>#VALUE!</v>
      </c>
      <c r="P25" s="56" t="str">
        <f>IF(ERROR.TYPE(M25)=3,"PASS","FAIL")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7" t="s">
        <v>0</v>
      </c>
      <c r="B1" s="86" t="str" cm="1">
        <f t="array" aca="1" ref="B1" ca="1">_xlfn.LET(_xlpm.fn, CELL("filename",$A$1), _xlpm.nm, MID(_xlpm.fn, FIND("]", _xlpm.fn) + 1, 255), _xlfn.XLOOKUP(_xlpm.nm &amp; "(*", Lamb!$A$2:$A$1000, Lamb!$A$2:$A$1000, "", 2))</f>
        <v>update_arr( array, r, c, value)</v>
      </c>
      <c r="C1" s="82"/>
      <c r="D1" s="82"/>
      <c r="E1" s="82"/>
      <c r="F1" s="83"/>
      <c r="H1" s="47" t="s">
        <v>2</v>
      </c>
      <c r="I1" s="81"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82"/>
      <c r="K1" s="82"/>
      <c r="L1" s="82"/>
      <c r="M1" s="82"/>
      <c r="N1" s="82"/>
      <c r="O1" s="82"/>
      <c r="P1" s="82"/>
      <c r="Q1" s="82"/>
      <c r="R1" s="83"/>
    </row>
    <row r="2" spans="1:22" ht="168" customHeight="1" x14ac:dyDescent="0.5">
      <c r="A2" s="47" t="s">
        <v>4</v>
      </c>
      <c r="B2" s="84" t="str" cm="1">
        <f t="array" aca="1" ref="B2" ca="1">_xlfn.LET(_xlpm.fn, CELL("filename",$A$1), _xlpm.nm, MID(_xlpm.fn, FIND("]", _xlpm.fn) + 1, 255), _xlfn.XLOOKUP(_xlpm.nm &amp; "(*", Lamb!$A$2:$A$1000, Lamb!$C$2:$C$1000, "", 2))</f>
        <v>=LAMBDA(array, r, c, value, LET(
   arr, array,
   MAKEARRAY(
      ROWS(arr),
      COLUMNS(arr),
      LAMBDA(i, j, IF((i = r) * (j = c), value, INDEX(arr, i, j)))
   )
))</v>
      </c>
      <c r="C2" s="85"/>
      <c r="D2" s="85"/>
      <c r="E2" s="85"/>
      <c r="F2" s="85"/>
      <c r="G2" s="85"/>
      <c r="H2" s="85"/>
      <c r="I2" s="85"/>
      <c r="J2" s="85"/>
      <c r="K2" s="85"/>
      <c r="L2" s="85"/>
      <c r="M2" s="85"/>
      <c r="N2" s="85"/>
      <c r="O2" s="85"/>
      <c r="P2" s="85"/>
      <c r="Q2" s="85"/>
      <c r="R2" s="85"/>
    </row>
    <row r="4" spans="1:22" x14ac:dyDescent="0.5">
      <c r="A4" s="47" t="s">
        <v>3297</v>
      </c>
      <c r="V4" s="47" t="str">
        <f>COUNTIF(V6:V11,"PASS")&amp;" / 2 PASS"</f>
        <v>2 / 2 PASS</v>
      </c>
    </row>
    <row r="5" spans="1:22" x14ac:dyDescent="0.5">
      <c r="A5" s="47" t="s">
        <v>7</v>
      </c>
      <c r="B5" s="47" t="s">
        <v>8</v>
      </c>
      <c r="D5" s="47" t="s">
        <v>9</v>
      </c>
      <c r="N5" s="50" t="s">
        <v>10</v>
      </c>
      <c r="R5" s="51" t="s">
        <v>11</v>
      </c>
      <c r="V5" s="52" t="s">
        <v>12</v>
      </c>
    </row>
    <row r="6" spans="1:22" x14ac:dyDescent="0.5">
      <c r="A6" s="48">
        <v>1</v>
      </c>
      <c r="B6" s="49" t="s">
        <v>3298</v>
      </c>
      <c r="D6" s="53">
        <v>1</v>
      </c>
      <c r="E6" s="53">
        <v>2</v>
      </c>
      <c r="G6" s="53">
        <v>2</v>
      </c>
      <c r="I6" s="53">
        <v>1</v>
      </c>
      <c r="K6" s="53">
        <v>9</v>
      </c>
      <c r="N6" s="54">
        <v>1</v>
      </c>
      <c r="O6" s="54">
        <v>2</v>
      </c>
      <c r="R6" s="55" cm="1">
        <f t="array" ref="R6:S7">update_arr(D6:E7,G6,I6,K6)</f>
        <v>1</v>
      </c>
      <c r="S6" s="55">
        <v>2</v>
      </c>
      <c r="V6" s="56" t="str" cm="1">
        <f t="array" ref="V6">IF(AND(N6:O7=R6:S7),"PASS","FAIL")</f>
        <v>PASS</v>
      </c>
    </row>
    <row r="7" spans="1:22" x14ac:dyDescent="0.5">
      <c r="A7" s="57"/>
      <c r="B7" s="57"/>
      <c r="D7" s="53">
        <v>3</v>
      </c>
      <c r="E7" s="53">
        <v>4</v>
      </c>
      <c r="N7" s="54">
        <v>9</v>
      </c>
      <c r="O7" s="54">
        <v>4</v>
      </c>
      <c r="R7" s="55">
        <v>9</v>
      </c>
      <c r="S7" s="55">
        <v>4</v>
      </c>
    </row>
    <row r="9" spans="1:22" x14ac:dyDescent="0.5">
      <c r="A9" s="48">
        <v>2</v>
      </c>
      <c r="B9" s="49" t="s">
        <v>3299</v>
      </c>
      <c r="D9" s="53">
        <v>1</v>
      </c>
      <c r="E9" s="53">
        <v>2</v>
      </c>
      <c r="F9" s="53">
        <v>3</v>
      </c>
      <c r="H9" s="53">
        <v>1</v>
      </c>
      <c r="J9" s="53">
        <v>3</v>
      </c>
      <c r="L9" s="53">
        <v>0</v>
      </c>
      <c r="N9" s="54">
        <v>1</v>
      </c>
      <c r="O9" s="54">
        <v>2</v>
      </c>
      <c r="P9" s="54">
        <v>0</v>
      </c>
      <c r="R9" s="55" cm="1">
        <f t="array" ref="R9:T9">update_arr(D9:F9,H9,J9,L9)</f>
        <v>1</v>
      </c>
      <c r="S9" s="55">
        <v>2</v>
      </c>
      <c r="T9" s="55">
        <v>0</v>
      </c>
      <c r="V9" s="56" t="str" cm="1">
        <f t="array" ref="V9">IF(AND(N9:P9=R9:T9),"PASS","FAIL")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7" t="s">
        <v>0</v>
      </c>
      <c r="B1" s="86" t="str" cm="1">
        <f t="array" aca="1" ref="B1" ca="1">_xlfn.LET(_xlpm.fn, CELL("filename",$A$1), _xlpm.nm, MID(_xlpm.fn, FIND("]", _xlpm.fn) + 1, 255), _xlfn.XLOOKUP(_xlpm.nm &amp; "(*", Lamb!$A$2:$A$1000, Lamb!$A$2:$A$1000, "", 2))</f>
        <v>xbyrow(arr, function)</v>
      </c>
      <c r="C1" s="82"/>
      <c r="D1" s="82"/>
      <c r="E1" s="82"/>
      <c r="F1" s="83"/>
      <c r="H1" s="47" t="s">
        <v>2</v>
      </c>
      <c r="I1" s="81"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82"/>
      <c r="K1" s="82"/>
      <c r="L1" s="82"/>
      <c r="M1" s="82"/>
      <c r="N1" s="82"/>
      <c r="O1" s="82"/>
      <c r="P1" s="82"/>
      <c r="Q1" s="82"/>
      <c r="R1" s="83"/>
    </row>
    <row r="2" spans="1:25" ht="63" customHeight="1" x14ac:dyDescent="0.5">
      <c r="A2" s="47" t="s">
        <v>4</v>
      </c>
      <c r="B2" s="84" t="str" cm="1">
        <f t="array" aca="1" ref="B2" ca="1">_xlfn.LET(_xlpm.fn, CELL("filename",$A$1), _xlpm.nm, MID(_xlpm.fn, FIND("]", _xlpm.fn) + 1, 255), _xlfn.XLOOKUP(_xlpm.nm &amp; "(*", Lamb!$A$2:$A$1000, Lamb!$C$2:$C$1000, "", 2))</f>
        <v>=LAMBDA(arr, function,
  IFNA(z_xbyrow_ix(arr, function, 1, ROWS(arr)), "")
)</v>
      </c>
      <c r="C2" s="85"/>
      <c r="D2" s="85"/>
      <c r="E2" s="85"/>
      <c r="F2" s="85"/>
      <c r="G2" s="85"/>
      <c r="H2" s="85"/>
      <c r="I2" s="85"/>
      <c r="J2" s="85"/>
      <c r="K2" s="85"/>
      <c r="L2" s="85"/>
      <c r="M2" s="85"/>
      <c r="N2" s="85"/>
      <c r="O2" s="85"/>
      <c r="P2" s="85"/>
      <c r="Q2" s="85"/>
      <c r="R2" s="85"/>
    </row>
    <row r="4" spans="1:25" x14ac:dyDescent="0.5">
      <c r="A4" s="47" t="s">
        <v>3300</v>
      </c>
      <c r="Y4" s="47" t="str">
        <f ca="1">COUNTIF(Y6:Y21,"PASS")&amp;" / 4 PASS"</f>
        <v>3 / 4 PASS</v>
      </c>
    </row>
    <row r="5" spans="1:25" x14ac:dyDescent="0.5">
      <c r="A5" s="47" t="s">
        <v>7</v>
      </c>
      <c r="B5" s="47" t="s">
        <v>8</v>
      </c>
      <c r="D5" s="47" t="s">
        <v>9</v>
      </c>
      <c r="G5" s="50" t="s">
        <v>10</v>
      </c>
      <c r="P5" s="51" t="s">
        <v>11</v>
      </c>
      <c r="Y5" s="52" t="s">
        <v>12</v>
      </c>
    </row>
    <row r="6" spans="1:25" x14ac:dyDescent="0.5">
      <c r="A6" s="48">
        <v>1</v>
      </c>
      <c r="B6" s="49" t="s">
        <v>3301</v>
      </c>
      <c r="D6" s="53">
        <v>1</v>
      </c>
      <c r="G6" s="54">
        <v>10</v>
      </c>
      <c r="P6" s="55" cm="1">
        <f t="array" ref="P6:P8">xbyrow(D6:D8, _xlfn.LAMBDA(_xlpm.x, _xlpm.x*10))</f>
        <v>10</v>
      </c>
      <c r="Y6" s="56" t="str" cm="1">
        <f t="array" ref="Y6">IF(AND(G6:G8=P6:P8),"PASS","FAIL")</f>
        <v>PASS</v>
      </c>
    </row>
    <row r="7" spans="1:25" x14ac:dyDescent="0.5">
      <c r="A7" s="57"/>
      <c r="B7" s="57"/>
      <c r="D7" s="53">
        <v>2</v>
      </c>
      <c r="G7" s="54">
        <v>20</v>
      </c>
      <c r="P7" s="55">
        <v>20</v>
      </c>
    </row>
    <row r="8" spans="1:25" x14ac:dyDescent="0.5">
      <c r="A8" s="57"/>
      <c r="B8" s="57"/>
      <c r="D8" s="53">
        <v>3</v>
      </c>
      <c r="G8" s="54">
        <v>30</v>
      </c>
      <c r="P8" s="55">
        <v>30</v>
      </c>
    </row>
    <row r="10" spans="1:25" x14ac:dyDescent="0.5">
      <c r="A10" s="48">
        <v>2</v>
      </c>
      <c r="B10" s="49" t="s">
        <v>3302</v>
      </c>
      <c r="D10" s="53">
        <v>1</v>
      </c>
      <c r="G10" s="54">
        <v>1</v>
      </c>
      <c r="H10" s="54">
        <v>2</v>
      </c>
      <c r="P10" s="55" cm="1">
        <f t="array" ref="P10:Q12">xbyrow(D10:D12, _xlfn.LAMBDA(_xlpm.x, _xlfn.SEQUENCE(1,2,_xlpm.x)))</f>
        <v>1</v>
      </c>
      <c r="Q10" s="55">
        <v>2</v>
      </c>
      <c r="Y10" s="56" t="str" cm="1">
        <f t="array" ref="Y10">IF(AND(G10:H12=P10:Q12),"PASS","FAIL")</f>
        <v>PASS</v>
      </c>
    </row>
    <row r="11" spans="1:25" x14ac:dyDescent="0.5">
      <c r="A11" s="57"/>
      <c r="B11" s="57"/>
      <c r="D11" s="53">
        <v>2</v>
      </c>
      <c r="G11" s="54">
        <v>2</v>
      </c>
      <c r="H11" s="54">
        <v>3</v>
      </c>
      <c r="P11" s="55">
        <v>2</v>
      </c>
      <c r="Q11" s="55">
        <v>3</v>
      </c>
    </row>
    <row r="12" spans="1:25" x14ac:dyDescent="0.5">
      <c r="A12" s="57"/>
      <c r="B12" s="57"/>
      <c r="D12" s="53">
        <v>3</v>
      </c>
      <c r="G12" s="54">
        <v>3</v>
      </c>
      <c r="H12" s="54">
        <v>4</v>
      </c>
      <c r="P12" s="55">
        <v>3</v>
      </c>
      <c r="Q12" s="55">
        <v>4</v>
      </c>
    </row>
    <row r="14" spans="1:25" x14ac:dyDescent="0.5">
      <c r="A14" s="48">
        <v>3</v>
      </c>
      <c r="B14" s="49" t="s">
        <v>3303</v>
      </c>
      <c r="D14" s="53">
        <v>4</v>
      </c>
      <c r="E14" s="53">
        <v>1</v>
      </c>
      <c r="G14" s="54">
        <v>1</v>
      </c>
      <c r="P14" s="55" t="e" cm="1">
        <f t="array" aca="1" ref="P14" ca="1">xbyrow(D14:E16, min)</f>
        <v>#NAME?</v>
      </c>
      <c r="Y14" s="56" t="e" cm="1">
        <f t="array" aca="1" ref="Y14" ca="1">IF(AND(G14:G16=P14:P16),"PASS","FAIL")</f>
        <v>#NAME?</v>
      </c>
    </row>
    <row r="15" spans="1:25" x14ac:dyDescent="0.5">
      <c r="A15" s="57"/>
      <c r="B15" s="57"/>
      <c r="D15" s="53">
        <v>9</v>
      </c>
      <c r="E15" s="53">
        <v>2</v>
      </c>
      <c r="G15" s="54">
        <v>2</v>
      </c>
      <c r="P15" s="55"/>
    </row>
    <row r="16" spans="1:25" x14ac:dyDescent="0.5">
      <c r="A16" s="57"/>
      <c r="B16" s="57"/>
      <c r="D16" s="53">
        <v>7</v>
      </c>
      <c r="E16" s="53">
        <v>5</v>
      </c>
      <c r="G16" s="54">
        <v>5</v>
      </c>
      <c r="P16" s="55"/>
    </row>
    <row r="18" spans="1:25" x14ac:dyDescent="0.5">
      <c r="A18" s="48">
        <v>4</v>
      </c>
      <c r="B18" s="49" t="s">
        <v>3304</v>
      </c>
      <c r="D18" s="53" t="s">
        <v>3133</v>
      </c>
      <c r="G18" s="54" t="s">
        <v>3009</v>
      </c>
      <c r="H18" s="54" t="s">
        <v>3105</v>
      </c>
      <c r="I18" s="54" t="s">
        <v>3137</v>
      </c>
      <c r="J18" s="54" t="s">
        <v>3134</v>
      </c>
      <c r="K18" s="54" t="s">
        <v>3135</v>
      </c>
      <c r="L18" s="54" t="s">
        <v>3012</v>
      </c>
      <c r="M18" s="54" t="s">
        <v>3101</v>
      </c>
      <c r="N18" s="54" t="s">
        <v>3074</v>
      </c>
      <c r="P18" s="55" t="str" cm="1">
        <f t="array" ref="P18:W19">xbyrow(D18:D19, neighbors_list)</f>
        <v>A1</v>
      </c>
      <c r="Q18" s="55" t="str">
        <v>B1</v>
      </c>
      <c r="R18" s="55" t="str">
        <v>C1</v>
      </c>
      <c r="S18" s="55" t="str">
        <v>A2</v>
      </c>
      <c r="T18" s="55" t="str">
        <v>C2</v>
      </c>
      <c r="U18" s="55" t="str">
        <v>A3</v>
      </c>
      <c r="V18" s="55" t="str">
        <v>B3</v>
      </c>
      <c r="W18" s="55" t="str">
        <v>C3</v>
      </c>
      <c r="Y18" s="56" t="str" cm="1">
        <f t="array" ref="Y18">IF(AND(G18:N19=P18:W19),"PASS","FAIL")</f>
        <v>PASS</v>
      </c>
    </row>
    <row r="19" spans="1:25" x14ac:dyDescent="0.5">
      <c r="A19" s="57"/>
      <c r="B19" s="57"/>
      <c r="D19" s="53" t="s">
        <v>3305</v>
      </c>
      <c r="G19" s="54" t="s">
        <v>3306</v>
      </c>
      <c r="H19" s="54" t="s">
        <v>3142</v>
      </c>
      <c r="I19" s="54" t="s">
        <v>3081</v>
      </c>
      <c r="J19" s="54" t="s">
        <v>3307</v>
      </c>
      <c r="K19" s="54" t="s">
        <v>3308</v>
      </c>
      <c r="L19" s="54" t="s">
        <v>3309</v>
      </c>
      <c r="M19" s="54" t="s">
        <v>3310</v>
      </c>
      <c r="N19" s="54" t="s">
        <v>3311</v>
      </c>
      <c r="P19" s="55" t="str">
        <v>A4</v>
      </c>
      <c r="Q19" s="55" t="str">
        <v>B4</v>
      </c>
      <c r="R19" s="55" t="str">
        <v>C4</v>
      </c>
      <c r="S19" s="55" t="str">
        <v>A5</v>
      </c>
      <c r="T19" s="55" t="str">
        <v>C5</v>
      </c>
      <c r="U19" s="55" t="str">
        <v>A6</v>
      </c>
      <c r="V19" s="55" t="str">
        <v>B6</v>
      </c>
      <c r="W19" s="55" t="str">
        <v>C6</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xcountif(arr, criteria)</v>
      </c>
      <c r="C1" s="82"/>
      <c r="D1" s="82"/>
      <c r="E1" s="82"/>
      <c r="F1" s="83"/>
      <c r="H1" s="47" t="s">
        <v>2</v>
      </c>
      <c r="I1" s="81"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82"/>
      <c r="K1" s="82"/>
      <c r="L1" s="82"/>
      <c r="M1" s="82"/>
      <c r="N1" s="82"/>
      <c r="O1" s="82"/>
      <c r="P1" s="82"/>
      <c r="Q1" s="82"/>
      <c r="R1" s="83"/>
    </row>
    <row r="2" spans="1:18" ht="189" customHeight="1" x14ac:dyDescent="0.5">
      <c r="A2" s="47" t="s">
        <v>4</v>
      </c>
      <c r="B2" s="84"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5"/>
      <c r="D2" s="85"/>
      <c r="E2" s="85"/>
      <c r="F2" s="85"/>
      <c r="G2" s="85"/>
      <c r="H2" s="85"/>
      <c r="I2" s="85"/>
      <c r="J2" s="85"/>
      <c r="K2" s="85"/>
      <c r="L2" s="85"/>
      <c r="M2" s="85"/>
      <c r="N2" s="85"/>
      <c r="O2" s="85"/>
      <c r="P2" s="85"/>
      <c r="Q2" s="85"/>
      <c r="R2" s="85"/>
    </row>
    <row r="4" spans="1:18" x14ac:dyDescent="0.5">
      <c r="A4" s="47" t="s">
        <v>3312</v>
      </c>
      <c r="L4" s="47" t="str">
        <f>COUNTIF(L6:L29,"PASS")&amp;" / 5 PASS"</f>
        <v>5 / 5 PASS</v>
      </c>
    </row>
    <row r="5" spans="1:18" x14ac:dyDescent="0.5">
      <c r="A5" s="47" t="s">
        <v>7</v>
      </c>
      <c r="B5" s="47" t="s">
        <v>8</v>
      </c>
      <c r="D5" s="47" t="s">
        <v>9</v>
      </c>
      <c r="H5" s="50" t="s">
        <v>10</v>
      </c>
      <c r="J5" s="51" t="s">
        <v>11</v>
      </c>
      <c r="L5" s="52" t="s">
        <v>12</v>
      </c>
    </row>
    <row r="6" spans="1:18" x14ac:dyDescent="0.5">
      <c r="A6" s="48">
        <v>1</v>
      </c>
      <c r="B6" s="49" t="s">
        <v>3313</v>
      </c>
      <c r="D6" s="53">
        <v>1</v>
      </c>
      <c r="F6" s="53">
        <v>2</v>
      </c>
      <c r="H6" s="54">
        <v>2</v>
      </c>
      <c r="J6" s="55" cm="1">
        <f t="array" ref="J6">xcountif(D6:D9,F6)</f>
        <v>2</v>
      </c>
      <c r="L6" s="56" t="str">
        <f>IF(J6=H6,"PASS","FAIL")</f>
        <v>PASS</v>
      </c>
    </row>
    <row r="7" spans="1:18" x14ac:dyDescent="0.5">
      <c r="A7" s="57"/>
      <c r="B7" s="57"/>
      <c r="D7" s="53">
        <v>2</v>
      </c>
    </row>
    <row r="8" spans="1:18" x14ac:dyDescent="0.5">
      <c r="A8" s="57"/>
      <c r="B8" s="57"/>
      <c r="D8" s="53">
        <v>2</v>
      </c>
    </row>
    <row r="9" spans="1:18" x14ac:dyDescent="0.5">
      <c r="A9" s="57"/>
      <c r="B9" s="57"/>
      <c r="D9" s="53">
        <v>3</v>
      </c>
    </row>
    <row r="11" spans="1:18" x14ac:dyDescent="0.5">
      <c r="A11" s="48">
        <v>2</v>
      </c>
      <c r="B11" s="49" t="s">
        <v>3314</v>
      </c>
      <c r="D11" s="53" t="s">
        <v>3021</v>
      </c>
      <c r="F11" s="53" t="s">
        <v>3021</v>
      </c>
      <c r="H11" s="54">
        <v>2</v>
      </c>
      <c r="J11" s="55" cm="1">
        <f t="array" ref="J11">xcountif(D11:D13,F11)</f>
        <v>2</v>
      </c>
      <c r="L11" s="56" t="str">
        <f>IF(J11=H11,"PASS","FAIL")</f>
        <v>PASS</v>
      </c>
    </row>
    <row r="12" spans="1:18" x14ac:dyDescent="0.5">
      <c r="A12" s="57"/>
      <c r="B12" s="57"/>
      <c r="D12" s="53" t="s">
        <v>3022</v>
      </c>
    </row>
    <row r="13" spans="1:18" x14ac:dyDescent="0.5">
      <c r="A13" s="57"/>
      <c r="B13" s="57"/>
      <c r="D13" s="53" t="s">
        <v>3021</v>
      </c>
    </row>
    <row r="15" spans="1:18" x14ac:dyDescent="0.5">
      <c r="A15" s="48">
        <v>3</v>
      </c>
      <c r="B15" s="49" t="s">
        <v>3315</v>
      </c>
      <c r="D15" s="53">
        <v>1</v>
      </c>
      <c r="F15" s="53">
        <v>2</v>
      </c>
      <c r="H15" s="54">
        <v>2</v>
      </c>
      <c r="J15" s="55" cm="1">
        <f t="array" ref="J15:J16">xcountif(D15:D18,F15:F16)</f>
        <v>2</v>
      </c>
      <c r="L15" s="56" t="str" cm="1">
        <f t="array" ref="L15">IF(AND(H15:H16=J15:J16),"PASS","FAIL")</f>
        <v>PASS</v>
      </c>
    </row>
    <row r="16" spans="1:18" x14ac:dyDescent="0.5">
      <c r="A16" s="57"/>
      <c r="B16" s="57"/>
      <c r="D16" s="53">
        <v>2</v>
      </c>
      <c r="F16" s="53">
        <v>3</v>
      </c>
      <c r="H16" s="54">
        <v>1</v>
      </c>
      <c r="J16" s="55">
        <v>1</v>
      </c>
    </row>
    <row r="17" spans="1:12" x14ac:dyDescent="0.5">
      <c r="A17" s="57"/>
      <c r="B17" s="57"/>
      <c r="D17" s="53">
        <v>2</v>
      </c>
    </row>
    <row r="18" spans="1:12" x14ac:dyDescent="0.5">
      <c r="A18" s="57"/>
      <c r="B18" s="57"/>
      <c r="D18" s="53">
        <v>3</v>
      </c>
    </row>
    <row r="20" spans="1:12" x14ac:dyDescent="0.5">
      <c r="A20" s="48">
        <v>4</v>
      </c>
      <c r="B20" s="49" t="s">
        <v>3316</v>
      </c>
      <c r="D20" s="53">
        <v>1</v>
      </c>
      <c r="F20" s="53">
        <v>0</v>
      </c>
      <c r="H20" s="54">
        <v>2</v>
      </c>
      <c r="J20" s="55" cm="1">
        <f t="array" ref="J20">xcountif(D20:D23,F20)</f>
        <v>2</v>
      </c>
      <c r="L20" s="56" t="str">
        <f>IF(J20=H20,"PASS","FAIL")</f>
        <v>PASS</v>
      </c>
    </row>
    <row r="21" spans="1:12" x14ac:dyDescent="0.5">
      <c r="A21" s="57"/>
      <c r="B21" s="57"/>
      <c r="D21" s="53">
        <v>2</v>
      </c>
    </row>
    <row r="22" spans="1:12" x14ac:dyDescent="0.5">
      <c r="A22" s="57"/>
      <c r="B22" s="57"/>
      <c r="D22" s="53"/>
    </row>
    <row r="23" spans="1:12" x14ac:dyDescent="0.5">
      <c r="A23" s="57"/>
      <c r="B23" s="57"/>
      <c r="D23" s="53">
        <v>0</v>
      </c>
    </row>
    <row r="25" spans="1:12" x14ac:dyDescent="0.5">
      <c r="A25" s="48">
        <v>5</v>
      </c>
      <c r="B25" s="49" t="s">
        <v>3317</v>
      </c>
      <c r="D25" s="53">
        <v>1</v>
      </c>
      <c r="F25" s="53">
        <v>2</v>
      </c>
      <c r="H25" s="54">
        <v>0</v>
      </c>
      <c r="J25" s="55" cm="1">
        <f t="array" ref="J25">xcountif(D25:D27,F25)</f>
        <v>0</v>
      </c>
      <c r="L25" s="56" t="str">
        <f>IF(J25=H25,"PASS","FAIL")</f>
        <v>PASS</v>
      </c>
    </row>
    <row r="26" spans="1:12" x14ac:dyDescent="0.5">
      <c r="A26" s="57"/>
      <c r="B26" s="57"/>
      <c r="D26" s="53">
        <v>2</v>
      </c>
    </row>
    <row r="27" spans="1:12" x14ac:dyDescent="0.5">
      <c r="A27" s="57"/>
      <c r="B27" s="57"/>
      <c r="D27" s="53" t="e">
        <f>NA()</f>
        <v>#N/A</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xdec2bin(number, [places])</v>
      </c>
      <c r="C1" s="82"/>
      <c r="D1" s="82"/>
      <c r="E1" s="82"/>
      <c r="F1" s="83"/>
      <c r="H1" s="47" t="s">
        <v>2</v>
      </c>
      <c r="I1" s="81"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82"/>
      <c r="K1" s="82"/>
      <c r="L1" s="82"/>
      <c r="M1" s="82"/>
      <c r="N1" s="82"/>
      <c r="O1" s="82"/>
      <c r="P1" s="82"/>
      <c r="Q1" s="82"/>
      <c r="R1" s="83"/>
    </row>
    <row r="2" spans="1:18" ht="336" customHeight="1" x14ac:dyDescent="0.5">
      <c r="A2" s="47" t="s">
        <v>4</v>
      </c>
      <c r="B2" s="84"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5"/>
      <c r="D2" s="85"/>
      <c r="E2" s="85"/>
      <c r="F2" s="85"/>
      <c r="G2" s="85"/>
      <c r="H2" s="85"/>
      <c r="I2" s="85"/>
      <c r="J2" s="85"/>
      <c r="K2" s="85"/>
      <c r="L2" s="85"/>
      <c r="M2" s="85"/>
      <c r="N2" s="85"/>
      <c r="O2" s="85"/>
      <c r="P2" s="85"/>
      <c r="Q2" s="85"/>
      <c r="R2" s="85"/>
    </row>
    <row r="4" spans="1:18" x14ac:dyDescent="0.5">
      <c r="A4" s="47" t="s">
        <v>3318</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3319</v>
      </c>
      <c r="D6" s="53">
        <v>5</v>
      </c>
      <c r="H6" s="54" t="s">
        <v>3320</v>
      </c>
      <c r="J6" s="55" t="str" cm="1">
        <f t="array" ref="J6">xdec2bin(D6)</f>
        <v>101</v>
      </c>
      <c r="L6" s="56" t="str">
        <f>IF(J6=H6,"PASS","FAIL")</f>
        <v>PASS</v>
      </c>
    </row>
    <row r="8" spans="1:18" x14ac:dyDescent="0.5">
      <c r="A8" s="48">
        <v>2</v>
      </c>
      <c r="B8" s="49" t="s">
        <v>3321</v>
      </c>
      <c r="D8" s="53">
        <v>5</v>
      </c>
      <c r="F8" s="53">
        <v>8</v>
      </c>
      <c r="H8" s="54" t="s">
        <v>3322</v>
      </c>
      <c r="J8" s="55" t="str" cm="1">
        <f t="array" ref="J8">xdec2bin(D8,F8)</f>
        <v>00000101</v>
      </c>
      <c r="L8" s="56" t="str">
        <f>IF(J8=H8,"PASS","FAIL")</f>
        <v>PASS</v>
      </c>
    </row>
    <row r="10" spans="1:18" x14ac:dyDescent="0.5">
      <c r="A10" s="48">
        <v>3</v>
      </c>
      <c r="B10" s="49" t="s">
        <v>3323</v>
      </c>
      <c r="D10" s="53">
        <v>0</v>
      </c>
      <c r="H10" s="54" t="s">
        <v>3324</v>
      </c>
      <c r="J10" s="55" t="str" cm="1">
        <f t="array" ref="J10">xdec2bin(D10)</f>
        <v>0</v>
      </c>
      <c r="L10" s="56" t="str">
        <f>IF(J10=H10,"PASS","FAIL")</f>
        <v>PASS</v>
      </c>
    </row>
    <row r="12" spans="1:18" x14ac:dyDescent="0.5">
      <c r="A12" s="48">
        <v>4</v>
      </c>
      <c r="B12" s="49" t="s">
        <v>3325</v>
      </c>
      <c r="D12" s="53">
        <v>0</v>
      </c>
      <c r="F12" s="53">
        <v>4</v>
      </c>
      <c r="H12" s="54" t="s">
        <v>3326</v>
      </c>
      <c r="J12" s="55" t="str" cm="1">
        <f t="array" ref="J12">xdec2bin(D12,F12)</f>
        <v>0000</v>
      </c>
      <c r="L12" s="56" t="str">
        <f>IF(J12=H12,"PASS","FAIL")</f>
        <v>PASS</v>
      </c>
    </row>
    <row r="14" spans="1:18" x14ac:dyDescent="0.5">
      <c r="A14" s="48">
        <v>5</v>
      </c>
      <c r="B14" s="49" t="s">
        <v>3327</v>
      </c>
      <c r="D14" s="53">
        <v>10</v>
      </c>
      <c r="H14" s="54" t="s">
        <v>3328</v>
      </c>
      <c r="J14" s="55" t="str" cm="1">
        <f t="array" ref="J14">xdec2bin(D14)</f>
        <v>1010</v>
      </c>
      <c r="L14" s="56" t="str">
        <f>IF(J14=H14,"PASS","FAIL")</f>
        <v>PASS</v>
      </c>
    </row>
    <row r="16" spans="1:18" x14ac:dyDescent="0.5">
      <c r="A16" s="48">
        <v>6</v>
      </c>
      <c r="B16" s="49" t="s">
        <v>3329</v>
      </c>
      <c r="D16" s="53">
        <v>-1</v>
      </c>
      <c r="F16" s="53">
        <v>4</v>
      </c>
      <c r="H16" s="54" t="s">
        <v>3330</v>
      </c>
      <c r="J16" s="55" t="str" cm="1">
        <f t="array" ref="J16">xdec2bin(D16,F16)</f>
        <v>1111</v>
      </c>
      <c r="L16" s="56" t="str">
        <f>IF(J16=H16,"PASS","FAIL")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7" t="s">
        <v>0</v>
      </c>
      <c r="B1" s="86" t="str" cm="1">
        <f t="array" aca="1" ref="B1" ca="1">_xlfn.LET(_xlpm.fn, CELL("filename",$A$1), _xlpm.nm, MID(_xlpm.fn, FIND("]", _xlpm.fn) + 1, 255), _xlfn.XLOOKUP(_xlpm.nm &amp; "(*", Lamb!$A$2:$A$1000, Lamb!$A$2:$A$1000, "", 2))</f>
        <v>xfilter(arr, f_1, [f_2], [f_3], [f_4], [f_5])</v>
      </c>
      <c r="C1" s="82"/>
      <c r="D1" s="82"/>
      <c r="E1" s="82"/>
      <c r="F1" s="83"/>
      <c r="H1" s="47" t="s">
        <v>2</v>
      </c>
      <c r="I1" s="81"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82"/>
      <c r="K1" s="82"/>
      <c r="L1" s="82"/>
      <c r="M1" s="82"/>
      <c r="N1" s="82"/>
      <c r="O1" s="82"/>
      <c r="P1" s="82"/>
      <c r="Q1" s="82"/>
      <c r="R1" s="83"/>
    </row>
    <row r="2" spans="1:22" ht="315" customHeight="1" x14ac:dyDescent="0.5">
      <c r="A2" s="47" t="s">
        <v>4</v>
      </c>
      <c r="B2" s="84"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5"/>
      <c r="D2" s="85"/>
      <c r="E2" s="85"/>
      <c r="F2" s="85"/>
      <c r="G2" s="85"/>
      <c r="H2" s="85"/>
      <c r="I2" s="85"/>
      <c r="J2" s="85"/>
      <c r="K2" s="85"/>
      <c r="L2" s="85"/>
      <c r="M2" s="85"/>
      <c r="N2" s="85"/>
      <c r="O2" s="85"/>
      <c r="P2" s="85"/>
      <c r="Q2" s="85"/>
      <c r="R2" s="85"/>
    </row>
    <row r="4" spans="1:22" x14ac:dyDescent="0.5">
      <c r="A4" s="47" t="s">
        <v>6</v>
      </c>
      <c r="V4" s="47" t="str">
        <f>COUNTIF(V6:V36,"PASS")&amp;" / 6 PASS"</f>
        <v>6 / 6 PASS</v>
      </c>
    </row>
    <row r="5" spans="1:22" x14ac:dyDescent="0.5">
      <c r="A5" s="47" t="s">
        <v>7</v>
      </c>
      <c r="B5" s="47" t="s">
        <v>8</v>
      </c>
      <c r="D5" s="47" t="s">
        <v>9</v>
      </c>
      <c r="N5" s="50" t="s">
        <v>10</v>
      </c>
      <c r="R5" s="51" t="s">
        <v>11</v>
      </c>
      <c r="V5" s="52" t="s">
        <v>12</v>
      </c>
    </row>
    <row r="6" spans="1:22" x14ac:dyDescent="0.5">
      <c r="A6" s="48">
        <v>1</v>
      </c>
      <c r="B6" s="49" t="s">
        <v>13</v>
      </c>
      <c r="D6" s="53">
        <v>10</v>
      </c>
      <c r="E6" s="53">
        <v>20</v>
      </c>
      <c r="F6" s="53">
        <v>30</v>
      </c>
      <c r="H6" s="53">
        <v>1</v>
      </c>
      <c r="N6" s="54">
        <v>10</v>
      </c>
      <c r="O6" s="54">
        <v>20</v>
      </c>
      <c r="P6" s="54">
        <v>30</v>
      </c>
      <c r="R6" s="55" cm="1">
        <f t="array" ref="R6:T7">xfilter(D6:F9,H6:H9)</f>
        <v>10</v>
      </c>
      <c r="S6" s="55">
        <v>20</v>
      </c>
      <c r="T6" s="55">
        <v>30</v>
      </c>
      <c r="V6" s="56" t="str" cm="1">
        <f t="array" ref="V6">IF(AND(N6:P7=R6:T7),"PASS","FAIL")</f>
        <v>PASS</v>
      </c>
    </row>
    <row r="7" spans="1:22" x14ac:dyDescent="0.5">
      <c r="A7" s="57"/>
      <c r="B7" s="57"/>
      <c r="D7" s="53">
        <v>40</v>
      </c>
      <c r="E7" s="53">
        <v>50</v>
      </c>
      <c r="F7" s="53">
        <v>60</v>
      </c>
      <c r="H7" s="53">
        <v>0</v>
      </c>
      <c r="N7" s="54">
        <v>70</v>
      </c>
      <c r="O7" s="54">
        <v>80</v>
      </c>
      <c r="P7" s="54">
        <v>90</v>
      </c>
      <c r="R7" s="55">
        <v>70</v>
      </c>
      <c r="S7" s="55">
        <v>80</v>
      </c>
      <c r="T7" s="55">
        <v>90</v>
      </c>
    </row>
    <row r="8" spans="1:22" x14ac:dyDescent="0.5">
      <c r="A8" s="57"/>
      <c r="B8" s="57"/>
      <c r="D8" s="53">
        <v>70</v>
      </c>
      <c r="E8" s="53">
        <v>80</v>
      </c>
      <c r="F8" s="53">
        <v>90</v>
      </c>
      <c r="H8" s="53">
        <v>1</v>
      </c>
    </row>
    <row r="9" spans="1:22" x14ac:dyDescent="0.5">
      <c r="A9" s="57"/>
      <c r="B9" s="57"/>
      <c r="D9" s="53">
        <v>15</v>
      </c>
      <c r="E9" s="53">
        <v>25</v>
      </c>
      <c r="F9" s="53">
        <v>35</v>
      </c>
      <c r="H9" s="53">
        <v>0</v>
      </c>
    </row>
    <row r="11" spans="1:22" x14ac:dyDescent="0.5">
      <c r="A11" s="48">
        <v>2</v>
      </c>
      <c r="B11" s="49" t="s">
        <v>14</v>
      </c>
      <c r="D11" s="53">
        <v>10</v>
      </c>
      <c r="E11" s="53">
        <v>20</v>
      </c>
      <c r="F11" s="53">
        <v>30</v>
      </c>
      <c r="H11" s="53">
        <v>1</v>
      </c>
      <c r="J11" s="53">
        <v>1</v>
      </c>
      <c r="N11" s="54">
        <v>10</v>
      </c>
      <c r="O11" s="54">
        <v>20</v>
      </c>
      <c r="P11" s="54">
        <v>30</v>
      </c>
      <c r="R11" s="55" cm="1">
        <f t="array" ref="R11:T12">xfilter(D11:F14,H11:H14,J11:J14)</f>
        <v>10</v>
      </c>
      <c r="S11" s="55">
        <v>20</v>
      </c>
      <c r="T11" s="55">
        <v>30</v>
      </c>
      <c r="V11" s="56" t="str" cm="1">
        <f t="array" ref="V11">IF(AND(N11:P12=R11:T12),"PASS","FAIL")</f>
        <v>PASS</v>
      </c>
    </row>
    <row r="12" spans="1:22" x14ac:dyDescent="0.5">
      <c r="A12" s="57"/>
      <c r="B12" s="57"/>
      <c r="D12" s="53">
        <v>40</v>
      </c>
      <c r="E12" s="53">
        <v>50</v>
      </c>
      <c r="F12" s="53">
        <v>60</v>
      </c>
      <c r="H12" s="53">
        <v>1</v>
      </c>
      <c r="J12" s="53">
        <v>0</v>
      </c>
      <c r="N12" s="54">
        <v>70</v>
      </c>
      <c r="O12" s="54">
        <v>80</v>
      </c>
      <c r="P12" s="54">
        <v>90</v>
      </c>
      <c r="R12" s="55">
        <v>70</v>
      </c>
      <c r="S12" s="55">
        <v>80</v>
      </c>
      <c r="T12" s="55">
        <v>90</v>
      </c>
    </row>
    <row r="13" spans="1:22" x14ac:dyDescent="0.5">
      <c r="A13" s="57"/>
      <c r="B13" s="57"/>
      <c r="D13" s="53">
        <v>70</v>
      </c>
      <c r="E13" s="53">
        <v>80</v>
      </c>
      <c r="F13" s="53">
        <v>90</v>
      </c>
      <c r="H13" s="53">
        <v>1</v>
      </c>
      <c r="J13" s="53">
        <v>1</v>
      </c>
    </row>
    <row r="14" spans="1:22" x14ac:dyDescent="0.5">
      <c r="A14" s="57"/>
      <c r="B14" s="57"/>
      <c r="D14" s="53">
        <v>15</v>
      </c>
      <c r="E14" s="53">
        <v>25</v>
      </c>
      <c r="F14" s="53">
        <v>35</v>
      </c>
      <c r="H14" s="53">
        <v>0</v>
      </c>
      <c r="J14" s="53">
        <v>1</v>
      </c>
    </row>
    <row r="16" spans="1:22" x14ac:dyDescent="0.5">
      <c r="A16" s="48">
        <v>3</v>
      </c>
      <c r="B16" s="49" t="s">
        <v>15</v>
      </c>
      <c r="D16" s="53">
        <v>10</v>
      </c>
      <c r="E16" s="53">
        <v>20</v>
      </c>
      <c r="F16" s="53">
        <v>30</v>
      </c>
      <c r="H16" s="53">
        <v>1</v>
      </c>
      <c r="I16" s="53">
        <v>0</v>
      </c>
      <c r="J16" s="53">
        <v>1</v>
      </c>
      <c r="N16" s="54">
        <v>10</v>
      </c>
      <c r="O16" s="54">
        <v>30</v>
      </c>
      <c r="R16" s="55" cm="1">
        <f t="array" ref="R16:S19">xfilter(D16:F19,H16:J16)</f>
        <v>10</v>
      </c>
      <c r="S16" s="55">
        <v>30</v>
      </c>
      <c r="V16" s="56" t="str" cm="1">
        <f t="array" ref="V16">IF(AND(N16:O19=R16:S19),"PASS","FAIL")</f>
        <v>PASS</v>
      </c>
    </row>
    <row r="17" spans="1:22" x14ac:dyDescent="0.5">
      <c r="A17" s="57"/>
      <c r="B17" s="57"/>
      <c r="D17" s="53">
        <v>40</v>
      </c>
      <c r="E17" s="53">
        <v>50</v>
      </c>
      <c r="F17" s="53">
        <v>60</v>
      </c>
      <c r="N17" s="54">
        <v>40</v>
      </c>
      <c r="O17" s="54">
        <v>60</v>
      </c>
      <c r="R17" s="55">
        <v>40</v>
      </c>
      <c r="S17" s="55">
        <v>60</v>
      </c>
    </row>
    <row r="18" spans="1:22" x14ac:dyDescent="0.5">
      <c r="A18" s="57"/>
      <c r="B18" s="57"/>
      <c r="D18" s="53">
        <v>70</v>
      </c>
      <c r="E18" s="53">
        <v>80</v>
      </c>
      <c r="F18" s="53">
        <v>90</v>
      </c>
      <c r="N18" s="54">
        <v>70</v>
      </c>
      <c r="O18" s="54">
        <v>90</v>
      </c>
      <c r="R18" s="55">
        <v>70</v>
      </c>
      <c r="S18" s="55">
        <v>90</v>
      </c>
    </row>
    <row r="19" spans="1:22" x14ac:dyDescent="0.5">
      <c r="A19" s="57"/>
      <c r="B19" s="57"/>
      <c r="D19" s="53">
        <v>15</v>
      </c>
      <c r="E19" s="53">
        <v>25</v>
      </c>
      <c r="F19" s="53">
        <v>35</v>
      </c>
      <c r="N19" s="54">
        <v>15</v>
      </c>
      <c r="O19" s="54">
        <v>35</v>
      </c>
      <c r="R19" s="55">
        <v>15</v>
      </c>
      <c r="S19" s="55">
        <v>35</v>
      </c>
    </row>
    <row r="21" spans="1:22" x14ac:dyDescent="0.5">
      <c r="A21" s="48">
        <v>4</v>
      </c>
      <c r="B21" s="49" t="s">
        <v>16</v>
      </c>
      <c r="D21" s="53">
        <v>10</v>
      </c>
      <c r="E21" s="53">
        <v>20</v>
      </c>
      <c r="F21" s="53">
        <v>30</v>
      </c>
      <c r="H21" s="53">
        <v>1</v>
      </c>
      <c r="J21" s="53">
        <v>1</v>
      </c>
      <c r="K21" s="53">
        <v>0</v>
      </c>
      <c r="L21" s="53">
        <v>1</v>
      </c>
      <c r="N21" s="54">
        <v>10</v>
      </c>
      <c r="O21" s="54">
        <v>30</v>
      </c>
      <c r="R21" s="55" cm="1">
        <f t="array" ref="R21:S22">xfilter(D21:F24,H21:H24,J21:L21)</f>
        <v>10</v>
      </c>
      <c r="S21" s="55">
        <v>30</v>
      </c>
      <c r="V21" s="56" t="str" cm="1">
        <f t="array" ref="V21">IF(AND(N21:O22=R21:S22),"PASS","FAIL")</f>
        <v>PASS</v>
      </c>
    </row>
    <row r="22" spans="1:22" x14ac:dyDescent="0.5">
      <c r="A22" s="57"/>
      <c r="B22" s="57"/>
      <c r="D22" s="53">
        <v>40</v>
      </c>
      <c r="E22" s="53">
        <v>50</v>
      </c>
      <c r="F22" s="53">
        <v>60</v>
      </c>
      <c r="H22" s="53">
        <v>0</v>
      </c>
      <c r="N22" s="54">
        <v>70</v>
      </c>
      <c r="O22" s="54">
        <v>90</v>
      </c>
      <c r="R22" s="55">
        <v>70</v>
      </c>
      <c r="S22" s="55">
        <v>90</v>
      </c>
    </row>
    <row r="23" spans="1:22" x14ac:dyDescent="0.5">
      <c r="A23" s="57"/>
      <c r="B23" s="57"/>
      <c r="D23" s="53">
        <v>70</v>
      </c>
      <c r="E23" s="53">
        <v>80</v>
      </c>
      <c r="F23" s="53">
        <v>90</v>
      </c>
      <c r="H23" s="53">
        <v>1</v>
      </c>
    </row>
    <row r="24" spans="1:22" x14ac:dyDescent="0.5">
      <c r="A24" s="57"/>
      <c r="B24" s="57"/>
      <c r="D24" s="53">
        <v>15</v>
      </c>
      <c r="E24" s="53">
        <v>25</v>
      </c>
      <c r="F24" s="53">
        <v>35</v>
      </c>
      <c r="H24" s="53">
        <v>0</v>
      </c>
    </row>
    <row r="26" spans="1:22" x14ac:dyDescent="0.5">
      <c r="A26" s="48">
        <v>5</v>
      </c>
      <c r="B26" s="49" t="s">
        <v>17</v>
      </c>
      <c r="D26" s="53">
        <v>5</v>
      </c>
      <c r="F26" s="53">
        <v>0</v>
      </c>
      <c r="N26" s="54">
        <v>12</v>
      </c>
      <c r="R26" s="55" cm="1">
        <f t="array" ref="R26:R28">xfilter(D26:D29,F26:F29)</f>
        <v>12</v>
      </c>
      <c r="V26" s="56" t="str" cm="1">
        <f t="array" ref="V26">IF(AND(N26:N28=R26:R28),"PASS","FAIL")</f>
        <v>PASS</v>
      </c>
    </row>
    <row r="27" spans="1:22" x14ac:dyDescent="0.5">
      <c r="A27" s="57"/>
      <c r="B27" s="57"/>
      <c r="D27" s="53">
        <v>12</v>
      </c>
      <c r="F27" s="53">
        <v>1</v>
      </c>
      <c r="N27" s="54">
        <v>8</v>
      </c>
      <c r="R27" s="55">
        <v>8</v>
      </c>
    </row>
    <row r="28" spans="1:22" x14ac:dyDescent="0.5">
      <c r="A28" s="57"/>
      <c r="B28" s="57"/>
      <c r="D28" s="53">
        <v>8</v>
      </c>
      <c r="F28" s="53">
        <v>1</v>
      </c>
      <c r="N28" s="54">
        <v>20</v>
      </c>
      <c r="R28" s="55">
        <v>20</v>
      </c>
    </row>
    <row r="29" spans="1:22" x14ac:dyDescent="0.5">
      <c r="A29" s="57"/>
      <c r="B29" s="57"/>
      <c r="D29" s="53">
        <v>20</v>
      </c>
      <c r="F29" s="53">
        <v>1</v>
      </c>
    </row>
    <row r="31" spans="1:22" x14ac:dyDescent="0.5">
      <c r="A31" s="48">
        <v>6</v>
      </c>
      <c r="B31" s="49" t="s">
        <v>18</v>
      </c>
      <c r="D31" s="53">
        <v>10</v>
      </c>
      <c r="E31" s="53">
        <v>20</v>
      </c>
      <c r="F31" s="53">
        <v>30</v>
      </c>
      <c r="H31" s="53">
        <v>0</v>
      </c>
      <c r="N31" s="54"/>
      <c r="R31" s="55" t="str" cm="1">
        <f t="array" ref="R31">xfilter(D31:F34,H31:H34)</f>
        <v/>
      </c>
      <c r="V31" s="56" t="str">
        <f>IF(R31=N31,"PASS","FAIL")</f>
        <v>PASS</v>
      </c>
    </row>
    <row r="32" spans="1:22" x14ac:dyDescent="0.5">
      <c r="A32" s="57"/>
      <c r="B32" s="57"/>
      <c r="D32" s="53">
        <v>40</v>
      </c>
      <c r="E32" s="53">
        <v>50</v>
      </c>
      <c r="F32" s="53">
        <v>60</v>
      </c>
      <c r="H32" s="53">
        <v>0</v>
      </c>
    </row>
    <row r="33" spans="1:8" x14ac:dyDescent="0.5">
      <c r="A33" s="57"/>
      <c r="B33" s="57"/>
      <c r="D33" s="53">
        <v>70</v>
      </c>
      <c r="E33" s="53">
        <v>80</v>
      </c>
      <c r="F33" s="53">
        <v>90</v>
      </c>
      <c r="H33" s="53">
        <v>0</v>
      </c>
    </row>
    <row r="34" spans="1:8" x14ac:dyDescent="0.5">
      <c r="A34" s="57"/>
      <c r="B34" s="57"/>
      <c r="D34" s="53">
        <v>15</v>
      </c>
      <c r="E34" s="53">
        <v>25</v>
      </c>
      <c r="F34" s="53">
        <v>35</v>
      </c>
      <c r="H34" s="53">
        <v>0</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86" t="str" cm="1">
        <f t="array" aca="1" ref="B1" ca="1">_xlfn.LET(_xlpm.fn, CELL("filename",$A$1), _xlpm.nm, MID(_xlpm.fn, FIND("]", _xlpm.fn) + 1, 255), _xlfn.XLOOKUP(_xlpm.nm &amp; "(*", Lamb!$A$2:$A$1000, Lamb!$A$2:$A$1000, "", 2))</f>
        <v>xmod(a, b)</v>
      </c>
      <c r="C1" s="82"/>
      <c r="D1" s="82"/>
      <c r="E1" s="82"/>
      <c r="F1" s="83"/>
      <c r="H1" s="47" t="s">
        <v>2</v>
      </c>
      <c r="I1" s="81"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82"/>
      <c r="K1" s="82"/>
      <c r="L1" s="82"/>
      <c r="M1" s="82"/>
      <c r="N1" s="82"/>
      <c r="O1" s="82"/>
      <c r="P1" s="82"/>
      <c r="Q1" s="82"/>
      <c r="R1" s="83"/>
    </row>
    <row r="2" spans="1:18" ht="21" customHeight="1" x14ac:dyDescent="0.5">
      <c r="A2" s="47" t="s">
        <v>4</v>
      </c>
      <c r="B2" s="84" t="str" cm="1">
        <f t="array" aca="1" ref="B2" ca="1">_xlfn.LET(_xlpm.fn, CELL("filename",$A$1), _xlpm.nm, MID(_xlpm.fn, FIND("]", _xlpm.fn) + 1, 255), _xlfn.XLOOKUP(_xlpm.nm &amp; "(*", Lamb!$A$2:$A$1000, Lamb!$C$2:$C$1000, "", 2))</f>
        <v>=LAMBDA(a, b, IF(MOD(a, b) = 0, b, MOD(a, b)))</v>
      </c>
      <c r="C2" s="85"/>
      <c r="D2" s="85"/>
      <c r="E2" s="85"/>
      <c r="F2" s="85"/>
      <c r="G2" s="85"/>
      <c r="H2" s="85"/>
      <c r="I2" s="85"/>
      <c r="J2" s="85"/>
      <c r="K2" s="85"/>
      <c r="L2" s="85"/>
      <c r="M2" s="85"/>
      <c r="N2" s="85"/>
      <c r="O2" s="85"/>
      <c r="P2" s="85"/>
      <c r="Q2" s="85"/>
      <c r="R2" s="85"/>
    </row>
    <row r="4" spans="1:18" x14ac:dyDescent="0.5">
      <c r="A4" s="47" t="s">
        <v>3331</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3332</v>
      </c>
      <c r="D6" s="53">
        <v>6</v>
      </c>
      <c r="F6" s="53">
        <v>3</v>
      </c>
      <c r="H6" s="54">
        <v>3</v>
      </c>
      <c r="J6" s="55" cm="1">
        <f t="array" ref="J6">xmod(D6,F6)</f>
        <v>3</v>
      </c>
      <c r="L6" s="56" t="str">
        <f>IF(J6=H6,"PASS","FAIL")</f>
        <v>PASS</v>
      </c>
    </row>
    <row r="8" spans="1:18" x14ac:dyDescent="0.5">
      <c r="A8" s="48">
        <v>2</v>
      </c>
      <c r="B8" s="49" t="s">
        <v>3333</v>
      </c>
      <c r="D8" s="53">
        <v>7</v>
      </c>
      <c r="F8" s="53">
        <v>3</v>
      </c>
      <c r="H8" s="54">
        <v>1</v>
      </c>
      <c r="J8" s="55" cm="1">
        <f t="array" ref="J8">xmod(D8,F8)</f>
        <v>1</v>
      </c>
      <c r="L8" s="56" t="str">
        <f>IF(J8=H8,"PASS","FAIL")</f>
        <v>PASS</v>
      </c>
    </row>
    <row r="10" spans="1:18" x14ac:dyDescent="0.5">
      <c r="A10" s="48">
        <v>3</v>
      </c>
      <c r="B10" s="49" t="s">
        <v>3334</v>
      </c>
      <c r="D10" s="53">
        <v>5</v>
      </c>
      <c r="F10" s="53">
        <v>5</v>
      </c>
      <c r="H10" s="54">
        <v>5</v>
      </c>
      <c r="J10" s="55" cm="1">
        <f t="array" ref="J10">xmod(D10,F10)</f>
        <v>5</v>
      </c>
      <c r="L10" s="56" t="str">
        <f>IF(J10=H10,"PASS","FAIL")</f>
        <v>PASS</v>
      </c>
    </row>
    <row r="12" spans="1:18" x14ac:dyDescent="0.5">
      <c r="A12" s="48">
        <v>4</v>
      </c>
      <c r="B12" s="49" t="s">
        <v>3335</v>
      </c>
      <c r="D12" s="53">
        <v>10</v>
      </c>
      <c r="F12" s="53">
        <v>4</v>
      </c>
      <c r="H12" s="54">
        <v>2</v>
      </c>
      <c r="J12" s="55" cm="1">
        <f t="array" ref="J12">xmod(D12,F12)</f>
        <v>2</v>
      </c>
      <c r="L12" s="56" t="str">
        <f>IF(J12=H12,"PASS","FAIL")</f>
        <v>PASS</v>
      </c>
    </row>
    <row r="14" spans="1:18" x14ac:dyDescent="0.5">
      <c r="A14" s="48">
        <v>5</v>
      </c>
      <c r="B14" s="49" t="s">
        <v>3336</v>
      </c>
      <c r="D14" s="53">
        <v>12</v>
      </c>
      <c r="F14" s="53">
        <v>6</v>
      </c>
      <c r="H14" s="54">
        <v>6</v>
      </c>
      <c r="J14" s="55" cm="1">
        <f t="array" ref="J14">xmod(D14,F14)</f>
        <v>6</v>
      </c>
      <c r="L14" s="56" t="str">
        <f>IF(J14=H14,"PASS","FAIL")</f>
        <v>PASS</v>
      </c>
    </row>
    <row r="16" spans="1:18" x14ac:dyDescent="0.5">
      <c r="A16" s="48">
        <v>6</v>
      </c>
      <c r="B16" s="49" t="s">
        <v>3337</v>
      </c>
      <c r="D16" s="53">
        <v>1</v>
      </c>
      <c r="F16" s="53">
        <v>4</v>
      </c>
      <c r="H16" s="54">
        <v>1</v>
      </c>
      <c r="J16" s="55" cm="1">
        <f t="array" ref="J16">xmod(D16,F16)</f>
        <v>1</v>
      </c>
      <c r="L16" s="56"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86" t="str" cm="1">
        <f t="array" aca="1" ref="B1" ca="1">_xlfn.LET(_xlpm.fn, CELL("filename",$A$1), _xlpm.nm, MID(_xlpm.fn, FIND("]", _xlpm.fn) + 1, 255), _xlfn.XLOOKUP(_xlpm.nm &amp; "(*", Lamb!$A$2:$A$1000, Lamb!$A$2:$A$1000, "", 2))</f>
        <v>xn(value_or_array)</v>
      </c>
      <c r="C1" s="82"/>
      <c r="D1" s="82"/>
      <c r="E1" s="82"/>
      <c r="F1" s="83"/>
      <c r="H1" s="47" t="s">
        <v>2</v>
      </c>
      <c r="I1" s="81"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82"/>
      <c r="K1" s="82"/>
      <c r="L1" s="82"/>
      <c r="M1" s="82"/>
      <c r="N1" s="82"/>
      <c r="O1" s="82"/>
      <c r="P1" s="82"/>
      <c r="Q1" s="82"/>
      <c r="R1" s="83"/>
    </row>
    <row r="2" spans="1:18" ht="294" customHeight="1" x14ac:dyDescent="0.5">
      <c r="A2" s="47" t="s">
        <v>4</v>
      </c>
      <c r="B2" s="84"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5"/>
      <c r="D2" s="85"/>
      <c r="E2" s="85"/>
      <c r="F2" s="85"/>
      <c r="G2" s="85"/>
      <c r="H2" s="85"/>
      <c r="I2" s="85"/>
      <c r="J2" s="85"/>
      <c r="K2" s="85"/>
      <c r="L2" s="85"/>
      <c r="M2" s="85"/>
      <c r="N2" s="85"/>
      <c r="O2" s="85"/>
      <c r="P2" s="85"/>
      <c r="Q2" s="85"/>
      <c r="R2" s="85"/>
    </row>
    <row r="4" spans="1:18" x14ac:dyDescent="0.5">
      <c r="A4" s="47" t="s">
        <v>3338</v>
      </c>
      <c r="J4" s="47" t="str">
        <f>COUNTIF(J6:J18,"PASS")&amp;" / 5 PASS"</f>
        <v>5 / 5 PASS</v>
      </c>
    </row>
    <row r="5" spans="1:18" x14ac:dyDescent="0.5">
      <c r="A5" s="47" t="s">
        <v>7</v>
      </c>
      <c r="B5" s="47" t="s">
        <v>8</v>
      </c>
      <c r="D5" s="47" t="s">
        <v>9</v>
      </c>
      <c r="F5" s="50" t="s">
        <v>10</v>
      </c>
      <c r="H5" s="51" t="s">
        <v>11</v>
      </c>
      <c r="J5" s="52" t="s">
        <v>12</v>
      </c>
    </row>
    <row r="6" spans="1:18" x14ac:dyDescent="0.5">
      <c r="A6" s="48">
        <v>1</v>
      </c>
      <c r="B6" s="49" t="s">
        <v>3339</v>
      </c>
      <c r="D6" s="53" t="s">
        <v>3340</v>
      </c>
      <c r="F6" s="54">
        <v>42</v>
      </c>
      <c r="H6" s="55" cm="1">
        <f t="array" ref="H6">xn(D6)</f>
        <v>42</v>
      </c>
      <c r="J6" s="56" t="str">
        <f>IF(H6=F6,"PASS","FAIL")</f>
        <v>PASS</v>
      </c>
    </row>
    <row r="8" spans="1:18" x14ac:dyDescent="0.5">
      <c r="A8" s="48">
        <v>2</v>
      </c>
      <c r="B8" s="49" t="s">
        <v>3341</v>
      </c>
      <c r="D8" s="53" t="b">
        <v>1</v>
      </c>
      <c r="F8" s="54">
        <v>1</v>
      </c>
      <c r="H8" s="55" cm="1">
        <f t="array" ref="H8">xn(D8)</f>
        <v>1</v>
      </c>
      <c r="J8" s="56" t="str">
        <f>IF(H8=F8,"PASS","FAIL")</f>
        <v>PASS</v>
      </c>
    </row>
    <row r="10" spans="1:18" x14ac:dyDescent="0.5">
      <c r="A10" s="48">
        <v>3</v>
      </c>
      <c r="B10" s="49" t="s">
        <v>3342</v>
      </c>
      <c r="D10" s="53" t="s">
        <v>3159</v>
      </c>
      <c r="F10" s="54" t="s">
        <v>3159</v>
      </c>
      <c r="H10" s="55" t="str" cm="1">
        <f t="array" ref="H10">xn(D10)</f>
        <v>abc</v>
      </c>
      <c r="J10" s="56" t="str">
        <f>IF(H10=F10,"PASS","FAIL")</f>
        <v>PASS</v>
      </c>
    </row>
    <row r="12" spans="1:18" x14ac:dyDescent="0.5">
      <c r="A12" s="48">
        <v>4</v>
      </c>
      <c r="B12" s="49" t="s">
        <v>3343</v>
      </c>
      <c r="D12" s="53"/>
      <c r="F12" s="54"/>
      <c r="H12" s="55" t="str" cm="1">
        <f t="array" ref="H12">xn(D12)</f>
        <v/>
      </c>
      <c r="J12" s="56" t="str">
        <f>IF(H12=F12,"PASS","FAIL")</f>
        <v>PASS</v>
      </c>
    </row>
    <row r="14" spans="1:18" x14ac:dyDescent="0.5">
      <c r="A14" s="48">
        <v>5</v>
      </c>
      <c r="B14" s="49" t="s">
        <v>3344</v>
      </c>
      <c r="D14" s="53" t="s">
        <v>577</v>
      </c>
      <c r="F14" s="54">
        <v>1</v>
      </c>
      <c r="H14" s="55" cm="1">
        <f t="array" ref="H14:H16">xn(D14:D16)</f>
        <v>1</v>
      </c>
      <c r="J14" s="56" t="str" cm="1">
        <f t="array" ref="J14">IF(AND(F14:F16=H14:H16),"PASS","FAIL")</f>
        <v>PASS</v>
      </c>
    </row>
    <row r="15" spans="1:18" x14ac:dyDescent="0.5">
      <c r="A15" s="57"/>
      <c r="B15" s="57"/>
      <c r="D15" s="53" t="s">
        <v>136</v>
      </c>
      <c r="F15" s="54">
        <v>2</v>
      </c>
      <c r="H15" s="55">
        <v>2</v>
      </c>
    </row>
    <row r="16" spans="1:18" x14ac:dyDescent="0.5">
      <c r="A16" s="57"/>
      <c r="B16" s="57"/>
      <c r="D16" s="53" t="s">
        <v>3041</v>
      </c>
      <c r="F16" s="54" t="s">
        <v>3041</v>
      </c>
      <c r="H16" s="55" t="str">
        <v>x</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86" t="str" cm="1">
        <f t="array" aca="1" ref="B1" ca="1">_xlfn.LET(_xlpm.fn, CELL("filename",$A$1), _xlpm.nm, MID(_xlpm.fn, FIND("]", _xlpm.fn) + 1, 255), _xlfn.XLOOKUP(_xlpm.nm &amp; "(*", Lamb!$A$2:$A$1000, Lamb!$A$2:$A$1000, "", 2))</f>
        <v>xrank(value, array, [order])</v>
      </c>
      <c r="C1" s="82"/>
      <c r="D1" s="82"/>
      <c r="E1" s="82"/>
      <c r="F1" s="83"/>
      <c r="H1" s="47" t="s">
        <v>2</v>
      </c>
      <c r="I1" s="81"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82"/>
      <c r="K1" s="82"/>
      <c r="L1" s="82"/>
      <c r="M1" s="82"/>
      <c r="N1" s="82"/>
      <c r="O1" s="82"/>
      <c r="P1" s="82"/>
      <c r="Q1" s="82"/>
      <c r="R1" s="83"/>
    </row>
    <row r="2" spans="1:18" ht="105" customHeight="1" x14ac:dyDescent="0.5">
      <c r="A2" s="47" t="s">
        <v>4</v>
      </c>
      <c r="B2" s="84"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5"/>
      <c r="D2" s="85"/>
      <c r="E2" s="85"/>
      <c r="F2" s="85"/>
      <c r="G2" s="85"/>
      <c r="H2" s="85"/>
      <c r="I2" s="85"/>
      <c r="J2" s="85"/>
      <c r="K2" s="85"/>
      <c r="L2" s="85"/>
      <c r="M2" s="85"/>
      <c r="N2" s="85"/>
      <c r="O2" s="85"/>
      <c r="P2" s="85"/>
      <c r="Q2" s="85"/>
      <c r="R2" s="85"/>
    </row>
    <row r="4" spans="1:18" x14ac:dyDescent="0.5">
      <c r="A4" s="47" t="s">
        <v>3345</v>
      </c>
      <c r="N4" s="47" t="str">
        <f>COUNTIF(N6:N25,"PASS")&amp;" / 6 PASS"</f>
        <v>6 / 6 PASS</v>
      </c>
    </row>
    <row r="5" spans="1:18" x14ac:dyDescent="0.5">
      <c r="A5" s="47" t="s">
        <v>7</v>
      </c>
      <c r="B5" s="47" t="s">
        <v>8</v>
      </c>
      <c r="D5" s="47" t="s">
        <v>9</v>
      </c>
      <c r="J5" s="50" t="s">
        <v>10</v>
      </c>
      <c r="L5" s="51" t="s">
        <v>11</v>
      </c>
      <c r="N5" s="52" t="s">
        <v>12</v>
      </c>
    </row>
    <row r="6" spans="1:18" x14ac:dyDescent="0.5">
      <c r="A6" s="48">
        <v>1</v>
      </c>
      <c r="B6" s="49" t="s">
        <v>3346</v>
      </c>
      <c r="D6" s="53">
        <v>50</v>
      </c>
      <c r="F6" s="53">
        <v>10</v>
      </c>
      <c r="J6" s="54">
        <v>1</v>
      </c>
      <c r="L6" s="55" cm="1">
        <f t="array" ref="L6">xrank(D6,F6:F8)</f>
        <v>1</v>
      </c>
      <c r="N6" s="56" t="str">
        <f>IF(L6=J6,"PASS","FAIL")</f>
        <v>PASS</v>
      </c>
    </row>
    <row r="7" spans="1:18" x14ac:dyDescent="0.5">
      <c r="A7" s="57"/>
      <c r="B7" s="57"/>
      <c r="F7" s="53">
        <v>50</v>
      </c>
    </row>
    <row r="8" spans="1:18" x14ac:dyDescent="0.5">
      <c r="A8" s="57"/>
      <c r="B8" s="57"/>
      <c r="F8" s="53">
        <v>30</v>
      </c>
    </row>
    <row r="10" spans="1:18" x14ac:dyDescent="0.5">
      <c r="A10" s="48">
        <v>2</v>
      </c>
      <c r="B10" s="49" t="s">
        <v>3347</v>
      </c>
      <c r="D10" s="53">
        <v>30</v>
      </c>
      <c r="F10" s="53">
        <v>10</v>
      </c>
      <c r="J10" s="54">
        <v>2</v>
      </c>
      <c r="L10" s="55" cm="1">
        <f t="array" ref="L10">xrank(D10,F10:F12)</f>
        <v>2</v>
      </c>
      <c r="N10" s="56" t="str">
        <f>IF(L10=J10,"PASS","FAIL")</f>
        <v>PASS</v>
      </c>
    </row>
    <row r="11" spans="1:18" x14ac:dyDescent="0.5">
      <c r="A11" s="57"/>
      <c r="B11" s="57"/>
      <c r="F11" s="53">
        <v>50</v>
      </c>
    </row>
    <row r="12" spans="1:18" x14ac:dyDescent="0.5">
      <c r="A12" s="57"/>
      <c r="B12" s="57"/>
      <c r="F12" s="53">
        <v>30</v>
      </c>
    </row>
    <row r="14" spans="1:18" x14ac:dyDescent="0.5">
      <c r="A14" s="48">
        <v>3</v>
      </c>
      <c r="B14" s="49" t="s">
        <v>3348</v>
      </c>
      <c r="D14" s="53">
        <v>10</v>
      </c>
      <c r="F14" s="53">
        <v>10</v>
      </c>
      <c r="H14" s="53">
        <v>1</v>
      </c>
      <c r="J14" s="54">
        <v>1</v>
      </c>
      <c r="L14" s="55" cm="1">
        <f t="array" ref="L14">xrank(D14,F14:F16,H14)</f>
        <v>1</v>
      </c>
      <c r="N14" s="56" t="str">
        <f>IF(L14=J14,"PASS","FAIL")</f>
        <v>PASS</v>
      </c>
    </row>
    <row r="15" spans="1:18" x14ac:dyDescent="0.5">
      <c r="A15" s="57"/>
      <c r="B15" s="57"/>
      <c r="F15" s="53">
        <v>50</v>
      </c>
    </row>
    <row r="16" spans="1:18" x14ac:dyDescent="0.5">
      <c r="A16" s="57"/>
      <c r="B16" s="57"/>
      <c r="F16" s="53">
        <v>30</v>
      </c>
    </row>
    <row r="18" spans="1:14" x14ac:dyDescent="0.5">
      <c r="A18" s="48">
        <v>4</v>
      </c>
      <c r="B18" s="49" t="s">
        <v>3349</v>
      </c>
      <c r="D18" s="53">
        <v>50</v>
      </c>
      <c r="F18" s="53">
        <v>10</v>
      </c>
      <c r="G18" s="53">
        <v>50</v>
      </c>
      <c r="H18" s="53">
        <v>30</v>
      </c>
      <c r="J18" s="54">
        <v>1</v>
      </c>
      <c r="L18" s="55" cm="1">
        <f t="array" ref="L18">xrank(D18,F18:H18)</f>
        <v>1</v>
      </c>
      <c r="N18" s="56" t="str">
        <f>IF(L18=J18,"PASS","FAIL")</f>
        <v>PASS</v>
      </c>
    </row>
    <row r="20" spans="1:14" x14ac:dyDescent="0.5">
      <c r="A20" s="48">
        <v>5</v>
      </c>
      <c r="B20" s="49" t="s">
        <v>3350</v>
      </c>
      <c r="D20" s="53">
        <v>20</v>
      </c>
      <c r="F20" s="53">
        <v>10</v>
      </c>
      <c r="J20" s="54">
        <v>2</v>
      </c>
      <c r="L20" s="55" cm="1">
        <f t="array" ref="L20">xrank(D20,F20:F23)</f>
        <v>2</v>
      </c>
      <c r="N20" s="56" t="str">
        <f>IF(L20=J20,"PASS","FAIL")</f>
        <v>PASS</v>
      </c>
    </row>
    <row r="21" spans="1:14" x14ac:dyDescent="0.5">
      <c r="A21" s="57"/>
      <c r="B21" s="57"/>
      <c r="F21" s="53">
        <v>20</v>
      </c>
    </row>
    <row r="22" spans="1:14" x14ac:dyDescent="0.5">
      <c r="A22" s="57"/>
      <c r="B22" s="57"/>
      <c r="F22" s="53">
        <v>20</v>
      </c>
    </row>
    <row r="23" spans="1:14" x14ac:dyDescent="0.5">
      <c r="A23" s="57"/>
      <c r="B23" s="57"/>
      <c r="F23" s="53">
        <v>30</v>
      </c>
    </row>
    <row r="25" spans="1:14" x14ac:dyDescent="0.5">
      <c r="A25" s="48">
        <v>6</v>
      </c>
      <c r="B25" s="49" t="s">
        <v>3387</v>
      </c>
      <c r="D25" s="53">
        <v>999</v>
      </c>
      <c r="J25" s="54" t="str">
        <f>""</f>
        <v/>
      </c>
      <c r="L25" s="55" t="str" cm="1">
        <f t="array" ref="L25">xrank(D25,{10;20;30})</f>
        <v/>
      </c>
      <c r="N25" s="56" t="str">
        <f>IF(L25=J25,"PASS","FAIL")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7" t="s">
        <v>0</v>
      </c>
      <c r="B1" s="86" t="str" cm="1">
        <f t="array" aca="1" ref="B1" ca="1">_xlfn.LET(_xlpm.fn, CELL("filename",$A$1), _xlpm.nm, MID(_xlpm.fn, FIND("]", _xlpm.fn) + 1, 255), _xlfn.XLOOKUP(_xlpm.nm &amp; "(*", Lamb!$A$2:$A$1000, Lamb!$A$2:$A$1000, "", 2))</f>
        <v>xsequence(start, stop, [step], [repeat_element], [repeat_array])</v>
      </c>
      <c r="C1" s="82"/>
      <c r="D1" s="82"/>
      <c r="E1" s="82"/>
      <c r="F1" s="83"/>
      <c r="H1" s="47" t="s">
        <v>2</v>
      </c>
      <c r="I1" s="81"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82"/>
      <c r="K1" s="82"/>
      <c r="L1" s="82"/>
      <c r="M1" s="82"/>
      <c r="N1" s="82"/>
      <c r="O1" s="82"/>
      <c r="P1" s="82"/>
      <c r="Q1" s="82"/>
      <c r="R1" s="83"/>
    </row>
    <row r="2" spans="1:18" ht="315" customHeight="1" x14ac:dyDescent="0.5">
      <c r="A2" s="47" t="s">
        <v>4</v>
      </c>
      <c r="B2" s="84"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5"/>
      <c r="D2" s="85"/>
      <c r="E2" s="85"/>
      <c r="F2" s="85"/>
      <c r="G2" s="85"/>
      <c r="H2" s="85"/>
      <c r="I2" s="85"/>
      <c r="J2" s="85"/>
      <c r="K2" s="85"/>
      <c r="L2" s="85"/>
      <c r="M2" s="85"/>
      <c r="N2" s="85"/>
      <c r="O2" s="85"/>
      <c r="P2" s="85"/>
      <c r="Q2" s="85"/>
      <c r="R2" s="85"/>
    </row>
    <row r="4" spans="1:18" x14ac:dyDescent="0.5">
      <c r="A4" s="47" t="s">
        <v>3351</v>
      </c>
      <c r="R4" s="47" t="str">
        <f>COUNTIF(R6:R36,"PASS")&amp;" / 6 PASS"</f>
        <v>6 / 6 PASS</v>
      </c>
    </row>
    <row r="5" spans="1:18" x14ac:dyDescent="0.5">
      <c r="A5" s="47" t="s">
        <v>7</v>
      </c>
      <c r="B5" s="47" t="s">
        <v>8</v>
      </c>
      <c r="D5" s="47" t="s">
        <v>9</v>
      </c>
      <c r="N5" s="50" t="s">
        <v>10</v>
      </c>
      <c r="P5" s="51" t="s">
        <v>11</v>
      </c>
      <c r="R5" s="52" t="s">
        <v>12</v>
      </c>
    </row>
    <row r="6" spans="1:18" x14ac:dyDescent="0.5">
      <c r="A6" s="48">
        <v>1</v>
      </c>
      <c r="B6" s="49" t="s">
        <v>3352</v>
      </c>
      <c r="D6" s="53">
        <v>1</v>
      </c>
      <c r="F6" s="53">
        <v>5</v>
      </c>
      <c r="N6" s="54">
        <v>1</v>
      </c>
      <c r="P6" s="55" cm="1">
        <f t="array" ref="P6:P10">xsequence(D6,F6)</f>
        <v>1</v>
      </c>
      <c r="R6" s="56" t="str" cm="1">
        <f t="array" ref="R6">IF(AND(N6:N10=P6:P10),"PASS","FAIL")</f>
        <v>PASS</v>
      </c>
    </row>
    <row r="7" spans="1:18" x14ac:dyDescent="0.5">
      <c r="A7" s="57"/>
      <c r="B7" s="57"/>
      <c r="N7" s="54">
        <v>2</v>
      </c>
      <c r="P7" s="55">
        <v>2</v>
      </c>
    </row>
    <row r="8" spans="1:18" x14ac:dyDescent="0.5">
      <c r="A8" s="57"/>
      <c r="B8" s="57"/>
      <c r="N8" s="54">
        <v>3</v>
      </c>
      <c r="P8" s="55">
        <v>3</v>
      </c>
    </row>
    <row r="9" spans="1:18" x14ac:dyDescent="0.5">
      <c r="A9" s="57"/>
      <c r="B9" s="57"/>
      <c r="N9" s="54">
        <v>4</v>
      </c>
      <c r="P9" s="55">
        <v>4</v>
      </c>
    </row>
    <row r="10" spans="1:18" x14ac:dyDescent="0.5">
      <c r="A10" s="57"/>
      <c r="B10" s="57"/>
      <c r="N10" s="54">
        <v>5</v>
      </c>
      <c r="P10" s="55">
        <v>5</v>
      </c>
    </row>
    <row r="12" spans="1:18" x14ac:dyDescent="0.5">
      <c r="A12" s="48">
        <v>2</v>
      </c>
      <c r="B12" s="49" t="s">
        <v>3353</v>
      </c>
      <c r="D12" s="53">
        <v>2</v>
      </c>
      <c r="F12" s="53">
        <v>6</v>
      </c>
      <c r="H12" s="53">
        <v>2</v>
      </c>
      <c r="N12" s="54">
        <v>2</v>
      </c>
      <c r="P12" s="55" cm="1">
        <f t="array" ref="P12:P14">xsequence(D12,F12,H12)</f>
        <v>2</v>
      </c>
      <c r="R12" s="56" t="str" cm="1">
        <f t="array" ref="R12">IF(AND(N12:N14=P12:P14),"PASS","FAIL")</f>
        <v>PASS</v>
      </c>
    </row>
    <row r="13" spans="1:18" x14ac:dyDescent="0.5">
      <c r="A13" s="57"/>
      <c r="B13" s="57"/>
      <c r="N13" s="54">
        <v>4</v>
      </c>
      <c r="P13" s="55">
        <v>4</v>
      </c>
    </row>
    <row r="14" spans="1:18" x14ac:dyDescent="0.5">
      <c r="A14" s="57"/>
      <c r="B14" s="57"/>
      <c r="N14" s="54">
        <v>6</v>
      </c>
      <c r="P14" s="55">
        <v>6</v>
      </c>
    </row>
    <row r="16" spans="1:18" x14ac:dyDescent="0.5">
      <c r="A16" s="48">
        <v>3</v>
      </c>
      <c r="B16" s="49" t="s">
        <v>3354</v>
      </c>
      <c r="D16" s="53">
        <v>1</v>
      </c>
      <c r="F16" s="53">
        <v>3</v>
      </c>
      <c r="H16" s="53"/>
      <c r="J16" s="53">
        <v>2</v>
      </c>
      <c r="N16" s="54">
        <v>1</v>
      </c>
      <c r="P16" s="55" cm="1">
        <f t="array" ref="P16:P21">xsequence(D16,F16,,J16)</f>
        <v>1</v>
      </c>
      <c r="R16" s="56" t="str" cm="1">
        <f t="array" ref="R16">IF(AND(N16:N21=P16:P21),"PASS","FAIL")</f>
        <v>PASS</v>
      </c>
    </row>
    <row r="17" spans="1:18" x14ac:dyDescent="0.5">
      <c r="A17" s="57"/>
      <c r="B17" s="57"/>
      <c r="N17" s="54">
        <v>1</v>
      </c>
      <c r="P17" s="55">
        <v>1</v>
      </c>
    </row>
    <row r="18" spans="1:18" x14ac:dyDescent="0.5">
      <c r="A18" s="57"/>
      <c r="B18" s="57"/>
      <c r="N18" s="54">
        <v>2</v>
      </c>
      <c r="P18" s="55">
        <v>2</v>
      </c>
    </row>
    <row r="19" spans="1:18" x14ac:dyDescent="0.5">
      <c r="A19" s="57"/>
      <c r="B19" s="57"/>
      <c r="N19" s="54">
        <v>2</v>
      </c>
      <c r="P19" s="55">
        <v>2</v>
      </c>
    </row>
    <row r="20" spans="1:18" x14ac:dyDescent="0.5">
      <c r="A20" s="57"/>
      <c r="B20" s="57"/>
      <c r="N20" s="54">
        <v>3</v>
      </c>
      <c r="P20" s="55">
        <v>3</v>
      </c>
    </row>
    <row r="21" spans="1:18" x14ac:dyDescent="0.5">
      <c r="A21" s="57"/>
      <c r="B21" s="57"/>
      <c r="N21" s="54">
        <v>3</v>
      </c>
      <c r="P21" s="55">
        <v>3</v>
      </c>
    </row>
    <row r="23" spans="1:18" x14ac:dyDescent="0.5">
      <c r="A23" s="48">
        <v>4</v>
      </c>
      <c r="B23" s="49" t="s">
        <v>3355</v>
      </c>
      <c r="D23" s="53">
        <v>1</v>
      </c>
      <c r="F23" s="53">
        <v>3</v>
      </c>
      <c r="H23" s="53"/>
      <c r="J23" s="53"/>
      <c r="L23" s="53">
        <v>2</v>
      </c>
      <c r="N23" s="54">
        <v>1</v>
      </c>
      <c r="P23" s="55" cm="1">
        <f t="array" ref="P23:P28">xsequence(D23,F23,,,L23)</f>
        <v>1</v>
      </c>
      <c r="R23" s="56" t="str" cm="1">
        <f t="array" ref="R23">IF(AND(N23:N28=P23:P28),"PASS","FAIL")</f>
        <v>PASS</v>
      </c>
    </row>
    <row r="24" spans="1:18" x14ac:dyDescent="0.5">
      <c r="A24" s="57"/>
      <c r="B24" s="57"/>
      <c r="N24" s="54">
        <v>2</v>
      </c>
      <c r="P24" s="55">
        <v>2</v>
      </c>
    </row>
    <row r="25" spans="1:18" x14ac:dyDescent="0.5">
      <c r="A25" s="57"/>
      <c r="B25" s="57"/>
      <c r="N25" s="54">
        <v>3</v>
      </c>
      <c r="P25" s="55">
        <v>3</v>
      </c>
    </row>
    <row r="26" spans="1:18" x14ac:dyDescent="0.5">
      <c r="A26" s="57"/>
      <c r="B26" s="57"/>
      <c r="N26" s="54">
        <v>1</v>
      </c>
      <c r="P26" s="55">
        <v>1</v>
      </c>
    </row>
    <row r="27" spans="1:18" x14ac:dyDescent="0.5">
      <c r="A27" s="57"/>
      <c r="B27" s="57"/>
      <c r="N27" s="54">
        <v>2</v>
      </c>
      <c r="P27" s="55">
        <v>2</v>
      </c>
    </row>
    <row r="28" spans="1:18" x14ac:dyDescent="0.5">
      <c r="A28" s="57"/>
      <c r="B28" s="57"/>
      <c r="N28" s="54">
        <v>3</v>
      </c>
      <c r="P28" s="55">
        <v>3</v>
      </c>
    </row>
    <row r="30" spans="1:18" x14ac:dyDescent="0.5">
      <c r="A30" s="48">
        <v>5</v>
      </c>
      <c r="B30" s="49" t="s">
        <v>3356</v>
      </c>
      <c r="D30" s="53">
        <v>5</v>
      </c>
      <c r="F30" s="53">
        <v>1</v>
      </c>
      <c r="N30" s="54">
        <v>5</v>
      </c>
      <c r="P30" s="55" cm="1">
        <f t="array" ref="P30:P34">xsequence(D30,F30)</f>
        <v>5</v>
      </c>
      <c r="R30" s="56" t="str" cm="1">
        <f t="array" ref="R30">IF(AND(N30:N34=P30:P34),"PASS","FAIL")</f>
        <v>PASS</v>
      </c>
    </row>
    <row r="31" spans="1:18" x14ac:dyDescent="0.5">
      <c r="A31" s="57"/>
      <c r="B31" s="57"/>
      <c r="N31" s="54">
        <v>4</v>
      </c>
      <c r="P31" s="55">
        <v>4</v>
      </c>
    </row>
    <row r="32" spans="1:18" x14ac:dyDescent="0.5">
      <c r="A32" s="57"/>
      <c r="B32" s="57"/>
      <c r="N32" s="54">
        <v>3</v>
      </c>
      <c r="P32" s="55">
        <v>3</v>
      </c>
    </row>
    <row r="33" spans="1:18" x14ac:dyDescent="0.5">
      <c r="A33" s="57"/>
      <c r="B33" s="57"/>
      <c r="N33" s="54">
        <v>2</v>
      </c>
      <c r="P33" s="55">
        <v>2</v>
      </c>
    </row>
    <row r="34" spans="1:18" x14ac:dyDescent="0.5">
      <c r="A34" s="57"/>
      <c r="B34" s="57"/>
      <c r="N34" s="54">
        <v>1</v>
      </c>
      <c r="P34" s="55">
        <v>1</v>
      </c>
    </row>
    <row r="36" spans="1:18" x14ac:dyDescent="0.5">
      <c r="A36" s="48">
        <v>6</v>
      </c>
      <c r="B36" s="49" t="s">
        <v>3388</v>
      </c>
      <c r="D36" s="53">
        <v>1</v>
      </c>
      <c r="F36" s="53">
        <v>5</v>
      </c>
      <c r="N36" s="54" t="s">
        <v>3386</v>
      </c>
      <c r="P36" s="55" t="e" cm="1">
        <f t="array" ref="P36">xsequence(D36,F36,-1)</f>
        <v>#VALUE!</v>
      </c>
      <c r="R36" s="56" t="str">
        <f>IF(ERROR.TYPE(P36)=3,"PASS","FAIL")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86" t="str" cm="1">
        <f t="array" aca="1" ref="B1" ca="1">_xlfn.LET(_xlpm.fn, CELL("filename",$A$1), _xlpm.nm, MID(_xlpm.fn, FIND("]", _xlpm.fn) + 1, 255), _xlfn.XLOOKUP(_xlpm.nm &amp; "(*", Lamb!$A$2:$A$1000, Lamb!$A$2:$A$1000, "", 2))</f>
        <v>xtextsplit(str,[delim],[as_row])</v>
      </c>
      <c r="C1" s="82"/>
      <c r="D1" s="82"/>
      <c r="E1" s="82"/>
      <c r="F1" s="83"/>
      <c r="H1" s="47" t="s">
        <v>2</v>
      </c>
      <c r="I1" s="81"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82"/>
      <c r="K1" s="82"/>
      <c r="L1" s="82"/>
      <c r="M1" s="82"/>
      <c r="N1" s="82"/>
      <c r="O1" s="82"/>
      <c r="P1" s="82"/>
      <c r="Q1" s="82"/>
      <c r="R1" s="83"/>
    </row>
    <row r="2" spans="1:18" ht="357" customHeight="1" x14ac:dyDescent="0.5">
      <c r="A2" s="47" t="s">
        <v>4</v>
      </c>
      <c r="B2" s="84"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5"/>
      <c r="D2" s="85"/>
      <c r="E2" s="85"/>
      <c r="F2" s="85"/>
      <c r="G2" s="85"/>
      <c r="H2" s="85"/>
      <c r="I2" s="85"/>
      <c r="J2" s="85"/>
      <c r="K2" s="85"/>
      <c r="L2" s="85"/>
      <c r="M2" s="85"/>
      <c r="N2" s="85"/>
      <c r="O2" s="85"/>
      <c r="P2" s="85"/>
      <c r="Q2" s="85"/>
      <c r="R2" s="85"/>
    </row>
    <row r="4" spans="1:18" x14ac:dyDescent="0.5">
      <c r="A4" s="47" t="s">
        <v>3357</v>
      </c>
      <c r="R4" s="47" t="str">
        <f>COUNTIF(R6:R22,"PASS")&amp;" / 5 PASS"</f>
        <v>5 / 5 PASS</v>
      </c>
    </row>
    <row r="5" spans="1:18" x14ac:dyDescent="0.5">
      <c r="A5" s="47" t="s">
        <v>7</v>
      </c>
      <c r="B5" s="47" t="s">
        <v>8</v>
      </c>
      <c r="D5" s="47" t="s">
        <v>9</v>
      </c>
      <c r="J5" s="50" t="s">
        <v>10</v>
      </c>
      <c r="N5" s="51" t="s">
        <v>11</v>
      </c>
      <c r="R5" s="52" t="s">
        <v>12</v>
      </c>
    </row>
    <row r="6" spans="1:18" x14ac:dyDescent="0.5">
      <c r="A6" s="48">
        <v>1</v>
      </c>
      <c r="B6" s="49" t="s">
        <v>3358</v>
      </c>
      <c r="D6" s="53" t="s">
        <v>3359</v>
      </c>
      <c r="J6" s="54" t="s">
        <v>3021</v>
      </c>
      <c r="N6" s="55" t="str" cm="1">
        <f t="array" ref="N6:N8">xtextsplit(D6)</f>
        <v>a</v>
      </c>
      <c r="R6" s="56" t="str" cm="1">
        <f t="array" ref="R6">IF(AND(J6:J8=N6:N8),"PASS","FAIL")</f>
        <v>PASS</v>
      </c>
    </row>
    <row r="7" spans="1:18" x14ac:dyDescent="0.5">
      <c r="A7" s="57"/>
      <c r="B7" s="57"/>
      <c r="J7" s="54" t="s">
        <v>3022</v>
      </c>
      <c r="N7" s="55" t="str">
        <v>b</v>
      </c>
    </row>
    <row r="8" spans="1:18" x14ac:dyDescent="0.5">
      <c r="A8" s="57"/>
      <c r="B8" s="57"/>
      <c r="J8" s="54" t="s">
        <v>3030</v>
      </c>
      <c r="N8" s="55" t="str">
        <v>c</v>
      </c>
    </row>
    <row r="10" spans="1:18" x14ac:dyDescent="0.5">
      <c r="A10" s="48">
        <v>2</v>
      </c>
      <c r="B10" s="49" t="s">
        <v>3360</v>
      </c>
      <c r="D10" s="53" t="s">
        <v>3361</v>
      </c>
      <c r="J10" s="54">
        <v>1</v>
      </c>
      <c r="N10" s="55" cm="1">
        <f t="array" ref="N10:N12">xtextsplit(D10)</f>
        <v>1</v>
      </c>
      <c r="R10" s="56" t="str" cm="1">
        <f t="array" ref="R10">IF(AND(J10:J12=N10:N12),"PASS","FAIL")</f>
        <v>PASS</v>
      </c>
    </row>
    <row r="11" spans="1:18" x14ac:dyDescent="0.5">
      <c r="A11" s="57"/>
      <c r="B11" s="57"/>
      <c r="J11" s="54">
        <v>2</v>
      </c>
      <c r="N11" s="55">
        <v>2</v>
      </c>
    </row>
    <row r="12" spans="1:18" x14ac:dyDescent="0.5">
      <c r="A12" s="57"/>
      <c r="B12" s="57"/>
      <c r="J12" s="54">
        <v>3</v>
      </c>
      <c r="N12" s="55">
        <v>3</v>
      </c>
    </row>
    <row r="14" spans="1:18" x14ac:dyDescent="0.5">
      <c r="A14" s="48">
        <v>3</v>
      </c>
      <c r="B14" s="49" t="s">
        <v>3362</v>
      </c>
      <c r="D14" s="53" t="s">
        <v>3363</v>
      </c>
      <c r="F14" s="53" t="s">
        <v>3364</v>
      </c>
      <c r="J14" s="54" t="s">
        <v>3021</v>
      </c>
      <c r="N14" s="55" t="str" cm="1">
        <f t="array" ref="N14:N16">xtextsplit(D14,F14)</f>
        <v>a</v>
      </c>
      <c r="R14" s="56" t="str" cm="1">
        <f t="array" ref="R14">IF(AND(J14:J16=N14:N16),"PASS","FAIL")</f>
        <v>PASS</v>
      </c>
    </row>
    <row r="15" spans="1:18" x14ac:dyDescent="0.5">
      <c r="A15" s="57"/>
      <c r="B15" s="57"/>
      <c r="J15" s="54" t="s">
        <v>3022</v>
      </c>
      <c r="N15" s="55" t="str">
        <v>b</v>
      </c>
    </row>
    <row r="16" spans="1:18" x14ac:dyDescent="0.5">
      <c r="A16" s="57"/>
      <c r="B16" s="57"/>
      <c r="J16" s="54" t="s">
        <v>3030</v>
      </c>
      <c r="N16" s="55" t="str">
        <v>c</v>
      </c>
    </row>
    <row r="18" spans="1:18" x14ac:dyDescent="0.5">
      <c r="A18" s="48">
        <v>4</v>
      </c>
      <c r="B18" s="49" t="s">
        <v>3365</v>
      </c>
      <c r="D18" s="53" t="s">
        <v>3359</v>
      </c>
      <c r="F18" s="53"/>
      <c r="H18" s="53">
        <v>1</v>
      </c>
      <c r="J18" s="54" t="s">
        <v>3021</v>
      </c>
      <c r="K18" s="54" t="s">
        <v>3022</v>
      </c>
      <c r="L18" s="54" t="s">
        <v>3030</v>
      </c>
      <c r="N18" s="55" t="str" cm="1">
        <f t="array" ref="N18:P18">xtextsplit(D18,,H18)</f>
        <v>a</v>
      </c>
      <c r="O18" s="55" t="str">
        <v>b</v>
      </c>
      <c r="P18" s="55" t="str">
        <v>c</v>
      </c>
      <c r="R18" s="56" t="str" cm="1">
        <f t="array" ref="R18">IF(AND(J18:L18=N18:P18),"PASS","FAIL")</f>
        <v>PASS</v>
      </c>
    </row>
    <row r="20" spans="1:18" x14ac:dyDescent="0.5">
      <c r="A20" s="48">
        <v>5</v>
      </c>
      <c r="B20" s="49" t="s">
        <v>3366</v>
      </c>
      <c r="D20" s="53" t="s">
        <v>3159</v>
      </c>
      <c r="J20" s="54" t="s">
        <v>3159</v>
      </c>
      <c r="N20" s="55" t="str" cm="1">
        <f t="array" ref="N20">xtextsplit(D20)</f>
        <v>abc</v>
      </c>
      <c r="R20" s="56" t="str">
        <f>IF(N20=J20,"PASS","FAIL")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86" t="str" cm="1">
        <f t="array" aca="1" ref="B1" ca="1">_xlfn.LET(_xlpm.fn, CELL("filename",$A$1), _xlpm.nm, MID(_xlpm.fn, FIND("]", _xlpm.fn) + 1, 255), _xlfn.XLOOKUP(_xlpm.nm &amp; "(*", Lamb!$A$2:$A$1000, Lamb!$A$2:$A$1000, "", 2))</f>
        <v>xtocol(rng, [show_addr], [clean], [dir], [snake])</v>
      </c>
      <c r="C1" s="82"/>
      <c r="D1" s="82"/>
      <c r="E1" s="82"/>
      <c r="F1" s="83"/>
      <c r="H1" s="47" t="s">
        <v>2</v>
      </c>
      <c r="I1" s="81"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82"/>
      <c r="K1" s="82"/>
      <c r="L1" s="82"/>
      <c r="M1" s="82"/>
      <c r="N1" s="82"/>
      <c r="O1" s="82"/>
      <c r="P1" s="82"/>
      <c r="Q1" s="82"/>
      <c r="R1" s="83"/>
    </row>
    <row r="2" spans="1:18" ht="409" customHeight="1" x14ac:dyDescent="0.5">
      <c r="A2" s="47" t="s">
        <v>4</v>
      </c>
      <c r="B2" s="84"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5"/>
      <c r="D2" s="85"/>
      <c r="E2" s="85"/>
      <c r="F2" s="85"/>
      <c r="G2" s="85"/>
      <c r="H2" s="85"/>
      <c r="I2" s="85"/>
      <c r="J2" s="85"/>
      <c r="K2" s="85"/>
      <c r="L2" s="85"/>
      <c r="M2" s="85"/>
      <c r="N2" s="85"/>
      <c r="O2" s="85"/>
      <c r="P2" s="85"/>
      <c r="Q2" s="85"/>
      <c r="R2" s="85"/>
    </row>
    <row r="4" spans="1:18" x14ac:dyDescent="0.5">
      <c r="A4" s="47" t="s">
        <v>3367</v>
      </c>
      <c r="L4" s="47" t="str">
        <f>COUNTIF(L6:L24,"PASS")&amp;" / 5 PASS"</f>
        <v>5 / 5 PASS</v>
      </c>
    </row>
    <row r="5" spans="1:18" x14ac:dyDescent="0.5">
      <c r="A5" s="47" t="s">
        <v>7</v>
      </c>
      <c r="B5" s="47" t="s">
        <v>8</v>
      </c>
      <c r="D5" s="47" t="s">
        <v>9</v>
      </c>
      <c r="H5" s="50" t="s">
        <v>10</v>
      </c>
      <c r="J5" s="51" t="s">
        <v>11</v>
      </c>
      <c r="L5" s="52" t="s">
        <v>12</v>
      </c>
    </row>
    <row r="6" spans="1:18" x14ac:dyDescent="0.5">
      <c r="A6" s="48">
        <v>1</v>
      </c>
      <c r="B6" s="49" t="s">
        <v>3368</v>
      </c>
      <c r="D6" s="53">
        <v>1</v>
      </c>
      <c r="E6" s="53">
        <v>2</v>
      </c>
      <c r="H6" s="54">
        <v>1</v>
      </c>
      <c r="J6" s="55" cm="1">
        <f t="array" ref="J6:J9">xtocol(D6:E7,0)</f>
        <v>1</v>
      </c>
      <c r="L6" s="56" t="str" cm="1">
        <f t="array" ref="L6">IF(AND(H6:H9=J6:J9),"PASS","FAIL")</f>
        <v>PASS</v>
      </c>
    </row>
    <row r="7" spans="1:18" x14ac:dyDescent="0.5">
      <c r="A7" s="57"/>
      <c r="B7" s="57"/>
      <c r="D7" s="53">
        <v>3</v>
      </c>
      <c r="E7" s="53">
        <v>4</v>
      </c>
      <c r="H7" s="54">
        <v>2</v>
      </c>
      <c r="J7" s="55">
        <v>2</v>
      </c>
    </row>
    <row r="8" spans="1:18" x14ac:dyDescent="0.5">
      <c r="A8" s="57"/>
      <c r="B8" s="57"/>
      <c r="H8" s="54">
        <v>3</v>
      </c>
      <c r="J8" s="55">
        <v>3</v>
      </c>
    </row>
    <row r="9" spans="1:18" x14ac:dyDescent="0.5">
      <c r="A9" s="57"/>
      <c r="B9" s="57"/>
      <c r="H9" s="54">
        <v>4</v>
      </c>
      <c r="J9" s="55">
        <v>4</v>
      </c>
    </row>
    <row r="11" spans="1:18" x14ac:dyDescent="0.5">
      <c r="A11" s="48">
        <v>2</v>
      </c>
      <c r="B11" s="49" t="s">
        <v>3369</v>
      </c>
      <c r="D11" s="53">
        <v>1</v>
      </c>
      <c r="E11" s="53">
        <v>2</v>
      </c>
      <c r="H11" s="54">
        <v>1</v>
      </c>
      <c r="J11" s="55" cm="1">
        <f t="array" ref="J11:J14">xtocol(D11:E12,0,,"↓→")</f>
        <v>1</v>
      </c>
      <c r="L11" s="56" t="str" cm="1">
        <f t="array" ref="L11">IF(AND(H11:H14=J11:J14),"PASS","FAIL")</f>
        <v>PASS</v>
      </c>
    </row>
    <row r="12" spans="1:18" x14ac:dyDescent="0.5">
      <c r="A12" s="57"/>
      <c r="B12" s="57"/>
      <c r="D12" s="53">
        <v>3</v>
      </c>
      <c r="E12" s="53">
        <v>4</v>
      </c>
      <c r="H12" s="54">
        <v>3</v>
      </c>
      <c r="J12" s="55">
        <v>3</v>
      </c>
    </row>
    <row r="13" spans="1:18" x14ac:dyDescent="0.5">
      <c r="A13" s="57"/>
      <c r="B13" s="57"/>
      <c r="H13" s="54">
        <v>2</v>
      </c>
      <c r="J13" s="55">
        <v>2</v>
      </c>
    </row>
    <row r="14" spans="1:18" x14ac:dyDescent="0.5">
      <c r="A14" s="57"/>
      <c r="B14" s="57"/>
      <c r="H14" s="54">
        <v>4</v>
      </c>
      <c r="J14" s="55">
        <v>4</v>
      </c>
    </row>
    <row r="16" spans="1:18" x14ac:dyDescent="0.5">
      <c r="A16" s="48">
        <v>3</v>
      </c>
      <c r="B16" s="49" t="s">
        <v>3370</v>
      </c>
      <c r="D16" s="53">
        <v>1</v>
      </c>
      <c r="E16" s="53"/>
      <c r="F16" s="53">
        <v>3</v>
      </c>
      <c r="H16" s="54">
        <v>1</v>
      </c>
      <c r="J16" s="55" cm="1">
        <f t="array" ref="J16:J17">xtocol(D16:F16,0)</f>
        <v>1</v>
      </c>
      <c r="L16" s="56" t="str" cm="1">
        <f t="array" ref="L16">IF(AND(H16:H17=J16:J17),"PASS","FAIL")</f>
        <v>PASS</v>
      </c>
    </row>
    <row r="17" spans="1:12" x14ac:dyDescent="0.5">
      <c r="A17" s="57"/>
      <c r="B17" s="57"/>
      <c r="H17" s="54">
        <v>3</v>
      </c>
      <c r="J17" s="55">
        <v>3</v>
      </c>
    </row>
    <row r="19" spans="1:12" x14ac:dyDescent="0.5">
      <c r="A19" s="48">
        <v>4</v>
      </c>
      <c r="B19" s="49" t="s">
        <v>3371</v>
      </c>
      <c r="D19" s="53">
        <v>1</v>
      </c>
      <c r="E19" s="53">
        <v>2</v>
      </c>
      <c r="H19" s="54">
        <v>1</v>
      </c>
      <c r="J19" s="55" cm="1">
        <f t="array" ref="J19:J22">xtocol(D19:E20,0,,"→↓",1)</f>
        <v>1</v>
      </c>
      <c r="L19" s="56" t="str" cm="1">
        <f t="array" ref="L19">IF(AND(H19:H22=J19:J22),"PASS","FAIL")</f>
        <v>PASS</v>
      </c>
    </row>
    <row r="20" spans="1:12" x14ac:dyDescent="0.5">
      <c r="A20" s="57"/>
      <c r="B20" s="57"/>
      <c r="D20" s="53">
        <v>3</v>
      </c>
      <c r="E20" s="53">
        <v>4</v>
      </c>
      <c r="H20" s="54">
        <v>2</v>
      </c>
      <c r="J20" s="55">
        <v>2</v>
      </c>
    </row>
    <row r="21" spans="1:12" x14ac:dyDescent="0.5">
      <c r="A21" s="57"/>
      <c r="B21" s="57"/>
      <c r="H21" s="54">
        <v>4</v>
      </c>
      <c r="J21" s="55">
        <v>4</v>
      </c>
    </row>
    <row r="22" spans="1:12" x14ac:dyDescent="0.5">
      <c r="A22" s="57"/>
      <c r="B22" s="57"/>
      <c r="H22" s="54">
        <v>3</v>
      </c>
      <c r="J22" s="55">
        <v>3</v>
      </c>
    </row>
    <row r="24" spans="1:12" x14ac:dyDescent="0.5">
      <c r="A24" s="48">
        <v>5</v>
      </c>
      <c r="B24" s="49" t="s">
        <v>3389</v>
      </c>
      <c r="H24" s="54" t="s">
        <v>3386</v>
      </c>
      <c r="J24" s="55" t="e" cm="1">
        <f t="array" ref="J24">xtocol(D6:E7,1,1,"Z")</f>
        <v>#VALUE!</v>
      </c>
      <c r="L24" s="56" t="str">
        <f>IF(ERROR.TYPE(J24)=3,"PASS","FAIL")</f>
        <v>PASS</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Prep</vt:lpstr>
      <vt:lpstr>Lamb</vt:lpstr>
      <vt:lpstr>test_summary</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2026-07-14T02:23:25Z</dcterms:modified>
</cp:coreProperties>
</file>